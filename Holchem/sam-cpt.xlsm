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416" codeName="{8C4F1C90-05EB-6A55-5F09-09C24B55AC0B}"/>
  <workbookPr codeName="ThisWorkbook" autoCompressPictures="0"/>
  <bookViews>
    <workbookView xWindow="8400" yWindow="160" windowWidth="39220" windowHeight="27440"/>
  </bookViews>
  <sheets>
    <sheet name="Thickness" sheetId="7" r:id="rId1"/>
    <sheet name="Data" sheetId="1" r:id="rId2"/>
    <sheet name="SBT Classification" sheetId="2" r:id="rId3"/>
    <sheet name="SAM_CPT_XY" sheetId="6" r:id="rId4"/>
    <sheet name="SAM_CPT_surf_Elevation" sheetId="4" r:id="rId5"/>
    <sheet name="Source and Notes" sheetId="5" r:id="rId6"/>
  </sheets>
  <definedNames>
    <definedName name="_xlnm._FilterDatabase" localSheetId="1" hidden="1">Data!$A$1:$M$8135</definedName>
    <definedName name="Elevation">SAM_CPT_surf_Elevation!$A$1:$B$204</definedName>
    <definedName name="XYdata">SAM_CPT_XY!$B$1:$D$204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0" i="7" l="1"/>
  <c r="D7" i="7"/>
  <c r="D8" i="7"/>
  <c r="C95" i="1"/>
  <c r="D9" i="7"/>
  <c r="C214" i="1"/>
  <c r="D10" i="7"/>
  <c r="C340" i="1"/>
  <c r="D11" i="7"/>
  <c r="C442" i="1"/>
  <c r="D12" i="7"/>
  <c r="C545" i="1"/>
  <c r="D13" i="7"/>
  <c r="D14" i="7"/>
  <c r="C663" i="1"/>
  <c r="D15" i="7"/>
  <c r="D16" i="7"/>
  <c r="C794" i="1"/>
  <c r="D17" i="7"/>
  <c r="C878" i="1"/>
  <c r="D18" i="7"/>
  <c r="C985" i="1"/>
  <c r="D19" i="7"/>
  <c r="C1089" i="1"/>
  <c r="D20" i="7"/>
  <c r="D21" i="7"/>
  <c r="D22" i="7"/>
  <c r="D23" i="7"/>
  <c r="D24" i="7"/>
  <c r="D25" i="7"/>
  <c r="D26" i="7"/>
  <c r="C1197" i="1"/>
  <c r="D27" i="7"/>
  <c r="C1252" i="1"/>
  <c r="D28" i="7"/>
  <c r="C1308" i="1"/>
  <c r="D29" i="7"/>
  <c r="D30" i="7"/>
  <c r="D31" i="7"/>
  <c r="D32" i="7"/>
  <c r="C1422" i="1"/>
  <c r="D33" i="7"/>
  <c r="C1509" i="1"/>
  <c r="D34" i="7"/>
  <c r="D35" i="7"/>
  <c r="C1631" i="1"/>
  <c r="D36" i="7"/>
  <c r="D37" i="7"/>
  <c r="C1757" i="1"/>
  <c r="D38" i="7"/>
  <c r="C1867" i="1"/>
  <c r="D39" i="7"/>
  <c r="D40" i="7"/>
  <c r="D41" i="7"/>
  <c r="D42" i="7"/>
  <c r="D43" i="7"/>
  <c r="D44" i="7"/>
  <c r="D45" i="7"/>
  <c r="D46" i="7"/>
  <c r="C1976" i="1"/>
  <c r="D47" i="7"/>
  <c r="C2237" i="1"/>
  <c r="D48" i="7"/>
  <c r="C2106" i="1"/>
  <c r="D49" i="7"/>
  <c r="C2428" i="1"/>
  <c r="D50" i="7"/>
  <c r="C2297" i="1"/>
  <c r="D51" i="7"/>
  <c r="D52" i="7"/>
  <c r="C2477" i="1"/>
  <c r="D53" i="7"/>
  <c r="D54" i="7"/>
  <c r="D55" i="7"/>
  <c r="D56" i="7"/>
  <c r="C2599" i="1"/>
  <c r="D57" i="7"/>
  <c r="C2727" i="1"/>
  <c r="D58" i="7"/>
  <c r="C2792" i="1"/>
  <c r="D59" i="7"/>
  <c r="D60" i="7"/>
  <c r="D61" i="7"/>
  <c r="C2913" i="1"/>
  <c r="D62" i="7"/>
  <c r="C3031" i="1"/>
  <c r="D63" i="7"/>
  <c r="C3054" i="1"/>
  <c r="D64" i="7"/>
  <c r="C3185" i="1"/>
  <c r="D65" i="7"/>
  <c r="C3278" i="1"/>
  <c r="D66" i="7"/>
  <c r="C3409" i="1"/>
  <c r="D67" i="7"/>
  <c r="C3540" i="1"/>
  <c r="D68" i="7"/>
  <c r="C3671" i="1"/>
  <c r="D69" i="7"/>
  <c r="D70" i="7"/>
  <c r="D71" i="7"/>
  <c r="D72" i="7"/>
  <c r="D73" i="7"/>
  <c r="D74" i="7"/>
  <c r="D75" i="7"/>
  <c r="D76" i="7"/>
  <c r="D77" i="7"/>
  <c r="D78" i="7"/>
  <c r="C3803" i="1"/>
  <c r="D79" i="7"/>
  <c r="D80" i="7"/>
  <c r="D81" i="7"/>
  <c r="C3899" i="1"/>
  <c r="D82" i="7"/>
  <c r="C4018" i="1"/>
  <c r="D83" i="7"/>
  <c r="D84" i="7"/>
  <c r="C4148" i="1"/>
  <c r="D85" i="7"/>
  <c r="C4256" i="1"/>
  <c r="D86" i="7"/>
  <c r="C4381" i="1"/>
  <c r="D87" i="7"/>
  <c r="C4486" i="1"/>
  <c r="D88" i="7"/>
  <c r="C4587" i="1"/>
  <c r="D89" i="7"/>
  <c r="D90" i="7"/>
  <c r="D91" i="7"/>
  <c r="D92" i="7"/>
  <c r="C4828" i="1"/>
  <c r="D93" i="7"/>
  <c r="C4924" i="1"/>
  <c r="D94" i="7"/>
  <c r="C5023" i="1"/>
  <c r="D95" i="7"/>
  <c r="C5104" i="1"/>
  <c r="D96" i="7"/>
  <c r="C5235" i="1"/>
  <c r="D97" i="7"/>
  <c r="C5339" i="1"/>
  <c r="D98" i="7"/>
  <c r="C5425" i="1"/>
  <c r="D99" i="7"/>
  <c r="C5556" i="1"/>
  <c r="D100" i="7"/>
  <c r="C5643" i="1"/>
  <c r="D101" i="7"/>
  <c r="C5774" i="1"/>
  <c r="D102" i="7"/>
  <c r="C5889" i="1"/>
  <c r="D103" i="7"/>
  <c r="C5975" i="1"/>
  <c r="D104" i="7"/>
  <c r="C6106" i="1"/>
  <c r="D105" i="7"/>
  <c r="C6194" i="1"/>
  <c r="D106" i="7"/>
  <c r="C6294" i="1"/>
  <c r="D107" i="7"/>
  <c r="C6425" i="1"/>
  <c r="D108" i="7"/>
  <c r="C6519" i="1"/>
  <c r="D109" i="7"/>
  <c r="C6617" i="1"/>
  <c r="D110" i="7"/>
  <c r="D111" i="7"/>
  <c r="C6700" i="1"/>
  <c r="D112" i="7"/>
  <c r="C6831" i="1"/>
  <c r="D113" i="7"/>
  <c r="C6959" i="1"/>
  <c r="D114" i="7"/>
  <c r="D115" i="7"/>
  <c r="D116" i="7"/>
  <c r="C7090" i="1"/>
  <c r="D117" i="7"/>
  <c r="C7181" i="1"/>
  <c r="D118" i="7"/>
  <c r="D119" i="7"/>
  <c r="D120" i="7"/>
  <c r="C7269" i="1"/>
  <c r="D121" i="7"/>
  <c r="C7369" i="1"/>
  <c r="D122" i="7"/>
  <c r="C7500" i="1"/>
  <c r="D123" i="7"/>
  <c r="D124" i="7"/>
  <c r="D125" i="7"/>
  <c r="D126" i="7"/>
  <c r="D127" i="7"/>
  <c r="D128" i="7"/>
  <c r="D129" i="7"/>
  <c r="D130" i="7"/>
  <c r="D131" i="7"/>
  <c r="D132" i="7"/>
  <c r="C7602" i="1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C7677" i="1"/>
  <c r="D156" i="7"/>
  <c r="D157" i="7"/>
  <c r="D158" i="7"/>
  <c r="C7808" i="1"/>
  <c r="D159" i="7"/>
  <c r="C7967" i="1"/>
  <c r="D160" i="7"/>
  <c r="C7917" i="1"/>
  <c r="D161" i="7"/>
  <c r="C8016" i="1"/>
  <c r="D162" i="7"/>
  <c r="B1252" i="1"/>
  <c r="C28" i="7"/>
  <c r="B1308" i="1"/>
  <c r="C29" i="7"/>
  <c r="C30" i="7"/>
  <c r="C31" i="7"/>
  <c r="C32" i="7"/>
  <c r="B1422" i="1"/>
  <c r="C33" i="7"/>
  <c r="B1509" i="1"/>
  <c r="C34" i="7"/>
  <c r="C35" i="7"/>
  <c r="B1631" i="1"/>
  <c r="C36" i="7"/>
  <c r="C37" i="7"/>
  <c r="B1757" i="1"/>
  <c r="C38" i="7"/>
  <c r="B1867" i="1"/>
  <c r="C39" i="7"/>
  <c r="C40" i="7"/>
  <c r="C41" i="7"/>
  <c r="C42" i="7"/>
  <c r="C43" i="7"/>
  <c r="C44" i="7"/>
  <c r="C45" i="7"/>
  <c r="C46" i="7"/>
  <c r="B1976" i="1"/>
  <c r="C47" i="7"/>
  <c r="B2237" i="1"/>
  <c r="C48" i="7"/>
  <c r="B2106" i="1"/>
  <c r="C49" i="7"/>
  <c r="B2428" i="1"/>
  <c r="C50" i="7"/>
  <c r="B2297" i="1"/>
  <c r="C51" i="7"/>
  <c r="C52" i="7"/>
  <c r="B2477" i="1"/>
  <c r="C53" i="7"/>
  <c r="C54" i="7"/>
  <c r="C55" i="7"/>
  <c r="C56" i="7"/>
  <c r="B2599" i="1"/>
  <c r="C57" i="7"/>
  <c r="B2727" i="1"/>
  <c r="C58" i="7"/>
  <c r="B2792" i="1"/>
  <c r="C59" i="7"/>
  <c r="C60" i="7"/>
  <c r="C61" i="7"/>
  <c r="B2913" i="1"/>
  <c r="C62" i="7"/>
  <c r="B3031" i="1"/>
  <c r="C63" i="7"/>
  <c r="B3054" i="1"/>
  <c r="C64" i="7"/>
  <c r="B3185" i="1"/>
  <c r="C65" i="7"/>
  <c r="B3278" i="1"/>
  <c r="C66" i="7"/>
  <c r="B3409" i="1"/>
  <c r="C67" i="7"/>
  <c r="B3540" i="1"/>
  <c r="C68" i="7"/>
  <c r="B3671" i="1"/>
  <c r="C69" i="7"/>
  <c r="C70" i="7"/>
  <c r="C71" i="7"/>
  <c r="C72" i="7"/>
  <c r="C73" i="7"/>
  <c r="C74" i="7"/>
  <c r="C75" i="7"/>
  <c r="C76" i="7"/>
  <c r="C77" i="7"/>
  <c r="C78" i="7"/>
  <c r="B3803" i="1"/>
  <c r="C79" i="7"/>
  <c r="C80" i="7"/>
  <c r="C81" i="7"/>
  <c r="B3899" i="1"/>
  <c r="C82" i="7"/>
  <c r="B4018" i="1"/>
  <c r="C83" i="7"/>
  <c r="C84" i="7"/>
  <c r="B4148" i="1"/>
  <c r="C85" i="7"/>
  <c r="B4256" i="1"/>
  <c r="C86" i="7"/>
  <c r="B4381" i="1"/>
  <c r="C87" i="7"/>
  <c r="B4486" i="1"/>
  <c r="C88" i="7"/>
  <c r="B4587" i="1"/>
  <c r="C89" i="7"/>
  <c r="C91" i="7"/>
  <c r="C92" i="7"/>
  <c r="B4828" i="1"/>
  <c r="C93" i="7"/>
  <c r="B4924" i="1"/>
  <c r="C94" i="7"/>
  <c r="B5023" i="1"/>
  <c r="C95" i="7"/>
  <c r="B5104" i="1"/>
  <c r="C96" i="7"/>
  <c r="B5235" i="1"/>
  <c r="C97" i="7"/>
  <c r="B5339" i="1"/>
  <c r="C98" i="7"/>
  <c r="B5425" i="1"/>
  <c r="C99" i="7"/>
  <c r="B5556" i="1"/>
  <c r="C100" i="7"/>
  <c r="B5643" i="1"/>
  <c r="C101" i="7"/>
  <c r="B5774" i="1"/>
  <c r="C102" i="7"/>
  <c r="B5889" i="1"/>
  <c r="C103" i="7"/>
  <c r="B5975" i="1"/>
  <c r="C104" i="7"/>
  <c r="B6106" i="1"/>
  <c r="C105" i="7"/>
  <c r="B6194" i="1"/>
  <c r="C106" i="7"/>
  <c r="B6294" i="1"/>
  <c r="C107" i="7"/>
  <c r="B6425" i="1"/>
  <c r="C108" i="7"/>
  <c r="B6519" i="1"/>
  <c r="C109" i="7"/>
  <c r="B6617" i="1"/>
  <c r="C110" i="7"/>
  <c r="C111" i="7"/>
  <c r="B6700" i="1"/>
  <c r="C112" i="7"/>
  <c r="B6831" i="1"/>
  <c r="C113" i="7"/>
  <c r="B6959" i="1"/>
  <c r="C114" i="7"/>
  <c r="C115" i="7"/>
  <c r="C116" i="7"/>
  <c r="B7090" i="1"/>
  <c r="C117" i="7"/>
  <c r="B7181" i="1"/>
  <c r="C118" i="7"/>
  <c r="C119" i="7"/>
  <c r="C120" i="7"/>
  <c r="B7269" i="1"/>
  <c r="C121" i="7"/>
  <c r="B7369" i="1"/>
  <c r="C122" i="7"/>
  <c r="B7500" i="1"/>
  <c r="C123" i="7"/>
  <c r="C124" i="7"/>
  <c r="C125" i="7"/>
  <c r="C126" i="7"/>
  <c r="C127" i="7"/>
  <c r="C128" i="7"/>
  <c r="C129" i="7"/>
  <c r="C130" i="7"/>
  <c r="C131" i="7"/>
  <c r="C132" i="7"/>
  <c r="B7602" i="1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B7677" i="1"/>
  <c r="C156" i="7"/>
  <c r="C157" i="7"/>
  <c r="C158" i="7"/>
  <c r="B7808" i="1"/>
  <c r="C159" i="7"/>
  <c r="B7967" i="1"/>
  <c r="C160" i="7"/>
  <c r="B7917" i="1"/>
  <c r="C161" i="7"/>
  <c r="B8016" i="1"/>
  <c r="C162" i="7"/>
  <c r="C7" i="7"/>
  <c r="C8" i="7"/>
  <c r="B95" i="1"/>
  <c r="C9" i="7"/>
  <c r="B214" i="1"/>
  <c r="C10" i="7"/>
  <c r="B340" i="1"/>
  <c r="C11" i="7"/>
  <c r="B442" i="1"/>
  <c r="C12" i="7"/>
  <c r="B545" i="1"/>
  <c r="C13" i="7"/>
  <c r="C14" i="7"/>
  <c r="B663" i="1"/>
  <c r="C15" i="7"/>
  <c r="C16" i="7"/>
  <c r="B794" i="1"/>
  <c r="C17" i="7"/>
  <c r="B878" i="1"/>
  <c r="C18" i="7"/>
  <c r="B985" i="1"/>
  <c r="C19" i="7"/>
  <c r="B1089" i="1"/>
  <c r="C20" i="7"/>
  <c r="C21" i="7"/>
  <c r="C22" i="7"/>
  <c r="C23" i="7"/>
  <c r="C24" i="7"/>
  <c r="C25" i="7"/>
  <c r="C26" i="7"/>
  <c r="B1197" i="1"/>
  <c r="C27" i="7"/>
  <c r="C2" i="1"/>
  <c r="D6" i="7"/>
  <c r="B2" i="1"/>
  <c r="C6" i="7"/>
  <c r="B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D8016" i="1"/>
  <c r="F8016" i="1"/>
  <c r="D8017" i="1"/>
  <c r="F8017" i="1"/>
  <c r="D8018" i="1"/>
  <c r="F8018" i="1"/>
  <c r="D8019" i="1"/>
  <c r="F8019" i="1"/>
  <c r="D8020" i="1"/>
  <c r="F8020" i="1"/>
  <c r="D8021" i="1"/>
  <c r="F8021" i="1"/>
  <c r="D8022" i="1"/>
  <c r="F8022" i="1"/>
  <c r="D8023" i="1"/>
  <c r="F8023" i="1"/>
  <c r="D8024" i="1"/>
  <c r="F8024" i="1"/>
  <c r="D8025" i="1"/>
  <c r="F8025" i="1"/>
  <c r="D8026" i="1"/>
  <c r="F8026" i="1"/>
  <c r="D8027" i="1"/>
  <c r="F8027" i="1"/>
  <c r="D8028" i="1"/>
  <c r="F8028" i="1"/>
  <c r="D8029" i="1"/>
  <c r="F8029" i="1"/>
  <c r="D8030" i="1"/>
  <c r="F8030" i="1"/>
  <c r="D8031" i="1"/>
  <c r="F8031" i="1"/>
  <c r="D8032" i="1"/>
  <c r="F8032" i="1"/>
  <c r="D8033" i="1"/>
  <c r="F8033" i="1"/>
  <c r="D8034" i="1"/>
  <c r="F8034" i="1"/>
  <c r="D8035" i="1"/>
  <c r="F8035" i="1"/>
  <c r="D8036" i="1"/>
  <c r="F8036" i="1"/>
  <c r="D8037" i="1"/>
  <c r="F8037" i="1"/>
  <c r="D8038" i="1"/>
  <c r="F8038" i="1"/>
  <c r="D8039" i="1"/>
  <c r="F8039" i="1"/>
  <c r="D8040" i="1"/>
  <c r="F8040" i="1"/>
  <c r="D8041" i="1"/>
  <c r="F8041" i="1"/>
  <c r="D8042" i="1"/>
  <c r="F8042" i="1"/>
  <c r="D8043" i="1"/>
  <c r="F8043" i="1"/>
  <c r="D8044" i="1"/>
  <c r="F8044" i="1"/>
  <c r="D8045" i="1"/>
  <c r="F8045" i="1"/>
  <c r="D8046" i="1"/>
  <c r="F8046" i="1"/>
  <c r="D8047" i="1"/>
  <c r="F8047" i="1"/>
  <c r="D8048" i="1"/>
  <c r="F8048" i="1"/>
  <c r="D8049" i="1"/>
  <c r="F8049" i="1"/>
  <c r="D8050" i="1"/>
  <c r="F8050" i="1"/>
  <c r="D8051" i="1"/>
  <c r="F8051" i="1"/>
  <c r="D8052" i="1"/>
  <c r="F8052" i="1"/>
  <c r="D8053" i="1"/>
  <c r="F8053" i="1"/>
  <c r="D8054" i="1"/>
  <c r="F8054" i="1"/>
  <c r="D8055" i="1"/>
  <c r="F8055" i="1"/>
  <c r="D8056" i="1"/>
  <c r="F8056" i="1"/>
  <c r="D8057" i="1"/>
  <c r="F8057" i="1"/>
  <c r="D8058" i="1"/>
  <c r="F8058" i="1"/>
  <c r="D8059" i="1"/>
  <c r="F8059" i="1"/>
  <c r="D8060" i="1"/>
  <c r="F8060" i="1"/>
  <c r="D8061" i="1"/>
  <c r="F8061" i="1"/>
  <c r="D8062" i="1"/>
  <c r="F8062" i="1"/>
  <c r="D8063" i="1"/>
  <c r="F8063" i="1"/>
  <c r="D8064" i="1"/>
  <c r="F8064" i="1"/>
  <c r="D8065" i="1"/>
  <c r="F8065" i="1"/>
  <c r="D8066" i="1"/>
  <c r="F8066" i="1"/>
  <c r="D8067" i="1"/>
  <c r="F8067" i="1"/>
  <c r="D8068" i="1"/>
  <c r="F8068" i="1"/>
  <c r="D8069" i="1"/>
  <c r="F8069" i="1"/>
  <c r="D8070" i="1"/>
  <c r="F8070" i="1"/>
  <c r="D8071" i="1"/>
  <c r="F8071" i="1"/>
  <c r="D8072" i="1"/>
  <c r="F8072" i="1"/>
  <c r="D8073" i="1"/>
  <c r="F8073" i="1"/>
  <c r="D8074" i="1"/>
  <c r="F8074" i="1"/>
  <c r="D8075" i="1"/>
  <c r="F8075" i="1"/>
  <c r="D8076" i="1"/>
  <c r="F8076" i="1"/>
  <c r="D8077" i="1"/>
  <c r="F8077" i="1"/>
  <c r="D8078" i="1"/>
  <c r="F8078" i="1"/>
  <c r="D8079" i="1"/>
  <c r="F8079" i="1"/>
  <c r="D8080" i="1"/>
  <c r="F8080" i="1"/>
  <c r="D8081" i="1"/>
  <c r="F8081" i="1"/>
  <c r="D8082" i="1"/>
  <c r="F8082" i="1"/>
  <c r="D8083" i="1"/>
  <c r="F8083" i="1"/>
  <c r="D8084" i="1"/>
  <c r="F8084" i="1"/>
  <c r="D8085" i="1"/>
  <c r="F8085" i="1"/>
  <c r="D8086" i="1"/>
  <c r="F8086" i="1"/>
  <c r="D8087" i="1"/>
  <c r="F8087" i="1"/>
  <c r="D8088" i="1"/>
  <c r="F8088" i="1"/>
  <c r="D8089" i="1"/>
  <c r="F8089" i="1"/>
  <c r="D8090" i="1"/>
  <c r="F8090" i="1"/>
  <c r="D8091" i="1"/>
  <c r="F8091" i="1"/>
  <c r="D8092" i="1"/>
  <c r="F8092" i="1"/>
  <c r="D8093" i="1"/>
  <c r="F8093" i="1"/>
  <c r="D8094" i="1"/>
  <c r="F8094" i="1"/>
  <c r="D8095" i="1"/>
  <c r="F8095" i="1"/>
  <c r="D8096" i="1"/>
  <c r="F8096" i="1"/>
  <c r="D8097" i="1"/>
  <c r="F8097" i="1"/>
  <c r="D8098" i="1"/>
  <c r="F8098" i="1"/>
  <c r="D8099" i="1"/>
  <c r="F8099" i="1"/>
  <c r="D8100" i="1"/>
  <c r="F8100" i="1"/>
  <c r="D8101" i="1"/>
  <c r="F8101" i="1"/>
  <c r="D8102" i="1"/>
  <c r="F8102" i="1"/>
  <c r="D8103" i="1"/>
  <c r="F8103" i="1"/>
  <c r="D8104" i="1"/>
  <c r="F8104" i="1"/>
  <c r="D8105" i="1"/>
  <c r="F8105" i="1"/>
  <c r="D8106" i="1"/>
  <c r="F8106" i="1"/>
  <c r="D8107" i="1"/>
  <c r="F8107" i="1"/>
  <c r="D8108" i="1"/>
  <c r="F8108" i="1"/>
  <c r="D8109" i="1"/>
  <c r="F8109" i="1"/>
  <c r="D8110" i="1"/>
  <c r="F8110" i="1"/>
  <c r="D8111" i="1"/>
  <c r="F8111" i="1"/>
  <c r="D8112" i="1"/>
  <c r="F8112" i="1"/>
  <c r="D8113" i="1"/>
  <c r="F8113" i="1"/>
  <c r="D8114" i="1"/>
  <c r="F8114" i="1"/>
  <c r="D8115" i="1"/>
  <c r="F8115" i="1"/>
  <c r="D8116" i="1"/>
  <c r="F8116" i="1"/>
  <c r="D8117" i="1"/>
  <c r="F8117" i="1"/>
  <c r="D8118" i="1"/>
  <c r="F8118" i="1"/>
  <c r="D8119" i="1"/>
  <c r="F8119" i="1"/>
  <c r="D8120" i="1"/>
  <c r="F8120" i="1"/>
  <c r="D8121" i="1"/>
  <c r="F8121" i="1"/>
  <c r="D8122" i="1"/>
  <c r="F8122" i="1"/>
  <c r="D8123" i="1"/>
  <c r="F8123" i="1"/>
  <c r="D8124" i="1"/>
  <c r="F8124" i="1"/>
  <c r="D8125" i="1"/>
  <c r="F8125" i="1"/>
  <c r="D8126" i="1"/>
  <c r="F8126" i="1"/>
  <c r="D8127" i="1"/>
  <c r="F8127" i="1"/>
  <c r="D8128" i="1"/>
  <c r="F8128" i="1"/>
  <c r="D8129" i="1"/>
  <c r="F8129" i="1"/>
  <c r="D8130" i="1"/>
  <c r="F8130" i="1"/>
  <c r="D8131" i="1"/>
  <c r="F8131" i="1"/>
  <c r="D8132" i="1"/>
  <c r="F8132" i="1"/>
  <c r="D8133" i="1"/>
  <c r="F8133" i="1"/>
  <c r="D8134" i="1"/>
  <c r="F8134" i="1"/>
  <c r="D8135" i="1"/>
  <c r="F8135" i="1"/>
  <c r="D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B3" i="1"/>
  <c r="B4" i="1"/>
  <c r="B5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D3" i="1"/>
  <c r="F3" i="1"/>
  <c r="D4" i="1"/>
  <c r="F4" i="1"/>
  <c r="D5" i="1"/>
  <c r="F5" i="1"/>
  <c r="F6" i="1"/>
  <c r="D7" i="1"/>
  <c r="F7" i="1"/>
  <c r="D8" i="1"/>
  <c r="F8" i="1"/>
  <c r="D9" i="1"/>
  <c r="F9" i="1"/>
  <c r="D10" i="1"/>
  <c r="F10" i="1"/>
  <c r="D11" i="1"/>
  <c r="F11" i="1"/>
  <c r="D12" i="1"/>
  <c r="F12" i="1"/>
  <c r="D13" i="1"/>
  <c r="F13" i="1"/>
  <c r="D14" i="1"/>
  <c r="F14" i="1"/>
  <c r="D15" i="1"/>
  <c r="F15" i="1"/>
  <c r="D16" i="1"/>
  <c r="F16" i="1"/>
  <c r="D17" i="1"/>
  <c r="F17" i="1"/>
  <c r="D18" i="1"/>
  <c r="F18" i="1"/>
  <c r="D19" i="1"/>
  <c r="F19" i="1"/>
  <c r="D20" i="1"/>
  <c r="F20" i="1"/>
  <c r="D21" i="1"/>
  <c r="F21" i="1"/>
  <c r="D22" i="1"/>
  <c r="F22" i="1"/>
  <c r="D23" i="1"/>
  <c r="F23" i="1"/>
  <c r="D24" i="1"/>
  <c r="F24" i="1"/>
  <c r="D25" i="1"/>
  <c r="F25" i="1"/>
  <c r="D26" i="1"/>
  <c r="F26" i="1"/>
  <c r="D27" i="1"/>
  <c r="F27" i="1"/>
  <c r="D28" i="1"/>
  <c r="F28" i="1"/>
  <c r="D29" i="1"/>
  <c r="F29" i="1"/>
  <c r="D30" i="1"/>
  <c r="F30" i="1"/>
  <c r="D31" i="1"/>
  <c r="F31" i="1"/>
  <c r="D32" i="1"/>
  <c r="F32" i="1"/>
  <c r="D33" i="1"/>
  <c r="F33" i="1"/>
  <c r="D34" i="1"/>
  <c r="F34" i="1"/>
  <c r="D35" i="1"/>
  <c r="F35" i="1"/>
  <c r="D36" i="1"/>
  <c r="F36" i="1"/>
  <c r="D37" i="1"/>
  <c r="F37" i="1"/>
  <c r="D38" i="1"/>
  <c r="F38" i="1"/>
  <c r="D39" i="1"/>
  <c r="F39" i="1"/>
  <c r="D40" i="1"/>
  <c r="F40" i="1"/>
  <c r="D41" i="1"/>
  <c r="F41" i="1"/>
  <c r="D42" i="1"/>
  <c r="F42" i="1"/>
  <c r="D43" i="1"/>
  <c r="F43" i="1"/>
  <c r="D44" i="1"/>
  <c r="F44" i="1"/>
  <c r="D45" i="1"/>
  <c r="F45" i="1"/>
  <c r="D46" i="1"/>
  <c r="F46" i="1"/>
  <c r="D47" i="1"/>
  <c r="F47" i="1"/>
  <c r="D48" i="1"/>
  <c r="F48" i="1"/>
  <c r="D49" i="1"/>
  <c r="F49" i="1"/>
  <c r="D50" i="1"/>
  <c r="F50" i="1"/>
  <c r="D51" i="1"/>
  <c r="F51" i="1"/>
  <c r="D52" i="1"/>
  <c r="F52" i="1"/>
  <c r="D53" i="1"/>
  <c r="F53" i="1"/>
  <c r="D54" i="1"/>
  <c r="F54" i="1"/>
  <c r="D55" i="1"/>
  <c r="F55" i="1"/>
  <c r="D56" i="1"/>
  <c r="F56" i="1"/>
  <c r="D57" i="1"/>
  <c r="F57" i="1"/>
  <c r="D58" i="1"/>
  <c r="F58" i="1"/>
  <c r="D59" i="1"/>
  <c r="F59" i="1"/>
  <c r="D60" i="1"/>
  <c r="F60" i="1"/>
  <c r="D61" i="1"/>
  <c r="F61" i="1"/>
  <c r="D62" i="1"/>
  <c r="F62" i="1"/>
  <c r="D63" i="1"/>
  <c r="F63" i="1"/>
  <c r="D64" i="1"/>
  <c r="F64" i="1"/>
  <c r="D65" i="1"/>
  <c r="F65" i="1"/>
  <c r="D66" i="1"/>
  <c r="F66" i="1"/>
  <c r="D67" i="1"/>
  <c r="F67" i="1"/>
  <c r="D68" i="1"/>
  <c r="F68" i="1"/>
  <c r="D69" i="1"/>
  <c r="F69" i="1"/>
  <c r="D70" i="1"/>
  <c r="F70" i="1"/>
  <c r="D71" i="1"/>
  <c r="F71" i="1"/>
  <c r="D72" i="1"/>
  <c r="F72" i="1"/>
  <c r="D73" i="1"/>
  <c r="F73" i="1"/>
  <c r="D74" i="1"/>
  <c r="F74" i="1"/>
  <c r="D75" i="1"/>
  <c r="F75" i="1"/>
  <c r="D76" i="1"/>
  <c r="F76" i="1"/>
  <c r="D77" i="1"/>
  <c r="F77" i="1"/>
  <c r="D78" i="1"/>
  <c r="F78" i="1"/>
  <c r="D79" i="1"/>
  <c r="F79" i="1"/>
  <c r="D80" i="1"/>
  <c r="F80" i="1"/>
  <c r="D81" i="1"/>
  <c r="F81" i="1"/>
  <c r="D82" i="1"/>
  <c r="F82" i="1"/>
  <c r="D83" i="1"/>
  <c r="F83" i="1"/>
  <c r="D84" i="1"/>
  <c r="F84" i="1"/>
  <c r="D85" i="1"/>
  <c r="F85" i="1"/>
  <c r="D86" i="1"/>
  <c r="F86" i="1"/>
  <c r="D87" i="1"/>
  <c r="F87" i="1"/>
  <c r="D88" i="1"/>
  <c r="F88" i="1"/>
  <c r="D89" i="1"/>
  <c r="F89" i="1"/>
  <c r="D90" i="1"/>
  <c r="F90" i="1"/>
  <c r="D91" i="1"/>
  <c r="F91" i="1"/>
  <c r="D92" i="1"/>
  <c r="F92" i="1"/>
  <c r="D93" i="1"/>
  <c r="F93" i="1"/>
  <c r="D94" i="1"/>
  <c r="F94" i="1"/>
  <c r="D95" i="1"/>
  <c r="F95" i="1"/>
  <c r="D96" i="1"/>
  <c r="F96" i="1"/>
  <c r="D97" i="1"/>
  <c r="F97" i="1"/>
  <c r="D98" i="1"/>
  <c r="F98" i="1"/>
  <c r="D99" i="1"/>
  <c r="F99" i="1"/>
  <c r="D100" i="1"/>
  <c r="F100" i="1"/>
  <c r="D101" i="1"/>
  <c r="F101" i="1"/>
  <c r="D102" i="1"/>
  <c r="F102" i="1"/>
  <c r="D103" i="1"/>
  <c r="F103" i="1"/>
  <c r="D104" i="1"/>
  <c r="F104" i="1"/>
  <c r="D105" i="1"/>
  <c r="F105" i="1"/>
  <c r="D106" i="1"/>
  <c r="F106" i="1"/>
  <c r="D107" i="1"/>
  <c r="F107" i="1"/>
  <c r="D108" i="1"/>
  <c r="F108" i="1"/>
  <c r="D109" i="1"/>
  <c r="F109" i="1"/>
  <c r="D110" i="1"/>
  <c r="F110" i="1"/>
  <c r="D111" i="1"/>
  <c r="F111" i="1"/>
  <c r="D112" i="1"/>
  <c r="F112" i="1"/>
  <c r="D113" i="1"/>
  <c r="F113" i="1"/>
  <c r="D114" i="1"/>
  <c r="F114" i="1"/>
  <c r="D115" i="1"/>
  <c r="F115" i="1"/>
  <c r="D116" i="1"/>
  <c r="F116" i="1"/>
  <c r="D117" i="1"/>
  <c r="F117" i="1"/>
  <c r="D118" i="1"/>
  <c r="F118" i="1"/>
  <c r="D119" i="1"/>
  <c r="F119" i="1"/>
  <c r="D120" i="1"/>
  <c r="F120" i="1"/>
  <c r="D121" i="1"/>
  <c r="F121" i="1"/>
  <c r="D122" i="1"/>
  <c r="F122" i="1"/>
  <c r="D123" i="1"/>
  <c r="F123" i="1"/>
  <c r="D124" i="1"/>
  <c r="F124" i="1"/>
  <c r="D125" i="1"/>
  <c r="F125" i="1"/>
  <c r="D126" i="1"/>
  <c r="F126" i="1"/>
  <c r="D127" i="1"/>
  <c r="F127" i="1"/>
  <c r="D128" i="1"/>
  <c r="F128" i="1"/>
  <c r="D129" i="1"/>
  <c r="F129" i="1"/>
  <c r="D130" i="1"/>
  <c r="F130" i="1"/>
  <c r="D131" i="1"/>
  <c r="F131" i="1"/>
  <c r="D132" i="1"/>
  <c r="F132" i="1"/>
  <c r="D133" i="1"/>
  <c r="F133" i="1"/>
  <c r="D134" i="1"/>
  <c r="F134" i="1"/>
  <c r="D135" i="1"/>
  <c r="F135" i="1"/>
  <c r="D136" i="1"/>
  <c r="F136" i="1"/>
  <c r="D137" i="1"/>
  <c r="F137" i="1"/>
  <c r="D138" i="1"/>
  <c r="F138" i="1"/>
  <c r="D139" i="1"/>
  <c r="F139" i="1"/>
  <c r="D140" i="1"/>
  <c r="F140" i="1"/>
  <c r="D141" i="1"/>
  <c r="F141" i="1"/>
  <c r="D142" i="1"/>
  <c r="F142" i="1"/>
  <c r="D143" i="1"/>
  <c r="F143" i="1"/>
  <c r="D144" i="1"/>
  <c r="F144" i="1"/>
  <c r="D145" i="1"/>
  <c r="F145" i="1"/>
  <c r="D146" i="1"/>
  <c r="F146" i="1"/>
  <c r="D147" i="1"/>
  <c r="F147" i="1"/>
  <c r="D148" i="1"/>
  <c r="F148" i="1"/>
  <c r="D149" i="1"/>
  <c r="F149" i="1"/>
  <c r="D150" i="1"/>
  <c r="F150" i="1"/>
  <c r="D151" i="1"/>
  <c r="F151" i="1"/>
  <c r="D152" i="1"/>
  <c r="F152" i="1"/>
  <c r="D153" i="1"/>
  <c r="F153" i="1"/>
  <c r="D154" i="1"/>
  <c r="F154" i="1"/>
  <c r="D155" i="1"/>
  <c r="F155" i="1"/>
  <c r="D156" i="1"/>
  <c r="F156" i="1"/>
  <c r="D157" i="1"/>
  <c r="F157" i="1"/>
  <c r="D158" i="1"/>
  <c r="F158" i="1"/>
  <c r="D159" i="1"/>
  <c r="F159" i="1"/>
  <c r="D160" i="1"/>
  <c r="F160" i="1"/>
  <c r="D161" i="1"/>
  <c r="F161" i="1"/>
  <c r="D162" i="1"/>
  <c r="F162" i="1"/>
  <c r="D163" i="1"/>
  <c r="F163" i="1"/>
  <c r="D164" i="1"/>
  <c r="F164" i="1"/>
  <c r="D165" i="1"/>
  <c r="F165" i="1"/>
  <c r="D166" i="1"/>
  <c r="F166" i="1"/>
  <c r="D167" i="1"/>
  <c r="F167" i="1"/>
  <c r="D168" i="1"/>
  <c r="F168" i="1"/>
  <c r="D169" i="1"/>
  <c r="F169" i="1"/>
  <c r="D170" i="1"/>
  <c r="F170" i="1"/>
  <c r="D171" i="1"/>
  <c r="F171" i="1"/>
  <c r="D172" i="1"/>
  <c r="F172" i="1"/>
  <c r="D173" i="1"/>
  <c r="F173" i="1"/>
  <c r="D174" i="1"/>
  <c r="F174" i="1"/>
  <c r="D175" i="1"/>
  <c r="F175" i="1"/>
  <c r="D176" i="1"/>
  <c r="F176" i="1"/>
  <c r="D177" i="1"/>
  <c r="F177" i="1"/>
  <c r="D178" i="1"/>
  <c r="F178" i="1"/>
  <c r="D179" i="1"/>
  <c r="F179" i="1"/>
  <c r="D180" i="1"/>
  <c r="F180" i="1"/>
  <c r="D181" i="1"/>
  <c r="F181" i="1"/>
  <c r="D182" i="1"/>
  <c r="F182" i="1"/>
  <c r="D183" i="1"/>
  <c r="F183" i="1"/>
  <c r="D184" i="1"/>
  <c r="F184" i="1"/>
  <c r="D185" i="1"/>
  <c r="F185" i="1"/>
  <c r="D186" i="1"/>
  <c r="F186" i="1"/>
  <c r="D187" i="1"/>
  <c r="F187" i="1"/>
  <c r="D188" i="1"/>
  <c r="F188" i="1"/>
  <c r="D189" i="1"/>
  <c r="F189" i="1"/>
  <c r="D190" i="1"/>
  <c r="F190" i="1"/>
  <c r="D191" i="1"/>
  <c r="F191" i="1"/>
  <c r="D192" i="1"/>
  <c r="F192" i="1"/>
  <c r="D193" i="1"/>
  <c r="F193" i="1"/>
  <c r="D194" i="1"/>
  <c r="F194" i="1"/>
  <c r="D195" i="1"/>
  <c r="F195" i="1"/>
  <c r="D196" i="1"/>
  <c r="F196" i="1"/>
  <c r="D197" i="1"/>
  <c r="F197" i="1"/>
  <c r="D198" i="1"/>
  <c r="F198" i="1"/>
  <c r="D199" i="1"/>
  <c r="F199" i="1"/>
  <c r="D200" i="1"/>
  <c r="F200" i="1"/>
  <c r="D201" i="1"/>
  <c r="F201" i="1"/>
  <c r="D202" i="1"/>
  <c r="F202" i="1"/>
  <c r="D203" i="1"/>
  <c r="F203" i="1"/>
  <c r="D204" i="1"/>
  <c r="F204" i="1"/>
  <c r="D205" i="1"/>
  <c r="F205" i="1"/>
  <c r="D206" i="1"/>
  <c r="F206" i="1"/>
  <c r="D207" i="1"/>
  <c r="F207" i="1"/>
  <c r="D208" i="1"/>
  <c r="F208" i="1"/>
  <c r="D209" i="1"/>
  <c r="F209" i="1"/>
  <c r="D210" i="1"/>
  <c r="F210" i="1"/>
  <c r="D211" i="1"/>
  <c r="F211" i="1"/>
  <c r="D212" i="1"/>
  <c r="F212" i="1"/>
  <c r="D213" i="1"/>
  <c r="F213" i="1"/>
  <c r="D214" i="1"/>
  <c r="F214" i="1"/>
  <c r="D215" i="1"/>
  <c r="F215" i="1"/>
  <c r="D216" i="1"/>
  <c r="F216" i="1"/>
  <c r="D217" i="1"/>
  <c r="F217" i="1"/>
  <c r="D218" i="1"/>
  <c r="F218" i="1"/>
  <c r="D219" i="1"/>
  <c r="F219" i="1"/>
  <c r="D220" i="1"/>
  <c r="F220" i="1"/>
  <c r="D221" i="1"/>
  <c r="F221" i="1"/>
  <c r="D222" i="1"/>
  <c r="F222" i="1"/>
  <c r="D223" i="1"/>
  <c r="F223" i="1"/>
  <c r="D224" i="1"/>
  <c r="F224" i="1"/>
  <c r="D225" i="1"/>
  <c r="F225" i="1"/>
  <c r="D226" i="1"/>
  <c r="F226" i="1"/>
  <c r="D227" i="1"/>
  <c r="F227" i="1"/>
  <c r="D228" i="1"/>
  <c r="F228" i="1"/>
  <c r="D229" i="1"/>
  <c r="F229" i="1"/>
  <c r="D230" i="1"/>
  <c r="F230" i="1"/>
  <c r="D231" i="1"/>
  <c r="F231" i="1"/>
  <c r="D232" i="1"/>
  <c r="F232" i="1"/>
  <c r="D233" i="1"/>
  <c r="F233" i="1"/>
  <c r="D234" i="1"/>
  <c r="F234" i="1"/>
  <c r="D235" i="1"/>
  <c r="F235" i="1"/>
  <c r="D236" i="1"/>
  <c r="F236" i="1"/>
  <c r="D237" i="1"/>
  <c r="F237" i="1"/>
  <c r="D238" i="1"/>
  <c r="F238" i="1"/>
  <c r="D239" i="1"/>
  <c r="F239" i="1"/>
  <c r="D240" i="1"/>
  <c r="F240" i="1"/>
  <c r="D241" i="1"/>
  <c r="F241" i="1"/>
  <c r="D242" i="1"/>
  <c r="F242" i="1"/>
  <c r="D243" i="1"/>
  <c r="F243" i="1"/>
  <c r="D244" i="1"/>
  <c r="F244" i="1"/>
  <c r="D245" i="1"/>
  <c r="F245" i="1"/>
  <c r="D246" i="1"/>
  <c r="F246" i="1"/>
  <c r="D247" i="1"/>
  <c r="F247" i="1"/>
  <c r="D248" i="1"/>
  <c r="F248" i="1"/>
  <c r="D249" i="1"/>
  <c r="F249" i="1"/>
  <c r="D250" i="1"/>
  <c r="F250" i="1"/>
  <c r="D251" i="1"/>
  <c r="F251" i="1"/>
  <c r="D252" i="1"/>
  <c r="F252" i="1"/>
  <c r="D253" i="1"/>
  <c r="F253" i="1"/>
  <c r="D254" i="1"/>
  <c r="F254" i="1"/>
  <c r="D255" i="1"/>
  <c r="F255" i="1"/>
  <c r="D256" i="1"/>
  <c r="F256" i="1"/>
  <c r="D257" i="1"/>
  <c r="F257" i="1"/>
  <c r="D258" i="1"/>
  <c r="F258" i="1"/>
  <c r="D259" i="1"/>
  <c r="F259" i="1"/>
  <c r="D260" i="1"/>
  <c r="F260" i="1"/>
  <c r="D261" i="1"/>
  <c r="F261" i="1"/>
  <c r="D262" i="1"/>
  <c r="F262" i="1"/>
  <c r="D263" i="1"/>
  <c r="F263" i="1"/>
  <c r="D264" i="1"/>
  <c r="F264" i="1"/>
  <c r="D265" i="1"/>
  <c r="F265" i="1"/>
  <c r="D266" i="1"/>
  <c r="F266" i="1"/>
  <c r="D267" i="1"/>
  <c r="F267" i="1"/>
  <c r="D268" i="1"/>
  <c r="F268" i="1"/>
  <c r="D269" i="1"/>
  <c r="F269" i="1"/>
  <c r="D270" i="1"/>
  <c r="F270" i="1"/>
  <c r="D271" i="1"/>
  <c r="F271" i="1"/>
  <c r="D272" i="1"/>
  <c r="F272" i="1"/>
  <c r="D273" i="1"/>
  <c r="F273" i="1"/>
  <c r="D274" i="1"/>
  <c r="F274" i="1"/>
  <c r="D275" i="1"/>
  <c r="F275" i="1"/>
  <c r="D276" i="1"/>
  <c r="F276" i="1"/>
  <c r="D277" i="1"/>
  <c r="F277" i="1"/>
  <c r="D278" i="1"/>
  <c r="F278" i="1"/>
  <c r="D279" i="1"/>
  <c r="F279" i="1"/>
  <c r="D280" i="1"/>
  <c r="F280" i="1"/>
  <c r="D281" i="1"/>
  <c r="F281" i="1"/>
  <c r="D282" i="1"/>
  <c r="F282" i="1"/>
  <c r="D283" i="1"/>
  <c r="F283" i="1"/>
  <c r="D284" i="1"/>
  <c r="F284" i="1"/>
  <c r="D285" i="1"/>
  <c r="F285" i="1"/>
  <c r="D286" i="1"/>
  <c r="F286" i="1"/>
  <c r="D287" i="1"/>
  <c r="F287" i="1"/>
  <c r="D288" i="1"/>
  <c r="F288" i="1"/>
  <c r="D289" i="1"/>
  <c r="F289" i="1"/>
  <c r="D290" i="1"/>
  <c r="F290" i="1"/>
  <c r="D291" i="1"/>
  <c r="F291" i="1"/>
  <c r="D292" i="1"/>
  <c r="F292" i="1"/>
  <c r="D293" i="1"/>
  <c r="F293" i="1"/>
  <c r="D294" i="1"/>
  <c r="F294" i="1"/>
  <c r="D295" i="1"/>
  <c r="F295" i="1"/>
  <c r="D296" i="1"/>
  <c r="F296" i="1"/>
  <c r="D297" i="1"/>
  <c r="F297" i="1"/>
  <c r="D298" i="1"/>
  <c r="F298" i="1"/>
  <c r="D299" i="1"/>
  <c r="F299" i="1"/>
  <c r="D300" i="1"/>
  <c r="F300" i="1"/>
  <c r="D301" i="1"/>
  <c r="F301" i="1"/>
  <c r="D302" i="1"/>
  <c r="F302" i="1"/>
  <c r="D303" i="1"/>
  <c r="F303" i="1"/>
  <c r="D304" i="1"/>
  <c r="F304" i="1"/>
  <c r="D305" i="1"/>
  <c r="F305" i="1"/>
  <c r="D306" i="1"/>
  <c r="F306" i="1"/>
  <c r="D307" i="1"/>
  <c r="F307" i="1"/>
  <c r="D308" i="1"/>
  <c r="F308" i="1"/>
  <c r="D309" i="1"/>
  <c r="F309" i="1"/>
  <c r="D310" i="1"/>
  <c r="F310" i="1"/>
  <c r="D311" i="1"/>
  <c r="F311" i="1"/>
  <c r="D312" i="1"/>
  <c r="F312" i="1"/>
  <c r="D313" i="1"/>
  <c r="F313" i="1"/>
  <c r="D314" i="1"/>
  <c r="F314" i="1"/>
  <c r="D315" i="1"/>
  <c r="F315" i="1"/>
  <c r="D316" i="1"/>
  <c r="F316" i="1"/>
  <c r="D317" i="1"/>
  <c r="F317" i="1"/>
  <c r="D318" i="1"/>
  <c r="F318" i="1"/>
  <c r="D319" i="1"/>
  <c r="F319" i="1"/>
  <c r="D320" i="1"/>
  <c r="F320" i="1"/>
  <c r="D321" i="1"/>
  <c r="F321" i="1"/>
  <c r="D322" i="1"/>
  <c r="F322" i="1"/>
  <c r="D323" i="1"/>
  <c r="F323" i="1"/>
  <c r="D324" i="1"/>
  <c r="F324" i="1"/>
  <c r="D325" i="1"/>
  <c r="F325" i="1"/>
  <c r="D326" i="1"/>
  <c r="F326" i="1"/>
  <c r="D327" i="1"/>
  <c r="F327" i="1"/>
  <c r="D328" i="1"/>
  <c r="F328" i="1"/>
  <c r="D329" i="1"/>
  <c r="F329" i="1"/>
  <c r="D330" i="1"/>
  <c r="F330" i="1"/>
  <c r="D331" i="1"/>
  <c r="F331" i="1"/>
  <c r="D332" i="1"/>
  <c r="F332" i="1"/>
  <c r="D333" i="1"/>
  <c r="F333" i="1"/>
  <c r="D334" i="1"/>
  <c r="F334" i="1"/>
  <c r="D335" i="1"/>
  <c r="F335" i="1"/>
  <c r="D336" i="1"/>
  <c r="F336" i="1"/>
  <c r="D337" i="1"/>
  <c r="F337" i="1"/>
  <c r="D338" i="1"/>
  <c r="F338" i="1"/>
  <c r="D339" i="1"/>
  <c r="F339" i="1"/>
  <c r="D340" i="1"/>
  <c r="F340" i="1"/>
  <c r="D341" i="1"/>
  <c r="F341" i="1"/>
  <c r="D342" i="1"/>
  <c r="F342" i="1"/>
  <c r="D343" i="1"/>
  <c r="F343" i="1"/>
  <c r="D344" i="1"/>
  <c r="F344" i="1"/>
  <c r="D345" i="1"/>
  <c r="F345" i="1"/>
  <c r="D346" i="1"/>
  <c r="F346" i="1"/>
  <c r="D347" i="1"/>
  <c r="F347" i="1"/>
  <c r="D348" i="1"/>
  <c r="F348" i="1"/>
  <c r="D349" i="1"/>
  <c r="F349" i="1"/>
  <c r="D350" i="1"/>
  <c r="F350" i="1"/>
  <c r="D351" i="1"/>
  <c r="F351" i="1"/>
  <c r="D352" i="1"/>
  <c r="F352" i="1"/>
  <c r="D353" i="1"/>
  <c r="F353" i="1"/>
  <c r="D354" i="1"/>
  <c r="F354" i="1"/>
  <c r="D355" i="1"/>
  <c r="F355" i="1"/>
  <c r="D356" i="1"/>
  <c r="F356" i="1"/>
  <c r="D357" i="1"/>
  <c r="F357" i="1"/>
  <c r="D358" i="1"/>
  <c r="F358" i="1"/>
  <c r="D359" i="1"/>
  <c r="F359" i="1"/>
  <c r="D360" i="1"/>
  <c r="F360" i="1"/>
  <c r="D361" i="1"/>
  <c r="F361" i="1"/>
  <c r="D362" i="1"/>
  <c r="F362" i="1"/>
  <c r="D363" i="1"/>
  <c r="F363" i="1"/>
  <c r="D364" i="1"/>
  <c r="F364" i="1"/>
  <c r="D365" i="1"/>
  <c r="F365" i="1"/>
  <c r="D366" i="1"/>
  <c r="F366" i="1"/>
  <c r="D367" i="1"/>
  <c r="F367" i="1"/>
  <c r="D368" i="1"/>
  <c r="F368" i="1"/>
  <c r="D369" i="1"/>
  <c r="F369" i="1"/>
  <c r="D370" i="1"/>
  <c r="F370" i="1"/>
  <c r="D371" i="1"/>
  <c r="F371" i="1"/>
  <c r="D372" i="1"/>
  <c r="F372" i="1"/>
  <c r="D373" i="1"/>
  <c r="F373" i="1"/>
  <c r="D374" i="1"/>
  <c r="F374" i="1"/>
  <c r="D375" i="1"/>
  <c r="F375" i="1"/>
  <c r="D376" i="1"/>
  <c r="F376" i="1"/>
  <c r="D377" i="1"/>
  <c r="F377" i="1"/>
  <c r="D378" i="1"/>
  <c r="F378" i="1"/>
  <c r="D379" i="1"/>
  <c r="F379" i="1"/>
  <c r="D380" i="1"/>
  <c r="F380" i="1"/>
  <c r="D381" i="1"/>
  <c r="F381" i="1"/>
  <c r="D382" i="1"/>
  <c r="F382" i="1"/>
  <c r="D383" i="1"/>
  <c r="F383" i="1"/>
  <c r="D384" i="1"/>
  <c r="F384" i="1"/>
  <c r="D385" i="1"/>
  <c r="F385" i="1"/>
  <c r="D386" i="1"/>
  <c r="F386" i="1"/>
  <c r="D387" i="1"/>
  <c r="F387" i="1"/>
  <c r="D388" i="1"/>
  <c r="F388" i="1"/>
  <c r="D389" i="1"/>
  <c r="F389" i="1"/>
  <c r="D390" i="1"/>
  <c r="F390" i="1"/>
  <c r="D391" i="1"/>
  <c r="F391" i="1"/>
  <c r="D392" i="1"/>
  <c r="F392" i="1"/>
  <c r="D393" i="1"/>
  <c r="F393" i="1"/>
  <c r="D394" i="1"/>
  <c r="F394" i="1"/>
  <c r="D395" i="1"/>
  <c r="F395" i="1"/>
  <c r="D396" i="1"/>
  <c r="F396" i="1"/>
  <c r="D397" i="1"/>
  <c r="F397" i="1"/>
  <c r="D398" i="1"/>
  <c r="F398" i="1"/>
  <c r="D399" i="1"/>
  <c r="F399" i="1"/>
  <c r="D400" i="1"/>
  <c r="F400" i="1"/>
  <c r="D401" i="1"/>
  <c r="F401" i="1"/>
  <c r="D402" i="1"/>
  <c r="F402" i="1"/>
  <c r="D403" i="1"/>
  <c r="F403" i="1"/>
  <c r="D404" i="1"/>
  <c r="F404" i="1"/>
  <c r="D405" i="1"/>
  <c r="F405" i="1"/>
  <c r="D406" i="1"/>
  <c r="F406" i="1"/>
  <c r="D407" i="1"/>
  <c r="F407" i="1"/>
  <c r="D408" i="1"/>
  <c r="F408" i="1"/>
  <c r="D409" i="1"/>
  <c r="F409" i="1"/>
  <c r="D410" i="1"/>
  <c r="F410" i="1"/>
  <c r="D411" i="1"/>
  <c r="F411" i="1"/>
  <c r="D412" i="1"/>
  <c r="F412" i="1"/>
  <c r="D413" i="1"/>
  <c r="F413" i="1"/>
  <c r="D414" i="1"/>
  <c r="F414" i="1"/>
  <c r="D415" i="1"/>
  <c r="F415" i="1"/>
  <c r="D416" i="1"/>
  <c r="F416" i="1"/>
  <c r="D417" i="1"/>
  <c r="F417" i="1"/>
  <c r="D418" i="1"/>
  <c r="F418" i="1"/>
  <c r="D419" i="1"/>
  <c r="F419" i="1"/>
  <c r="D420" i="1"/>
  <c r="F420" i="1"/>
  <c r="D421" i="1"/>
  <c r="F421" i="1"/>
  <c r="D422" i="1"/>
  <c r="F422" i="1"/>
  <c r="D423" i="1"/>
  <c r="F423" i="1"/>
  <c r="D424" i="1"/>
  <c r="F424" i="1"/>
  <c r="D425" i="1"/>
  <c r="F425" i="1"/>
  <c r="D426" i="1"/>
  <c r="F426" i="1"/>
  <c r="D427" i="1"/>
  <c r="F427" i="1"/>
  <c r="D428" i="1"/>
  <c r="F428" i="1"/>
  <c r="D429" i="1"/>
  <c r="F429" i="1"/>
  <c r="D430" i="1"/>
  <c r="F430" i="1"/>
  <c r="D431" i="1"/>
  <c r="F431" i="1"/>
  <c r="D432" i="1"/>
  <c r="F432" i="1"/>
  <c r="D433" i="1"/>
  <c r="F433" i="1"/>
  <c r="D434" i="1"/>
  <c r="F434" i="1"/>
  <c r="D435" i="1"/>
  <c r="F435" i="1"/>
  <c r="D436" i="1"/>
  <c r="F436" i="1"/>
  <c r="D437" i="1"/>
  <c r="F437" i="1"/>
  <c r="D438" i="1"/>
  <c r="F438" i="1"/>
  <c r="D439" i="1"/>
  <c r="F439" i="1"/>
  <c r="D440" i="1"/>
  <c r="F440" i="1"/>
  <c r="D441" i="1"/>
  <c r="F441" i="1"/>
  <c r="D442" i="1"/>
  <c r="F442" i="1"/>
  <c r="D443" i="1"/>
  <c r="F443" i="1"/>
  <c r="D444" i="1"/>
  <c r="F444" i="1"/>
  <c r="D445" i="1"/>
  <c r="F445" i="1"/>
  <c r="D446" i="1"/>
  <c r="F446" i="1"/>
  <c r="D447" i="1"/>
  <c r="F447" i="1"/>
  <c r="D448" i="1"/>
  <c r="F448" i="1"/>
  <c r="D449" i="1"/>
  <c r="F449" i="1"/>
  <c r="D450" i="1"/>
  <c r="F450" i="1"/>
  <c r="D451" i="1"/>
  <c r="F451" i="1"/>
  <c r="D452" i="1"/>
  <c r="F452" i="1"/>
  <c r="D453" i="1"/>
  <c r="F453" i="1"/>
  <c r="D454" i="1"/>
  <c r="F454" i="1"/>
  <c r="D455" i="1"/>
  <c r="F455" i="1"/>
  <c r="D456" i="1"/>
  <c r="F456" i="1"/>
  <c r="D457" i="1"/>
  <c r="F457" i="1"/>
  <c r="D458" i="1"/>
  <c r="F458" i="1"/>
  <c r="D459" i="1"/>
  <c r="F459" i="1"/>
  <c r="D460" i="1"/>
  <c r="F460" i="1"/>
  <c r="D461" i="1"/>
  <c r="F461" i="1"/>
  <c r="D462" i="1"/>
  <c r="F462" i="1"/>
  <c r="D463" i="1"/>
  <c r="F463" i="1"/>
  <c r="D464" i="1"/>
  <c r="F464" i="1"/>
  <c r="D465" i="1"/>
  <c r="F465" i="1"/>
  <c r="D466" i="1"/>
  <c r="F466" i="1"/>
  <c r="D467" i="1"/>
  <c r="F467" i="1"/>
  <c r="D468" i="1"/>
  <c r="F468" i="1"/>
  <c r="D469" i="1"/>
  <c r="F469" i="1"/>
  <c r="D470" i="1"/>
  <c r="F470" i="1"/>
  <c r="D471" i="1"/>
  <c r="F471" i="1"/>
  <c r="D472" i="1"/>
  <c r="F472" i="1"/>
  <c r="D473" i="1"/>
  <c r="F473" i="1"/>
  <c r="D474" i="1"/>
  <c r="F474" i="1"/>
  <c r="D475" i="1"/>
  <c r="F475" i="1"/>
  <c r="D476" i="1"/>
  <c r="F476" i="1"/>
  <c r="D477" i="1"/>
  <c r="F477" i="1"/>
  <c r="D478" i="1"/>
  <c r="F478" i="1"/>
  <c r="D479" i="1"/>
  <c r="F479" i="1"/>
  <c r="D480" i="1"/>
  <c r="F480" i="1"/>
  <c r="D481" i="1"/>
  <c r="F481" i="1"/>
  <c r="D482" i="1"/>
  <c r="F482" i="1"/>
  <c r="D483" i="1"/>
  <c r="F483" i="1"/>
  <c r="D484" i="1"/>
  <c r="F484" i="1"/>
  <c r="D485" i="1"/>
  <c r="F485" i="1"/>
  <c r="D486" i="1"/>
  <c r="F486" i="1"/>
  <c r="D487" i="1"/>
  <c r="F487" i="1"/>
  <c r="D488" i="1"/>
  <c r="F488" i="1"/>
  <c r="D489" i="1"/>
  <c r="F489" i="1"/>
  <c r="D490" i="1"/>
  <c r="F490" i="1"/>
  <c r="D491" i="1"/>
  <c r="F491" i="1"/>
  <c r="D492" i="1"/>
  <c r="F492" i="1"/>
  <c r="D493" i="1"/>
  <c r="F493" i="1"/>
  <c r="D494" i="1"/>
  <c r="F494" i="1"/>
  <c r="D495" i="1"/>
  <c r="F495" i="1"/>
  <c r="D496" i="1"/>
  <c r="F496" i="1"/>
  <c r="D497" i="1"/>
  <c r="F497" i="1"/>
  <c r="D498" i="1"/>
  <c r="F498" i="1"/>
  <c r="D499" i="1"/>
  <c r="F499" i="1"/>
  <c r="D500" i="1"/>
  <c r="F500" i="1"/>
  <c r="D501" i="1"/>
  <c r="F501" i="1"/>
  <c r="D502" i="1"/>
  <c r="F502" i="1"/>
  <c r="D503" i="1"/>
  <c r="F503" i="1"/>
  <c r="D504" i="1"/>
  <c r="F504" i="1"/>
  <c r="D505" i="1"/>
  <c r="F505" i="1"/>
  <c r="D506" i="1"/>
  <c r="F506" i="1"/>
  <c r="D507" i="1"/>
  <c r="F507" i="1"/>
  <c r="D508" i="1"/>
  <c r="F508" i="1"/>
  <c r="D509" i="1"/>
  <c r="F509" i="1"/>
  <c r="D510" i="1"/>
  <c r="F510" i="1"/>
  <c r="D511" i="1"/>
  <c r="F511" i="1"/>
  <c r="D512" i="1"/>
  <c r="F512" i="1"/>
  <c r="D513" i="1"/>
  <c r="F513" i="1"/>
  <c r="D514" i="1"/>
  <c r="F514" i="1"/>
  <c r="D515" i="1"/>
  <c r="F515" i="1"/>
  <c r="D516" i="1"/>
  <c r="F516" i="1"/>
  <c r="D517" i="1"/>
  <c r="F517" i="1"/>
  <c r="D518" i="1"/>
  <c r="F518" i="1"/>
  <c r="D519" i="1"/>
  <c r="F519" i="1"/>
  <c r="D520" i="1"/>
  <c r="F520" i="1"/>
  <c r="D521" i="1"/>
  <c r="F521" i="1"/>
  <c r="D522" i="1"/>
  <c r="F522" i="1"/>
  <c r="D523" i="1"/>
  <c r="F523" i="1"/>
  <c r="D524" i="1"/>
  <c r="F524" i="1"/>
  <c r="D525" i="1"/>
  <c r="F525" i="1"/>
  <c r="D526" i="1"/>
  <c r="F526" i="1"/>
  <c r="D527" i="1"/>
  <c r="F527" i="1"/>
  <c r="D528" i="1"/>
  <c r="F528" i="1"/>
  <c r="D529" i="1"/>
  <c r="F529" i="1"/>
  <c r="D530" i="1"/>
  <c r="F530" i="1"/>
  <c r="D531" i="1"/>
  <c r="F531" i="1"/>
  <c r="D532" i="1"/>
  <c r="F532" i="1"/>
  <c r="D533" i="1"/>
  <c r="F533" i="1"/>
  <c r="D534" i="1"/>
  <c r="F534" i="1"/>
  <c r="D535" i="1"/>
  <c r="F535" i="1"/>
  <c r="D536" i="1"/>
  <c r="F536" i="1"/>
  <c r="D537" i="1"/>
  <c r="F537" i="1"/>
  <c r="D538" i="1"/>
  <c r="F538" i="1"/>
  <c r="D539" i="1"/>
  <c r="F539" i="1"/>
  <c r="D540" i="1"/>
  <c r="F540" i="1"/>
  <c r="D541" i="1"/>
  <c r="F541" i="1"/>
  <c r="D542" i="1"/>
  <c r="F542" i="1"/>
  <c r="D543" i="1"/>
  <c r="F543" i="1"/>
  <c r="D544" i="1"/>
  <c r="F544" i="1"/>
  <c r="D545" i="1"/>
  <c r="F545" i="1"/>
  <c r="D546" i="1"/>
  <c r="F546" i="1"/>
  <c r="D547" i="1"/>
  <c r="F547" i="1"/>
  <c r="D548" i="1"/>
  <c r="F548" i="1"/>
  <c r="D549" i="1"/>
  <c r="F549" i="1"/>
  <c r="D550" i="1"/>
  <c r="F550" i="1"/>
  <c r="D551" i="1"/>
  <c r="F551" i="1"/>
  <c r="D552" i="1"/>
  <c r="F552" i="1"/>
  <c r="D553" i="1"/>
  <c r="F553" i="1"/>
  <c r="D554" i="1"/>
  <c r="F554" i="1"/>
  <c r="D555" i="1"/>
  <c r="F555" i="1"/>
  <c r="D556" i="1"/>
  <c r="F556" i="1"/>
  <c r="D557" i="1"/>
  <c r="F557" i="1"/>
  <c r="D558" i="1"/>
  <c r="F558" i="1"/>
  <c r="D559" i="1"/>
  <c r="F559" i="1"/>
  <c r="D560" i="1"/>
  <c r="F560" i="1"/>
  <c r="D561" i="1"/>
  <c r="F561" i="1"/>
  <c r="D562" i="1"/>
  <c r="F562" i="1"/>
  <c r="D563" i="1"/>
  <c r="F563" i="1"/>
  <c r="D564" i="1"/>
  <c r="F564" i="1"/>
  <c r="D565" i="1"/>
  <c r="F565" i="1"/>
  <c r="D566" i="1"/>
  <c r="F566" i="1"/>
  <c r="D567" i="1"/>
  <c r="F567" i="1"/>
  <c r="D568" i="1"/>
  <c r="F568" i="1"/>
  <c r="D569" i="1"/>
  <c r="F569" i="1"/>
  <c r="D570" i="1"/>
  <c r="F570" i="1"/>
  <c r="D571" i="1"/>
  <c r="F571" i="1"/>
  <c r="D572" i="1"/>
  <c r="F572" i="1"/>
  <c r="D573" i="1"/>
  <c r="F573" i="1"/>
  <c r="D574" i="1"/>
  <c r="F574" i="1"/>
  <c r="D575" i="1"/>
  <c r="F575" i="1"/>
  <c r="D576" i="1"/>
  <c r="F576" i="1"/>
  <c r="D577" i="1"/>
  <c r="F577" i="1"/>
  <c r="D578" i="1"/>
  <c r="F578" i="1"/>
  <c r="D579" i="1"/>
  <c r="F579" i="1"/>
  <c r="D580" i="1"/>
  <c r="F580" i="1"/>
  <c r="D581" i="1"/>
  <c r="F581" i="1"/>
  <c r="D582" i="1"/>
  <c r="F582" i="1"/>
  <c r="D583" i="1"/>
  <c r="F583" i="1"/>
  <c r="D584" i="1"/>
  <c r="F584" i="1"/>
  <c r="D585" i="1"/>
  <c r="F585" i="1"/>
  <c r="D586" i="1"/>
  <c r="F586" i="1"/>
  <c r="D587" i="1"/>
  <c r="F587" i="1"/>
  <c r="D588" i="1"/>
  <c r="F588" i="1"/>
  <c r="D589" i="1"/>
  <c r="F589" i="1"/>
  <c r="D590" i="1"/>
  <c r="F590" i="1"/>
  <c r="D591" i="1"/>
  <c r="F591" i="1"/>
  <c r="D592" i="1"/>
  <c r="F592" i="1"/>
  <c r="D593" i="1"/>
  <c r="F593" i="1"/>
  <c r="D594" i="1"/>
  <c r="F594" i="1"/>
  <c r="D595" i="1"/>
  <c r="F595" i="1"/>
  <c r="D596" i="1"/>
  <c r="F596" i="1"/>
  <c r="D597" i="1"/>
  <c r="F597" i="1"/>
  <c r="D598" i="1"/>
  <c r="F598" i="1"/>
  <c r="D599" i="1"/>
  <c r="F599" i="1"/>
  <c r="D600" i="1"/>
  <c r="F600" i="1"/>
  <c r="D601" i="1"/>
  <c r="F601" i="1"/>
  <c r="D602" i="1"/>
  <c r="F602" i="1"/>
  <c r="D603" i="1"/>
  <c r="F603" i="1"/>
  <c r="D604" i="1"/>
  <c r="F604" i="1"/>
  <c r="D605" i="1"/>
  <c r="F605" i="1"/>
  <c r="D606" i="1"/>
  <c r="F606" i="1"/>
  <c r="D607" i="1"/>
  <c r="F607" i="1"/>
  <c r="D608" i="1"/>
  <c r="F608" i="1"/>
  <c r="D609" i="1"/>
  <c r="F609" i="1"/>
  <c r="D610" i="1"/>
  <c r="F610" i="1"/>
  <c r="D611" i="1"/>
  <c r="F611" i="1"/>
  <c r="D612" i="1"/>
  <c r="F612" i="1"/>
  <c r="D613" i="1"/>
  <c r="F613" i="1"/>
  <c r="D614" i="1"/>
  <c r="F614" i="1"/>
  <c r="D615" i="1"/>
  <c r="F615" i="1"/>
  <c r="D616" i="1"/>
  <c r="F616" i="1"/>
  <c r="D617" i="1"/>
  <c r="F617" i="1"/>
  <c r="D618" i="1"/>
  <c r="F618" i="1"/>
  <c r="D619" i="1"/>
  <c r="F619" i="1"/>
  <c r="D620" i="1"/>
  <c r="F620" i="1"/>
  <c r="D621" i="1"/>
  <c r="F621" i="1"/>
  <c r="D622" i="1"/>
  <c r="F622" i="1"/>
  <c r="D623" i="1"/>
  <c r="F623" i="1"/>
  <c r="D624" i="1"/>
  <c r="F624" i="1"/>
  <c r="D625" i="1"/>
  <c r="F625" i="1"/>
  <c r="D626" i="1"/>
  <c r="F626" i="1"/>
  <c r="D627" i="1"/>
  <c r="F627" i="1"/>
  <c r="D628" i="1"/>
  <c r="F628" i="1"/>
  <c r="D629" i="1"/>
  <c r="F629" i="1"/>
  <c r="D630" i="1"/>
  <c r="F630" i="1"/>
  <c r="D631" i="1"/>
  <c r="F631" i="1"/>
  <c r="D632" i="1"/>
  <c r="F632" i="1"/>
  <c r="D633" i="1"/>
  <c r="F633" i="1"/>
  <c r="D634" i="1"/>
  <c r="F634" i="1"/>
  <c r="D635" i="1"/>
  <c r="F635" i="1"/>
  <c r="D636" i="1"/>
  <c r="F636" i="1"/>
  <c r="D637" i="1"/>
  <c r="F637" i="1"/>
  <c r="D638" i="1"/>
  <c r="F638" i="1"/>
  <c r="D639" i="1"/>
  <c r="F639" i="1"/>
  <c r="D640" i="1"/>
  <c r="F640" i="1"/>
  <c r="D641" i="1"/>
  <c r="F641" i="1"/>
  <c r="D642" i="1"/>
  <c r="F642" i="1"/>
  <c r="D643" i="1"/>
  <c r="F643" i="1"/>
  <c r="D644" i="1"/>
  <c r="F644" i="1"/>
  <c r="D645" i="1"/>
  <c r="F645" i="1"/>
  <c r="D646" i="1"/>
  <c r="F646" i="1"/>
  <c r="D647" i="1"/>
  <c r="F647" i="1"/>
  <c r="D648" i="1"/>
  <c r="F648" i="1"/>
  <c r="D649" i="1"/>
  <c r="F649" i="1"/>
  <c r="D650" i="1"/>
  <c r="F650" i="1"/>
  <c r="D651" i="1"/>
  <c r="F651" i="1"/>
  <c r="D652" i="1"/>
  <c r="F652" i="1"/>
  <c r="D653" i="1"/>
  <c r="F653" i="1"/>
  <c r="D654" i="1"/>
  <c r="F654" i="1"/>
  <c r="D655" i="1"/>
  <c r="F655" i="1"/>
  <c r="D656" i="1"/>
  <c r="F656" i="1"/>
  <c r="D657" i="1"/>
  <c r="F657" i="1"/>
  <c r="D658" i="1"/>
  <c r="F658" i="1"/>
  <c r="D659" i="1"/>
  <c r="F659" i="1"/>
  <c r="D660" i="1"/>
  <c r="F660" i="1"/>
  <c r="D661" i="1"/>
  <c r="F661" i="1"/>
  <c r="D662" i="1"/>
  <c r="F662" i="1"/>
  <c r="D663" i="1"/>
  <c r="F663" i="1"/>
  <c r="D664" i="1"/>
  <c r="F664" i="1"/>
  <c r="D665" i="1"/>
  <c r="F665" i="1"/>
  <c r="D666" i="1"/>
  <c r="F666" i="1"/>
  <c r="D667" i="1"/>
  <c r="F667" i="1"/>
  <c r="D668" i="1"/>
  <c r="F668" i="1"/>
  <c r="D669" i="1"/>
  <c r="F669" i="1"/>
  <c r="D670" i="1"/>
  <c r="F670" i="1"/>
  <c r="D671" i="1"/>
  <c r="F671" i="1"/>
  <c r="D672" i="1"/>
  <c r="F672" i="1"/>
  <c r="D673" i="1"/>
  <c r="F673" i="1"/>
  <c r="D674" i="1"/>
  <c r="F674" i="1"/>
  <c r="D675" i="1"/>
  <c r="F675" i="1"/>
  <c r="D676" i="1"/>
  <c r="F676" i="1"/>
  <c r="D677" i="1"/>
  <c r="F677" i="1"/>
  <c r="D678" i="1"/>
  <c r="F678" i="1"/>
  <c r="D679" i="1"/>
  <c r="F679" i="1"/>
  <c r="D680" i="1"/>
  <c r="F680" i="1"/>
  <c r="D681" i="1"/>
  <c r="F681" i="1"/>
  <c r="D682" i="1"/>
  <c r="F682" i="1"/>
  <c r="D683" i="1"/>
  <c r="F683" i="1"/>
  <c r="D684" i="1"/>
  <c r="F684" i="1"/>
  <c r="D685" i="1"/>
  <c r="F685" i="1"/>
  <c r="D686" i="1"/>
  <c r="F686" i="1"/>
  <c r="D687" i="1"/>
  <c r="F687" i="1"/>
  <c r="D688" i="1"/>
  <c r="F688" i="1"/>
  <c r="D689" i="1"/>
  <c r="F689" i="1"/>
  <c r="D690" i="1"/>
  <c r="F690" i="1"/>
  <c r="D691" i="1"/>
  <c r="F691" i="1"/>
  <c r="D692" i="1"/>
  <c r="F692" i="1"/>
  <c r="D693" i="1"/>
  <c r="F693" i="1"/>
  <c r="D694" i="1"/>
  <c r="F694" i="1"/>
  <c r="D695" i="1"/>
  <c r="F695" i="1"/>
  <c r="D696" i="1"/>
  <c r="F696" i="1"/>
  <c r="D697" i="1"/>
  <c r="F697" i="1"/>
  <c r="D698" i="1"/>
  <c r="F698" i="1"/>
  <c r="D699" i="1"/>
  <c r="F699" i="1"/>
  <c r="D700" i="1"/>
  <c r="F700" i="1"/>
  <c r="D701" i="1"/>
  <c r="F701" i="1"/>
  <c r="D702" i="1"/>
  <c r="F702" i="1"/>
  <c r="D703" i="1"/>
  <c r="F703" i="1"/>
  <c r="D704" i="1"/>
  <c r="F704" i="1"/>
  <c r="D705" i="1"/>
  <c r="F705" i="1"/>
  <c r="D706" i="1"/>
  <c r="F706" i="1"/>
  <c r="D707" i="1"/>
  <c r="F707" i="1"/>
  <c r="D708" i="1"/>
  <c r="F708" i="1"/>
  <c r="D709" i="1"/>
  <c r="F709" i="1"/>
  <c r="D710" i="1"/>
  <c r="F710" i="1"/>
  <c r="D711" i="1"/>
  <c r="F711" i="1"/>
  <c r="D712" i="1"/>
  <c r="F712" i="1"/>
  <c r="D713" i="1"/>
  <c r="F713" i="1"/>
  <c r="D714" i="1"/>
  <c r="F714" i="1"/>
  <c r="D715" i="1"/>
  <c r="F715" i="1"/>
  <c r="D716" i="1"/>
  <c r="F716" i="1"/>
  <c r="D717" i="1"/>
  <c r="F717" i="1"/>
  <c r="D718" i="1"/>
  <c r="F718" i="1"/>
  <c r="D719" i="1"/>
  <c r="F719" i="1"/>
  <c r="D720" i="1"/>
  <c r="F720" i="1"/>
  <c r="D721" i="1"/>
  <c r="F721" i="1"/>
  <c r="D722" i="1"/>
  <c r="F722" i="1"/>
  <c r="D723" i="1"/>
  <c r="F723" i="1"/>
  <c r="D724" i="1"/>
  <c r="F724" i="1"/>
  <c r="D725" i="1"/>
  <c r="F725" i="1"/>
  <c r="D726" i="1"/>
  <c r="F726" i="1"/>
  <c r="D727" i="1"/>
  <c r="F727" i="1"/>
  <c r="D728" i="1"/>
  <c r="F728" i="1"/>
  <c r="D729" i="1"/>
  <c r="F729" i="1"/>
  <c r="D730" i="1"/>
  <c r="F730" i="1"/>
  <c r="D731" i="1"/>
  <c r="F731" i="1"/>
  <c r="D732" i="1"/>
  <c r="F732" i="1"/>
  <c r="D733" i="1"/>
  <c r="F733" i="1"/>
  <c r="D734" i="1"/>
  <c r="F734" i="1"/>
  <c r="D735" i="1"/>
  <c r="F735" i="1"/>
  <c r="D736" i="1"/>
  <c r="F736" i="1"/>
  <c r="D737" i="1"/>
  <c r="F737" i="1"/>
  <c r="D738" i="1"/>
  <c r="F738" i="1"/>
  <c r="D739" i="1"/>
  <c r="F739" i="1"/>
  <c r="D740" i="1"/>
  <c r="F740" i="1"/>
  <c r="D741" i="1"/>
  <c r="F741" i="1"/>
  <c r="D742" i="1"/>
  <c r="F742" i="1"/>
  <c r="D743" i="1"/>
  <c r="F743" i="1"/>
  <c r="D744" i="1"/>
  <c r="F744" i="1"/>
  <c r="D745" i="1"/>
  <c r="F745" i="1"/>
  <c r="D746" i="1"/>
  <c r="F746" i="1"/>
  <c r="D747" i="1"/>
  <c r="F747" i="1"/>
  <c r="D748" i="1"/>
  <c r="F748" i="1"/>
  <c r="D749" i="1"/>
  <c r="F749" i="1"/>
  <c r="D750" i="1"/>
  <c r="F750" i="1"/>
  <c r="D751" i="1"/>
  <c r="F751" i="1"/>
  <c r="D752" i="1"/>
  <c r="F752" i="1"/>
  <c r="D753" i="1"/>
  <c r="F753" i="1"/>
  <c r="D754" i="1"/>
  <c r="F754" i="1"/>
  <c r="D755" i="1"/>
  <c r="F755" i="1"/>
  <c r="D756" i="1"/>
  <c r="F756" i="1"/>
  <c r="D757" i="1"/>
  <c r="F757" i="1"/>
  <c r="D758" i="1"/>
  <c r="F758" i="1"/>
  <c r="D759" i="1"/>
  <c r="F759" i="1"/>
  <c r="D760" i="1"/>
  <c r="F760" i="1"/>
  <c r="D761" i="1"/>
  <c r="F761" i="1"/>
  <c r="D762" i="1"/>
  <c r="F762" i="1"/>
  <c r="D763" i="1"/>
  <c r="F763" i="1"/>
  <c r="D764" i="1"/>
  <c r="F764" i="1"/>
  <c r="D765" i="1"/>
  <c r="F765" i="1"/>
  <c r="D766" i="1"/>
  <c r="F766" i="1"/>
  <c r="D767" i="1"/>
  <c r="F767" i="1"/>
  <c r="D768" i="1"/>
  <c r="F768" i="1"/>
  <c r="D769" i="1"/>
  <c r="F769" i="1"/>
  <c r="D770" i="1"/>
  <c r="F770" i="1"/>
  <c r="D771" i="1"/>
  <c r="F771" i="1"/>
  <c r="D772" i="1"/>
  <c r="F772" i="1"/>
  <c r="D773" i="1"/>
  <c r="F773" i="1"/>
  <c r="D774" i="1"/>
  <c r="F774" i="1"/>
  <c r="D775" i="1"/>
  <c r="F775" i="1"/>
  <c r="D776" i="1"/>
  <c r="F776" i="1"/>
  <c r="D777" i="1"/>
  <c r="F777" i="1"/>
  <c r="D778" i="1"/>
  <c r="F778" i="1"/>
  <c r="D779" i="1"/>
  <c r="F779" i="1"/>
  <c r="D780" i="1"/>
  <c r="F780" i="1"/>
  <c r="D781" i="1"/>
  <c r="F781" i="1"/>
  <c r="D782" i="1"/>
  <c r="F782" i="1"/>
  <c r="D783" i="1"/>
  <c r="F783" i="1"/>
  <c r="D784" i="1"/>
  <c r="F784" i="1"/>
  <c r="D785" i="1"/>
  <c r="F785" i="1"/>
  <c r="D786" i="1"/>
  <c r="F786" i="1"/>
  <c r="D787" i="1"/>
  <c r="F787" i="1"/>
  <c r="D788" i="1"/>
  <c r="F788" i="1"/>
  <c r="D789" i="1"/>
  <c r="F789" i="1"/>
  <c r="D790" i="1"/>
  <c r="F790" i="1"/>
  <c r="D791" i="1"/>
  <c r="F791" i="1"/>
  <c r="D792" i="1"/>
  <c r="F792" i="1"/>
  <c r="D793" i="1"/>
  <c r="F793" i="1"/>
  <c r="D794" i="1"/>
  <c r="F794" i="1"/>
  <c r="D795" i="1"/>
  <c r="F795" i="1"/>
  <c r="D796" i="1"/>
  <c r="F796" i="1"/>
  <c r="D797" i="1"/>
  <c r="F797" i="1"/>
  <c r="D798" i="1"/>
  <c r="F798" i="1"/>
  <c r="D799" i="1"/>
  <c r="F799" i="1"/>
  <c r="D800" i="1"/>
  <c r="F800" i="1"/>
  <c r="D801" i="1"/>
  <c r="F801" i="1"/>
  <c r="D802" i="1"/>
  <c r="F802" i="1"/>
  <c r="D803" i="1"/>
  <c r="F803" i="1"/>
  <c r="D804" i="1"/>
  <c r="F804" i="1"/>
  <c r="D805" i="1"/>
  <c r="F805" i="1"/>
  <c r="D806" i="1"/>
  <c r="F806" i="1"/>
  <c r="D807" i="1"/>
  <c r="F807" i="1"/>
  <c r="D808" i="1"/>
  <c r="F808" i="1"/>
  <c r="D809" i="1"/>
  <c r="F809" i="1"/>
  <c r="D810" i="1"/>
  <c r="F810" i="1"/>
  <c r="D811" i="1"/>
  <c r="F811" i="1"/>
  <c r="D812" i="1"/>
  <c r="F812" i="1"/>
  <c r="D813" i="1"/>
  <c r="F813" i="1"/>
  <c r="D814" i="1"/>
  <c r="F814" i="1"/>
  <c r="D815" i="1"/>
  <c r="F815" i="1"/>
  <c r="D816" i="1"/>
  <c r="F816" i="1"/>
  <c r="D817" i="1"/>
  <c r="F817" i="1"/>
  <c r="D818" i="1"/>
  <c r="F818" i="1"/>
  <c r="D819" i="1"/>
  <c r="F819" i="1"/>
  <c r="D820" i="1"/>
  <c r="F820" i="1"/>
  <c r="D821" i="1"/>
  <c r="F821" i="1"/>
  <c r="D822" i="1"/>
  <c r="F822" i="1"/>
  <c r="D823" i="1"/>
  <c r="F823" i="1"/>
  <c r="D824" i="1"/>
  <c r="F824" i="1"/>
  <c r="D825" i="1"/>
  <c r="F825" i="1"/>
  <c r="D826" i="1"/>
  <c r="F826" i="1"/>
  <c r="D827" i="1"/>
  <c r="F827" i="1"/>
  <c r="D828" i="1"/>
  <c r="F828" i="1"/>
  <c r="D829" i="1"/>
  <c r="F829" i="1"/>
  <c r="D830" i="1"/>
  <c r="F830" i="1"/>
  <c r="D831" i="1"/>
  <c r="F831" i="1"/>
  <c r="D832" i="1"/>
  <c r="F832" i="1"/>
  <c r="D833" i="1"/>
  <c r="F833" i="1"/>
  <c r="D834" i="1"/>
  <c r="F834" i="1"/>
  <c r="D835" i="1"/>
  <c r="F835" i="1"/>
  <c r="D836" i="1"/>
  <c r="F836" i="1"/>
  <c r="D837" i="1"/>
  <c r="F837" i="1"/>
  <c r="D838" i="1"/>
  <c r="F838" i="1"/>
  <c r="D839" i="1"/>
  <c r="F839" i="1"/>
  <c r="D840" i="1"/>
  <c r="F840" i="1"/>
  <c r="D841" i="1"/>
  <c r="F841" i="1"/>
  <c r="D842" i="1"/>
  <c r="F842" i="1"/>
  <c r="D843" i="1"/>
  <c r="F843" i="1"/>
  <c r="D844" i="1"/>
  <c r="F844" i="1"/>
  <c r="D845" i="1"/>
  <c r="F845" i="1"/>
  <c r="D846" i="1"/>
  <c r="F846" i="1"/>
  <c r="D847" i="1"/>
  <c r="F847" i="1"/>
  <c r="D848" i="1"/>
  <c r="F848" i="1"/>
  <c r="D849" i="1"/>
  <c r="F849" i="1"/>
  <c r="D850" i="1"/>
  <c r="F850" i="1"/>
  <c r="D851" i="1"/>
  <c r="F851" i="1"/>
  <c r="D852" i="1"/>
  <c r="F852" i="1"/>
  <c r="D853" i="1"/>
  <c r="F853" i="1"/>
  <c r="D854" i="1"/>
  <c r="F854" i="1"/>
  <c r="D855" i="1"/>
  <c r="F855" i="1"/>
  <c r="D856" i="1"/>
  <c r="F856" i="1"/>
  <c r="D857" i="1"/>
  <c r="F857" i="1"/>
  <c r="D858" i="1"/>
  <c r="F858" i="1"/>
  <c r="D859" i="1"/>
  <c r="F859" i="1"/>
  <c r="D860" i="1"/>
  <c r="F860" i="1"/>
  <c r="D861" i="1"/>
  <c r="F861" i="1"/>
  <c r="D862" i="1"/>
  <c r="F862" i="1"/>
  <c r="D863" i="1"/>
  <c r="F863" i="1"/>
  <c r="D864" i="1"/>
  <c r="F864" i="1"/>
  <c r="D865" i="1"/>
  <c r="F865" i="1"/>
  <c r="D866" i="1"/>
  <c r="F866" i="1"/>
  <c r="D867" i="1"/>
  <c r="F867" i="1"/>
  <c r="D868" i="1"/>
  <c r="F868" i="1"/>
  <c r="D869" i="1"/>
  <c r="F869" i="1"/>
  <c r="D870" i="1"/>
  <c r="F870" i="1"/>
  <c r="D871" i="1"/>
  <c r="F871" i="1"/>
  <c r="D872" i="1"/>
  <c r="F872" i="1"/>
  <c r="D873" i="1"/>
  <c r="F873" i="1"/>
  <c r="D874" i="1"/>
  <c r="F874" i="1"/>
  <c r="D875" i="1"/>
  <c r="F875" i="1"/>
  <c r="D876" i="1"/>
  <c r="F876" i="1"/>
  <c r="D877" i="1"/>
  <c r="F877" i="1"/>
  <c r="D878" i="1"/>
  <c r="F878" i="1"/>
  <c r="D879" i="1"/>
  <c r="F879" i="1"/>
  <c r="D880" i="1"/>
  <c r="F880" i="1"/>
  <c r="D881" i="1"/>
  <c r="F881" i="1"/>
  <c r="D882" i="1"/>
  <c r="F882" i="1"/>
  <c r="D883" i="1"/>
  <c r="F883" i="1"/>
  <c r="D884" i="1"/>
  <c r="F884" i="1"/>
  <c r="D885" i="1"/>
  <c r="F885" i="1"/>
  <c r="D886" i="1"/>
  <c r="F886" i="1"/>
  <c r="D887" i="1"/>
  <c r="F887" i="1"/>
  <c r="D888" i="1"/>
  <c r="F888" i="1"/>
  <c r="D889" i="1"/>
  <c r="F889" i="1"/>
  <c r="D890" i="1"/>
  <c r="F890" i="1"/>
  <c r="D891" i="1"/>
  <c r="F891" i="1"/>
  <c r="D892" i="1"/>
  <c r="F892" i="1"/>
  <c r="D893" i="1"/>
  <c r="F893" i="1"/>
  <c r="D894" i="1"/>
  <c r="F894" i="1"/>
  <c r="D895" i="1"/>
  <c r="F895" i="1"/>
  <c r="D896" i="1"/>
  <c r="F896" i="1"/>
  <c r="D897" i="1"/>
  <c r="F897" i="1"/>
  <c r="D898" i="1"/>
  <c r="F898" i="1"/>
  <c r="D899" i="1"/>
  <c r="F899" i="1"/>
  <c r="D900" i="1"/>
  <c r="F900" i="1"/>
  <c r="D901" i="1"/>
  <c r="F901" i="1"/>
  <c r="D902" i="1"/>
  <c r="F902" i="1"/>
  <c r="D903" i="1"/>
  <c r="F903" i="1"/>
  <c r="D904" i="1"/>
  <c r="F904" i="1"/>
  <c r="D905" i="1"/>
  <c r="F905" i="1"/>
  <c r="D906" i="1"/>
  <c r="F906" i="1"/>
  <c r="D907" i="1"/>
  <c r="F907" i="1"/>
  <c r="D908" i="1"/>
  <c r="F908" i="1"/>
  <c r="D909" i="1"/>
  <c r="F909" i="1"/>
  <c r="D910" i="1"/>
  <c r="F910" i="1"/>
  <c r="D911" i="1"/>
  <c r="F911" i="1"/>
  <c r="D912" i="1"/>
  <c r="F912" i="1"/>
  <c r="D913" i="1"/>
  <c r="F913" i="1"/>
  <c r="D914" i="1"/>
  <c r="F914" i="1"/>
  <c r="D915" i="1"/>
  <c r="F915" i="1"/>
  <c r="D916" i="1"/>
  <c r="F916" i="1"/>
  <c r="D917" i="1"/>
  <c r="F917" i="1"/>
  <c r="D918" i="1"/>
  <c r="F918" i="1"/>
  <c r="D919" i="1"/>
  <c r="F919" i="1"/>
  <c r="D920" i="1"/>
  <c r="F920" i="1"/>
  <c r="D921" i="1"/>
  <c r="F921" i="1"/>
  <c r="D922" i="1"/>
  <c r="F922" i="1"/>
  <c r="D923" i="1"/>
  <c r="F923" i="1"/>
  <c r="D924" i="1"/>
  <c r="F924" i="1"/>
  <c r="D925" i="1"/>
  <c r="F925" i="1"/>
  <c r="D926" i="1"/>
  <c r="F926" i="1"/>
  <c r="D927" i="1"/>
  <c r="F927" i="1"/>
  <c r="D928" i="1"/>
  <c r="F928" i="1"/>
  <c r="D929" i="1"/>
  <c r="F929" i="1"/>
  <c r="D930" i="1"/>
  <c r="F930" i="1"/>
  <c r="D931" i="1"/>
  <c r="F931" i="1"/>
  <c r="D932" i="1"/>
  <c r="F932" i="1"/>
  <c r="D933" i="1"/>
  <c r="F933" i="1"/>
  <c r="D934" i="1"/>
  <c r="F934" i="1"/>
  <c r="D935" i="1"/>
  <c r="F935" i="1"/>
  <c r="D936" i="1"/>
  <c r="F936" i="1"/>
  <c r="D937" i="1"/>
  <c r="F937" i="1"/>
  <c r="D938" i="1"/>
  <c r="F938" i="1"/>
  <c r="D939" i="1"/>
  <c r="F939" i="1"/>
  <c r="D940" i="1"/>
  <c r="F940" i="1"/>
  <c r="D941" i="1"/>
  <c r="F941" i="1"/>
  <c r="D942" i="1"/>
  <c r="F942" i="1"/>
  <c r="D943" i="1"/>
  <c r="F943" i="1"/>
  <c r="D944" i="1"/>
  <c r="F944" i="1"/>
  <c r="D945" i="1"/>
  <c r="F945" i="1"/>
  <c r="D946" i="1"/>
  <c r="F946" i="1"/>
  <c r="D947" i="1"/>
  <c r="F947" i="1"/>
  <c r="D948" i="1"/>
  <c r="F948" i="1"/>
  <c r="D949" i="1"/>
  <c r="F949" i="1"/>
  <c r="D950" i="1"/>
  <c r="F950" i="1"/>
  <c r="D951" i="1"/>
  <c r="F951" i="1"/>
  <c r="D952" i="1"/>
  <c r="F952" i="1"/>
  <c r="D953" i="1"/>
  <c r="F953" i="1"/>
  <c r="D954" i="1"/>
  <c r="F954" i="1"/>
  <c r="D955" i="1"/>
  <c r="F955" i="1"/>
  <c r="D956" i="1"/>
  <c r="F956" i="1"/>
  <c r="D957" i="1"/>
  <c r="F957" i="1"/>
  <c r="D958" i="1"/>
  <c r="F958" i="1"/>
  <c r="D959" i="1"/>
  <c r="F959" i="1"/>
  <c r="D960" i="1"/>
  <c r="F960" i="1"/>
  <c r="D961" i="1"/>
  <c r="F961" i="1"/>
  <c r="D962" i="1"/>
  <c r="F962" i="1"/>
  <c r="D963" i="1"/>
  <c r="F963" i="1"/>
  <c r="D964" i="1"/>
  <c r="F964" i="1"/>
  <c r="D965" i="1"/>
  <c r="F965" i="1"/>
  <c r="D966" i="1"/>
  <c r="F966" i="1"/>
  <c r="D967" i="1"/>
  <c r="F967" i="1"/>
  <c r="D968" i="1"/>
  <c r="F968" i="1"/>
  <c r="D969" i="1"/>
  <c r="F969" i="1"/>
  <c r="D970" i="1"/>
  <c r="F970" i="1"/>
  <c r="D971" i="1"/>
  <c r="F971" i="1"/>
  <c r="D972" i="1"/>
  <c r="F972" i="1"/>
  <c r="D973" i="1"/>
  <c r="F973" i="1"/>
  <c r="D974" i="1"/>
  <c r="F974" i="1"/>
  <c r="D975" i="1"/>
  <c r="F975" i="1"/>
  <c r="D976" i="1"/>
  <c r="F976" i="1"/>
  <c r="D977" i="1"/>
  <c r="F977" i="1"/>
  <c r="D978" i="1"/>
  <c r="F978" i="1"/>
  <c r="D979" i="1"/>
  <c r="F979" i="1"/>
  <c r="D980" i="1"/>
  <c r="F980" i="1"/>
  <c r="D981" i="1"/>
  <c r="F981" i="1"/>
  <c r="D982" i="1"/>
  <c r="F982" i="1"/>
  <c r="D983" i="1"/>
  <c r="F983" i="1"/>
  <c r="D984" i="1"/>
  <c r="F984" i="1"/>
  <c r="D985" i="1"/>
  <c r="F985" i="1"/>
  <c r="D986" i="1"/>
  <c r="F986" i="1"/>
  <c r="D987" i="1"/>
  <c r="F987" i="1"/>
  <c r="D988" i="1"/>
  <c r="F988" i="1"/>
  <c r="D989" i="1"/>
  <c r="F989" i="1"/>
  <c r="D990" i="1"/>
  <c r="F990" i="1"/>
  <c r="D991" i="1"/>
  <c r="F991" i="1"/>
  <c r="D992" i="1"/>
  <c r="F992" i="1"/>
  <c r="D993" i="1"/>
  <c r="F993" i="1"/>
  <c r="D994" i="1"/>
  <c r="F994" i="1"/>
  <c r="D995" i="1"/>
  <c r="F995" i="1"/>
  <c r="D996" i="1"/>
  <c r="F996" i="1"/>
  <c r="D997" i="1"/>
  <c r="F997" i="1"/>
  <c r="D998" i="1"/>
  <c r="F998" i="1"/>
  <c r="D999" i="1"/>
  <c r="F999" i="1"/>
  <c r="D1000" i="1"/>
  <c r="F1000" i="1"/>
  <c r="D1001" i="1"/>
  <c r="F1001" i="1"/>
  <c r="D1002" i="1"/>
  <c r="F1002" i="1"/>
  <c r="D1003" i="1"/>
  <c r="F1003" i="1"/>
  <c r="D1004" i="1"/>
  <c r="F1004" i="1"/>
  <c r="D1005" i="1"/>
  <c r="F1005" i="1"/>
  <c r="D1006" i="1"/>
  <c r="F1006" i="1"/>
  <c r="D1007" i="1"/>
  <c r="F1007" i="1"/>
  <c r="D1008" i="1"/>
  <c r="F1008" i="1"/>
  <c r="D1009" i="1"/>
  <c r="F1009" i="1"/>
  <c r="D1010" i="1"/>
  <c r="F1010" i="1"/>
  <c r="D1011" i="1"/>
  <c r="F1011" i="1"/>
  <c r="D1012" i="1"/>
  <c r="F1012" i="1"/>
  <c r="D1013" i="1"/>
  <c r="F1013" i="1"/>
  <c r="D1014" i="1"/>
  <c r="F1014" i="1"/>
  <c r="D1015" i="1"/>
  <c r="F1015" i="1"/>
  <c r="D1016" i="1"/>
  <c r="F1016" i="1"/>
  <c r="D1017" i="1"/>
  <c r="F1017" i="1"/>
  <c r="D1018" i="1"/>
  <c r="F1018" i="1"/>
  <c r="D1019" i="1"/>
  <c r="F1019" i="1"/>
  <c r="D1020" i="1"/>
  <c r="F1020" i="1"/>
  <c r="D1021" i="1"/>
  <c r="F1021" i="1"/>
  <c r="D1022" i="1"/>
  <c r="F1022" i="1"/>
  <c r="D1023" i="1"/>
  <c r="F1023" i="1"/>
  <c r="D1024" i="1"/>
  <c r="F1024" i="1"/>
  <c r="D1025" i="1"/>
  <c r="F1025" i="1"/>
  <c r="D1026" i="1"/>
  <c r="F1026" i="1"/>
  <c r="D1027" i="1"/>
  <c r="F1027" i="1"/>
  <c r="D1028" i="1"/>
  <c r="F1028" i="1"/>
  <c r="D1029" i="1"/>
  <c r="F1029" i="1"/>
  <c r="D1030" i="1"/>
  <c r="F1030" i="1"/>
  <c r="D1031" i="1"/>
  <c r="F1031" i="1"/>
  <c r="D1032" i="1"/>
  <c r="F1032" i="1"/>
  <c r="D1033" i="1"/>
  <c r="F1033" i="1"/>
  <c r="D1034" i="1"/>
  <c r="F1034" i="1"/>
  <c r="D1035" i="1"/>
  <c r="F1035" i="1"/>
  <c r="D1036" i="1"/>
  <c r="F1036" i="1"/>
  <c r="D1037" i="1"/>
  <c r="F1037" i="1"/>
  <c r="D1038" i="1"/>
  <c r="F1038" i="1"/>
  <c r="D1039" i="1"/>
  <c r="F1039" i="1"/>
  <c r="D1040" i="1"/>
  <c r="F1040" i="1"/>
  <c r="D1041" i="1"/>
  <c r="F1041" i="1"/>
  <c r="D1042" i="1"/>
  <c r="F1042" i="1"/>
  <c r="D1043" i="1"/>
  <c r="F1043" i="1"/>
  <c r="D1044" i="1"/>
  <c r="F1044" i="1"/>
  <c r="D1045" i="1"/>
  <c r="F1045" i="1"/>
  <c r="D1046" i="1"/>
  <c r="F1046" i="1"/>
  <c r="D1047" i="1"/>
  <c r="F1047" i="1"/>
  <c r="D1048" i="1"/>
  <c r="F1048" i="1"/>
  <c r="D1049" i="1"/>
  <c r="F1049" i="1"/>
  <c r="D1050" i="1"/>
  <c r="F1050" i="1"/>
  <c r="D1051" i="1"/>
  <c r="F1051" i="1"/>
  <c r="D1052" i="1"/>
  <c r="F1052" i="1"/>
  <c r="D1053" i="1"/>
  <c r="F1053" i="1"/>
  <c r="D1054" i="1"/>
  <c r="F1054" i="1"/>
  <c r="D1055" i="1"/>
  <c r="F1055" i="1"/>
  <c r="D1056" i="1"/>
  <c r="F1056" i="1"/>
  <c r="D1057" i="1"/>
  <c r="F1057" i="1"/>
  <c r="D1058" i="1"/>
  <c r="F1058" i="1"/>
  <c r="D1059" i="1"/>
  <c r="F1059" i="1"/>
  <c r="D1060" i="1"/>
  <c r="F1060" i="1"/>
  <c r="D1061" i="1"/>
  <c r="F1061" i="1"/>
  <c r="D1062" i="1"/>
  <c r="F1062" i="1"/>
  <c r="D1063" i="1"/>
  <c r="F1063" i="1"/>
  <c r="D1064" i="1"/>
  <c r="F1064" i="1"/>
  <c r="D1065" i="1"/>
  <c r="F1065" i="1"/>
  <c r="D1066" i="1"/>
  <c r="F1066" i="1"/>
  <c r="D1067" i="1"/>
  <c r="F1067" i="1"/>
  <c r="D1068" i="1"/>
  <c r="F1068" i="1"/>
  <c r="D1069" i="1"/>
  <c r="F1069" i="1"/>
  <c r="D1070" i="1"/>
  <c r="F1070" i="1"/>
  <c r="D1071" i="1"/>
  <c r="F1071" i="1"/>
  <c r="D1072" i="1"/>
  <c r="F1072" i="1"/>
  <c r="D1073" i="1"/>
  <c r="F1073" i="1"/>
  <c r="D1074" i="1"/>
  <c r="F1074" i="1"/>
  <c r="D1075" i="1"/>
  <c r="F1075" i="1"/>
  <c r="D1076" i="1"/>
  <c r="F1076" i="1"/>
  <c r="D1077" i="1"/>
  <c r="F1077" i="1"/>
  <c r="D1078" i="1"/>
  <c r="F1078" i="1"/>
  <c r="D1079" i="1"/>
  <c r="F1079" i="1"/>
  <c r="D1080" i="1"/>
  <c r="F1080" i="1"/>
  <c r="D1081" i="1"/>
  <c r="F1081" i="1"/>
  <c r="D1082" i="1"/>
  <c r="F1082" i="1"/>
  <c r="D1083" i="1"/>
  <c r="F1083" i="1"/>
  <c r="D1084" i="1"/>
  <c r="F1084" i="1"/>
  <c r="D1085" i="1"/>
  <c r="F1085" i="1"/>
  <c r="D1086" i="1"/>
  <c r="F1086" i="1"/>
  <c r="D1087" i="1"/>
  <c r="F1087" i="1"/>
  <c r="D1088" i="1"/>
  <c r="F1088" i="1"/>
  <c r="D1089" i="1"/>
  <c r="F1089" i="1"/>
  <c r="D1090" i="1"/>
  <c r="F1090" i="1"/>
  <c r="D1091" i="1"/>
  <c r="F1091" i="1"/>
  <c r="D1092" i="1"/>
  <c r="F1092" i="1"/>
  <c r="D1093" i="1"/>
  <c r="F1093" i="1"/>
  <c r="D1094" i="1"/>
  <c r="F1094" i="1"/>
  <c r="D1095" i="1"/>
  <c r="F1095" i="1"/>
  <c r="D1096" i="1"/>
  <c r="F1096" i="1"/>
  <c r="D1097" i="1"/>
  <c r="F1097" i="1"/>
  <c r="D1098" i="1"/>
  <c r="F1098" i="1"/>
  <c r="D1099" i="1"/>
  <c r="F1099" i="1"/>
  <c r="D1100" i="1"/>
  <c r="F1100" i="1"/>
  <c r="D1101" i="1"/>
  <c r="F1101" i="1"/>
  <c r="D1102" i="1"/>
  <c r="F1102" i="1"/>
  <c r="D1103" i="1"/>
  <c r="F1103" i="1"/>
  <c r="D1104" i="1"/>
  <c r="F1104" i="1"/>
  <c r="D1105" i="1"/>
  <c r="F1105" i="1"/>
  <c r="D1106" i="1"/>
  <c r="F1106" i="1"/>
  <c r="D1107" i="1"/>
  <c r="F1107" i="1"/>
  <c r="D1108" i="1"/>
  <c r="F1108" i="1"/>
  <c r="D1109" i="1"/>
  <c r="F1109" i="1"/>
  <c r="D1110" i="1"/>
  <c r="F1110" i="1"/>
  <c r="D1111" i="1"/>
  <c r="F1111" i="1"/>
  <c r="D1112" i="1"/>
  <c r="F1112" i="1"/>
  <c r="D1113" i="1"/>
  <c r="F1113" i="1"/>
  <c r="D1114" i="1"/>
  <c r="F1114" i="1"/>
  <c r="D1115" i="1"/>
  <c r="F1115" i="1"/>
  <c r="D1116" i="1"/>
  <c r="F1116" i="1"/>
  <c r="D1117" i="1"/>
  <c r="F1117" i="1"/>
  <c r="D1118" i="1"/>
  <c r="F1118" i="1"/>
  <c r="D1119" i="1"/>
  <c r="F1119" i="1"/>
  <c r="D1120" i="1"/>
  <c r="F1120" i="1"/>
  <c r="D1121" i="1"/>
  <c r="F1121" i="1"/>
  <c r="D1122" i="1"/>
  <c r="F1122" i="1"/>
  <c r="D1123" i="1"/>
  <c r="F1123" i="1"/>
  <c r="D1124" i="1"/>
  <c r="F1124" i="1"/>
  <c r="D1125" i="1"/>
  <c r="F1125" i="1"/>
  <c r="D1126" i="1"/>
  <c r="F1126" i="1"/>
  <c r="D1127" i="1"/>
  <c r="F1127" i="1"/>
  <c r="D1128" i="1"/>
  <c r="F1128" i="1"/>
  <c r="D1129" i="1"/>
  <c r="F1129" i="1"/>
  <c r="D1130" i="1"/>
  <c r="F1130" i="1"/>
  <c r="D1131" i="1"/>
  <c r="F1131" i="1"/>
  <c r="D1132" i="1"/>
  <c r="F1132" i="1"/>
  <c r="D1133" i="1"/>
  <c r="F1133" i="1"/>
  <c r="D1134" i="1"/>
  <c r="F1134" i="1"/>
  <c r="D1135" i="1"/>
  <c r="F1135" i="1"/>
  <c r="D1136" i="1"/>
  <c r="F1136" i="1"/>
  <c r="D1137" i="1"/>
  <c r="F1137" i="1"/>
  <c r="D1138" i="1"/>
  <c r="F1138" i="1"/>
  <c r="D1139" i="1"/>
  <c r="F1139" i="1"/>
  <c r="D1140" i="1"/>
  <c r="F1140" i="1"/>
  <c r="D1141" i="1"/>
  <c r="F1141" i="1"/>
  <c r="D1142" i="1"/>
  <c r="F1142" i="1"/>
  <c r="D1143" i="1"/>
  <c r="F1143" i="1"/>
  <c r="D1144" i="1"/>
  <c r="F1144" i="1"/>
  <c r="D1145" i="1"/>
  <c r="F1145" i="1"/>
  <c r="D1146" i="1"/>
  <c r="F1146" i="1"/>
  <c r="D1147" i="1"/>
  <c r="F1147" i="1"/>
  <c r="D1148" i="1"/>
  <c r="F1148" i="1"/>
  <c r="D1149" i="1"/>
  <c r="F1149" i="1"/>
  <c r="D1150" i="1"/>
  <c r="F1150" i="1"/>
  <c r="D1151" i="1"/>
  <c r="F1151" i="1"/>
  <c r="D1152" i="1"/>
  <c r="F1152" i="1"/>
  <c r="D1153" i="1"/>
  <c r="F1153" i="1"/>
  <c r="D1154" i="1"/>
  <c r="F1154" i="1"/>
  <c r="D1155" i="1"/>
  <c r="F1155" i="1"/>
  <c r="D1156" i="1"/>
  <c r="F1156" i="1"/>
  <c r="D1157" i="1"/>
  <c r="F1157" i="1"/>
  <c r="D1158" i="1"/>
  <c r="F1158" i="1"/>
  <c r="D1159" i="1"/>
  <c r="F1159" i="1"/>
  <c r="D1160" i="1"/>
  <c r="F1160" i="1"/>
  <c r="D1161" i="1"/>
  <c r="F1161" i="1"/>
  <c r="D1162" i="1"/>
  <c r="F1162" i="1"/>
  <c r="D1163" i="1"/>
  <c r="F1163" i="1"/>
  <c r="D1164" i="1"/>
  <c r="F1164" i="1"/>
  <c r="D1165" i="1"/>
  <c r="F1165" i="1"/>
  <c r="D1166" i="1"/>
  <c r="F1166" i="1"/>
  <c r="D1167" i="1"/>
  <c r="F1167" i="1"/>
  <c r="D1168" i="1"/>
  <c r="F1168" i="1"/>
  <c r="D1169" i="1"/>
  <c r="F1169" i="1"/>
  <c r="D1170" i="1"/>
  <c r="F1170" i="1"/>
  <c r="D1171" i="1"/>
  <c r="F1171" i="1"/>
  <c r="D1172" i="1"/>
  <c r="F1172" i="1"/>
  <c r="D1173" i="1"/>
  <c r="F1173" i="1"/>
  <c r="D1174" i="1"/>
  <c r="F1174" i="1"/>
  <c r="D1175" i="1"/>
  <c r="F1175" i="1"/>
  <c r="D1176" i="1"/>
  <c r="F1176" i="1"/>
  <c r="D1177" i="1"/>
  <c r="F1177" i="1"/>
  <c r="D1178" i="1"/>
  <c r="F1178" i="1"/>
  <c r="D1179" i="1"/>
  <c r="F1179" i="1"/>
  <c r="D1180" i="1"/>
  <c r="F1180" i="1"/>
  <c r="D1181" i="1"/>
  <c r="F1181" i="1"/>
  <c r="D1182" i="1"/>
  <c r="F1182" i="1"/>
  <c r="D1183" i="1"/>
  <c r="F1183" i="1"/>
  <c r="D1184" i="1"/>
  <c r="F1184" i="1"/>
  <c r="D1185" i="1"/>
  <c r="F1185" i="1"/>
  <c r="D1186" i="1"/>
  <c r="F1186" i="1"/>
  <c r="D1187" i="1"/>
  <c r="F1187" i="1"/>
  <c r="D1188" i="1"/>
  <c r="F1188" i="1"/>
  <c r="D1189" i="1"/>
  <c r="F1189" i="1"/>
  <c r="D1190" i="1"/>
  <c r="F1190" i="1"/>
  <c r="D1191" i="1"/>
  <c r="F1191" i="1"/>
  <c r="D1192" i="1"/>
  <c r="F1192" i="1"/>
  <c r="D1193" i="1"/>
  <c r="F1193" i="1"/>
  <c r="D1194" i="1"/>
  <c r="F1194" i="1"/>
  <c r="D1195" i="1"/>
  <c r="F1195" i="1"/>
  <c r="D1196" i="1"/>
  <c r="F1196" i="1"/>
  <c r="D1197" i="1"/>
  <c r="F1197" i="1"/>
  <c r="D1198" i="1"/>
  <c r="F1198" i="1"/>
  <c r="D1199" i="1"/>
  <c r="F1199" i="1"/>
  <c r="D1200" i="1"/>
  <c r="F1200" i="1"/>
  <c r="D1201" i="1"/>
  <c r="F1201" i="1"/>
  <c r="D1202" i="1"/>
  <c r="F1202" i="1"/>
  <c r="D1203" i="1"/>
  <c r="F1203" i="1"/>
  <c r="D1204" i="1"/>
  <c r="F1204" i="1"/>
  <c r="D1205" i="1"/>
  <c r="F1205" i="1"/>
  <c r="D1206" i="1"/>
  <c r="F1206" i="1"/>
  <c r="D1207" i="1"/>
  <c r="F1207" i="1"/>
  <c r="D1208" i="1"/>
  <c r="F1208" i="1"/>
  <c r="D1209" i="1"/>
  <c r="F1209" i="1"/>
  <c r="D1210" i="1"/>
  <c r="F1210" i="1"/>
  <c r="D1211" i="1"/>
  <c r="F1211" i="1"/>
  <c r="D1212" i="1"/>
  <c r="F1212" i="1"/>
  <c r="D1213" i="1"/>
  <c r="F1213" i="1"/>
  <c r="D1214" i="1"/>
  <c r="F1214" i="1"/>
  <c r="D1215" i="1"/>
  <c r="F1215" i="1"/>
  <c r="D1216" i="1"/>
  <c r="F1216" i="1"/>
  <c r="D1217" i="1"/>
  <c r="F1217" i="1"/>
  <c r="D1218" i="1"/>
  <c r="F1218" i="1"/>
  <c r="D1219" i="1"/>
  <c r="F1219" i="1"/>
  <c r="D1220" i="1"/>
  <c r="F1220" i="1"/>
  <c r="D1221" i="1"/>
  <c r="F1221" i="1"/>
  <c r="D1222" i="1"/>
  <c r="F1222" i="1"/>
  <c r="D1223" i="1"/>
  <c r="F1223" i="1"/>
  <c r="D1224" i="1"/>
  <c r="F1224" i="1"/>
  <c r="D1225" i="1"/>
  <c r="F1225" i="1"/>
  <c r="D1226" i="1"/>
  <c r="F1226" i="1"/>
  <c r="D1227" i="1"/>
  <c r="F1227" i="1"/>
  <c r="D1228" i="1"/>
  <c r="F1228" i="1"/>
  <c r="D1229" i="1"/>
  <c r="F1229" i="1"/>
  <c r="D1230" i="1"/>
  <c r="F1230" i="1"/>
  <c r="D1231" i="1"/>
  <c r="F1231" i="1"/>
  <c r="D1232" i="1"/>
  <c r="F1232" i="1"/>
  <c r="D1233" i="1"/>
  <c r="F1233" i="1"/>
  <c r="D1234" i="1"/>
  <c r="F1234" i="1"/>
  <c r="D1235" i="1"/>
  <c r="F1235" i="1"/>
  <c r="D1236" i="1"/>
  <c r="F1236" i="1"/>
  <c r="D1237" i="1"/>
  <c r="F1237" i="1"/>
  <c r="D1238" i="1"/>
  <c r="F1238" i="1"/>
  <c r="D1239" i="1"/>
  <c r="F1239" i="1"/>
  <c r="D1240" i="1"/>
  <c r="F1240" i="1"/>
  <c r="D1241" i="1"/>
  <c r="F1241" i="1"/>
  <c r="D1242" i="1"/>
  <c r="F1242" i="1"/>
  <c r="D1243" i="1"/>
  <c r="F1243" i="1"/>
  <c r="D1244" i="1"/>
  <c r="F1244" i="1"/>
  <c r="D1245" i="1"/>
  <c r="F1245" i="1"/>
  <c r="D1246" i="1"/>
  <c r="F1246" i="1"/>
  <c r="D1247" i="1"/>
  <c r="F1247" i="1"/>
  <c r="D1248" i="1"/>
  <c r="F1248" i="1"/>
  <c r="D1249" i="1"/>
  <c r="F1249" i="1"/>
  <c r="D1250" i="1"/>
  <c r="F1250" i="1"/>
  <c r="D1251" i="1"/>
  <c r="F1251" i="1"/>
  <c r="D1252" i="1"/>
  <c r="F1252" i="1"/>
  <c r="D1253" i="1"/>
  <c r="F1253" i="1"/>
  <c r="D1254" i="1"/>
  <c r="F1254" i="1"/>
  <c r="D1255" i="1"/>
  <c r="F1255" i="1"/>
  <c r="D1256" i="1"/>
  <c r="F1256" i="1"/>
  <c r="D1257" i="1"/>
  <c r="F1257" i="1"/>
  <c r="D1258" i="1"/>
  <c r="F1258" i="1"/>
  <c r="D1259" i="1"/>
  <c r="F1259" i="1"/>
  <c r="D1260" i="1"/>
  <c r="F1260" i="1"/>
  <c r="D1261" i="1"/>
  <c r="F1261" i="1"/>
  <c r="D1262" i="1"/>
  <c r="F1262" i="1"/>
  <c r="D1263" i="1"/>
  <c r="F1263" i="1"/>
  <c r="D1264" i="1"/>
  <c r="F1264" i="1"/>
  <c r="D1265" i="1"/>
  <c r="F1265" i="1"/>
  <c r="D1266" i="1"/>
  <c r="F1266" i="1"/>
  <c r="D1267" i="1"/>
  <c r="F1267" i="1"/>
  <c r="D1268" i="1"/>
  <c r="F1268" i="1"/>
  <c r="D1269" i="1"/>
  <c r="F1269" i="1"/>
  <c r="D1270" i="1"/>
  <c r="F1270" i="1"/>
  <c r="D1271" i="1"/>
  <c r="F1271" i="1"/>
  <c r="D1272" i="1"/>
  <c r="F1272" i="1"/>
  <c r="D1273" i="1"/>
  <c r="F1273" i="1"/>
  <c r="D1274" i="1"/>
  <c r="F1274" i="1"/>
  <c r="D1275" i="1"/>
  <c r="F1275" i="1"/>
  <c r="D1276" i="1"/>
  <c r="F1276" i="1"/>
  <c r="D1277" i="1"/>
  <c r="F1277" i="1"/>
  <c r="D1278" i="1"/>
  <c r="F1278" i="1"/>
  <c r="D1279" i="1"/>
  <c r="F1279" i="1"/>
  <c r="D1280" i="1"/>
  <c r="F1280" i="1"/>
  <c r="D1281" i="1"/>
  <c r="F1281" i="1"/>
  <c r="D1282" i="1"/>
  <c r="F1282" i="1"/>
  <c r="D1283" i="1"/>
  <c r="F1283" i="1"/>
  <c r="D1284" i="1"/>
  <c r="F1284" i="1"/>
  <c r="D1285" i="1"/>
  <c r="F1285" i="1"/>
  <c r="D1286" i="1"/>
  <c r="F1286" i="1"/>
  <c r="D1287" i="1"/>
  <c r="F1287" i="1"/>
  <c r="D1288" i="1"/>
  <c r="F1288" i="1"/>
  <c r="D1289" i="1"/>
  <c r="F1289" i="1"/>
  <c r="D1290" i="1"/>
  <c r="F1290" i="1"/>
  <c r="D1291" i="1"/>
  <c r="F1291" i="1"/>
  <c r="D1292" i="1"/>
  <c r="F1292" i="1"/>
  <c r="D1293" i="1"/>
  <c r="F1293" i="1"/>
  <c r="D1294" i="1"/>
  <c r="F1294" i="1"/>
  <c r="D1295" i="1"/>
  <c r="F1295" i="1"/>
  <c r="D1296" i="1"/>
  <c r="F1296" i="1"/>
  <c r="D1297" i="1"/>
  <c r="F1297" i="1"/>
  <c r="D1298" i="1"/>
  <c r="F1298" i="1"/>
  <c r="D1299" i="1"/>
  <c r="F1299" i="1"/>
  <c r="D1300" i="1"/>
  <c r="F1300" i="1"/>
  <c r="D1301" i="1"/>
  <c r="F1301" i="1"/>
  <c r="D1302" i="1"/>
  <c r="F1302" i="1"/>
  <c r="D1303" i="1"/>
  <c r="F1303" i="1"/>
  <c r="D1304" i="1"/>
  <c r="F1304" i="1"/>
  <c r="D1305" i="1"/>
  <c r="F1305" i="1"/>
  <c r="D1306" i="1"/>
  <c r="F1306" i="1"/>
  <c r="D1307" i="1"/>
  <c r="F1307" i="1"/>
  <c r="D1308" i="1"/>
  <c r="F1308" i="1"/>
  <c r="D1309" i="1"/>
  <c r="F1309" i="1"/>
  <c r="D1310" i="1"/>
  <c r="F1310" i="1"/>
  <c r="D1311" i="1"/>
  <c r="F1311" i="1"/>
  <c r="D1312" i="1"/>
  <c r="F1312" i="1"/>
  <c r="D1313" i="1"/>
  <c r="F1313" i="1"/>
  <c r="D1314" i="1"/>
  <c r="F1314" i="1"/>
  <c r="D1315" i="1"/>
  <c r="F1315" i="1"/>
  <c r="D1316" i="1"/>
  <c r="F1316" i="1"/>
  <c r="D1317" i="1"/>
  <c r="F1317" i="1"/>
  <c r="D1318" i="1"/>
  <c r="F1318" i="1"/>
  <c r="D1319" i="1"/>
  <c r="F1319" i="1"/>
  <c r="D1320" i="1"/>
  <c r="F1320" i="1"/>
  <c r="D1321" i="1"/>
  <c r="F1321" i="1"/>
  <c r="D1322" i="1"/>
  <c r="F1322" i="1"/>
  <c r="D1323" i="1"/>
  <c r="F1323" i="1"/>
  <c r="D1324" i="1"/>
  <c r="F1324" i="1"/>
  <c r="D1325" i="1"/>
  <c r="F1325" i="1"/>
  <c r="D1326" i="1"/>
  <c r="F1326" i="1"/>
  <c r="D1327" i="1"/>
  <c r="F1327" i="1"/>
  <c r="D1328" i="1"/>
  <c r="F1328" i="1"/>
  <c r="D1329" i="1"/>
  <c r="F1329" i="1"/>
  <c r="D1330" i="1"/>
  <c r="F1330" i="1"/>
  <c r="D1331" i="1"/>
  <c r="F1331" i="1"/>
  <c r="D1332" i="1"/>
  <c r="F1332" i="1"/>
  <c r="D1333" i="1"/>
  <c r="F1333" i="1"/>
  <c r="D1334" i="1"/>
  <c r="F1334" i="1"/>
  <c r="D1335" i="1"/>
  <c r="F1335" i="1"/>
  <c r="D1336" i="1"/>
  <c r="F1336" i="1"/>
  <c r="D1337" i="1"/>
  <c r="F1337" i="1"/>
  <c r="D1338" i="1"/>
  <c r="F1338" i="1"/>
  <c r="D1339" i="1"/>
  <c r="F1339" i="1"/>
  <c r="D1340" i="1"/>
  <c r="F1340" i="1"/>
  <c r="D1341" i="1"/>
  <c r="F1341" i="1"/>
  <c r="D1342" i="1"/>
  <c r="F1342" i="1"/>
  <c r="D1343" i="1"/>
  <c r="F1343" i="1"/>
  <c r="D1344" i="1"/>
  <c r="F1344" i="1"/>
  <c r="D1345" i="1"/>
  <c r="F1345" i="1"/>
  <c r="D1346" i="1"/>
  <c r="F1346" i="1"/>
  <c r="D1347" i="1"/>
  <c r="F1347" i="1"/>
  <c r="D1348" i="1"/>
  <c r="F1348" i="1"/>
  <c r="D1349" i="1"/>
  <c r="F1349" i="1"/>
  <c r="D1350" i="1"/>
  <c r="F1350" i="1"/>
  <c r="D1351" i="1"/>
  <c r="F1351" i="1"/>
  <c r="D1352" i="1"/>
  <c r="F1352" i="1"/>
  <c r="D1353" i="1"/>
  <c r="F1353" i="1"/>
  <c r="D1354" i="1"/>
  <c r="F1354" i="1"/>
  <c r="D1355" i="1"/>
  <c r="F1355" i="1"/>
  <c r="D1356" i="1"/>
  <c r="F1356" i="1"/>
  <c r="D1357" i="1"/>
  <c r="F1357" i="1"/>
  <c r="D1358" i="1"/>
  <c r="F1358" i="1"/>
  <c r="D1359" i="1"/>
  <c r="F1359" i="1"/>
  <c r="D1360" i="1"/>
  <c r="F1360" i="1"/>
  <c r="D1361" i="1"/>
  <c r="F1361" i="1"/>
  <c r="D1362" i="1"/>
  <c r="F1362" i="1"/>
  <c r="D1363" i="1"/>
  <c r="F1363" i="1"/>
  <c r="D1364" i="1"/>
  <c r="F1364" i="1"/>
  <c r="D1365" i="1"/>
  <c r="F1365" i="1"/>
  <c r="D1366" i="1"/>
  <c r="F1366" i="1"/>
  <c r="D1367" i="1"/>
  <c r="F1367" i="1"/>
  <c r="D1368" i="1"/>
  <c r="F1368" i="1"/>
  <c r="D1369" i="1"/>
  <c r="F1369" i="1"/>
  <c r="D1370" i="1"/>
  <c r="F1370" i="1"/>
  <c r="D1371" i="1"/>
  <c r="F1371" i="1"/>
  <c r="D1372" i="1"/>
  <c r="F1372" i="1"/>
  <c r="D1373" i="1"/>
  <c r="F1373" i="1"/>
  <c r="D1374" i="1"/>
  <c r="F1374" i="1"/>
  <c r="D1375" i="1"/>
  <c r="F1375" i="1"/>
  <c r="D1376" i="1"/>
  <c r="F1376" i="1"/>
  <c r="D1377" i="1"/>
  <c r="F1377" i="1"/>
  <c r="D1378" i="1"/>
  <c r="F1378" i="1"/>
  <c r="D1379" i="1"/>
  <c r="F1379" i="1"/>
  <c r="D1380" i="1"/>
  <c r="F1380" i="1"/>
  <c r="D1381" i="1"/>
  <c r="F1381" i="1"/>
  <c r="D1382" i="1"/>
  <c r="F1382" i="1"/>
  <c r="D1383" i="1"/>
  <c r="F1383" i="1"/>
  <c r="D1384" i="1"/>
  <c r="F1384" i="1"/>
  <c r="D1385" i="1"/>
  <c r="F1385" i="1"/>
  <c r="D1386" i="1"/>
  <c r="F1386" i="1"/>
  <c r="D1387" i="1"/>
  <c r="F1387" i="1"/>
  <c r="D1388" i="1"/>
  <c r="F1388" i="1"/>
  <c r="D1389" i="1"/>
  <c r="F1389" i="1"/>
  <c r="D1390" i="1"/>
  <c r="F1390" i="1"/>
  <c r="D1391" i="1"/>
  <c r="F1391" i="1"/>
  <c r="D1392" i="1"/>
  <c r="F1392" i="1"/>
  <c r="D1393" i="1"/>
  <c r="F1393" i="1"/>
  <c r="D1394" i="1"/>
  <c r="F1394" i="1"/>
  <c r="D1395" i="1"/>
  <c r="F1395" i="1"/>
  <c r="D1396" i="1"/>
  <c r="F1396" i="1"/>
  <c r="D1397" i="1"/>
  <c r="F1397" i="1"/>
  <c r="D1398" i="1"/>
  <c r="F1398" i="1"/>
  <c r="D1399" i="1"/>
  <c r="F1399" i="1"/>
  <c r="D1400" i="1"/>
  <c r="F1400" i="1"/>
  <c r="D1401" i="1"/>
  <c r="F1401" i="1"/>
  <c r="D1402" i="1"/>
  <c r="F1402" i="1"/>
  <c r="D1403" i="1"/>
  <c r="F1403" i="1"/>
  <c r="D1404" i="1"/>
  <c r="F1404" i="1"/>
  <c r="D1405" i="1"/>
  <c r="F1405" i="1"/>
  <c r="D1406" i="1"/>
  <c r="F1406" i="1"/>
  <c r="D1407" i="1"/>
  <c r="F1407" i="1"/>
  <c r="D1408" i="1"/>
  <c r="F1408" i="1"/>
  <c r="D1409" i="1"/>
  <c r="F1409" i="1"/>
  <c r="D1410" i="1"/>
  <c r="F1410" i="1"/>
  <c r="D1411" i="1"/>
  <c r="F1411" i="1"/>
  <c r="D1412" i="1"/>
  <c r="F1412" i="1"/>
  <c r="D1413" i="1"/>
  <c r="F1413" i="1"/>
  <c r="D1414" i="1"/>
  <c r="F1414" i="1"/>
  <c r="D1415" i="1"/>
  <c r="F1415" i="1"/>
  <c r="D1416" i="1"/>
  <c r="F1416" i="1"/>
  <c r="D1417" i="1"/>
  <c r="F1417" i="1"/>
  <c r="D1418" i="1"/>
  <c r="F1418" i="1"/>
  <c r="D1419" i="1"/>
  <c r="F1419" i="1"/>
  <c r="D1420" i="1"/>
  <c r="F1420" i="1"/>
  <c r="D1421" i="1"/>
  <c r="F1421" i="1"/>
  <c r="D1422" i="1"/>
  <c r="F1422" i="1"/>
  <c r="D1423" i="1"/>
  <c r="F1423" i="1"/>
  <c r="D1424" i="1"/>
  <c r="F1424" i="1"/>
  <c r="D1425" i="1"/>
  <c r="F1425" i="1"/>
  <c r="D1426" i="1"/>
  <c r="F1426" i="1"/>
  <c r="D1427" i="1"/>
  <c r="F1427" i="1"/>
  <c r="D1428" i="1"/>
  <c r="F1428" i="1"/>
  <c r="D1429" i="1"/>
  <c r="F1429" i="1"/>
  <c r="D1430" i="1"/>
  <c r="F1430" i="1"/>
  <c r="D1431" i="1"/>
  <c r="F1431" i="1"/>
  <c r="D1432" i="1"/>
  <c r="F1432" i="1"/>
  <c r="D1433" i="1"/>
  <c r="F1433" i="1"/>
  <c r="D1434" i="1"/>
  <c r="F1434" i="1"/>
  <c r="D1435" i="1"/>
  <c r="F1435" i="1"/>
  <c r="D1436" i="1"/>
  <c r="F1436" i="1"/>
  <c r="D1437" i="1"/>
  <c r="F1437" i="1"/>
  <c r="D1438" i="1"/>
  <c r="F1438" i="1"/>
  <c r="D1439" i="1"/>
  <c r="F1439" i="1"/>
  <c r="D1440" i="1"/>
  <c r="F1440" i="1"/>
  <c r="D1441" i="1"/>
  <c r="F1441" i="1"/>
  <c r="D1442" i="1"/>
  <c r="F1442" i="1"/>
  <c r="D1443" i="1"/>
  <c r="F1443" i="1"/>
  <c r="D1444" i="1"/>
  <c r="F1444" i="1"/>
  <c r="D1445" i="1"/>
  <c r="F1445" i="1"/>
  <c r="D1446" i="1"/>
  <c r="F1446" i="1"/>
  <c r="D1447" i="1"/>
  <c r="F1447" i="1"/>
  <c r="D1448" i="1"/>
  <c r="F1448" i="1"/>
  <c r="D1449" i="1"/>
  <c r="F1449" i="1"/>
  <c r="D1450" i="1"/>
  <c r="F1450" i="1"/>
  <c r="D1451" i="1"/>
  <c r="F1451" i="1"/>
  <c r="D1452" i="1"/>
  <c r="F1452" i="1"/>
  <c r="D1453" i="1"/>
  <c r="F1453" i="1"/>
  <c r="D1454" i="1"/>
  <c r="F1454" i="1"/>
  <c r="D1455" i="1"/>
  <c r="F1455" i="1"/>
  <c r="D1456" i="1"/>
  <c r="F1456" i="1"/>
  <c r="D1457" i="1"/>
  <c r="F1457" i="1"/>
  <c r="D1458" i="1"/>
  <c r="F1458" i="1"/>
  <c r="D1459" i="1"/>
  <c r="F1459" i="1"/>
  <c r="D1460" i="1"/>
  <c r="F1460" i="1"/>
  <c r="D1461" i="1"/>
  <c r="F1461" i="1"/>
  <c r="D1462" i="1"/>
  <c r="F1462" i="1"/>
  <c r="D1463" i="1"/>
  <c r="F1463" i="1"/>
  <c r="D1464" i="1"/>
  <c r="F1464" i="1"/>
  <c r="D1465" i="1"/>
  <c r="F1465" i="1"/>
  <c r="D1466" i="1"/>
  <c r="F1466" i="1"/>
  <c r="D1467" i="1"/>
  <c r="F1467" i="1"/>
  <c r="D1468" i="1"/>
  <c r="F1468" i="1"/>
  <c r="D1469" i="1"/>
  <c r="F1469" i="1"/>
  <c r="D1470" i="1"/>
  <c r="F1470" i="1"/>
  <c r="D1471" i="1"/>
  <c r="F1471" i="1"/>
  <c r="D1472" i="1"/>
  <c r="F1472" i="1"/>
  <c r="D1473" i="1"/>
  <c r="F1473" i="1"/>
  <c r="D1474" i="1"/>
  <c r="F1474" i="1"/>
  <c r="D1475" i="1"/>
  <c r="F1475" i="1"/>
  <c r="D1476" i="1"/>
  <c r="F1476" i="1"/>
  <c r="D1477" i="1"/>
  <c r="F1477" i="1"/>
  <c r="D1478" i="1"/>
  <c r="F1478" i="1"/>
  <c r="D1479" i="1"/>
  <c r="F1479" i="1"/>
  <c r="D1480" i="1"/>
  <c r="F1480" i="1"/>
  <c r="D1481" i="1"/>
  <c r="F1481" i="1"/>
  <c r="D1482" i="1"/>
  <c r="F1482" i="1"/>
  <c r="D1483" i="1"/>
  <c r="F1483" i="1"/>
  <c r="D1484" i="1"/>
  <c r="F1484" i="1"/>
  <c r="D1485" i="1"/>
  <c r="F1485" i="1"/>
  <c r="D1486" i="1"/>
  <c r="F1486" i="1"/>
  <c r="D1487" i="1"/>
  <c r="F1487" i="1"/>
  <c r="D1488" i="1"/>
  <c r="F1488" i="1"/>
  <c r="D1489" i="1"/>
  <c r="F1489" i="1"/>
  <c r="D1490" i="1"/>
  <c r="F1490" i="1"/>
  <c r="D1491" i="1"/>
  <c r="F1491" i="1"/>
  <c r="D1492" i="1"/>
  <c r="F1492" i="1"/>
  <c r="D1493" i="1"/>
  <c r="F1493" i="1"/>
  <c r="D1494" i="1"/>
  <c r="F1494" i="1"/>
  <c r="D1495" i="1"/>
  <c r="F1495" i="1"/>
  <c r="D1496" i="1"/>
  <c r="F1496" i="1"/>
  <c r="D1497" i="1"/>
  <c r="F1497" i="1"/>
  <c r="D1498" i="1"/>
  <c r="F1498" i="1"/>
  <c r="D1499" i="1"/>
  <c r="F1499" i="1"/>
  <c r="D1500" i="1"/>
  <c r="F1500" i="1"/>
  <c r="D1501" i="1"/>
  <c r="F1501" i="1"/>
  <c r="D1502" i="1"/>
  <c r="F1502" i="1"/>
  <c r="D1503" i="1"/>
  <c r="F1503" i="1"/>
  <c r="D1504" i="1"/>
  <c r="F1504" i="1"/>
  <c r="D1505" i="1"/>
  <c r="F1505" i="1"/>
  <c r="D1506" i="1"/>
  <c r="F1506" i="1"/>
  <c r="D1507" i="1"/>
  <c r="F1507" i="1"/>
  <c r="D1508" i="1"/>
  <c r="F1508" i="1"/>
  <c r="D1509" i="1"/>
  <c r="F1509" i="1"/>
  <c r="D1510" i="1"/>
  <c r="F1510" i="1"/>
  <c r="D1511" i="1"/>
  <c r="F1511" i="1"/>
  <c r="D1512" i="1"/>
  <c r="F1512" i="1"/>
  <c r="D1513" i="1"/>
  <c r="F1513" i="1"/>
  <c r="D1514" i="1"/>
  <c r="F1514" i="1"/>
  <c r="D1515" i="1"/>
  <c r="F1515" i="1"/>
  <c r="D1516" i="1"/>
  <c r="F1516" i="1"/>
  <c r="D1517" i="1"/>
  <c r="F1517" i="1"/>
  <c r="D1518" i="1"/>
  <c r="F1518" i="1"/>
  <c r="D1519" i="1"/>
  <c r="F1519" i="1"/>
  <c r="D1520" i="1"/>
  <c r="F1520" i="1"/>
  <c r="D1521" i="1"/>
  <c r="F1521" i="1"/>
  <c r="D1522" i="1"/>
  <c r="F1522" i="1"/>
  <c r="D1523" i="1"/>
  <c r="F1523" i="1"/>
  <c r="D1524" i="1"/>
  <c r="F1524" i="1"/>
  <c r="D1525" i="1"/>
  <c r="F1525" i="1"/>
  <c r="D1526" i="1"/>
  <c r="F1526" i="1"/>
  <c r="D1527" i="1"/>
  <c r="F1527" i="1"/>
  <c r="D1528" i="1"/>
  <c r="F1528" i="1"/>
  <c r="D1529" i="1"/>
  <c r="F1529" i="1"/>
  <c r="D1530" i="1"/>
  <c r="F1530" i="1"/>
  <c r="D1531" i="1"/>
  <c r="F1531" i="1"/>
  <c r="D1532" i="1"/>
  <c r="F1532" i="1"/>
  <c r="D1533" i="1"/>
  <c r="F1533" i="1"/>
  <c r="D1534" i="1"/>
  <c r="F1534" i="1"/>
  <c r="D1535" i="1"/>
  <c r="F1535" i="1"/>
  <c r="D1536" i="1"/>
  <c r="F1536" i="1"/>
  <c r="D1537" i="1"/>
  <c r="F1537" i="1"/>
  <c r="D1538" i="1"/>
  <c r="F1538" i="1"/>
  <c r="D1539" i="1"/>
  <c r="F1539" i="1"/>
  <c r="D1540" i="1"/>
  <c r="F1540" i="1"/>
  <c r="D1541" i="1"/>
  <c r="F1541" i="1"/>
  <c r="D1542" i="1"/>
  <c r="F1542" i="1"/>
  <c r="D1543" i="1"/>
  <c r="F1543" i="1"/>
  <c r="D1544" i="1"/>
  <c r="F1544" i="1"/>
  <c r="D1545" i="1"/>
  <c r="F1545" i="1"/>
  <c r="D1546" i="1"/>
  <c r="F1546" i="1"/>
  <c r="D1547" i="1"/>
  <c r="F1547" i="1"/>
  <c r="D1548" i="1"/>
  <c r="F1548" i="1"/>
  <c r="D1549" i="1"/>
  <c r="F1549" i="1"/>
  <c r="D1550" i="1"/>
  <c r="F1550" i="1"/>
  <c r="D1551" i="1"/>
  <c r="F1551" i="1"/>
  <c r="D1552" i="1"/>
  <c r="F1552" i="1"/>
  <c r="D1553" i="1"/>
  <c r="F1553" i="1"/>
  <c r="D1554" i="1"/>
  <c r="F1554" i="1"/>
  <c r="D1555" i="1"/>
  <c r="F1555" i="1"/>
  <c r="D1556" i="1"/>
  <c r="F1556" i="1"/>
  <c r="D1557" i="1"/>
  <c r="F1557" i="1"/>
  <c r="D1558" i="1"/>
  <c r="F1558" i="1"/>
  <c r="D1559" i="1"/>
  <c r="F1559" i="1"/>
  <c r="D1560" i="1"/>
  <c r="F1560" i="1"/>
  <c r="D1561" i="1"/>
  <c r="F1561" i="1"/>
  <c r="D1562" i="1"/>
  <c r="F1562" i="1"/>
  <c r="D1563" i="1"/>
  <c r="F1563" i="1"/>
  <c r="D1564" i="1"/>
  <c r="F1564" i="1"/>
  <c r="D1565" i="1"/>
  <c r="F1565" i="1"/>
  <c r="D1566" i="1"/>
  <c r="F1566" i="1"/>
  <c r="D1567" i="1"/>
  <c r="F1567" i="1"/>
  <c r="D1568" i="1"/>
  <c r="F1568" i="1"/>
  <c r="D1569" i="1"/>
  <c r="F1569" i="1"/>
  <c r="D1570" i="1"/>
  <c r="F1570" i="1"/>
  <c r="D1571" i="1"/>
  <c r="F1571" i="1"/>
  <c r="D1572" i="1"/>
  <c r="F1572" i="1"/>
  <c r="D1573" i="1"/>
  <c r="F1573" i="1"/>
  <c r="D1574" i="1"/>
  <c r="F1574" i="1"/>
  <c r="D1575" i="1"/>
  <c r="F1575" i="1"/>
  <c r="D1576" i="1"/>
  <c r="F1576" i="1"/>
  <c r="D1577" i="1"/>
  <c r="F1577" i="1"/>
  <c r="D1578" i="1"/>
  <c r="F1578" i="1"/>
  <c r="D1579" i="1"/>
  <c r="F1579" i="1"/>
  <c r="D1580" i="1"/>
  <c r="F1580" i="1"/>
  <c r="D1581" i="1"/>
  <c r="F1581" i="1"/>
  <c r="D1582" i="1"/>
  <c r="F1582" i="1"/>
  <c r="D1583" i="1"/>
  <c r="F1583" i="1"/>
  <c r="D1584" i="1"/>
  <c r="F1584" i="1"/>
  <c r="D1585" i="1"/>
  <c r="F1585" i="1"/>
  <c r="D1586" i="1"/>
  <c r="F1586" i="1"/>
  <c r="D1587" i="1"/>
  <c r="F1587" i="1"/>
  <c r="D1588" i="1"/>
  <c r="F1588" i="1"/>
  <c r="D1589" i="1"/>
  <c r="F1589" i="1"/>
  <c r="D1590" i="1"/>
  <c r="F1590" i="1"/>
  <c r="D1591" i="1"/>
  <c r="F1591" i="1"/>
  <c r="D1592" i="1"/>
  <c r="F1592" i="1"/>
  <c r="D1593" i="1"/>
  <c r="F1593" i="1"/>
  <c r="D1594" i="1"/>
  <c r="F1594" i="1"/>
  <c r="D1595" i="1"/>
  <c r="F1595" i="1"/>
  <c r="D1596" i="1"/>
  <c r="F1596" i="1"/>
  <c r="D1597" i="1"/>
  <c r="F1597" i="1"/>
  <c r="D1598" i="1"/>
  <c r="F1598" i="1"/>
  <c r="D1599" i="1"/>
  <c r="F1599" i="1"/>
  <c r="D1600" i="1"/>
  <c r="F1600" i="1"/>
  <c r="D1601" i="1"/>
  <c r="F1601" i="1"/>
  <c r="D1602" i="1"/>
  <c r="F1602" i="1"/>
  <c r="D1603" i="1"/>
  <c r="F1603" i="1"/>
  <c r="D1604" i="1"/>
  <c r="F1604" i="1"/>
  <c r="D1605" i="1"/>
  <c r="F1605" i="1"/>
  <c r="D1606" i="1"/>
  <c r="F1606" i="1"/>
  <c r="D1607" i="1"/>
  <c r="F1607" i="1"/>
  <c r="D1608" i="1"/>
  <c r="F1608" i="1"/>
  <c r="D1609" i="1"/>
  <c r="F1609" i="1"/>
  <c r="D1610" i="1"/>
  <c r="F1610" i="1"/>
  <c r="D1611" i="1"/>
  <c r="F1611" i="1"/>
  <c r="D1612" i="1"/>
  <c r="F1612" i="1"/>
  <c r="D1613" i="1"/>
  <c r="F1613" i="1"/>
  <c r="D1614" i="1"/>
  <c r="F1614" i="1"/>
  <c r="D1615" i="1"/>
  <c r="F1615" i="1"/>
  <c r="D1616" i="1"/>
  <c r="F1616" i="1"/>
  <c r="D1617" i="1"/>
  <c r="F1617" i="1"/>
  <c r="D1618" i="1"/>
  <c r="F1618" i="1"/>
  <c r="D1619" i="1"/>
  <c r="F1619" i="1"/>
  <c r="D1620" i="1"/>
  <c r="F1620" i="1"/>
  <c r="D1621" i="1"/>
  <c r="F1621" i="1"/>
  <c r="D1622" i="1"/>
  <c r="F1622" i="1"/>
  <c r="D1623" i="1"/>
  <c r="F1623" i="1"/>
  <c r="D1624" i="1"/>
  <c r="F1624" i="1"/>
  <c r="D1625" i="1"/>
  <c r="F1625" i="1"/>
  <c r="D1626" i="1"/>
  <c r="F1626" i="1"/>
  <c r="D1627" i="1"/>
  <c r="F1627" i="1"/>
  <c r="D1628" i="1"/>
  <c r="F1628" i="1"/>
  <c r="D1629" i="1"/>
  <c r="F1629" i="1"/>
  <c r="D1630" i="1"/>
  <c r="F1630" i="1"/>
  <c r="D1631" i="1"/>
  <c r="F1631" i="1"/>
  <c r="D1632" i="1"/>
  <c r="F1632" i="1"/>
  <c r="D1633" i="1"/>
  <c r="F1633" i="1"/>
  <c r="D1634" i="1"/>
  <c r="F1634" i="1"/>
  <c r="D1635" i="1"/>
  <c r="F1635" i="1"/>
  <c r="D1636" i="1"/>
  <c r="F1636" i="1"/>
  <c r="D1637" i="1"/>
  <c r="F1637" i="1"/>
  <c r="D1638" i="1"/>
  <c r="F1638" i="1"/>
  <c r="D1639" i="1"/>
  <c r="F1639" i="1"/>
  <c r="D1640" i="1"/>
  <c r="F1640" i="1"/>
  <c r="D1641" i="1"/>
  <c r="F1641" i="1"/>
  <c r="D1642" i="1"/>
  <c r="F1642" i="1"/>
  <c r="D1643" i="1"/>
  <c r="F1643" i="1"/>
  <c r="D1644" i="1"/>
  <c r="F1644" i="1"/>
  <c r="D1645" i="1"/>
  <c r="F1645" i="1"/>
  <c r="D1646" i="1"/>
  <c r="F1646" i="1"/>
  <c r="D1647" i="1"/>
  <c r="F1647" i="1"/>
  <c r="D1648" i="1"/>
  <c r="F1648" i="1"/>
  <c r="D1649" i="1"/>
  <c r="F1649" i="1"/>
  <c r="D1650" i="1"/>
  <c r="F1650" i="1"/>
  <c r="D1651" i="1"/>
  <c r="F1651" i="1"/>
  <c r="D1652" i="1"/>
  <c r="F1652" i="1"/>
  <c r="D1653" i="1"/>
  <c r="F1653" i="1"/>
  <c r="D1654" i="1"/>
  <c r="F1654" i="1"/>
  <c r="D1655" i="1"/>
  <c r="F1655" i="1"/>
  <c r="D1656" i="1"/>
  <c r="F1656" i="1"/>
  <c r="D1657" i="1"/>
  <c r="F1657" i="1"/>
  <c r="D1658" i="1"/>
  <c r="F1658" i="1"/>
  <c r="D1659" i="1"/>
  <c r="F1659" i="1"/>
  <c r="D1660" i="1"/>
  <c r="F1660" i="1"/>
  <c r="D1661" i="1"/>
  <c r="F1661" i="1"/>
  <c r="D1662" i="1"/>
  <c r="F1662" i="1"/>
  <c r="D1663" i="1"/>
  <c r="F1663" i="1"/>
  <c r="D1664" i="1"/>
  <c r="F1664" i="1"/>
  <c r="D1665" i="1"/>
  <c r="F1665" i="1"/>
  <c r="D1666" i="1"/>
  <c r="F1666" i="1"/>
  <c r="D1667" i="1"/>
  <c r="F1667" i="1"/>
  <c r="D1668" i="1"/>
  <c r="F1668" i="1"/>
  <c r="D1669" i="1"/>
  <c r="F1669" i="1"/>
  <c r="D1670" i="1"/>
  <c r="F1670" i="1"/>
  <c r="D1671" i="1"/>
  <c r="F1671" i="1"/>
  <c r="D1672" i="1"/>
  <c r="F1672" i="1"/>
  <c r="D1673" i="1"/>
  <c r="F1673" i="1"/>
  <c r="D1674" i="1"/>
  <c r="F1674" i="1"/>
  <c r="D1675" i="1"/>
  <c r="F1675" i="1"/>
  <c r="D1676" i="1"/>
  <c r="F1676" i="1"/>
  <c r="D1677" i="1"/>
  <c r="F1677" i="1"/>
  <c r="D1678" i="1"/>
  <c r="F1678" i="1"/>
  <c r="D1679" i="1"/>
  <c r="F1679" i="1"/>
  <c r="D1680" i="1"/>
  <c r="F1680" i="1"/>
  <c r="D1681" i="1"/>
  <c r="F1681" i="1"/>
  <c r="D1682" i="1"/>
  <c r="F1682" i="1"/>
  <c r="D1683" i="1"/>
  <c r="F1683" i="1"/>
  <c r="D1684" i="1"/>
  <c r="F1684" i="1"/>
  <c r="D1685" i="1"/>
  <c r="F1685" i="1"/>
  <c r="D1686" i="1"/>
  <c r="F1686" i="1"/>
  <c r="D1687" i="1"/>
  <c r="F1687" i="1"/>
  <c r="D1688" i="1"/>
  <c r="F1688" i="1"/>
  <c r="D1689" i="1"/>
  <c r="F1689" i="1"/>
  <c r="D1690" i="1"/>
  <c r="F1690" i="1"/>
  <c r="D1691" i="1"/>
  <c r="F1691" i="1"/>
  <c r="D1692" i="1"/>
  <c r="F1692" i="1"/>
  <c r="D1693" i="1"/>
  <c r="F1693" i="1"/>
  <c r="D1694" i="1"/>
  <c r="F1694" i="1"/>
  <c r="D1695" i="1"/>
  <c r="F1695" i="1"/>
  <c r="D1696" i="1"/>
  <c r="F1696" i="1"/>
  <c r="D1697" i="1"/>
  <c r="F1697" i="1"/>
  <c r="D1698" i="1"/>
  <c r="F1698" i="1"/>
  <c r="D1699" i="1"/>
  <c r="F1699" i="1"/>
  <c r="D1700" i="1"/>
  <c r="F1700" i="1"/>
  <c r="D1701" i="1"/>
  <c r="F1701" i="1"/>
  <c r="D1702" i="1"/>
  <c r="F1702" i="1"/>
  <c r="D1703" i="1"/>
  <c r="F1703" i="1"/>
  <c r="D1704" i="1"/>
  <c r="F1704" i="1"/>
  <c r="D1705" i="1"/>
  <c r="F1705" i="1"/>
  <c r="D1706" i="1"/>
  <c r="F1706" i="1"/>
  <c r="D1707" i="1"/>
  <c r="F1707" i="1"/>
  <c r="D1708" i="1"/>
  <c r="F1708" i="1"/>
  <c r="D1709" i="1"/>
  <c r="F1709" i="1"/>
  <c r="D1710" i="1"/>
  <c r="F1710" i="1"/>
  <c r="D1711" i="1"/>
  <c r="F1711" i="1"/>
  <c r="D1712" i="1"/>
  <c r="F1712" i="1"/>
  <c r="D1713" i="1"/>
  <c r="F1713" i="1"/>
  <c r="D1714" i="1"/>
  <c r="F1714" i="1"/>
  <c r="D1715" i="1"/>
  <c r="F1715" i="1"/>
  <c r="D1716" i="1"/>
  <c r="F1716" i="1"/>
  <c r="D1717" i="1"/>
  <c r="F1717" i="1"/>
  <c r="D1718" i="1"/>
  <c r="F1718" i="1"/>
  <c r="D1719" i="1"/>
  <c r="F1719" i="1"/>
  <c r="D1720" i="1"/>
  <c r="F1720" i="1"/>
  <c r="D1721" i="1"/>
  <c r="F1721" i="1"/>
  <c r="D1722" i="1"/>
  <c r="F1722" i="1"/>
  <c r="D1723" i="1"/>
  <c r="F1723" i="1"/>
  <c r="D1724" i="1"/>
  <c r="F1724" i="1"/>
  <c r="D1725" i="1"/>
  <c r="F1725" i="1"/>
  <c r="D1726" i="1"/>
  <c r="F1726" i="1"/>
  <c r="D1727" i="1"/>
  <c r="F1727" i="1"/>
  <c r="D1728" i="1"/>
  <c r="F1728" i="1"/>
  <c r="D1729" i="1"/>
  <c r="F1729" i="1"/>
  <c r="D1730" i="1"/>
  <c r="F1730" i="1"/>
  <c r="D1731" i="1"/>
  <c r="F1731" i="1"/>
  <c r="D1732" i="1"/>
  <c r="F1732" i="1"/>
  <c r="D1733" i="1"/>
  <c r="F1733" i="1"/>
  <c r="D1734" i="1"/>
  <c r="F1734" i="1"/>
  <c r="D1735" i="1"/>
  <c r="F1735" i="1"/>
  <c r="D1736" i="1"/>
  <c r="F1736" i="1"/>
  <c r="D1737" i="1"/>
  <c r="F1737" i="1"/>
  <c r="D1738" i="1"/>
  <c r="F1738" i="1"/>
  <c r="D1739" i="1"/>
  <c r="F1739" i="1"/>
  <c r="D1740" i="1"/>
  <c r="F1740" i="1"/>
  <c r="D1741" i="1"/>
  <c r="F1741" i="1"/>
  <c r="D1742" i="1"/>
  <c r="F1742" i="1"/>
  <c r="D1743" i="1"/>
  <c r="F1743" i="1"/>
  <c r="D1744" i="1"/>
  <c r="F1744" i="1"/>
  <c r="D1745" i="1"/>
  <c r="F1745" i="1"/>
  <c r="D1746" i="1"/>
  <c r="F1746" i="1"/>
  <c r="D1747" i="1"/>
  <c r="F1747" i="1"/>
  <c r="D1748" i="1"/>
  <c r="F1748" i="1"/>
  <c r="D1749" i="1"/>
  <c r="F1749" i="1"/>
  <c r="D1750" i="1"/>
  <c r="F1750" i="1"/>
  <c r="D1751" i="1"/>
  <c r="F1751" i="1"/>
  <c r="D1752" i="1"/>
  <c r="F1752" i="1"/>
  <c r="D1753" i="1"/>
  <c r="F1753" i="1"/>
  <c r="D1754" i="1"/>
  <c r="F1754" i="1"/>
  <c r="D1755" i="1"/>
  <c r="F1755" i="1"/>
  <c r="D1756" i="1"/>
  <c r="F1756" i="1"/>
  <c r="D1757" i="1"/>
  <c r="F1757" i="1"/>
  <c r="D1758" i="1"/>
  <c r="F1758" i="1"/>
  <c r="D1759" i="1"/>
  <c r="F1759" i="1"/>
  <c r="D1760" i="1"/>
  <c r="F1760" i="1"/>
  <c r="D1761" i="1"/>
  <c r="F1761" i="1"/>
  <c r="D1762" i="1"/>
  <c r="F1762" i="1"/>
  <c r="D1763" i="1"/>
  <c r="F1763" i="1"/>
  <c r="D1764" i="1"/>
  <c r="F1764" i="1"/>
  <c r="D1765" i="1"/>
  <c r="F1765" i="1"/>
  <c r="D1766" i="1"/>
  <c r="F1766" i="1"/>
  <c r="D1767" i="1"/>
  <c r="F1767" i="1"/>
  <c r="D1768" i="1"/>
  <c r="F1768" i="1"/>
  <c r="D1769" i="1"/>
  <c r="F1769" i="1"/>
  <c r="D1770" i="1"/>
  <c r="F1770" i="1"/>
  <c r="D1771" i="1"/>
  <c r="F1771" i="1"/>
  <c r="D1772" i="1"/>
  <c r="F1772" i="1"/>
  <c r="D1773" i="1"/>
  <c r="F1773" i="1"/>
  <c r="D1774" i="1"/>
  <c r="F1774" i="1"/>
  <c r="D1775" i="1"/>
  <c r="F1775" i="1"/>
  <c r="D1776" i="1"/>
  <c r="F1776" i="1"/>
  <c r="D1777" i="1"/>
  <c r="F1777" i="1"/>
  <c r="D1778" i="1"/>
  <c r="F1778" i="1"/>
  <c r="D1779" i="1"/>
  <c r="F1779" i="1"/>
  <c r="D1780" i="1"/>
  <c r="F1780" i="1"/>
  <c r="D1781" i="1"/>
  <c r="F1781" i="1"/>
  <c r="D1782" i="1"/>
  <c r="F1782" i="1"/>
  <c r="D1783" i="1"/>
  <c r="F1783" i="1"/>
  <c r="D1784" i="1"/>
  <c r="F1784" i="1"/>
  <c r="D1785" i="1"/>
  <c r="F1785" i="1"/>
  <c r="D1786" i="1"/>
  <c r="F1786" i="1"/>
  <c r="D1787" i="1"/>
  <c r="F1787" i="1"/>
  <c r="D1788" i="1"/>
  <c r="F1788" i="1"/>
  <c r="D1789" i="1"/>
  <c r="F1789" i="1"/>
  <c r="D1790" i="1"/>
  <c r="F1790" i="1"/>
  <c r="D1791" i="1"/>
  <c r="F1791" i="1"/>
  <c r="D1792" i="1"/>
  <c r="F1792" i="1"/>
  <c r="D1793" i="1"/>
  <c r="F1793" i="1"/>
  <c r="D1794" i="1"/>
  <c r="F1794" i="1"/>
  <c r="D1795" i="1"/>
  <c r="F1795" i="1"/>
  <c r="D1796" i="1"/>
  <c r="F1796" i="1"/>
  <c r="D1797" i="1"/>
  <c r="F1797" i="1"/>
  <c r="D1798" i="1"/>
  <c r="F1798" i="1"/>
  <c r="D1799" i="1"/>
  <c r="F1799" i="1"/>
  <c r="D1800" i="1"/>
  <c r="F1800" i="1"/>
  <c r="D1801" i="1"/>
  <c r="F1801" i="1"/>
  <c r="D1802" i="1"/>
  <c r="F1802" i="1"/>
  <c r="D1803" i="1"/>
  <c r="F1803" i="1"/>
  <c r="D1804" i="1"/>
  <c r="F1804" i="1"/>
  <c r="D1805" i="1"/>
  <c r="F1805" i="1"/>
  <c r="D1806" i="1"/>
  <c r="F1806" i="1"/>
  <c r="D1807" i="1"/>
  <c r="F1807" i="1"/>
  <c r="D1808" i="1"/>
  <c r="F1808" i="1"/>
  <c r="D1809" i="1"/>
  <c r="F1809" i="1"/>
  <c r="D1810" i="1"/>
  <c r="F1810" i="1"/>
  <c r="D1811" i="1"/>
  <c r="F1811" i="1"/>
  <c r="D1812" i="1"/>
  <c r="F1812" i="1"/>
  <c r="D1813" i="1"/>
  <c r="F1813" i="1"/>
  <c r="D1814" i="1"/>
  <c r="F1814" i="1"/>
  <c r="D1815" i="1"/>
  <c r="F1815" i="1"/>
  <c r="D1816" i="1"/>
  <c r="F1816" i="1"/>
  <c r="D1817" i="1"/>
  <c r="F1817" i="1"/>
  <c r="D1818" i="1"/>
  <c r="F1818" i="1"/>
  <c r="D1819" i="1"/>
  <c r="F1819" i="1"/>
  <c r="D1820" i="1"/>
  <c r="F1820" i="1"/>
  <c r="D1821" i="1"/>
  <c r="F1821" i="1"/>
  <c r="D1822" i="1"/>
  <c r="F1822" i="1"/>
  <c r="D1823" i="1"/>
  <c r="F1823" i="1"/>
  <c r="D1824" i="1"/>
  <c r="F1824" i="1"/>
  <c r="D1825" i="1"/>
  <c r="F1825" i="1"/>
  <c r="D1826" i="1"/>
  <c r="F1826" i="1"/>
  <c r="D1827" i="1"/>
  <c r="F1827" i="1"/>
  <c r="D1828" i="1"/>
  <c r="F1828" i="1"/>
  <c r="D1829" i="1"/>
  <c r="F1829" i="1"/>
  <c r="D1830" i="1"/>
  <c r="F1830" i="1"/>
  <c r="D1831" i="1"/>
  <c r="F1831" i="1"/>
  <c r="D1832" i="1"/>
  <c r="F1832" i="1"/>
  <c r="D1833" i="1"/>
  <c r="F1833" i="1"/>
  <c r="D1834" i="1"/>
  <c r="F1834" i="1"/>
  <c r="D1835" i="1"/>
  <c r="F1835" i="1"/>
  <c r="D1836" i="1"/>
  <c r="F1836" i="1"/>
  <c r="D1837" i="1"/>
  <c r="F1837" i="1"/>
  <c r="D1838" i="1"/>
  <c r="F1838" i="1"/>
  <c r="D1839" i="1"/>
  <c r="F1839" i="1"/>
  <c r="D1840" i="1"/>
  <c r="F1840" i="1"/>
  <c r="D1841" i="1"/>
  <c r="F1841" i="1"/>
  <c r="D1842" i="1"/>
  <c r="F1842" i="1"/>
  <c r="D1843" i="1"/>
  <c r="F1843" i="1"/>
  <c r="D1844" i="1"/>
  <c r="F1844" i="1"/>
  <c r="D1845" i="1"/>
  <c r="F1845" i="1"/>
  <c r="D1846" i="1"/>
  <c r="F1846" i="1"/>
  <c r="D1847" i="1"/>
  <c r="F1847" i="1"/>
  <c r="D1848" i="1"/>
  <c r="F1848" i="1"/>
  <c r="D1849" i="1"/>
  <c r="F1849" i="1"/>
  <c r="D1850" i="1"/>
  <c r="F1850" i="1"/>
  <c r="D1851" i="1"/>
  <c r="F1851" i="1"/>
  <c r="D1852" i="1"/>
  <c r="F1852" i="1"/>
  <c r="D1853" i="1"/>
  <c r="F1853" i="1"/>
  <c r="D1854" i="1"/>
  <c r="F1854" i="1"/>
  <c r="D1855" i="1"/>
  <c r="F1855" i="1"/>
  <c r="D1856" i="1"/>
  <c r="F1856" i="1"/>
  <c r="D1857" i="1"/>
  <c r="F1857" i="1"/>
  <c r="D1858" i="1"/>
  <c r="F1858" i="1"/>
  <c r="D1859" i="1"/>
  <c r="F1859" i="1"/>
  <c r="D1860" i="1"/>
  <c r="F1860" i="1"/>
  <c r="D1861" i="1"/>
  <c r="F1861" i="1"/>
  <c r="D1862" i="1"/>
  <c r="F1862" i="1"/>
  <c r="D1863" i="1"/>
  <c r="F1863" i="1"/>
  <c r="D1864" i="1"/>
  <c r="F1864" i="1"/>
  <c r="D1865" i="1"/>
  <c r="F1865" i="1"/>
  <c r="D1866" i="1"/>
  <c r="F1866" i="1"/>
  <c r="D1867" i="1"/>
  <c r="F1867" i="1"/>
  <c r="D1868" i="1"/>
  <c r="F1868" i="1"/>
  <c r="D1869" i="1"/>
  <c r="F1869" i="1"/>
  <c r="D1870" i="1"/>
  <c r="F1870" i="1"/>
  <c r="D1871" i="1"/>
  <c r="F1871" i="1"/>
  <c r="D1872" i="1"/>
  <c r="F1872" i="1"/>
  <c r="D1873" i="1"/>
  <c r="F1873" i="1"/>
  <c r="D1874" i="1"/>
  <c r="F1874" i="1"/>
  <c r="D1875" i="1"/>
  <c r="F1875" i="1"/>
  <c r="D1876" i="1"/>
  <c r="F1876" i="1"/>
  <c r="D1877" i="1"/>
  <c r="F1877" i="1"/>
  <c r="D1878" i="1"/>
  <c r="F1878" i="1"/>
  <c r="D1879" i="1"/>
  <c r="F1879" i="1"/>
  <c r="D1880" i="1"/>
  <c r="F1880" i="1"/>
  <c r="D1881" i="1"/>
  <c r="F1881" i="1"/>
  <c r="D1882" i="1"/>
  <c r="F1882" i="1"/>
  <c r="D1883" i="1"/>
  <c r="F1883" i="1"/>
  <c r="D1884" i="1"/>
  <c r="F1884" i="1"/>
  <c r="D1885" i="1"/>
  <c r="F1885" i="1"/>
  <c r="D1886" i="1"/>
  <c r="F1886" i="1"/>
  <c r="D1887" i="1"/>
  <c r="F1887" i="1"/>
  <c r="D1888" i="1"/>
  <c r="F1888" i="1"/>
  <c r="D1889" i="1"/>
  <c r="F1889" i="1"/>
  <c r="D1890" i="1"/>
  <c r="F1890" i="1"/>
  <c r="D1891" i="1"/>
  <c r="F1891" i="1"/>
  <c r="D1892" i="1"/>
  <c r="F1892" i="1"/>
  <c r="D1893" i="1"/>
  <c r="F1893" i="1"/>
  <c r="D1894" i="1"/>
  <c r="F1894" i="1"/>
  <c r="D1895" i="1"/>
  <c r="F1895" i="1"/>
  <c r="D1896" i="1"/>
  <c r="F1896" i="1"/>
  <c r="D1897" i="1"/>
  <c r="F1897" i="1"/>
  <c r="D1898" i="1"/>
  <c r="F1898" i="1"/>
  <c r="D1899" i="1"/>
  <c r="F1899" i="1"/>
  <c r="D1900" i="1"/>
  <c r="F1900" i="1"/>
  <c r="D1901" i="1"/>
  <c r="F1901" i="1"/>
  <c r="D1902" i="1"/>
  <c r="F1902" i="1"/>
  <c r="D1903" i="1"/>
  <c r="F1903" i="1"/>
  <c r="D1904" i="1"/>
  <c r="F1904" i="1"/>
  <c r="D1905" i="1"/>
  <c r="F1905" i="1"/>
  <c r="D1906" i="1"/>
  <c r="F1906" i="1"/>
  <c r="D1907" i="1"/>
  <c r="F1907" i="1"/>
  <c r="D1908" i="1"/>
  <c r="F1908" i="1"/>
  <c r="D1909" i="1"/>
  <c r="F1909" i="1"/>
  <c r="D1910" i="1"/>
  <c r="F1910" i="1"/>
  <c r="D1911" i="1"/>
  <c r="F1911" i="1"/>
  <c r="D1912" i="1"/>
  <c r="F1912" i="1"/>
  <c r="D1913" i="1"/>
  <c r="F1913" i="1"/>
  <c r="D1914" i="1"/>
  <c r="F1914" i="1"/>
  <c r="D1915" i="1"/>
  <c r="F1915" i="1"/>
  <c r="D1916" i="1"/>
  <c r="F1916" i="1"/>
  <c r="D1917" i="1"/>
  <c r="F1917" i="1"/>
  <c r="D1918" i="1"/>
  <c r="F1918" i="1"/>
  <c r="D1919" i="1"/>
  <c r="F1919" i="1"/>
  <c r="D1920" i="1"/>
  <c r="F1920" i="1"/>
  <c r="D1921" i="1"/>
  <c r="F1921" i="1"/>
  <c r="D1922" i="1"/>
  <c r="F1922" i="1"/>
  <c r="D1923" i="1"/>
  <c r="F1923" i="1"/>
  <c r="D1924" i="1"/>
  <c r="F1924" i="1"/>
  <c r="D1925" i="1"/>
  <c r="F1925" i="1"/>
  <c r="D1926" i="1"/>
  <c r="F1926" i="1"/>
  <c r="D1927" i="1"/>
  <c r="F1927" i="1"/>
  <c r="D1928" i="1"/>
  <c r="F1928" i="1"/>
  <c r="D1929" i="1"/>
  <c r="F1929" i="1"/>
  <c r="D1930" i="1"/>
  <c r="F1930" i="1"/>
  <c r="D1931" i="1"/>
  <c r="F1931" i="1"/>
  <c r="D1932" i="1"/>
  <c r="F1932" i="1"/>
  <c r="D1933" i="1"/>
  <c r="F1933" i="1"/>
  <c r="D1934" i="1"/>
  <c r="F1934" i="1"/>
  <c r="D1935" i="1"/>
  <c r="F1935" i="1"/>
  <c r="D1936" i="1"/>
  <c r="F1936" i="1"/>
  <c r="D1937" i="1"/>
  <c r="F1937" i="1"/>
  <c r="D1938" i="1"/>
  <c r="F1938" i="1"/>
  <c r="D1939" i="1"/>
  <c r="F1939" i="1"/>
  <c r="D1940" i="1"/>
  <c r="F1940" i="1"/>
  <c r="D1941" i="1"/>
  <c r="F1941" i="1"/>
  <c r="D1942" i="1"/>
  <c r="F1942" i="1"/>
  <c r="D1943" i="1"/>
  <c r="F1943" i="1"/>
  <c r="D1944" i="1"/>
  <c r="F1944" i="1"/>
  <c r="D1945" i="1"/>
  <c r="F1945" i="1"/>
  <c r="D1946" i="1"/>
  <c r="F1946" i="1"/>
  <c r="D1947" i="1"/>
  <c r="F1947" i="1"/>
  <c r="D1948" i="1"/>
  <c r="F1948" i="1"/>
  <c r="D1949" i="1"/>
  <c r="F1949" i="1"/>
  <c r="D1950" i="1"/>
  <c r="F1950" i="1"/>
  <c r="D1951" i="1"/>
  <c r="F1951" i="1"/>
  <c r="D1952" i="1"/>
  <c r="F1952" i="1"/>
  <c r="D1953" i="1"/>
  <c r="F1953" i="1"/>
  <c r="D1954" i="1"/>
  <c r="F1954" i="1"/>
  <c r="D1955" i="1"/>
  <c r="F1955" i="1"/>
  <c r="D1956" i="1"/>
  <c r="F1956" i="1"/>
  <c r="D1957" i="1"/>
  <c r="F1957" i="1"/>
  <c r="D1958" i="1"/>
  <c r="F1958" i="1"/>
  <c r="D1959" i="1"/>
  <c r="F1959" i="1"/>
  <c r="D1960" i="1"/>
  <c r="F1960" i="1"/>
  <c r="D1961" i="1"/>
  <c r="F1961" i="1"/>
  <c r="D1962" i="1"/>
  <c r="F1962" i="1"/>
  <c r="D1963" i="1"/>
  <c r="F1963" i="1"/>
  <c r="D1964" i="1"/>
  <c r="F1964" i="1"/>
  <c r="D1965" i="1"/>
  <c r="F1965" i="1"/>
  <c r="D1966" i="1"/>
  <c r="F1966" i="1"/>
  <c r="D1967" i="1"/>
  <c r="F1967" i="1"/>
  <c r="D1968" i="1"/>
  <c r="F1968" i="1"/>
  <c r="D1969" i="1"/>
  <c r="F1969" i="1"/>
  <c r="D1970" i="1"/>
  <c r="F1970" i="1"/>
  <c r="D1971" i="1"/>
  <c r="F1971" i="1"/>
  <c r="D1972" i="1"/>
  <c r="F1972" i="1"/>
  <c r="D1973" i="1"/>
  <c r="F1973" i="1"/>
  <c r="D1974" i="1"/>
  <c r="F1974" i="1"/>
  <c r="D1975" i="1"/>
  <c r="F1975" i="1"/>
  <c r="D1976" i="1"/>
  <c r="F1976" i="1"/>
  <c r="D1977" i="1"/>
  <c r="F1977" i="1"/>
  <c r="D1978" i="1"/>
  <c r="F1978" i="1"/>
  <c r="D1979" i="1"/>
  <c r="F1979" i="1"/>
  <c r="D1980" i="1"/>
  <c r="F1980" i="1"/>
  <c r="D1981" i="1"/>
  <c r="F1981" i="1"/>
  <c r="D1982" i="1"/>
  <c r="F1982" i="1"/>
  <c r="D1983" i="1"/>
  <c r="F1983" i="1"/>
  <c r="D1984" i="1"/>
  <c r="F1984" i="1"/>
  <c r="D1985" i="1"/>
  <c r="F1985" i="1"/>
  <c r="D1986" i="1"/>
  <c r="F1986" i="1"/>
  <c r="D1987" i="1"/>
  <c r="F1987" i="1"/>
  <c r="D1988" i="1"/>
  <c r="F1988" i="1"/>
  <c r="D1989" i="1"/>
  <c r="F1989" i="1"/>
  <c r="D1990" i="1"/>
  <c r="F1990" i="1"/>
  <c r="D1991" i="1"/>
  <c r="F1991" i="1"/>
  <c r="D1992" i="1"/>
  <c r="F1992" i="1"/>
  <c r="D1993" i="1"/>
  <c r="F1993" i="1"/>
  <c r="D1994" i="1"/>
  <c r="F1994" i="1"/>
  <c r="D1995" i="1"/>
  <c r="F1995" i="1"/>
  <c r="D1996" i="1"/>
  <c r="F1996" i="1"/>
  <c r="D1997" i="1"/>
  <c r="F1997" i="1"/>
  <c r="D1998" i="1"/>
  <c r="F1998" i="1"/>
  <c r="D1999" i="1"/>
  <c r="F1999" i="1"/>
  <c r="D2000" i="1"/>
  <c r="F2000" i="1"/>
  <c r="D2001" i="1"/>
  <c r="F2001" i="1"/>
  <c r="D2002" i="1"/>
  <c r="F2002" i="1"/>
  <c r="D2003" i="1"/>
  <c r="F2003" i="1"/>
  <c r="D2004" i="1"/>
  <c r="F2004" i="1"/>
  <c r="D2005" i="1"/>
  <c r="F2005" i="1"/>
  <c r="D2006" i="1"/>
  <c r="F2006" i="1"/>
  <c r="D2007" i="1"/>
  <c r="F2007" i="1"/>
  <c r="D2008" i="1"/>
  <c r="F2008" i="1"/>
  <c r="D2009" i="1"/>
  <c r="F2009" i="1"/>
  <c r="D2010" i="1"/>
  <c r="F2010" i="1"/>
  <c r="D2011" i="1"/>
  <c r="F2011" i="1"/>
  <c r="D2012" i="1"/>
  <c r="F2012" i="1"/>
  <c r="D2013" i="1"/>
  <c r="F2013" i="1"/>
  <c r="D2014" i="1"/>
  <c r="F2014" i="1"/>
  <c r="D2015" i="1"/>
  <c r="F2015" i="1"/>
  <c r="D2016" i="1"/>
  <c r="F2016" i="1"/>
  <c r="D2017" i="1"/>
  <c r="F2017" i="1"/>
  <c r="D2018" i="1"/>
  <c r="F2018" i="1"/>
  <c r="D2019" i="1"/>
  <c r="F2019" i="1"/>
  <c r="D2020" i="1"/>
  <c r="F2020" i="1"/>
  <c r="D2021" i="1"/>
  <c r="F2021" i="1"/>
  <c r="D2022" i="1"/>
  <c r="F2022" i="1"/>
  <c r="D2023" i="1"/>
  <c r="F2023" i="1"/>
  <c r="D2024" i="1"/>
  <c r="F2024" i="1"/>
  <c r="D2025" i="1"/>
  <c r="F2025" i="1"/>
  <c r="D2026" i="1"/>
  <c r="F2026" i="1"/>
  <c r="D2027" i="1"/>
  <c r="F2027" i="1"/>
  <c r="D2028" i="1"/>
  <c r="F2028" i="1"/>
  <c r="D2029" i="1"/>
  <c r="F2029" i="1"/>
  <c r="D2030" i="1"/>
  <c r="F2030" i="1"/>
  <c r="D2031" i="1"/>
  <c r="F2031" i="1"/>
  <c r="D2032" i="1"/>
  <c r="F2032" i="1"/>
  <c r="D2033" i="1"/>
  <c r="F2033" i="1"/>
  <c r="D2034" i="1"/>
  <c r="F2034" i="1"/>
  <c r="D2035" i="1"/>
  <c r="F2035" i="1"/>
  <c r="D2036" i="1"/>
  <c r="F2036" i="1"/>
  <c r="D2037" i="1"/>
  <c r="F2037" i="1"/>
  <c r="D2038" i="1"/>
  <c r="F2038" i="1"/>
  <c r="D2039" i="1"/>
  <c r="F2039" i="1"/>
  <c r="D2040" i="1"/>
  <c r="F2040" i="1"/>
  <c r="D2041" i="1"/>
  <c r="F2041" i="1"/>
  <c r="D2042" i="1"/>
  <c r="F2042" i="1"/>
  <c r="D2043" i="1"/>
  <c r="F2043" i="1"/>
  <c r="D2044" i="1"/>
  <c r="F2044" i="1"/>
  <c r="D2045" i="1"/>
  <c r="F2045" i="1"/>
  <c r="D2046" i="1"/>
  <c r="F2046" i="1"/>
  <c r="D2047" i="1"/>
  <c r="F2047" i="1"/>
  <c r="D2048" i="1"/>
  <c r="F2048" i="1"/>
  <c r="D2049" i="1"/>
  <c r="F2049" i="1"/>
  <c r="D2050" i="1"/>
  <c r="F2050" i="1"/>
  <c r="D2051" i="1"/>
  <c r="F2051" i="1"/>
  <c r="D2052" i="1"/>
  <c r="F2052" i="1"/>
  <c r="D2053" i="1"/>
  <c r="F2053" i="1"/>
  <c r="D2054" i="1"/>
  <c r="F2054" i="1"/>
  <c r="D2055" i="1"/>
  <c r="F2055" i="1"/>
  <c r="D2056" i="1"/>
  <c r="F2056" i="1"/>
  <c r="D2057" i="1"/>
  <c r="F2057" i="1"/>
  <c r="D2058" i="1"/>
  <c r="F2058" i="1"/>
  <c r="D2059" i="1"/>
  <c r="F2059" i="1"/>
  <c r="D2060" i="1"/>
  <c r="F2060" i="1"/>
  <c r="D2061" i="1"/>
  <c r="F2061" i="1"/>
  <c r="D2062" i="1"/>
  <c r="F2062" i="1"/>
  <c r="D2063" i="1"/>
  <c r="F2063" i="1"/>
  <c r="D2064" i="1"/>
  <c r="F2064" i="1"/>
  <c r="D2065" i="1"/>
  <c r="F2065" i="1"/>
  <c r="D2066" i="1"/>
  <c r="F2066" i="1"/>
  <c r="D2067" i="1"/>
  <c r="F2067" i="1"/>
  <c r="D2068" i="1"/>
  <c r="F2068" i="1"/>
  <c r="D2069" i="1"/>
  <c r="F2069" i="1"/>
  <c r="D2070" i="1"/>
  <c r="F2070" i="1"/>
  <c r="D2071" i="1"/>
  <c r="F2071" i="1"/>
  <c r="D2072" i="1"/>
  <c r="F2072" i="1"/>
  <c r="D2073" i="1"/>
  <c r="F2073" i="1"/>
  <c r="D2074" i="1"/>
  <c r="F2074" i="1"/>
  <c r="D2075" i="1"/>
  <c r="F2075" i="1"/>
  <c r="D2076" i="1"/>
  <c r="F2076" i="1"/>
  <c r="D2077" i="1"/>
  <c r="F2077" i="1"/>
  <c r="D2078" i="1"/>
  <c r="F2078" i="1"/>
  <c r="D2079" i="1"/>
  <c r="F2079" i="1"/>
  <c r="D2080" i="1"/>
  <c r="F2080" i="1"/>
  <c r="D2081" i="1"/>
  <c r="F2081" i="1"/>
  <c r="D2082" i="1"/>
  <c r="F2082" i="1"/>
  <c r="D2083" i="1"/>
  <c r="F2083" i="1"/>
  <c r="D2084" i="1"/>
  <c r="F2084" i="1"/>
  <c r="D2085" i="1"/>
  <c r="F2085" i="1"/>
  <c r="D2086" i="1"/>
  <c r="F2086" i="1"/>
  <c r="D2087" i="1"/>
  <c r="F2087" i="1"/>
  <c r="D2088" i="1"/>
  <c r="F2088" i="1"/>
  <c r="D2089" i="1"/>
  <c r="F2089" i="1"/>
  <c r="D2090" i="1"/>
  <c r="F2090" i="1"/>
  <c r="D2091" i="1"/>
  <c r="F2091" i="1"/>
  <c r="D2092" i="1"/>
  <c r="F2092" i="1"/>
  <c r="D2093" i="1"/>
  <c r="F2093" i="1"/>
  <c r="D2094" i="1"/>
  <c r="F2094" i="1"/>
  <c r="D2095" i="1"/>
  <c r="F2095" i="1"/>
  <c r="D2096" i="1"/>
  <c r="F2096" i="1"/>
  <c r="D2097" i="1"/>
  <c r="F2097" i="1"/>
  <c r="D2098" i="1"/>
  <c r="F2098" i="1"/>
  <c r="D2099" i="1"/>
  <c r="F2099" i="1"/>
  <c r="D2100" i="1"/>
  <c r="F2100" i="1"/>
  <c r="D2101" i="1"/>
  <c r="F2101" i="1"/>
  <c r="D2102" i="1"/>
  <c r="F2102" i="1"/>
  <c r="D2103" i="1"/>
  <c r="F2103" i="1"/>
  <c r="D2104" i="1"/>
  <c r="F2104" i="1"/>
  <c r="D2105" i="1"/>
  <c r="F2105" i="1"/>
  <c r="D2106" i="1"/>
  <c r="F2106" i="1"/>
  <c r="D2107" i="1"/>
  <c r="F2107" i="1"/>
  <c r="D2108" i="1"/>
  <c r="F2108" i="1"/>
  <c r="D2109" i="1"/>
  <c r="F2109" i="1"/>
  <c r="D2110" i="1"/>
  <c r="F2110" i="1"/>
  <c r="D2111" i="1"/>
  <c r="F2111" i="1"/>
  <c r="D2112" i="1"/>
  <c r="F2112" i="1"/>
  <c r="D2113" i="1"/>
  <c r="F2113" i="1"/>
  <c r="D2114" i="1"/>
  <c r="F2114" i="1"/>
  <c r="D2115" i="1"/>
  <c r="F2115" i="1"/>
  <c r="D2116" i="1"/>
  <c r="F2116" i="1"/>
  <c r="D2117" i="1"/>
  <c r="F2117" i="1"/>
  <c r="D2118" i="1"/>
  <c r="F2118" i="1"/>
  <c r="D2119" i="1"/>
  <c r="F2119" i="1"/>
  <c r="D2120" i="1"/>
  <c r="F2120" i="1"/>
  <c r="D2121" i="1"/>
  <c r="F2121" i="1"/>
  <c r="D2122" i="1"/>
  <c r="F2122" i="1"/>
  <c r="D2123" i="1"/>
  <c r="F2123" i="1"/>
  <c r="D2124" i="1"/>
  <c r="F2124" i="1"/>
  <c r="D2125" i="1"/>
  <c r="F2125" i="1"/>
  <c r="D2126" i="1"/>
  <c r="F2126" i="1"/>
  <c r="D2127" i="1"/>
  <c r="F2127" i="1"/>
  <c r="D2128" i="1"/>
  <c r="F2128" i="1"/>
  <c r="D2129" i="1"/>
  <c r="F2129" i="1"/>
  <c r="D2130" i="1"/>
  <c r="F2130" i="1"/>
  <c r="D2131" i="1"/>
  <c r="F2131" i="1"/>
  <c r="D2132" i="1"/>
  <c r="F2132" i="1"/>
  <c r="D2133" i="1"/>
  <c r="F2133" i="1"/>
  <c r="D2134" i="1"/>
  <c r="F2134" i="1"/>
  <c r="D2135" i="1"/>
  <c r="F2135" i="1"/>
  <c r="D2136" i="1"/>
  <c r="F2136" i="1"/>
  <c r="D2137" i="1"/>
  <c r="F2137" i="1"/>
  <c r="D2138" i="1"/>
  <c r="F2138" i="1"/>
  <c r="D2139" i="1"/>
  <c r="F2139" i="1"/>
  <c r="D2140" i="1"/>
  <c r="F2140" i="1"/>
  <c r="D2141" i="1"/>
  <c r="F2141" i="1"/>
  <c r="D2142" i="1"/>
  <c r="F2142" i="1"/>
  <c r="D2143" i="1"/>
  <c r="F2143" i="1"/>
  <c r="D2144" i="1"/>
  <c r="F2144" i="1"/>
  <c r="D2145" i="1"/>
  <c r="F2145" i="1"/>
  <c r="D2146" i="1"/>
  <c r="F2146" i="1"/>
  <c r="D2147" i="1"/>
  <c r="F2147" i="1"/>
  <c r="D2148" i="1"/>
  <c r="F2148" i="1"/>
  <c r="D2149" i="1"/>
  <c r="F2149" i="1"/>
  <c r="D2150" i="1"/>
  <c r="F2150" i="1"/>
  <c r="D2151" i="1"/>
  <c r="F2151" i="1"/>
  <c r="D2152" i="1"/>
  <c r="F2152" i="1"/>
  <c r="D2153" i="1"/>
  <c r="F2153" i="1"/>
  <c r="D2154" i="1"/>
  <c r="F2154" i="1"/>
  <c r="D2155" i="1"/>
  <c r="F2155" i="1"/>
  <c r="D2156" i="1"/>
  <c r="F2156" i="1"/>
  <c r="D2157" i="1"/>
  <c r="F2157" i="1"/>
  <c r="D2158" i="1"/>
  <c r="F2158" i="1"/>
  <c r="D2159" i="1"/>
  <c r="F2159" i="1"/>
  <c r="D2160" i="1"/>
  <c r="F2160" i="1"/>
  <c r="D2161" i="1"/>
  <c r="F2161" i="1"/>
  <c r="D2162" i="1"/>
  <c r="F2162" i="1"/>
  <c r="D2163" i="1"/>
  <c r="F2163" i="1"/>
  <c r="D2164" i="1"/>
  <c r="F2164" i="1"/>
  <c r="D2165" i="1"/>
  <c r="F2165" i="1"/>
  <c r="D2166" i="1"/>
  <c r="F2166" i="1"/>
  <c r="D2167" i="1"/>
  <c r="F2167" i="1"/>
  <c r="D2168" i="1"/>
  <c r="F2168" i="1"/>
  <c r="D2169" i="1"/>
  <c r="F2169" i="1"/>
  <c r="D2170" i="1"/>
  <c r="F2170" i="1"/>
  <c r="D2171" i="1"/>
  <c r="F2171" i="1"/>
  <c r="D2172" i="1"/>
  <c r="F2172" i="1"/>
  <c r="D2173" i="1"/>
  <c r="F2173" i="1"/>
  <c r="D2174" i="1"/>
  <c r="F2174" i="1"/>
  <c r="D2175" i="1"/>
  <c r="F2175" i="1"/>
  <c r="D2176" i="1"/>
  <c r="F2176" i="1"/>
  <c r="D2177" i="1"/>
  <c r="F2177" i="1"/>
  <c r="D2178" i="1"/>
  <c r="F2178" i="1"/>
  <c r="D2179" i="1"/>
  <c r="F2179" i="1"/>
  <c r="D2180" i="1"/>
  <c r="F2180" i="1"/>
  <c r="D2181" i="1"/>
  <c r="F2181" i="1"/>
  <c r="D2182" i="1"/>
  <c r="F2182" i="1"/>
  <c r="D2183" i="1"/>
  <c r="F2183" i="1"/>
  <c r="D2184" i="1"/>
  <c r="F2184" i="1"/>
  <c r="D2185" i="1"/>
  <c r="F2185" i="1"/>
  <c r="D2186" i="1"/>
  <c r="F2186" i="1"/>
  <c r="D2187" i="1"/>
  <c r="F2187" i="1"/>
  <c r="D2188" i="1"/>
  <c r="F2188" i="1"/>
  <c r="D2189" i="1"/>
  <c r="F2189" i="1"/>
  <c r="D2190" i="1"/>
  <c r="F2190" i="1"/>
  <c r="D2191" i="1"/>
  <c r="F2191" i="1"/>
  <c r="D2192" i="1"/>
  <c r="F2192" i="1"/>
  <c r="D2193" i="1"/>
  <c r="F2193" i="1"/>
  <c r="D2194" i="1"/>
  <c r="F2194" i="1"/>
  <c r="D2195" i="1"/>
  <c r="F2195" i="1"/>
  <c r="D2196" i="1"/>
  <c r="F2196" i="1"/>
  <c r="D2197" i="1"/>
  <c r="F2197" i="1"/>
  <c r="D2198" i="1"/>
  <c r="F2198" i="1"/>
  <c r="D2199" i="1"/>
  <c r="F2199" i="1"/>
  <c r="D2200" i="1"/>
  <c r="F2200" i="1"/>
  <c r="D2201" i="1"/>
  <c r="F2201" i="1"/>
  <c r="D2202" i="1"/>
  <c r="F2202" i="1"/>
  <c r="D2203" i="1"/>
  <c r="F2203" i="1"/>
  <c r="D2204" i="1"/>
  <c r="F2204" i="1"/>
  <c r="D2205" i="1"/>
  <c r="F2205" i="1"/>
  <c r="D2206" i="1"/>
  <c r="F2206" i="1"/>
  <c r="D2207" i="1"/>
  <c r="F2207" i="1"/>
  <c r="D2208" i="1"/>
  <c r="F2208" i="1"/>
  <c r="D2209" i="1"/>
  <c r="F2209" i="1"/>
  <c r="D2210" i="1"/>
  <c r="F2210" i="1"/>
  <c r="D2211" i="1"/>
  <c r="F2211" i="1"/>
  <c r="D2212" i="1"/>
  <c r="F2212" i="1"/>
  <c r="D2213" i="1"/>
  <c r="F2213" i="1"/>
  <c r="D2214" i="1"/>
  <c r="F2214" i="1"/>
  <c r="D2215" i="1"/>
  <c r="F2215" i="1"/>
  <c r="D2216" i="1"/>
  <c r="F2216" i="1"/>
  <c r="D2217" i="1"/>
  <c r="F2217" i="1"/>
  <c r="D2218" i="1"/>
  <c r="F2218" i="1"/>
  <c r="D2219" i="1"/>
  <c r="F2219" i="1"/>
  <c r="D2220" i="1"/>
  <c r="F2220" i="1"/>
  <c r="D2221" i="1"/>
  <c r="F2221" i="1"/>
  <c r="D2222" i="1"/>
  <c r="F2222" i="1"/>
  <c r="D2223" i="1"/>
  <c r="F2223" i="1"/>
  <c r="D2224" i="1"/>
  <c r="F2224" i="1"/>
  <c r="D2225" i="1"/>
  <c r="F2225" i="1"/>
  <c r="D2226" i="1"/>
  <c r="F2226" i="1"/>
  <c r="D2227" i="1"/>
  <c r="F2227" i="1"/>
  <c r="D2228" i="1"/>
  <c r="F2228" i="1"/>
  <c r="D2229" i="1"/>
  <c r="F2229" i="1"/>
  <c r="D2230" i="1"/>
  <c r="F2230" i="1"/>
  <c r="D2231" i="1"/>
  <c r="F2231" i="1"/>
  <c r="D2232" i="1"/>
  <c r="F2232" i="1"/>
  <c r="D2233" i="1"/>
  <c r="F2233" i="1"/>
  <c r="D2234" i="1"/>
  <c r="F2234" i="1"/>
  <c r="D2235" i="1"/>
  <c r="F2235" i="1"/>
  <c r="D2236" i="1"/>
  <c r="F2236" i="1"/>
  <c r="D2237" i="1"/>
  <c r="F2237" i="1"/>
  <c r="D2238" i="1"/>
  <c r="F2238" i="1"/>
  <c r="D2239" i="1"/>
  <c r="F2239" i="1"/>
  <c r="D2240" i="1"/>
  <c r="F2240" i="1"/>
  <c r="D2241" i="1"/>
  <c r="F2241" i="1"/>
  <c r="D2242" i="1"/>
  <c r="F2242" i="1"/>
  <c r="D2243" i="1"/>
  <c r="F2243" i="1"/>
  <c r="D2244" i="1"/>
  <c r="F2244" i="1"/>
  <c r="D2245" i="1"/>
  <c r="F2245" i="1"/>
  <c r="D2246" i="1"/>
  <c r="F2246" i="1"/>
  <c r="D2247" i="1"/>
  <c r="F2247" i="1"/>
  <c r="D2248" i="1"/>
  <c r="F2248" i="1"/>
  <c r="D2249" i="1"/>
  <c r="F2249" i="1"/>
  <c r="D2250" i="1"/>
  <c r="F2250" i="1"/>
  <c r="D2251" i="1"/>
  <c r="F2251" i="1"/>
  <c r="D2252" i="1"/>
  <c r="F2252" i="1"/>
  <c r="D2253" i="1"/>
  <c r="F2253" i="1"/>
  <c r="D2254" i="1"/>
  <c r="F2254" i="1"/>
  <c r="D2255" i="1"/>
  <c r="F2255" i="1"/>
  <c r="D2256" i="1"/>
  <c r="F2256" i="1"/>
  <c r="D2257" i="1"/>
  <c r="F2257" i="1"/>
  <c r="D2258" i="1"/>
  <c r="F2258" i="1"/>
  <c r="D2259" i="1"/>
  <c r="F2259" i="1"/>
  <c r="D2260" i="1"/>
  <c r="F2260" i="1"/>
  <c r="D2261" i="1"/>
  <c r="F2261" i="1"/>
  <c r="D2262" i="1"/>
  <c r="F2262" i="1"/>
  <c r="D2263" i="1"/>
  <c r="F2263" i="1"/>
  <c r="D2264" i="1"/>
  <c r="F2264" i="1"/>
  <c r="D2265" i="1"/>
  <c r="F2265" i="1"/>
  <c r="D2266" i="1"/>
  <c r="F2266" i="1"/>
  <c r="D2267" i="1"/>
  <c r="F2267" i="1"/>
  <c r="D2268" i="1"/>
  <c r="F2268" i="1"/>
  <c r="D2269" i="1"/>
  <c r="F2269" i="1"/>
  <c r="D2270" i="1"/>
  <c r="F2270" i="1"/>
  <c r="D2271" i="1"/>
  <c r="F2271" i="1"/>
  <c r="D2272" i="1"/>
  <c r="F2272" i="1"/>
  <c r="D2273" i="1"/>
  <c r="F2273" i="1"/>
  <c r="D2274" i="1"/>
  <c r="F2274" i="1"/>
  <c r="D2275" i="1"/>
  <c r="F2275" i="1"/>
  <c r="D2276" i="1"/>
  <c r="F2276" i="1"/>
  <c r="D2277" i="1"/>
  <c r="F2277" i="1"/>
  <c r="D2278" i="1"/>
  <c r="F2278" i="1"/>
  <c r="D2279" i="1"/>
  <c r="F2279" i="1"/>
  <c r="D2280" i="1"/>
  <c r="F2280" i="1"/>
  <c r="D2281" i="1"/>
  <c r="F2281" i="1"/>
  <c r="D2282" i="1"/>
  <c r="F2282" i="1"/>
  <c r="D2283" i="1"/>
  <c r="F2283" i="1"/>
  <c r="D2284" i="1"/>
  <c r="F2284" i="1"/>
  <c r="D2285" i="1"/>
  <c r="F2285" i="1"/>
  <c r="D2286" i="1"/>
  <c r="F2286" i="1"/>
  <c r="D2287" i="1"/>
  <c r="F2287" i="1"/>
  <c r="D2288" i="1"/>
  <c r="F2288" i="1"/>
  <c r="D2289" i="1"/>
  <c r="F2289" i="1"/>
  <c r="D2290" i="1"/>
  <c r="F2290" i="1"/>
  <c r="D2291" i="1"/>
  <c r="F2291" i="1"/>
  <c r="D2292" i="1"/>
  <c r="F2292" i="1"/>
  <c r="D2293" i="1"/>
  <c r="F2293" i="1"/>
  <c r="D2294" i="1"/>
  <c r="F2294" i="1"/>
  <c r="D2295" i="1"/>
  <c r="F2295" i="1"/>
  <c r="D2296" i="1"/>
  <c r="F2296" i="1"/>
  <c r="D2297" i="1"/>
  <c r="F2297" i="1"/>
  <c r="D2298" i="1"/>
  <c r="F2298" i="1"/>
  <c r="D2299" i="1"/>
  <c r="F2299" i="1"/>
  <c r="D2300" i="1"/>
  <c r="F2300" i="1"/>
  <c r="D2301" i="1"/>
  <c r="F2301" i="1"/>
  <c r="D2302" i="1"/>
  <c r="F2302" i="1"/>
  <c r="D2303" i="1"/>
  <c r="F2303" i="1"/>
  <c r="D2304" i="1"/>
  <c r="F2304" i="1"/>
  <c r="D2305" i="1"/>
  <c r="F2305" i="1"/>
  <c r="D2306" i="1"/>
  <c r="F2306" i="1"/>
  <c r="D2307" i="1"/>
  <c r="F2307" i="1"/>
  <c r="D2308" i="1"/>
  <c r="F2308" i="1"/>
  <c r="D2309" i="1"/>
  <c r="F2309" i="1"/>
  <c r="D2310" i="1"/>
  <c r="F2310" i="1"/>
  <c r="D2311" i="1"/>
  <c r="F2311" i="1"/>
  <c r="D2312" i="1"/>
  <c r="F2312" i="1"/>
  <c r="D2313" i="1"/>
  <c r="F2313" i="1"/>
  <c r="D2314" i="1"/>
  <c r="F2314" i="1"/>
  <c r="D2315" i="1"/>
  <c r="F2315" i="1"/>
  <c r="D2316" i="1"/>
  <c r="F2316" i="1"/>
  <c r="D2317" i="1"/>
  <c r="F2317" i="1"/>
  <c r="D2318" i="1"/>
  <c r="F2318" i="1"/>
  <c r="D2319" i="1"/>
  <c r="F2319" i="1"/>
  <c r="D2320" i="1"/>
  <c r="F2320" i="1"/>
  <c r="D2321" i="1"/>
  <c r="F2321" i="1"/>
  <c r="D2322" i="1"/>
  <c r="F2322" i="1"/>
  <c r="D2323" i="1"/>
  <c r="F2323" i="1"/>
  <c r="D2324" i="1"/>
  <c r="F2324" i="1"/>
  <c r="D2325" i="1"/>
  <c r="F2325" i="1"/>
  <c r="D2326" i="1"/>
  <c r="F2326" i="1"/>
  <c r="D2327" i="1"/>
  <c r="F2327" i="1"/>
  <c r="D2328" i="1"/>
  <c r="F2328" i="1"/>
  <c r="D2329" i="1"/>
  <c r="F2329" i="1"/>
  <c r="D2330" i="1"/>
  <c r="F2330" i="1"/>
  <c r="D2331" i="1"/>
  <c r="F2331" i="1"/>
  <c r="D2332" i="1"/>
  <c r="F2332" i="1"/>
  <c r="D2333" i="1"/>
  <c r="F2333" i="1"/>
  <c r="D2334" i="1"/>
  <c r="F2334" i="1"/>
  <c r="D2335" i="1"/>
  <c r="F2335" i="1"/>
  <c r="D2336" i="1"/>
  <c r="F2336" i="1"/>
  <c r="D2337" i="1"/>
  <c r="F2337" i="1"/>
  <c r="D2338" i="1"/>
  <c r="F2338" i="1"/>
  <c r="D2339" i="1"/>
  <c r="F2339" i="1"/>
  <c r="D2340" i="1"/>
  <c r="F2340" i="1"/>
  <c r="D2341" i="1"/>
  <c r="F2341" i="1"/>
  <c r="D2342" i="1"/>
  <c r="F2342" i="1"/>
  <c r="D2343" i="1"/>
  <c r="F2343" i="1"/>
  <c r="D2344" i="1"/>
  <c r="F2344" i="1"/>
  <c r="D2345" i="1"/>
  <c r="F2345" i="1"/>
  <c r="D2346" i="1"/>
  <c r="F2346" i="1"/>
  <c r="D2347" i="1"/>
  <c r="F2347" i="1"/>
  <c r="D2348" i="1"/>
  <c r="F2348" i="1"/>
  <c r="D2349" i="1"/>
  <c r="F2349" i="1"/>
  <c r="D2350" i="1"/>
  <c r="F2350" i="1"/>
  <c r="D2351" i="1"/>
  <c r="F2351" i="1"/>
  <c r="D2352" i="1"/>
  <c r="F2352" i="1"/>
  <c r="D2353" i="1"/>
  <c r="F2353" i="1"/>
  <c r="D2354" i="1"/>
  <c r="F2354" i="1"/>
  <c r="D2355" i="1"/>
  <c r="F2355" i="1"/>
  <c r="D2356" i="1"/>
  <c r="F2356" i="1"/>
  <c r="D2357" i="1"/>
  <c r="F2357" i="1"/>
  <c r="D2358" i="1"/>
  <c r="F2358" i="1"/>
  <c r="D2359" i="1"/>
  <c r="F2359" i="1"/>
  <c r="D2360" i="1"/>
  <c r="F2360" i="1"/>
  <c r="D2361" i="1"/>
  <c r="F2361" i="1"/>
  <c r="D2362" i="1"/>
  <c r="F2362" i="1"/>
  <c r="D2363" i="1"/>
  <c r="F2363" i="1"/>
  <c r="D2364" i="1"/>
  <c r="F2364" i="1"/>
  <c r="D2365" i="1"/>
  <c r="F2365" i="1"/>
  <c r="D2366" i="1"/>
  <c r="F2366" i="1"/>
  <c r="D2367" i="1"/>
  <c r="F2367" i="1"/>
  <c r="D2368" i="1"/>
  <c r="F2368" i="1"/>
  <c r="D2369" i="1"/>
  <c r="F2369" i="1"/>
  <c r="D2370" i="1"/>
  <c r="F2370" i="1"/>
  <c r="D2371" i="1"/>
  <c r="F2371" i="1"/>
  <c r="D2372" i="1"/>
  <c r="F2372" i="1"/>
  <c r="D2373" i="1"/>
  <c r="F2373" i="1"/>
  <c r="D2374" i="1"/>
  <c r="F2374" i="1"/>
  <c r="D2375" i="1"/>
  <c r="F2375" i="1"/>
  <c r="D2376" i="1"/>
  <c r="F2376" i="1"/>
  <c r="D2377" i="1"/>
  <c r="F2377" i="1"/>
  <c r="D2378" i="1"/>
  <c r="F2378" i="1"/>
  <c r="D2379" i="1"/>
  <c r="F2379" i="1"/>
  <c r="D2380" i="1"/>
  <c r="F2380" i="1"/>
  <c r="D2381" i="1"/>
  <c r="F2381" i="1"/>
  <c r="D2382" i="1"/>
  <c r="F2382" i="1"/>
  <c r="D2383" i="1"/>
  <c r="F2383" i="1"/>
  <c r="D2384" i="1"/>
  <c r="F2384" i="1"/>
  <c r="D2385" i="1"/>
  <c r="F2385" i="1"/>
  <c r="D2386" i="1"/>
  <c r="F2386" i="1"/>
  <c r="D2387" i="1"/>
  <c r="F2387" i="1"/>
  <c r="D2388" i="1"/>
  <c r="F2388" i="1"/>
  <c r="D2389" i="1"/>
  <c r="F2389" i="1"/>
  <c r="D2390" i="1"/>
  <c r="F2390" i="1"/>
  <c r="D2391" i="1"/>
  <c r="F2391" i="1"/>
  <c r="D2392" i="1"/>
  <c r="F2392" i="1"/>
  <c r="D2393" i="1"/>
  <c r="F2393" i="1"/>
  <c r="D2394" i="1"/>
  <c r="F2394" i="1"/>
  <c r="D2395" i="1"/>
  <c r="F2395" i="1"/>
  <c r="D2396" i="1"/>
  <c r="F2396" i="1"/>
  <c r="D2397" i="1"/>
  <c r="F2397" i="1"/>
  <c r="D2398" i="1"/>
  <c r="F2398" i="1"/>
  <c r="D2399" i="1"/>
  <c r="F2399" i="1"/>
  <c r="D2400" i="1"/>
  <c r="F2400" i="1"/>
  <c r="D2401" i="1"/>
  <c r="F2401" i="1"/>
  <c r="D2402" i="1"/>
  <c r="F2402" i="1"/>
  <c r="D2403" i="1"/>
  <c r="F2403" i="1"/>
  <c r="D2404" i="1"/>
  <c r="F2404" i="1"/>
  <c r="D2405" i="1"/>
  <c r="F2405" i="1"/>
  <c r="D2406" i="1"/>
  <c r="F2406" i="1"/>
  <c r="D2407" i="1"/>
  <c r="F2407" i="1"/>
  <c r="D2408" i="1"/>
  <c r="F2408" i="1"/>
  <c r="D2409" i="1"/>
  <c r="F2409" i="1"/>
  <c r="D2410" i="1"/>
  <c r="F2410" i="1"/>
  <c r="D2411" i="1"/>
  <c r="F2411" i="1"/>
  <c r="D2412" i="1"/>
  <c r="F2412" i="1"/>
  <c r="D2413" i="1"/>
  <c r="F2413" i="1"/>
  <c r="D2414" i="1"/>
  <c r="F2414" i="1"/>
  <c r="D2415" i="1"/>
  <c r="F2415" i="1"/>
  <c r="D2416" i="1"/>
  <c r="F2416" i="1"/>
  <c r="D2417" i="1"/>
  <c r="F2417" i="1"/>
  <c r="D2418" i="1"/>
  <c r="F2418" i="1"/>
  <c r="D2419" i="1"/>
  <c r="F2419" i="1"/>
  <c r="D2420" i="1"/>
  <c r="F2420" i="1"/>
  <c r="D2421" i="1"/>
  <c r="F2421" i="1"/>
  <c r="D2422" i="1"/>
  <c r="F2422" i="1"/>
  <c r="D2423" i="1"/>
  <c r="F2423" i="1"/>
  <c r="D2424" i="1"/>
  <c r="F2424" i="1"/>
  <c r="D2425" i="1"/>
  <c r="F2425" i="1"/>
  <c r="D2426" i="1"/>
  <c r="F2426" i="1"/>
  <c r="D2427" i="1"/>
  <c r="F2427" i="1"/>
  <c r="D2428" i="1"/>
  <c r="F2428" i="1"/>
  <c r="D2429" i="1"/>
  <c r="F2429" i="1"/>
  <c r="D2430" i="1"/>
  <c r="F2430" i="1"/>
  <c r="D2431" i="1"/>
  <c r="F2431" i="1"/>
  <c r="D2432" i="1"/>
  <c r="F2432" i="1"/>
  <c r="D2433" i="1"/>
  <c r="F2433" i="1"/>
  <c r="D2434" i="1"/>
  <c r="F2434" i="1"/>
  <c r="D2435" i="1"/>
  <c r="F2435" i="1"/>
  <c r="D2436" i="1"/>
  <c r="F2436" i="1"/>
  <c r="D2437" i="1"/>
  <c r="F2437" i="1"/>
  <c r="D2438" i="1"/>
  <c r="F2438" i="1"/>
  <c r="D2439" i="1"/>
  <c r="F2439" i="1"/>
  <c r="D2440" i="1"/>
  <c r="F2440" i="1"/>
  <c r="D2441" i="1"/>
  <c r="F2441" i="1"/>
  <c r="D2442" i="1"/>
  <c r="F2442" i="1"/>
  <c r="D2443" i="1"/>
  <c r="F2443" i="1"/>
  <c r="D2444" i="1"/>
  <c r="F2444" i="1"/>
  <c r="D2445" i="1"/>
  <c r="F2445" i="1"/>
  <c r="D2446" i="1"/>
  <c r="F2446" i="1"/>
  <c r="D2447" i="1"/>
  <c r="F2447" i="1"/>
  <c r="D2448" i="1"/>
  <c r="F2448" i="1"/>
  <c r="D2449" i="1"/>
  <c r="F2449" i="1"/>
  <c r="D2450" i="1"/>
  <c r="F2450" i="1"/>
  <c r="D2451" i="1"/>
  <c r="F2451" i="1"/>
  <c r="D2452" i="1"/>
  <c r="F2452" i="1"/>
  <c r="D2453" i="1"/>
  <c r="F2453" i="1"/>
  <c r="D2454" i="1"/>
  <c r="F2454" i="1"/>
  <c r="D2455" i="1"/>
  <c r="F2455" i="1"/>
  <c r="D2456" i="1"/>
  <c r="F2456" i="1"/>
  <c r="D2457" i="1"/>
  <c r="F2457" i="1"/>
  <c r="D2458" i="1"/>
  <c r="F2458" i="1"/>
  <c r="D2459" i="1"/>
  <c r="F2459" i="1"/>
  <c r="D2460" i="1"/>
  <c r="F2460" i="1"/>
  <c r="D2461" i="1"/>
  <c r="F2461" i="1"/>
  <c r="D2462" i="1"/>
  <c r="F2462" i="1"/>
  <c r="D2463" i="1"/>
  <c r="F2463" i="1"/>
  <c r="D2464" i="1"/>
  <c r="F2464" i="1"/>
  <c r="D2465" i="1"/>
  <c r="F2465" i="1"/>
  <c r="D2466" i="1"/>
  <c r="F2466" i="1"/>
  <c r="D2467" i="1"/>
  <c r="F2467" i="1"/>
  <c r="D2468" i="1"/>
  <c r="F2468" i="1"/>
  <c r="D2469" i="1"/>
  <c r="F2469" i="1"/>
  <c r="D2470" i="1"/>
  <c r="F2470" i="1"/>
  <c r="D2471" i="1"/>
  <c r="F2471" i="1"/>
  <c r="D2472" i="1"/>
  <c r="F2472" i="1"/>
  <c r="D2473" i="1"/>
  <c r="F2473" i="1"/>
  <c r="D2474" i="1"/>
  <c r="F2474" i="1"/>
  <c r="D2475" i="1"/>
  <c r="F2475" i="1"/>
  <c r="D2476" i="1"/>
  <c r="F2476" i="1"/>
  <c r="D2477" i="1"/>
  <c r="F2477" i="1"/>
  <c r="D2478" i="1"/>
  <c r="F2478" i="1"/>
  <c r="D2479" i="1"/>
  <c r="F2479" i="1"/>
  <c r="D2480" i="1"/>
  <c r="F2480" i="1"/>
  <c r="D2481" i="1"/>
  <c r="F2481" i="1"/>
  <c r="D2482" i="1"/>
  <c r="F2482" i="1"/>
  <c r="D2483" i="1"/>
  <c r="F2483" i="1"/>
  <c r="D2484" i="1"/>
  <c r="F2484" i="1"/>
  <c r="D2485" i="1"/>
  <c r="F2485" i="1"/>
  <c r="D2486" i="1"/>
  <c r="F2486" i="1"/>
  <c r="D2487" i="1"/>
  <c r="F2487" i="1"/>
  <c r="D2488" i="1"/>
  <c r="F2488" i="1"/>
  <c r="D2489" i="1"/>
  <c r="F2489" i="1"/>
  <c r="D2490" i="1"/>
  <c r="F2490" i="1"/>
  <c r="D2491" i="1"/>
  <c r="F2491" i="1"/>
  <c r="D2492" i="1"/>
  <c r="F2492" i="1"/>
  <c r="D2493" i="1"/>
  <c r="F2493" i="1"/>
  <c r="D2494" i="1"/>
  <c r="F2494" i="1"/>
  <c r="D2495" i="1"/>
  <c r="F2495" i="1"/>
  <c r="D2496" i="1"/>
  <c r="F2496" i="1"/>
  <c r="D2497" i="1"/>
  <c r="F2497" i="1"/>
  <c r="D2498" i="1"/>
  <c r="F2498" i="1"/>
  <c r="D2499" i="1"/>
  <c r="F2499" i="1"/>
  <c r="D2500" i="1"/>
  <c r="F2500" i="1"/>
  <c r="D2501" i="1"/>
  <c r="F2501" i="1"/>
  <c r="D2502" i="1"/>
  <c r="F2502" i="1"/>
  <c r="D2503" i="1"/>
  <c r="F2503" i="1"/>
  <c r="D2504" i="1"/>
  <c r="F2504" i="1"/>
  <c r="D2505" i="1"/>
  <c r="F2505" i="1"/>
  <c r="D2506" i="1"/>
  <c r="F2506" i="1"/>
  <c r="D2507" i="1"/>
  <c r="F2507" i="1"/>
  <c r="D2508" i="1"/>
  <c r="F2508" i="1"/>
  <c r="D2509" i="1"/>
  <c r="F2509" i="1"/>
  <c r="D2510" i="1"/>
  <c r="F2510" i="1"/>
  <c r="D2511" i="1"/>
  <c r="F2511" i="1"/>
  <c r="D2512" i="1"/>
  <c r="F2512" i="1"/>
  <c r="D2513" i="1"/>
  <c r="F2513" i="1"/>
  <c r="D2514" i="1"/>
  <c r="F2514" i="1"/>
  <c r="D2515" i="1"/>
  <c r="F2515" i="1"/>
  <c r="D2516" i="1"/>
  <c r="F2516" i="1"/>
  <c r="D2517" i="1"/>
  <c r="F2517" i="1"/>
  <c r="D2518" i="1"/>
  <c r="F2518" i="1"/>
  <c r="D2519" i="1"/>
  <c r="F2519" i="1"/>
  <c r="D2520" i="1"/>
  <c r="F2520" i="1"/>
  <c r="D2521" i="1"/>
  <c r="F2521" i="1"/>
  <c r="D2522" i="1"/>
  <c r="F2522" i="1"/>
  <c r="D2523" i="1"/>
  <c r="F2523" i="1"/>
  <c r="D2524" i="1"/>
  <c r="F2524" i="1"/>
  <c r="D2525" i="1"/>
  <c r="F2525" i="1"/>
  <c r="D2526" i="1"/>
  <c r="F2526" i="1"/>
  <c r="D2527" i="1"/>
  <c r="F2527" i="1"/>
  <c r="D2528" i="1"/>
  <c r="F2528" i="1"/>
  <c r="D2529" i="1"/>
  <c r="F2529" i="1"/>
  <c r="D2530" i="1"/>
  <c r="F2530" i="1"/>
  <c r="D2531" i="1"/>
  <c r="F2531" i="1"/>
  <c r="D2532" i="1"/>
  <c r="F2532" i="1"/>
  <c r="D2533" i="1"/>
  <c r="F2533" i="1"/>
  <c r="D2534" i="1"/>
  <c r="F2534" i="1"/>
  <c r="D2535" i="1"/>
  <c r="F2535" i="1"/>
  <c r="D2536" i="1"/>
  <c r="F2536" i="1"/>
  <c r="D2537" i="1"/>
  <c r="F2537" i="1"/>
  <c r="D2538" i="1"/>
  <c r="F2538" i="1"/>
  <c r="D2539" i="1"/>
  <c r="F2539" i="1"/>
  <c r="D2540" i="1"/>
  <c r="F2540" i="1"/>
  <c r="D2541" i="1"/>
  <c r="F2541" i="1"/>
  <c r="D2542" i="1"/>
  <c r="F2542" i="1"/>
  <c r="D2543" i="1"/>
  <c r="F2543" i="1"/>
  <c r="D2544" i="1"/>
  <c r="F2544" i="1"/>
  <c r="D2545" i="1"/>
  <c r="F2545" i="1"/>
  <c r="D2546" i="1"/>
  <c r="F2546" i="1"/>
  <c r="D2547" i="1"/>
  <c r="F2547" i="1"/>
  <c r="D2548" i="1"/>
  <c r="F2548" i="1"/>
  <c r="D2549" i="1"/>
  <c r="F2549" i="1"/>
  <c r="D2550" i="1"/>
  <c r="F2550" i="1"/>
  <c r="D2551" i="1"/>
  <c r="F2551" i="1"/>
  <c r="D2552" i="1"/>
  <c r="F2552" i="1"/>
  <c r="D2553" i="1"/>
  <c r="F2553" i="1"/>
  <c r="D2554" i="1"/>
  <c r="F2554" i="1"/>
  <c r="D2555" i="1"/>
  <c r="F2555" i="1"/>
  <c r="D2556" i="1"/>
  <c r="F2556" i="1"/>
  <c r="D2557" i="1"/>
  <c r="F2557" i="1"/>
  <c r="D2558" i="1"/>
  <c r="F2558" i="1"/>
  <c r="D2559" i="1"/>
  <c r="F2559" i="1"/>
  <c r="D2560" i="1"/>
  <c r="F2560" i="1"/>
  <c r="D2561" i="1"/>
  <c r="F2561" i="1"/>
  <c r="D2562" i="1"/>
  <c r="F2562" i="1"/>
  <c r="D2563" i="1"/>
  <c r="F2563" i="1"/>
  <c r="D2564" i="1"/>
  <c r="F2564" i="1"/>
  <c r="D2565" i="1"/>
  <c r="F2565" i="1"/>
  <c r="D2566" i="1"/>
  <c r="F2566" i="1"/>
  <c r="D2567" i="1"/>
  <c r="F2567" i="1"/>
  <c r="D2568" i="1"/>
  <c r="F2568" i="1"/>
  <c r="D2569" i="1"/>
  <c r="F2569" i="1"/>
  <c r="D2570" i="1"/>
  <c r="F2570" i="1"/>
  <c r="D2571" i="1"/>
  <c r="F2571" i="1"/>
  <c r="D2572" i="1"/>
  <c r="F2572" i="1"/>
  <c r="D2573" i="1"/>
  <c r="F2573" i="1"/>
  <c r="D2574" i="1"/>
  <c r="F2574" i="1"/>
  <c r="D2575" i="1"/>
  <c r="F2575" i="1"/>
  <c r="D2576" i="1"/>
  <c r="F2576" i="1"/>
  <c r="D2577" i="1"/>
  <c r="F2577" i="1"/>
  <c r="D2578" i="1"/>
  <c r="F2578" i="1"/>
  <c r="D2579" i="1"/>
  <c r="F2579" i="1"/>
  <c r="D2580" i="1"/>
  <c r="F2580" i="1"/>
  <c r="D2581" i="1"/>
  <c r="F2581" i="1"/>
  <c r="D2582" i="1"/>
  <c r="F2582" i="1"/>
  <c r="D2583" i="1"/>
  <c r="F2583" i="1"/>
  <c r="D2584" i="1"/>
  <c r="F2584" i="1"/>
  <c r="D2585" i="1"/>
  <c r="F2585" i="1"/>
  <c r="D2586" i="1"/>
  <c r="F2586" i="1"/>
  <c r="D2587" i="1"/>
  <c r="F2587" i="1"/>
  <c r="D2588" i="1"/>
  <c r="F2588" i="1"/>
  <c r="D2589" i="1"/>
  <c r="F2589" i="1"/>
  <c r="D2590" i="1"/>
  <c r="F2590" i="1"/>
  <c r="D2591" i="1"/>
  <c r="F2591" i="1"/>
  <c r="D2592" i="1"/>
  <c r="F2592" i="1"/>
  <c r="D2593" i="1"/>
  <c r="F2593" i="1"/>
  <c r="D2594" i="1"/>
  <c r="F2594" i="1"/>
  <c r="D2595" i="1"/>
  <c r="F2595" i="1"/>
  <c r="D2596" i="1"/>
  <c r="F2596" i="1"/>
  <c r="D2597" i="1"/>
  <c r="F2597" i="1"/>
  <c r="D2598" i="1"/>
  <c r="F2598" i="1"/>
  <c r="D2599" i="1"/>
  <c r="F2599" i="1"/>
  <c r="D2600" i="1"/>
  <c r="F2600" i="1"/>
  <c r="D2601" i="1"/>
  <c r="F2601" i="1"/>
  <c r="D2602" i="1"/>
  <c r="F2602" i="1"/>
  <c r="D2603" i="1"/>
  <c r="F2603" i="1"/>
  <c r="D2604" i="1"/>
  <c r="F2604" i="1"/>
  <c r="D2605" i="1"/>
  <c r="F2605" i="1"/>
  <c r="D2606" i="1"/>
  <c r="F2606" i="1"/>
  <c r="D2607" i="1"/>
  <c r="F2607" i="1"/>
  <c r="D2608" i="1"/>
  <c r="F2608" i="1"/>
  <c r="D2609" i="1"/>
  <c r="F2609" i="1"/>
  <c r="D2610" i="1"/>
  <c r="F2610" i="1"/>
  <c r="D2611" i="1"/>
  <c r="F2611" i="1"/>
  <c r="D2612" i="1"/>
  <c r="F2612" i="1"/>
  <c r="D2613" i="1"/>
  <c r="F2613" i="1"/>
  <c r="D2614" i="1"/>
  <c r="F2614" i="1"/>
  <c r="D2615" i="1"/>
  <c r="F2615" i="1"/>
  <c r="D2616" i="1"/>
  <c r="F2616" i="1"/>
  <c r="D2617" i="1"/>
  <c r="F2617" i="1"/>
  <c r="D2618" i="1"/>
  <c r="F2618" i="1"/>
  <c r="D2619" i="1"/>
  <c r="F2619" i="1"/>
  <c r="D2620" i="1"/>
  <c r="F2620" i="1"/>
  <c r="D2621" i="1"/>
  <c r="F2621" i="1"/>
  <c r="D2622" i="1"/>
  <c r="F2622" i="1"/>
  <c r="D2623" i="1"/>
  <c r="F2623" i="1"/>
  <c r="D2624" i="1"/>
  <c r="F2624" i="1"/>
  <c r="D2625" i="1"/>
  <c r="F2625" i="1"/>
  <c r="D2626" i="1"/>
  <c r="F2626" i="1"/>
  <c r="D2627" i="1"/>
  <c r="F2627" i="1"/>
  <c r="D2628" i="1"/>
  <c r="F2628" i="1"/>
  <c r="D2629" i="1"/>
  <c r="F2629" i="1"/>
  <c r="D2630" i="1"/>
  <c r="F2630" i="1"/>
  <c r="D2631" i="1"/>
  <c r="F2631" i="1"/>
  <c r="D2632" i="1"/>
  <c r="F2632" i="1"/>
  <c r="D2633" i="1"/>
  <c r="F2633" i="1"/>
  <c r="D2634" i="1"/>
  <c r="F2634" i="1"/>
  <c r="D2635" i="1"/>
  <c r="F2635" i="1"/>
  <c r="D2636" i="1"/>
  <c r="F2636" i="1"/>
  <c r="D2637" i="1"/>
  <c r="F2637" i="1"/>
  <c r="D2638" i="1"/>
  <c r="F2638" i="1"/>
  <c r="D2639" i="1"/>
  <c r="F2639" i="1"/>
  <c r="D2640" i="1"/>
  <c r="F2640" i="1"/>
  <c r="D2641" i="1"/>
  <c r="F2641" i="1"/>
  <c r="D2642" i="1"/>
  <c r="F2642" i="1"/>
  <c r="D2643" i="1"/>
  <c r="F2643" i="1"/>
  <c r="D2644" i="1"/>
  <c r="F2644" i="1"/>
  <c r="D2645" i="1"/>
  <c r="F2645" i="1"/>
  <c r="D2646" i="1"/>
  <c r="F2646" i="1"/>
  <c r="D2647" i="1"/>
  <c r="F2647" i="1"/>
  <c r="D2648" i="1"/>
  <c r="F2648" i="1"/>
  <c r="D2649" i="1"/>
  <c r="F2649" i="1"/>
  <c r="D2650" i="1"/>
  <c r="F2650" i="1"/>
  <c r="D2651" i="1"/>
  <c r="F2651" i="1"/>
  <c r="D2652" i="1"/>
  <c r="F2652" i="1"/>
  <c r="D2653" i="1"/>
  <c r="F2653" i="1"/>
  <c r="D2654" i="1"/>
  <c r="F2654" i="1"/>
  <c r="D2655" i="1"/>
  <c r="F2655" i="1"/>
  <c r="D2656" i="1"/>
  <c r="F2656" i="1"/>
  <c r="D2657" i="1"/>
  <c r="F2657" i="1"/>
  <c r="D2658" i="1"/>
  <c r="F2658" i="1"/>
  <c r="D2659" i="1"/>
  <c r="F2659" i="1"/>
  <c r="D2660" i="1"/>
  <c r="F2660" i="1"/>
  <c r="D2661" i="1"/>
  <c r="F2661" i="1"/>
  <c r="D2662" i="1"/>
  <c r="F2662" i="1"/>
  <c r="D2663" i="1"/>
  <c r="F2663" i="1"/>
  <c r="D2664" i="1"/>
  <c r="F2664" i="1"/>
  <c r="D2665" i="1"/>
  <c r="F2665" i="1"/>
  <c r="D2666" i="1"/>
  <c r="F2666" i="1"/>
  <c r="D2667" i="1"/>
  <c r="F2667" i="1"/>
  <c r="D2668" i="1"/>
  <c r="F2668" i="1"/>
  <c r="D2669" i="1"/>
  <c r="F2669" i="1"/>
  <c r="D2670" i="1"/>
  <c r="F2670" i="1"/>
  <c r="D2671" i="1"/>
  <c r="F2671" i="1"/>
  <c r="D2672" i="1"/>
  <c r="F2672" i="1"/>
  <c r="D2673" i="1"/>
  <c r="F2673" i="1"/>
  <c r="D2674" i="1"/>
  <c r="F2674" i="1"/>
  <c r="D2675" i="1"/>
  <c r="F2675" i="1"/>
  <c r="D2676" i="1"/>
  <c r="F2676" i="1"/>
  <c r="D2677" i="1"/>
  <c r="F2677" i="1"/>
  <c r="D2678" i="1"/>
  <c r="F2678" i="1"/>
  <c r="D2679" i="1"/>
  <c r="F2679" i="1"/>
  <c r="D2680" i="1"/>
  <c r="F2680" i="1"/>
  <c r="D2681" i="1"/>
  <c r="F2681" i="1"/>
  <c r="D2682" i="1"/>
  <c r="F2682" i="1"/>
  <c r="D2683" i="1"/>
  <c r="F2683" i="1"/>
  <c r="D2684" i="1"/>
  <c r="F2684" i="1"/>
  <c r="D2685" i="1"/>
  <c r="F2685" i="1"/>
  <c r="D2686" i="1"/>
  <c r="F2686" i="1"/>
  <c r="D2687" i="1"/>
  <c r="F2687" i="1"/>
  <c r="D2688" i="1"/>
  <c r="F2688" i="1"/>
  <c r="D2689" i="1"/>
  <c r="F2689" i="1"/>
  <c r="D2690" i="1"/>
  <c r="F2690" i="1"/>
  <c r="D2691" i="1"/>
  <c r="F2691" i="1"/>
  <c r="D2692" i="1"/>
  <c r="F2692" i="1"/>
  <c r="D2693" i="1"/>
  <c r="F2693" i="1"/>
  <c r="D2694" i="1"/>
  <c r="F2694" i="1"/>
  <c r="D2695" i="1"/>
  <c r="F2695" i="1"/>
  <c r="D2696" i="1"/>
  <c r="F2696" i="1"/>
  <c r="D2697" i="1"/>
  <c r="F2697" i="1"/>
  <c r="D2698" i="1"/>
  <c r="F2698" i="1"/>
  <c r="D2699" i="1"/>
  <c r="F2699" i="1"/>
  <c r="D2700" i="1"/>
  <c r="F2700" i="1"/>
  <c r="D2701" i="1"/>
  <c r="F2701" i="1"/>
  <c r="D2702" i="1"/>
  <c r="F2702" i="1"/>
  <c r="D2703" i="1"/>
  <c r="F2703" i="1"/>
  <c r="D2704" i="1"/>
  <c r="F2704" i="1"/>
  <c r="D2705" i="1"/>
  <c r="F2705" i="1"/>
  <c r="D2706" i="1"/>
  <c r="F2706" i="1"/>
  <c r="D2707" i="1"/>
  <c r="F2707" i="1"/>
  <c r="D2708" i="1"/>
  <c r="F2708" i="1"/>
  <c r="D2709" i="1"/>
  <c r="F2709" i="1"/>
  <c r="D2710" i="1"/>
  <c r="F2710" i="1"/>
  <c r="D2711" i="1"/>
  <c r="F2711" i="1"/>
  <c r="D2712" i="1"/>
  <c r="F2712" i="1"/>
  <c r="D2713" i="1"/>
  <c r="F2713" i="1"/>
  <c r="D2714" i="1"/>
  <c r="F2714" i="1"/>
  <c r="D2715" i="1"/>
  <c r="F2715" i="1"/>
  <c r="D2716" i="1"/>
  <c r="F2716" i="1"/>
  <c r="D2717" i="1"/>
  <c r="F2717" i="1"/>
  <c r="D2718" i="1"/>
  <c r="F2718" i="1"/>
  <c r="D2719" i="1"/>
  <c r="F2719" i="1"/>
  <c r="D2720" i="1"/>
  <c r="F2720" i="1"/>
  <c r="D2721" i="1"/>
  <c r="F2721" i="1"/>
  <c r="D2722" i="1"/>
  <c r="F2722" i="1"/>
  <c r="D2723" i="1"/>
  <c r="F2723" i="1"/>
  <c r="D2724" i="1"/>
  <c r="F2724" i="1"/>
  <c r="D2725" i="1"/>
  <c r="F2725" i="1"/>
  <c r="D2726" i="1"/>
  <c r="F2726" i="1"/>
  <c r="D2727" i="1"/>
  <c r="F2727" i="1"/>
  <c r="D2728" i="1"/>
  <c r="F2728" i="1"/>
  <c r="D2729" i="1"/>
  <c r="F2729" i="1"/>
  <c r="D2730" i="1"/>
  <c r="F2730" i="1"/>
  <c r="D2731" i="1"/>
  <c r="F2731" i="1"/>
  <c r="D2732" i="1"/>
  <c r="F2732" i="1"/>
  <c r="D2733" i="1"/>
  <c r="F2733" i="1"/>
  <c r="D2734" i="1"/>
  <c r="F2734" i="1"/>
  <c r="D2735" i="1"/>
  <c r="F2735" i="1"/>
  <c r="D2736" i="1"/>
  <c r="F2736" i="1"/>
  <c r="D2737" i="1"/>
  <c r="F2737" i="1"/>
  <c r="D2738" i="1"/>
  <c r="F2738" i="1"/>
  <c r="D2739" i="1"/>
  <c r="F2739" i="1"/>
  <c r="D2740" i="1"/>
  <c r="F2740" i="1"/>
  <c r="D2741" i="1"/>
  <c r="F2741" i="1"/>
  <c r="D2742" i="1"/>
  <c r="F2742" i="1"/>
  <c r="D2743" i="1"/>
  <c r="F2743" i="1"/>
  <c r="D2744" i="1"/>
  <c r="F2744" i="1"/>
  <c r="D2745" i="1"/>
  <c r="F2745" i="1"/>
  <c r="D2746" i="1"/>
  <c r="F2746" i="1"/>
  <c r="D2747" i="1"/>
  <c r="F2747" i="1"/>
  <c r="D2748" i="1"/>
  <c r="F2748" i="1"/>
  <c r="D2749" i="1"/>
  <c r="F2749" i="1"/>
  <c r="D2750" i="1"/>
  <c r="F2750" i="1"/>
  <c r="D2751" i="1"/>
  <c r="F2751" i="1"/>
  <c r="D2752" i="1"/>
  <c r="F2752" i="1"/>
  <c r="D2753" i="1"/>
  <c r="F2753" i="1"/>
  <c r="D2754" i="1"/>
  <c r="F2754" i="1"/>
  <c r="D2755" i="1"/>
  <c r="F2755" i="1"/>
  <c r="D2756" i="1"/>
  <c r="F2756" i="1"/>
  <c r="D2757" i="1"/>
  <c r="F2757" i="1"/>
  <c r="D2758" i="1"/>
  <c r="F2758" i="1"/>
  <c r="D2759" i="1"/>
  <c r="F2759" i="1"/>
  <c r="D2760" i="1"/>
  <c r="F2760" i="1"/>
  <c r="D2761" i="1"/>
  <c r="F2761" i="1"/>
  <c r="D2762" i="1"/>
  <c r="F2762" i="1"/>
  <c r="D2763" i="1"/>
  <c r="F2763" i="1"/>
  <c r="D2764" i="1"/>
  <c r="F2764" i="1"/>
  <c r="D2765" i="1"/>
  <c r="F2765" i="1"/>
  <c r="D2766" i="1"/>
  <c r="F2766" i="1"/>
  <c r="D2767" i="1"/>
  <c r="F2767" i="1"/>
  <c r="D2768" i="1"/>
  <c r="F2768" i="1"/>
  <c r="D2769" i="1"/>
  <c r="F2769" i="1"/>
  <c r="D2770" i="1"/>
  <c r="F2770" i="1"/>
  <c r="D2771" i="1"/>
  <c r="F2771" i="1"/>
  <c r="D2772" i="1"/>
  <c r="F2772" i="1"/>
  <c r="D2773" i="1"/>
  <c r="F2773" i="1"/>
  <c r="D2774" i="1"/>
  <c r="F2774" i="1"/>
  <c r="D2775" i="1"/>
  <c r="F2775" i="1"/>
  <c r="D2776" i="1"/>
  <c r="F2776" i="1"/>
  <c r="D2777" i="1"/>
  <c r="F2777" i="1"/>
  <c r="D2778" i="1"/>
  <c r="F2778" i="1"/>
  <c r="D2779" i="1"/>
  <c r="F2779" i="1"/>
  <c r="D2780" i="1"/>
  <c r="F2780" i="1"/>
  <c r="D2781" i="1"/>
  <c r="F2781" i="1"/>
  <c r="D2782" i="1"/>
  <c r="F2782" i="1"/>
  <c r="D2783" i="1"/>
  <c r="F2783" i="1"/>
  <c r="D2784" i="1"/>
  <c r="F2784" i="1"/>
  <c r="D2785" i="1"/>
  <c r="F2785" i="1"/>
  <c r="D2786" i="1"/>
  <c r="F2786" i="1"/>
  <c r="D2787" i="1"/>
  <c r="F2787" i="1"/>
  <c r="D2788" i="1"/>
  <c r="F2788" i="1"/>
  <c r="D2789" i="1"/>
  <c r="F2789" i="1"/>
  <c r="D2790" i="1"/>
  <c r="F2790" i="1"/>
  <c r="D2791" i="1"/>
  <c r="F2791" i="1"/>
  <c r="D2792" i="1"/>
  <c r="F2792" i="1"/>
  <c r="D2793" i="1"/>
  <c r="F2793" i="1"/>
  <c r="D2794" i="1"/>
  <c r="F2794" i="1"/>
  <c r="D2795" i="1"/>
  <c r="F2795" i="1"/>
  <c r="D2796" i="1"/>
  <c r="F2796" i="1"/>
  <c r="D2797" i="1"/>
  <c r="F2797" i="1"/>
  <c r="D2798" i="1"/>
  <c r="F2798" i="1"/>
  <c r="D2799" i="1"/>
  <c r="F2799" i="1"/>
  <c r="D2800" i="1"/>
  <c r="F2800" i="1"/>
  <c r="D2801" i="1"/>
  <c r="F2801" i="1"/>
  <c r="D2802" i="1"/>
  <c r="F2802" i="1"/>
  <c r="D2803" i="1"/>
  <c r="F2803" i="1"/>
  <c r="D2804" i="1"/>
  <c r="F2804" i="1"/>
  <c r="D2805" i="1"/>
  <c r="F2805" i="1"/>
  <c r="D2806" i="1"/>
  <c r="F2806" i="1"/>
  <c r="D2807" i="1"/>
  <c r="F2807" i="1"/>
  <c r="D2808" i="1"/>
  <c r="F2808" i="1"/>
  <c r="D2809" i="1"/>
  <c r="F2809" i="1"/>
  <c r="D2810" i="1"/>
  <c r="F2810" i="1"/>
  <c r="D2811" i="1"/>
  <c r="F2811" i="1"/>
  <c r="D2812" i="1"/>
  <c r="F2812" i="1"/>
  <c r="D2813" i="1"/>
  <c r="F2813" i="1"/>
  <c r="D2814" i="1"/>
  <c r="F2814" i="1"/>
  <c r="D2815" i="1"/>
  <c r="F2815" i="1"/>
  <c r="D2816" i="1"/>
  <c r="F2816" i="1"/>
  <c r="D2817" i="1"/>
  <c r="F2817" i="1"/>
  <c r="D2818" i="1"/>
  <c r="F2818" i="1"/>
  <c r="D2819" i="1"/>
  <c r="F2819" i="1"/>
  <c r="D2820" i="1"/>
  <c r="F2820" i="1"/>
  <c r="D2821" i="1"/>
  <c r="F2821" i="1"/>
  <c r="D2822" i="1"/>
  <c r="F2822" i="1"/>
  <c r="D2823" i="1"/>
  <c r="F2823" i="1"/>
  <c r="D2824" i="1"/>
  <c r="F2824" i="1"/>
  <c r="D2825" i="1"/>
  <c r="F2825" i="1"/>
  <c r="D2826" i="1"/>
  <c r="F2826" i="1"/>
  <c r="D2827" i="1"/>
  <c r="F2827" i="1"/>
  <c r="D2828" i="1"/>
  <c r="F2828" i="1"/>
  <c r="D2829" i="1"/>
  <c r="F2829" i="1"/>
  <c r="D2830" i="1"/>
  <c r="F2830" i="1"/>
  <c r="D2831" i="1"/>
  <c r="F2831" i="1"/>
  <c r="D2832" i="1"/>
  <c r="F2832" i="1"/>
  <c r="D2833" i="1"/>
  <c r="F2833" i="1"/>
  <c r="D2834" i="1"/>
  <c r="F2834" i="1"/>
  <c r="D2835" i="1"/>
  <c r="F2835" i="1"/>
  <c r="D2836" i="1"/>
  <c r="F2836" i="1"/>
  <c r="D2837" i="1"/>
  <c r="F2837" i="1"/>
  <c r="D2838" i="1"/>
  <c r="F2838" i="1"/>
  <c r="D2839" i="1"/>
  <c r="F2839" i="1"/>
  <c r="D2840" i="1"/>
  <c r="F2840" i="1"/>
  <c r="D2841" i="1"/>
  <c r="F2841" i="1"/>
  <c r="D2842" i="1"/>
  <c r="F2842" i="1"/>
  <c r="D2843" i="1"/>
  <c r="F2843" i="1"/>
  <c r="D2844" i="1"/>
  <c r="F2844" i="1"/>
  <c r="D2845" i="1"/>
  <c r="F2845" i="1"/>
  <c r="D2846" i="1"/>
  <c r="F2846" i="1"/>
  <c r="D2847" i="1"/>
  <c r="F2847" i="1"/>
  <c r="D2848" i="1"/>
  <c r="F2848" i="1"/>
  <c r="D2849" i="1"/>
  <c r="F2849" i="1"/>
  <c r="D2850" i="1"/>
  <c r="F2850" i="1"/>
  <c r="D2851" i="1"/>
  <c r="F2851" i="1"/>
  <c r="D2852" i="1"/>
  <c r="F2852" i="1"/>
  <c r="D2853" i="1"/>
  <c r="F2853" i="1"/>
  <c r="D2854" i="1"/>
  <c r="F2854" i="1"/>
  <c r="D2855" i="1"/>
  <c r="F2855" i="1"/>
  <c r="D2856" i="1"/>
  <c r="F2856" i="1"/>
  <c r="D2857" i="1"/>
  <c r="F2857" i="1"/>
  <c r="D2858" i="1"/>
  <c r="F2858" i="1"/>
  <c r="D2859" i="1"/>
  <c r="F2859" i="1"/>
  <c r="D2860" i="1"/>
  <c r="F2860" i="1"/>
  <c r="D2861" i="1"/>
  <c r="F2861" i="1"/>
  <c r="D2862" i="1"/>
  <c r="F2862" i="1"/>
  <c r="D2863" i="1"/>
  <c r="F2863" i="1"/>
  <c r="D2864" i="1"/>
  <c r="F2864" i="1"/>
  <c r="D2865" i="1"/>
  <c r="F2865" i="1"/>
  <c r="D2866" i="1"/>
  <c r="F2866" i="1"/>
  <c r="D2867" i="1"/>
  <c r="F2867" i="1"/>
  <c r="D2868" i="1"/>
  <c r="F2868" i="1"/>
  <c r="D2869" i="1"/>
  <c r="F2869" i="1"/>
  <c r="D2870" i="1"/>
  <c r="F2870" i="1"/>
  <c r="D2871" i="1"/>
  <c r="F2871" i="1"/>
  <c r="D2872" i="1"/>
  <c r="F2872" i="1"/>
  <c r="D2873" i="1"/>
  <c r="F2873" i="1"/>
  <c r="D2874" i="1"/>
  <c r="F2874" i="1"/>
  <c r="D2875" i="1"/>
  <c r="F2875" i="1"/>
  <c r="D2876" i="1"/>
  <c r="F2876" i="1"/>
  <c r="D2877" i="1"/>
  <c r="F2877" i="1"/>
  <c r="D2878" i="1"/>
  <c r="F2878" i="1"/>
  <c r="D2879" i="1"/>
  <c r="F2879" i="1"/>
  <c r="D2880" i="1"/>
  <c r="F2880" i="1"/>
  <c r="D2881" i="1"/>
  <c r="F2881" i="1"/>
  <c r="D2882" i="1"/>
  <c r="F2882" i="1"/>
  <c r="D2883" i="1"/>
  <c r="F2883" i="1"/>
  <c r="D2884" i="1"/>
  <c r="F2884" i="1"/>
  <c r="D2885" i="1"/>
  <c r="F2885" i="1"/>
  <c r="D2886" i="1"/>
  <c r="F2886" i="1"/>
  <c r="D2887" i="1"/>
  <c r="F2887" i="1"/>
  <c r="D2888" i="1"/>
  <c r="F2888" i="1"/>
  <c r="D2889" i="1"/>
  <c r="F2889" i="1"/>
  <c r="D2890" i="1"/>
  <c r="F2890" i="1"/>
  <c r="D2891" i="1"/>
  <c r="F2891" i="1"/>
  <c r="D2892" i="1"/>
  <c r="F2892" i="1"/>
  <c r="D2893" i="1"/>
  <c r="F2893" i="1"/>
  <c r="D2894" i="1"/>
  <c r="F2894" i="1"/>
  <c r="D2895" i="1"/>
  <c r="F2895" i="1"/>
  <c r="D2896" i="1"/>
  <c r="F2896" i="1"/>
  <c r="D2897" i="1"/>
  <c r="F2897" i="1"/>
  <c r="D2898" i="1"/>
  <c r="F2898" i="1"/>
  <c r="D2899" i="1"/>
  <c r="F2899" i="1"/>
  <c r="D2900" i="1"/>
  <c r="F2900" i="1"/>
  <c r="D2901" i="1"/>
  <c r="F2901" i="1"/>
  <c r="D2902" i="1"/>
  <c r="F2902" i="1"/>
  <c r="D2903" i="1"/>
  <c r="F2903" i="1"/>
  <c r="D2904" i="1"/>
  <c r="F2904" i="1"/>
  <c r="D2905" i="1"/>
  <c r="F2905" i="1"/>
  <c r="D2906" i="1"/>
  <c r="F2906" i="1"/>
  <c r="D2907" i="1"/>
  <c r="F2907" i="1"/>
  <c r="D2908" i="1"/>
  <c r="F2908" i="1"/>
  <c r="D2909" i="1"/>
  <c r="F2909" i="1"/>
  <c r="D2910" i="1"/>
  <c r="F2910" i="1"/>
  <c r="D2911" i="1"/>
  <c r="F2911" i="1"/>
  <c r="D2912" i="1"/>
  <c r="F2912" i="1"/>
  <c r="D2913" i="1"/>
  <c r="F2913" i="1"/>
  <c r="D2914" i="1"/>
  <c r="F2914" i="1"/>
  <c r="D2915" i="1"/>
  <c r="F2915" i="1"/>
  <c r="D2916" i="1"/>
  <c r="F2916" i="1"/>
  <c r="D2917" i="1"/>
  <c r="F2917" i="1"/>
  <c r="D2918" i="1"/>
  <c r="F2918" i="1"/>
  <c r="D2919" i="1"/>
  <c r="F2919" i="1"/>
  <c r="D2920" i="1"/>
  <c r="F2920" i="1"/>
  <c r="D2921" i="1"/>
  <c r="F2921" i="1"/>
  <c r="D2922" i="1"/>
  <c r="F2922" i="1"/>
  <c r="D2923" i="1"/>
  <c r="F2923" i="1"/>
  <c r="D2924" i="1"/>
  <c r="F2924" i="1"/>
  <c r="D2925" i="1"/>
  <c r="F2925" i="1"/>
  <c r="D2926" i="1"/>
  <c r="F2926" i="1"/>
  <c r="D2927" i="1"/>
  <c r="F2927" i="1"/>
  <c r="D2928" i="1"/>
  <c r="F2928" i="1"/>
  <c r="D2929" i="1"/>
  <c r="F2929" i="1"/>
  <c r="D2930" i="1"/>
  <c r="F2930" i="1"/>
  <c r="D2931" i="1"/>
  <c r="F2931" i="1"/>
  <c r="D2932" i="1"/>
  <c r="F2932" i="1"/>
  <c r="D2933" i="1"/>
  <c r="F2933" i="1"/>
  <c r="D2934" i="1"/>
  <c r="F2934" i="1"/>
  <c r="D2935" i="1"/>
  <c r="F2935" i="1"/>
  <c r="D2936" i="1"/>
  <c r="F2936" i="1"/>
  <c r="D2937" i="1"/>
  <c r="F2937" i="1"/>
  <c r="D2938" i="1"/>
  <c r="F2938" i="1"/>
  <c r="D2939" i="1"/>
  <c r="F2939" i="1"/>
  <c r="D2940" i="1"/>
  <c r="F2940" i="1"/>
  <c r="D2941" i="1"/>
  <c r="F2941" i="1"/>
  <c r="D2942" i="1"/>
  <c r="F2942" i="1"/>
  <c r="D2943" i="1"/>
  <c r="F2943" i="1"/>
  <c r="D2944" i="1"/>
  <c r="F2944" i="1"/>
  <c r="D2945" i="1"/>
  <c r="F2945" i="1"/>
  <c r="D2946" i="1"/>
  <c r="F2946" i="1"/>
  <c r="D2947" i="1"/>
  <c r="F2947" i="1"/>
  <c r="D2948" i="1"/>
  <c r="F2948" i="1"/>
  <c r="D2949" i="1"/>
  <c r="F2949" i="1"/>
  <c r="D2950" i="1"/>
  <c r="F2950" i="1"/>
  <c r="D2951" i="1"/>
  <c r="F2951" i="1"/>
  <c r="D2952" i="1"/>
  <c r="F2952" i="1"/>
  <c r="D2953" i="1"/>
  <c r="F2953" i="1"/>
  <c r="D2954" i="1"/>
  <c r="F2954" i="1"/>
  <c r="D2955" i="1"/>
  <c r="F2955" i="1"/>
  <c r="D2956" i="1"/>
  <c r="F2956" i="1"/>
  <c r="D2957" i="1"/>
  <c r="F2957" i="1"/>
  <c r="D2958" i="1"/>
  <c r="F2958" i="1"/>
  <c r="D2959" i="1"/>
  <c r="F2959" i="1"/>
  <c r="D2960" i="1"/>
  <c r="F2960" i="1"/>
  <c r="D2961" i="1"/>
  <c r="F2961" i="1"/>
  <c r="D2962" i="1"/>
  <c r="F2962" i="1"/>
  <c r="D2963" i="1"/>
  <c r="F2963" i="1"/>
  <c r="D2964" i="1"/>
  <c r="F2964" i="1"/>
  <c r="D2965" i="1"/>
  <c r="F2965" i="1"/>
  <c r="D2966" i="1"/>
  <c r="F2966" i="1"/>
  <c r="D2967" i="1"/>
  <c r="F2967" i="1"/>
  <c r="D2968" i="1"/>
  <c r="F2968" i="1"/>
  <c r="D2969" i="1"/>
  <c r="F2969" i="1"/>
  <c r="D2970" i="1"/>
  <c r="F2970" i="1"/>
  <c r="D2971" i="1"/>
  <c r="F2971" i="1"/>
  <c r="D2972" i="1"/>
  <c r="F2972" i="1"/>
  <c r="D2973" i="1"/>
  <c r="F2973" i="1"/>
  <c r="D2974" i="1"/>
  <c r="F2974" i="1"/>
  <c r="D2975" i="1"/>
  <c r="F2975" i="1"/>
  <c r="D2976" i="1"/>
  <c r="F2976" i="1"/>
  <c r="D2977" i="1"/>
  <c r="F2977" i="1"/>
  <c r="D2978" i="1"/>
  <c r="F2978" i="1"/>
  <c r="D2979" i="1"/>
  <c r="F2979" i="1"/>
  <c r="D2980" i="1"/>
  <c r="F2980" i="1"/>
  <c r="D2981" i="1"/>
  <c r="F2981" i="1"/>
  <c r="D2982" i="1"/>
  <c r="F2982" i="1"/>
  <c r="D2983" i="1"/>
  <c r="F2983" i="1"/>
  <c r="D2984" i="1"/>
  <c r="F2984" i="1"/>
  <c r="D2985" i="1"/>
  <c r="F2985" i="1"/>
  <c r="D2986" i="1"/>
  <c r="F2986" i="1"/>
  <c r="D2987" i="1"/>
  <c r="F2987" i="1"/>
  <c r="D2988" i="1"/>
  <c r="F2988" i="1"/>
  <c r="D2989" i="1"/>
  <c r="F2989" i="1"/>
  <c r="D2990" i="1"/>
  <c r="F2990" i="1"/>
  <c r="D2991" i="1"/>
  <c r="F2991" i="1"/>
  <c r="D2992" i="1"/>
  <c r="F2992" i="1"/>
  <c r="D2993" i="1"/>
  <c r="F2993" i="1"/>
  <c r="D2994" i="1"/>
  <c r="F2994" i="1"/>
  <c r="D2995" i="1"/>
  <c r="F2995" i="1"/>
  <c r="D2996" i="1"/>
  <c r="F2996" i="1"/>
  <c r="D2997" i="1"/>
  <c r="F2997" i="1"/>
  <c r="D2998" i="1"/>
  <c r="F2998" i="1"/>
  <c r="D2999" i="1"/>
  <c r="F2999" i="1"/>
  <c r="D3000" i="1"/>
  <c r="F3000" i="1"/>
  <c r="D3001" i="1"/>
  <c r="F3001" i="1"/>
  <c r="D3002" i="1"/>
  <c r="F3002" i="1"/>
  <c r="D3003" i="1"/>
  <c r="F3003" i="1"/>
  <c r="D3004" i="1"/>
  <c r="F3004" i="1"/>
  <c r="D3005" i="1"/>
  <c r="F3005" i="1"/>
  <c r="D3006" i="1"/>
  <c r="F3006" i="1"/>
  <c r="D3007" i="1"/>
  <c r="F3007" i="1"/>
  <c r="D3008" i="1"/>
  <c r="F3008" i="1"/>
  <c r="D3009" i="1"/>
  <c r="F3009" i="1"/>
  <c r="D3010" i="1"/>
  <c r="F3010" i="1"/>
  <c r="D3011" i="1"/>
  <c r="F3011" i="1"/>
  <c r="D3012" i="1"/>
  <c r="F3012" i="1"/>
  <c r="D3013" i="1"/>
  <c r="F3013" i="1"/>
  <c r="D3014" i="1"/>
  <c r="F3014" i="1"/>
  <c r="D3015" i="1"/>
  <c r="F3015" i="1"/>
  <c r="D3016" i="1"/>
  <c r="F3016" i="1"/>
  <c r="D3017" i="1"/>
  <c r="F3017" i="1"/>
  <c r="D3018" i="1"/>
  <c r="F3018" i="1"/>
  <c r="D3019" i="1"/>
  <c r="F3019" i="1"/>
  <c r="D3020" i="1"/>
  <c r="F3020" i="1"/>
  <c r="D3021" i="1"/>
  <c r="F3021" i="1"/>
  <c r="D3022" i="1"/>
  <c r="F3022" i="1"/>
  <c r="D3023" i="1"/>
  <c r="F3023" i="1"/>
  <c r="D3024" i="1"/>
  <c r="F3024" i="1"/>
  <c r="D3025" i="1"/>
  <c r="F3025" i="1"/>
  <c r="D3026" i="1"/>
  <c r="F3026" i="1"/>
  <c r="D3027" i="1"/>
  <c r="F3027" i="1"/>
  <c r="D3028" i="1"/>
  <c r="F3028" i="1"/>
  <c r="D3029" i="1"/>
  <c r="F3029" i="1"/>
  <c r="D3030" i="1"/>
  <c r="F3030" i="1"/>
  <c r="D3031" i="1"/>
  <c r="F3031" i="1"/>
  <c r="D3032" i="1"/>
  <c r="F3032" i="1"/>
  <c r="D3033" i="1"/>
  <c r="F3033" i="1"/>
  <c r="D3034" i="1"/>
  <c r="F3034" i="1"/>
  <c r="D3035" i="1"/>
  <c r="F3035" i="1"/>
  <c r="D3036" i="1"/>
  <c r="F3036" i="1"/>
  <c r="D3037" i="1"/>
  <c r="F3037" i="1"/>
  <c r="D3038" i="1"/>
  <c r="F3038" i="1"/>
  <c r="D3039" i="1"/>
  <c r="F3039" i="1"/>
  <c r="D3040" i="1"/>
  <c r="F3040" i="1"/>
  <c r="D3041" i="1"/>
  <c r="F3041" i="1"/>
  <c r="D3042" i="1"/>
  <c r="F3042" i="1"/>
  <c r="D3043" i="1"/>
  <c r="F3043" i="1"/>
  <c r="D3044" i="1"/>
  <c r="F3044" i="1"/>
  <c r="D3045" i="1"/>
  <c r="F3045" i="1"/>
  <c r="D3046" i="1"/>
  <c r="F3046" i="1"/>
  <c r="D3047" i="1"/>
  <c r="F3047" i="1"/>
  <c r="D3048" i="1"/>
  <c r="F3048" i="1"/>
  <c r="D3049" i="1"/>
  <c r="F3049" i="1"/>
  <c r="D3050" i="1"/>
  <c r="F3050" i="1"/>
  <c r="D3051" i="1"/>
  <c r="F3051" i="1"/>
  <c r="D3052" i="1"/>
  <c r="F3052" i="1"/>
  <c r="D3053" i="1"/>
  <c r="F3053" i="1"/>
  <c r="D3054" i="1"/>
  <c r="F3054" i="1"/>
  <c r="D3055" i="1"/>
  <c r="F3055" i="1"/>
  <c r="D3056" i="1"/>
  <c r="F3056" i="1"/>
  <c r="D3057" i="1"/>
  <c r="F3057" i="1"/>
  <c r="D3058" i="1"/>
  <c r="F3058" i="1"/>
  <c r="D3059" i="1"/>
  <c r="F3059" i="1"/>
  <c r="D3060" i="1"/>
  <c r="F3060" i="1"/>
  <c r="D3061" i="1"/>
  <c r="F3061" i="1"/>
  <c r="D3062" i="1"/>
  <c r="F3062" i="1"/>
  <c r="D3063" i="1"/>
  <c r="F3063" i="1"/>
  <c r="D3064" i="1"/>
  <c r="F3064" i="1"/>
  <c r="D3065" i="1"/>
  <c r="F3065" i="1"/>
  <c r="D3066" i="1"/>
  <c r="F3066" i="1"/>
  <c r="D3067" i="1"/>
  <c r="F3067" i="1"/>
  <c r="D3068" i="1"/>
  <c r="F3068" i="1"/>
  <c r="D3069" i="1"/>
  <c r="F3069" i="1"/>
  <c r="D3070" i="1"/>
  <c r="F3070" i="1"/>
  <c r="D3071" i="1"/>
  <c r="F3071" i="1"/>
  <c r="D3072" i="1"/>
  <c r="F3072" i="1"/>
  <c r="D3073" i="1"/>
  <c r="F3073" i="1"/>
  <c r="D3074" i="1"/>
  <c r="F3074" i="1"/>
  <c r="D3075" i="1"/>
  <c r="F3075" i="1"/>
  <c r="D3076" i="1"/>
  <c r="F3076" i="1"/>
  <c r="D3077" i="1"/>
  <c r="F3077" i="1"/>
  <c r="D3078" i="1"/>
  <c r="F3078" i="1"/>
  <c r="D3079" i="1"/>
  <c r="F3079" i="1"/>
  <c r="D3080" i="1"/>
  <c r="F3080" i="1"/>
  <c r="D3081" i="1"/>
  <c r="F3081" i="1"/>
  <c r="D3082" i="1"/>
  <c r="F3082" i="1"/>
  <c r="D3083" i="1"/>
  <c r="F3083" i="1"/>
  <c r="D3084" i="1"/>
  <c r="F3084" i="1"/>
  <c r="D3085" i="1"/>
  <c r="F3085" i="1"/>
  <c r="D3086" i="1"/>
  <c r="F3086" i="1"/>
  <c r="D3087" i="1"/>
  <c r="F3087" i="1"/>
  <c r="D3088" i="1"/>
  <c r="F3088" i="1"/>
  <c r="D3089" i="1"/>
  <c r="F3089" i="1"/>
  <c r="D3090" i="1"/>
  <c r="F3090" i="1"/>
  <c r="D3091" i="1"/>
  <c r="F3091" i="1"/>
  <c r="D3092" i="1"/>
  <c r="F3092" i="1"/>
  <c r="D3093" i="1"/>
  <c r="F3093" i="1"/>
  <c r="D3094" i="1"/>
  <c r="F3094" i="1"/>
  <c r="D3095" i="1"/>
  <c r="F3095" i="1"/>
  <c r="D3096" i="1"/>
  <c r="F3096" i="1"/>
  <c r="D3097" i="1"/>
  <c r="F3097" i="1"/>
  <c r="D3098" i="1"/>
  <c r="F3098" i="1"/>
  <c r="D3099" i="1"/>
  <c r="F3099" i="1"/>
  <c r="D3100" i="1"/>
  <c r="F3100" i="1"/>
  <c r="D3101" i="1"/>
  <c r="F3101" i="1"/>
  <c r="D3102" i="1"/>
  <c r="F3102" i="1"/>
  <c r="D3103" i="1"/>
  <c r="F3103" i="1"/>
  <c r="D3104" i="1"/>
  <c r="F3104" i="1"/>
  <c r="D3105" i="1"/>
  <c r="F3105" i="1"/>
  <c r="D3106" i="1"/>
  <c r="F3106" i="1"/>
  <c r="D3107" i="1"/>
  <c r="F3107" i="1"/>
  <c r="D3108" i="1"/>
  <c r="F3108" i="1"/>
  <c r="D3109" i="1"/>
  <c r="F3109" i="1"/>
  <c r="D3110" i="1"/>
  <c r="F3110" i="1"/>
  <c r="D3111" i="1"/>
  <c r="F3111" i="1"/>
  <c r="D3112" i="1"/>
  <c r="F3112" i="1"/>
  <c r="D3113" i="1"/>
  <c r="F3113" i="1"/>
  <c r="D3114" i="1"/>
  <c r="F3114" i="1"/>
  <c r="D3115" i="1"/>
  <c r="F3115" i="1"/>
  <c r="D3116" i="1"/>
  <c r="F3116" i="1"/>
  <c r="D3117" i="1"/>
  <c r="F3117" i="1"/>
  <c r="D3118" i="1"/>
  <c r="F3118" i="1"/>
  <c r="D3119" i="1"/>
  <c r="F3119" i="1"/>
  <c r="D3120" i="1"/>
  <c r="F3120" i="1"/>
  <c r="D3121" i="1"/>
  <c r="F3121" i="1"/>
  <c r="D3122" i="1"/>
  <c r="F3122" i="1"/>
  <c r="D3123" i="1"/>
  <c r="F3123" i="1"/>
  <c r="D3124" i="1"/>
  <c r="F3124" i="1"/>
  <c r="D3125" i="1"/>
  <c r="F3125" i="1"/>
  <c r="D3126" i="1"/>
  <c r="F3126" i="1"/>
  <c r="D3127" i="1"/>
  <c r="F3127" i="1"/>
  <c r="D3128" i="1"/>
  <c r="F3128" i="1"/>
  <c r="D3129" i="1"/>
  <c r="F3129" i="1"/>
  <c r="D3130" i="1"/>
  <c r="F3130" i="1"/>
  <c r="D3131" i="1"/>
  <c r="F3131" i="1"/>
  <c r="D3132" i="1"/>
  <c r="F3132" i="1"/>
  <c r="D3133" i="1"/>
  <c r="F3133" i="1"/>
  <c r="D3134" i="1"/>
  <c r="F3134" i="1"/>
  <c r="D3135" i="1"/>
  <c r="F3135" i="1"/>
  <c r="D3136" i="1"/>
  <c r="F3136" i="1"/>
  <c r="D3137" i="1"/>
  <c r="F3137" i="1"/>
  <c r="D3138" i="1"/>
  <c r="F3138" i="1"/>
  <c r="D3139" i="1"/>
  <c r="F3139" i="1"/>
  <c r="D3140" i="1"/>
  <c r="F3140" i="1"/>
  <c r="D3141" i="1"/>
  <c r="F3141" i="1"/>
  <c r="D3142" i="1"/>
  <c r="F3142" i="1"/>
  <c r="D3143" i="1"/>
  <c r="F3143" i="1"/>
  <c r="D3144" i="1"/>
  <c r="F3144" i="1"/>
  <c r="D3145" i="1"/>
  <c r="F3145" i="1"/>
  <c r="D3146" i="1"/>
  <c r="F3146" i="1"/>
  <c r="D3147" i="1"/>
  <c r="F3147" i="1"/>
  <c r="D3148" i="1"/>
  <c r="F3148" i="1"/>
  <c r="D3149" i="1"/>
  <c r="F3149" i="1"/>
  <c r="D3150" i="1"/>
  <c r="F3150" i="1"/>
  <c r="D3151" i="1"/>
  <c r="F3151" i="1"/>
  <c r="D3152" i="1"/>
  <c r="F3152" i="1"/>
  <c r="D3153" i="1"/>
  <c r="F3153" i="1"/>
  <c r="D3154" i="1"/>
  <c r="F3154" i="1"/>
  <c r="D3155" i="1"/>
  <c r="F3155" i="1"/>
  <c r="D3156" i="1"/>
  <c r="F3156" i="1"/>
  <c r="D3157" i="1"/>
  <c r="F3157" i="1"/>
  <c r="D3158" i="1"/>
  <c r="F3158" i="1"/>
  <c r="D3159" i="1"/>
  <c r="F3159" i="1"/>
  <c r="D3160" i="1"/>
  <c r="F3160" i="1"/>
  <c r="D3161" i="1"/>
  <c r="F3161" i="1"/>
  <c r="D3162" i="1"/>
  <c r="F3162" i="1"/>
  <c r="D3163" i="1"/>
  <c r="F3163" i="1"/>
  <c r="D3164" i="1"/>
  <c r="F3164" i="1"/>
  <c r="D3165" i="1"/>
  <c r="F3165" i="1"/>
  <c r="D3166" i="1"/>
  <c r="F3166" i="1"/>
  <c r="D3167" i="1"/>
  <c r="F3167" i="1"/>
  <c r="D3168" i="1"/>
  <c r="F3168" i="1"/>
  <c r="D3169" i="1"/>
  <c r="F3169" i="1"/>
  <c r="D3170" i="1"/>
  <c r="F3170" i="1"/>
  <c r="D3171" i="1"/>
  <c r="F3171" i="1"/>
  <c r="D3172" i="1"/>
  <c r="F3172" i="1"/>
  <c r="D3173" i="1"/>
  <c r="F3173" i="1"/>
  <c r="D3174" i="1"/>
  <c r="F3174" i="1"/>
  <c r="D3175" i="1"/>
  <c r="F3175" i="1"/>
  <c r="D3176" i="1"/>
  <c r="F3176" i="1"/>
  <c r="D3177" i="1"/>
  <c r="F3177" i="1"/>
  <c r="D3178" i="1"/>
  <c r="F3178" i="1"/>
  <c r="D3179" i="1"/>
  <c r="F3179" i="1"/>
  <c r="D3180" i="1"/>
  <c r="F3180" i="1"/>
  <c r="D3181" i="1"/>
  <c r="F3181" i="1"/>
  <c r="D3182" i="1"/>
  <c r="F3182" i="1"/>
  <c r="D3183" i="1"/>
  <c r="F3183" i="1"/>
  <c r="D3184" i="1"/>
  <c r="F3184" i="1"/>
  <c r="D3185" i="1"/>
  <c r="F3185" i="1"/>
  <c r="D3186" i="1"/>
  <c r="F3186" i="1"/>
  <c r="D3187" i="1"/>
  <c r="F3187" i="1"/>
  <c r="D3188" i="1"/>
  <c r="F3188" i="1"/>
  <c r="D3189" i="1"/>
  <c r="F3189" i="1"/>
  <c r="D3190" i="1"/>
  <c r="F3190" i="1"/>
  <c r="D3191" i="1"/>
  <c r="F3191" i="1"/>
  <c r="D3192" i="1"/>
  <c r="F3192" i="1"/>
  <c r="D3193" i="1"/>
  <c r="F3193" i="1"/>
  <c r="D3194" i="1"/>
  <c r="F3194" i="1"/>
  <c r="D3195" i="1"/>
  <c r="F3195" i="1"/>
  <c r="D3196" i="1"/>
  <c r="F3196" i="1"/>
  <c r="D3197" i="1"/>
  <c r="F3197" i="1"/>
  <c r="D3198" i="1"/>
  <c r="F3198" i="1"/>
  <c r="D3199" i="1"/>
  <c r="F3199" i="1"/>
  <c r="D3200" i="1"/>
  <c r="F3200" i="1"/>
  <c r="D3201" i="1"/>
  <c r="F3201" i="1"/>
  <c r="D3202" i="1"/>
  <c r="F3202" i="1"/>
  <c r="D3203" i="1"/>
  <c r="F3203" i="1"/>
  <c r="D3204" i="1"/>
  <c r="F3204" i="1"/>
  <c r="D3205" i="1"/>
  <c r="F3205" i="1"/>
  <c r="D3206" i="1"/>
  <c r="F3206" i="1"/>
  <c r="D3207" i="1"/>
  <c r="F3207" i="1"/>
  <c r="D3208" i="1"/>
  <c r="F3208" i="1"/>
  <c r="D3209" i="1"/>
  <c r="F3209" i="1"/>
  <c r="D3210" i="1"/>
  <c r="F3210" i="1"/>
  <c r="D3211" i="1"/>
  <c r="F3211" i="1"/>
  <c r="D3212" i="1"/>
  <c r="F3212" i="1"/>
  <c r="D3213" i="1"/>
  <c r="F3213" i="1"/>
  <c r="D3214" i="1"/>
  <c r="F3214" i="1"/>
  <c r="D3215" i="1"/>
  <c r="F3215" i="1"/>
  <c r="D3216" i="1"/>
  <c r="F3216" i="1"/>
  <c r="D3217" i="1"/>
  <c r="F3217" i="1"/>
  <c r="D3218" i="1"/>
  <c r="F3218" i="1"/>
  <c r="D3219" i="1"/>
  <c r="F3219" i="1"/>
  <c r="D3220" i="1"/>
  <c r="F3220" i="1"/>
  <c r="D3221" i="1"/>
  <c r="F3221" i="1"/>
  <c r="D3222" i="1"/>
  <c r="F3222" i="1"/>
  <c r="D3223" i="1"/>
  <c r="F3223" i="1"/>
  <c r="D3224" i="1"/>
  <c r="F3224" i="1"/>
  <c r="D3225" i="1"/>
  <c r="F3225" i="1"/>
  <c r="D3226" i="1"/>
  <c r="F3226" i="1"/>
  <c r="D3227" i="1"/>
  <c r="F3227" i="1"/>
  <c r="D3228" i="1"/>
  <c r="F3228" i="1"/>
  <c r="D3229" i="1"/>
  <c r="F3229" i="1"/>
  <c r="D3230" i="1"/>
  <c r="F3230" i="1"/>
  <c r="D3231" i="1"/>
  <c r="F3231" i="1"/>
  <c r="D3232" i="1"/>
  <c r="F3232" i="1"/>
  <c r="D3233" i="1"/>
  <c r="F3233" i="1"/>
  <c r="D3234" i="1"/>
  <c r="F3234" i="1"/>
  <c r="D3235" i="1"/>
  <c r="F3235" i="1"/>
  <c r="D3236" i="1"/>
  <c r="F3236" i="1"/>
  <c r="D3237" i="1"/>
  <c r="F3237" i="1"/>
  <c r="D3238" i="1"/>
  <c r="F3238" i="1"/>
  <c r="D3239" i="1"/>
  <c r="F3239" i="1"/>
  <c r="D3240" i="1"/>
  <c r="F3240" i="1"/>
  <c r="D3241" i="1"/>
  <c r="F3241" i="1"/>
  <c r="D3242" i="1"/>
  <c r="F3242" i="1"/>
  <c r="D3243" i="1"/>
  <c r="F3243" i="1"/>
  <c r="D3244" i="1"/>
  <c r="F3244" i="1"/>
  <c r="D3245" i="1"/>
  <c r="F3245" i="1"/>
  <c r="D3246" i="1"/>
  <c r="F3246" i="1"/>
  <c r="D3247" i="1"/>
  <c r="F3247" i="1"/>
  <c r="D3248" i="1"/>
  <c r="F3248" i="1"/>
  <c r="D3249" i="1"/>
  <c r="F3249" i="1"/>
  <c r="D3250" i="1"/>
  <c r="F3250" i="1"/>
  <c r="D3251" i="1"/>
  <c r="F3251" i="1"/>
  <c r="D3252" i="1"/>
  <c r="F3252" i="1"/>
  <c r="D3253" i="1"/>
  <c r="F3253" i="1"/>
  <c r="D3254" i="1"/>
  <c r="F3254" i="1"/>
  <c r="D3255" i="1"/>
  <c r="F3255" i="1"/>
  <c r="D3256" i="1"/>
  <c r="F3256" i="1"/>
  <c r="D3257" i="1"/>
  <c r="F3257" i="1"/>
  <c r="D3258" i="1"/>
  <c r="F3258" i="1"/>
  <c r="D3259" i="1"/>
  <c r="F3259" i="1"/>
  <c r="D3260" i="1"/>
  <c r="F3260" i="1"/>
  <c r="D3261" i="1"/>
  <c r="F3261" i="1"/>
  <c r="D3262" i="1"/>
  <c r="F3262" i="1"/>
  <c r="D3263" i="1"/>
  <c r="F3263" i="1"/>
  <c r="D3264" i="1"/>
  <c r="F3264" i="1"/>
  <c r="D3265" i="1"/>
  <c r="F3265" i="1"/>
  <c r="D3266" i="1"/>
  <c r="F3266" i="1"/>
  <c r="D3267" i="1"/>
  <c r="F3267" i="1"/>
  <c r="D3268" i="1"/>
  <c r="F3268" i="1"/>
  <c r="D3269" i="1"/>
  <c r="F3269" i="1"/>
  <c r="D3270" i="1"/>
  <c r="F3270" i="1"/>
  <c r="D3271" i="1"/>
  <c r="F3271" i="1"/>
  <c r="D3272" i="1"/>
  <c r="F3272" i="1"/>
  <c r="D3273" i="1"/>
  <c r="F3273" i="1"/>
  <c r="D3274" i="1"/>
  <c r="F3274" i="1"/>
  <c r="D3275" i="1"/>
  <c r="F3275" i="1"/>
  <c r="D3276" i="1"/>
  <c r="F3276" i="1"/>
  <c r="D3277" i="1"/>
  <c r="F3277" i="1"/>
  <c r="D3278" i="1"/>
  <c r="F3278" i="1"/>
  <c r="D3279" i="1"/>
  <c r="F3279" i="1"/>
  <c r="D3280" i="1"/>
  <c r="F3280" i="1"/>
  <c r="D3281" i="1"/>
  <c r="F3281" i="1"/>
  <c r="D3282" i="1"/>
  <c r="F3282" i="1"/>
  <c r="D3283" i="1"/>
  <c r="F3283" i="1"/>
  <c r="D3284" i="1"/>
  <c r="F3284" i="1"/>
  <c r="D3285" i="1"/>
  <c r="F3285" i="1"/>
  <c r="D3286" i="1"/>
  <c r="F3286" i="1"/>
  <c r="D3287" i="1"/>
  <c r="F3287" i="1"/>
  <c r="D3288" i="1"/>
  <c r="F3288" i="1"/>
  <c r="D3289" i="1"/>
  <c r="F3289" i="1"/>
  <c r="D3290" i="1"/>
  <c r="F3290" i="1"/>
  <c r="D3291" i="1"/>
  <c r="F3291" i="1"/>
  <c r="D3292" i="1"/>
  <c r="F3292" i="1"/>
  <c r="D3293" i="1"/>
  <c r="F3293" i="1"/>
  <c r="D3294" i="1"/>
  <c r="F3294" i="1"/>
  <c r="D3295" i="1"/>
  <c r="F3295" i="1"/>
  <c r="D3296" i="1"/>
  <c r="F3296" i="1"/>
  <c r="D3297" i="1"/>
  <c r="F3297" i="1"/>
  <c r="D3298" i="1"/>
  <c r="F3298" i="1"/>
  <c r="D3299" i="1"/>
  <c r="F3299" i="1"/>
  <c r="D3300" i="1"/>
  <c r="F3300" i="1"/>
  <c r="D3301" i="1"/>
  <c r="F3301" i="1"/>
  <c r="D3302" i="1"/>
  <c r="F3302" i="1"/>
  <c r="D3303" i="1"/>
  <c r="F3303" i="1"/>
  <c r="D3304" i="1"/>
  <c r="F3304" i="1"/>
  <c r="D3305" i="1"/>
  <c r="F3305" i="1"/>
  <c r="D3306" i="1"/>
  <c r="F3306" i="1"/>
  <c r="D3307" i="1"/>
  <c r="F3307" i="1"/>
  <c r="D3308" i="1"/>
  <c r="F3308" i="1"/>
  <c r="D3309" i="1"/>
  <c r="F3309" i="1"/>
  <c r="D3310" i="1"/>
  <c r="F3310" i="1"/>
  <c r="D3311" i="1"/>
  <c r="F3311" i="1"/>
  <c r="D3312" i="1"/>
  <c r="F3312" i="1"/>
  <c r="D3313" i="1"/>
  <c r="F3313" i="1"/>
  <c r="D3314" i="1"/>
  <c r="F3314" i="1"/>
  <c r="D3315" i="1"/>
  <c r="F3315" i="1"/>
  <c r="D3316" i="1"/>
  <c r="F3316" i="1"/>
  <c r="D3317" i="1"/>
  <c r="F3317" i="1"/>
  <c r="D3318" i="1"/>
  <c r="F3318" i="1"/>
  <c r="D3319" i="1"/>
  <c r="F3319" i="1"/>
  <c r="D3320" i="1"/>
  <c r="F3320" i="1"/>
  <c r="D3321" i="1"/>
  <c r="F3321" i="1"/>
  <c r="D3322" i="1"/>
  <c r="F3322" i="1"/>
  <c r="D3323" i="1"/>
  <c r="F3323" i="1"/>
  <c r="D3324" i="1"/>
  <c r="F3324" i="1"/>
  <c r="D3325" i="1"/>
  <c r="F3325" i="1"/>
  <c r="D3326" i="1"/>
  <c r="F3326" i="1"/>
  <c r="D3327" i="1"/>
  <c r="F3327" i="1"/>
  <c r="D3328" i="1"/>
  <c r="F3328" i="1"/>
  <c r="D3329" i="1"/>
  <c r="F3329" i="1"/>
  <c r="D3330" i="1"/>
  <c r="F3330" i="1"/>
  <c r="D3331" i="1"/>
  <c r="F3331" i="1"/>
  <c r="D3332" i="1"/>
  <c r="F3332" i="1"/>
  <c r="D3333" i="1"/>
  <c r="F3333" i="1"/>
  <c r="D3334" i="1"/>
  <c r="F3334" i="1"/>
  <c r="D3335" i="1"/>
  <c r="F3335" i="1"/>
  <c r="D3336" i="1"/>
  <c r="F3336" i="1"/>
  <c r="D3337" i="1"/>
  <c r="F3337" i="1"/>
  <c r="D3338" i="1"/>
  <c r="F3338" i="1"/>
  <c r="D3339" i="1"/>
  <c r="F3339" i="1"/>
  <c r="D3340" i="1"/>
  <c r="F3340" i="1"/>
  <c r="D3341" i="1"/>
  <c r="F3341" i="1"/>
  <c r="D3342" i="1"/>
  <c r="F3342" i="1"/>
  <c r="D3343" i="1"/>
  <c r="F3343" i="1"/>
  <c r="D3344" i="1"/>
  <c r="F3344" i="1"/>
  <c r="D3345" i="1"/>
  <c r="F3345" i="1"/>
  <c r="D3346" i="1"/>
  <c r="F3346" i="1"/>
  <c r="D3347" i="1"/>
  <c r="F3347" i="1"/>
  <c r="D3348" i="1"/>
  <c r="F3348" i="1"/>
  <c r="D3349" i="1"/>
  <c r="F3349" i="1"/>
  <c r="D3350" i="1"/>
  <c r="F3350" i="1"/>
  <c r="D3351" i="1"/>
  <c r="F3351" i="1"/>
  <c r="D3352" i="1"/>
  <c r="F3352" i="1"/>
  <c r="D3353" i="1"/>
  <c r="F3353" i="1"/>
  <c r="D3354" i="1"/>
  <c r="F3354" i="1"/>
  <c r="D3355" i="1"/>
  <c r="F3355" i="1"/>
  <c r="D3356" i="1"/>
  <c r="F3356" i="1"/>
  <c r="D3357" i="1"/>
  <c r="F3357" i="1"/>
  <c r="D3358" i="1"/>
  <c r="F3358" i="1"/>
  <c r="D3359" i="1"/>
  <c r="F3359" i="1"/>
  <c r="D3360" i="1"/>
  <c r="F3360" i="1"/>
  <c r="D3361" i="1"/>
  <c r="F3361" i="1"/>
  <c r="D3362" i="1"/>
  <c r="F3362" i="1"/>
  <c r="D3363" i="1"/>
  <c r="F3363" i="1"/>
  <c r="D3364" i="1"/>
  <c r="F3364" i="1"/>
  <c r="D3365" i="1"/>
  <c r="F3365" i="1"/>
  <c r="D3366" i="1"/>
  <c r="F3366" i="1"/>
  <c r="D3367" i="1"/>
  <c r="F3367" i="1"/>
  <c r="D3368" i="1"/>
  <c r="F3368" i="1"/>
  <c r="D3369" i="1"/>
  <c r="F3369" i="1"/>
  <c r="D3370" i="1"/>
  <c r="F3370" i="1"/>
  <c r="D3371" i="1"/>
  <c r="F3371" i="1"/>
  <c r="D3372" i="1"/>
  <c r="F3372" i="1"/>
  <c r="D3373" i="1"/>
  <c r="F3373" i="1"/>
  <c r="D3374" i="1"/>
  <c r="F3374" i="1"/>
  <c r="D3375" i="1"/>
  <c r="F3375" i="1"/>
  <c r="D3376" i="1"/>
  <c r="F3376" i="1"/>
  <c r="D3377" i="1"/>
  <c r="F3377" i="1"/>
  <c r="D3378" i="1"/>
  <c r="F3378" i="1"/>
  <c r="D3379" i="1"/>
  <c r="F3379" i="1"/>
  <c r="D3380" i="1"/>
  <c r="F3380" i="1"/>
  <c r="D3381" i="1"/>
  <c r="F3381" i="1"/>
  <c r="D3382" i="1"/>
  <c r="F3382" i="1"/>
  <c r="D3383" i="1"/>
  <c r="F3383" i="1"/>
  <c r="D3384" i="1"/>
  <c r="F3384" i="1"/>
  <c r="D3385" i="1"/>
  <c r="F3385" i="1"/>
  <c r="D3386" i="1"/>
  <c r="F3386" i="1"/>
  <c r="D3387" i="1"/>
  <c r="F3387" i="1"/>
  <c r="D3388" i="1"/>
  <c r="F3388" i="1"/>
  <c r="D3389" i="1"/>
  <c r="F3389" i="1"/>
  <c r="D3390" i="1"/>
  <c r="F3390" i="1"/>
  <c r="D3391" i="1"/>
  <c r="F3391" i="1"/>
  <c r="D3392" i="1"/>
  <c r="F3392" i="1"/>
  <c r="D3393" i="1"/>
  <c r="F3393" i="1"/>
  <c r="D3394" i="1"/>
  <c r="F3394" i="1"/>
  <c r="D3395" i="1"/>
  <c r="F3395" i="1"/>
  <c r="D3396" i="1"/>
  <c r="F3396" i="1"/>
  <c r="D3397" i="1"/>
  <c r="F3397" i="1"/>
  <c r="D3398" i="1"/>
  <c r="F3398" i="1"/>
  <c r="D3399" i="1"/>
  <c r="F3399" i="1"/>
  <c r="D3400" i="1"/>
  <c r="F3400" i="1"/>
  <c r="D3401" i="1"/>
  <c r="F3401" i="1"/>
  <c r="D3402" i="1"/>
  <c r="F3402" i="1"/>
  <c r="D3403" i="1"/>
  <c r="F3403" i="1"/>
  <c r="D3404" i="1"/>
  <c r="F3404" i="1"/>
  <c r="D3405" i="1"/>
  <c r="F3405" i="1"/>
  <c r="D3406" i="1"/>
  <c r="F3406" i="1"/>
  <c r="D3407" i="1"/>
  <c r="F3407" i="1"/>
  <c r="D3408" i="1"/>
  <c r="F3408" i="1"/>
  <c r="D3409" i="1"/>
  <c r="F3409" i="1"/>
  <c r="D3410" i="1"/>
  <c r="F3410" i="1"/>
  <c r="D3411" i="1"/>
  <c r="F3411" i="1"/>
  <c r="D3412" i="1"/>
  <c r="F3412" i="1"/>
  <c r="D3413" i="1"/>
  <c r="F3413" i="1"/>
  <c r="D3414" i="1"/>
  <c r="F3414" i="1"/>
  <c r="D3415" i="1"/>
  <c r="F3415" i="1"/>
  <c r="D3416" i="1"/>
  <c r="F3416" i="1"/>
  <c r="D3417" i="1"/>
  <c r="F3417" i="1"/>
  <c r="D3418" i="1"/>
  <c r="F3418" i="1"/>
  <c r="D3419" i="1"/>
  <c r="F3419" i="1"/>
  <c r="D3420" i="1"/>
  <c r="F3420" i="1"/>
  <c r="D3421" i="1"/>
  <c r="F3421" i="1"/>
  <c r="D3422" i="1"/>
  <c r="F3422" i="1"/>
  <c r="D3423" i="1"/>
  <c r="F3423" i="1"/>
  <c r="D3424" i="1"/>
  <c r="F3424" i="1"/>
  <c r="D3425" i="1"/>
  <c r="F3425" i="1"/>
  <c r="D3426" i="1"/>
  <c r="F3426" i="1"/>
  <c r="D3427" i="1"/>
  <c r="F3427" i="1"/>
  <c r="D3428" i="1"/>
  <c r="F3428" i="1"/>
  <c r="D3429" i="1"/>
  <c r="F3429" i="1"/>
  <c r="D3430" i="1"/>
  <c r="F3430" i="1"/>
  <c r="D3431" i="1"/>
  <c r="F3431" i="1"/>
  <c r="D3432" i="1"/>
  <c r="F3432" i="1"/>
  <c r="D3433" i="1"/>
  <c r="F3433" i="1"/>
  <c r="D3434" i="1"/>
  <c r="F3434" i="1"/>
  <c r="D3435" i="1"/>
  <c r="F3435" i="1"/>
  <c r="D3436" i="1"/>
  <c r="F3436" i="1"/>
  <c r="D3437" i="1"/>
  <c r="F3437" i="1"/>
  <c r="D3438" i="1"/>
  <c r="F3438" i="1"/>
  <c r="D3439" i="1"/>
  <c r="F3439" i="1"/>
  <c r="D3440" i="1"/>
  <c r="F3440" i="1"/>
  <c r="D3441" i="1"/>
  <c r="F3441" i="1"/>
  <c r="D3442" i="1"/>
  <c r="F3442" i="1"/>
  <c r="D3443" i="1"/>
  <c r="F3443" i="1"/>
  <c r="D3444" i="1"/>
  <c r="F3444" i="1"/>
  <c r="D3445" i="1"/>
  <c r="F3445" i="1"/>
  <c r="D3446" i="1"/>
  <c r="F3446" i="1"/>
  <c r="D3447" i="1"/>
  <c r="F3447" i="1"/>
  <c r="D3448" i="1"/>
  <c r="F3448" i="1"/>
  <c r="D3449" i="1"/>
  <c r="F3449" i="1"/>
  <c r="D3450" i="1"/>
  <c r="F3450" i="1"/>
  <c r="D3451" i="1"/>
  <c r="F3451" i="1"/>
  <c r="D3452" i="1"/>
  <c r="F3452" i="1"/>
  <c r="D3453" i="1"/>
  <c r="F3453" i="1"/>
  <c r="D3454" i="1"/>
  <c r="F3454" i="1"/>
  <c r="D3455" i="1"/>
  <c r="F3455" i="1"/>
  <c r="D3456" i="1"/>
  <c r="F3456" i="1"/>
  <c r="D3457" i="1"/>
  <c r="F3457" i="1"/>
  <c r="D3458" i="1"/>
  <c r="F3458" i="1"/>
  <c r="D3459" i="1"/>
  <c r="F3459" i="1"/>
  <c r="D3460" i="1"/>
  <c r="F3460" i="1"/>
  <c r="D3461" i="1"/>
  <c r="F3461" i="1"/>
  <c r="D3462" i="1"/>
  <c r="F3462" i="1"/>
  <c r="D3463" i="1"/>
  <c r="F3463" i="1"/>
  <c r="D3464" i="1"/>
  <c r="F3464" i="1"/>
  <c r="D3465" i="1"/>
  <c r="F3465" i="1"/>
  <c r="D3466" i="1"/>
  <c r="F3466" i="1"/>
  <c r="D3467" i="1"/>
  <c r="F3467" i="1"/>
  <c r="D3468" i="1"/>
  <c r="F3468" i="1"/>
  <c r="D3469" i="1"/>
  <c r="F3469" i="1"/>
  <c r="D3470" i="1"/>
  <c r="F3470" i="1"/>
  <c r="D3471" i="1"/>
  <c r="F3471" i="1"/>
  <c r="D3472" i="1"/>
  <c r="F3472" i="1"/>
  <c r="D3473" i="1"/>
  <c r="F3473" i="1"/>
  <c r="D3474" i="1"/>
  <c r="F3474" i="1"/>
  <c r="D3475" i="1"/>
  <c r="F3475" i="1"/>
  <c r="D3476" i="1"/>
  <c r="F3476" i="1"/>
  <c r="D3477" i="1"/>
  <c r="F3477" i="1"/>
  <c r="D3478" i="1"/>
  <c r="F3478" i="1"/>
  <c r="D3479" i="1"/>
  <c r="F3479" i="1"/>
  <c r="D3480" i="1"/>
  <c r="F3480" i="1"/>
  <c r="D3481" i="1"/>
  <c r="F3481" i="1"/>
  <c r="D3482" i="1"/>
  <c r="F3482" i="1"/>
  <c r="D3483" i="1"/>
  <c r="F3483" i="1"/>
  <c r="D3484" i="1"/>
  <c r="F3484" i="1"/>
  <c r="D3485" i="1"/>
  <c r="F3485" i="1"/>
  <c r="D3486" i="1"/>
  <c r="F3486" i="1"/>
  <c r="D3487" i="1"/>
  <c r="F3487" i="1"/>
  <c r="D3488" i="1"/>
  <c r="F3488" i="1"/>
  <c r="D3489" i="1"/>
  <c r="F3489" i="1"/>
  <c r="D3490" i="1"/>
  <c r="F3490" i="1"/>
  <c r="D3491" i="1"/>
  <c r="F3491" i="1"/>
  <c r="D3492" i="1"/>
  <c r="F3492" i="1"/>
  <c r="D3493" i="1"/>
  <c r="F3493" i="1"/>
  <c r="D3494" i="1"/>
  <c r="F3494" i="1"/>
  <c r="D3495" i="1"/>
  <c r="F3495" i="1"/>
  <c r="D3496" i="1"/>
  <c r="F3496" i="1"/>
  <c r="D3497" i="1"/>
  <c r="F3497" i="1"/>
  <c r="D3498" i="1"/>
  <c r="F3498" i="1"/>
  <c r="D3499" i="1"/>
  <c r="F3499" i="1"/>
  <c r="D3500" i="1"/>
  <c r="F3500" i="1"/>
  <c r="D3501" i="1"/>
  <c r="F3501" i="1"/>
  <c r="D3502" i="1"/>
  <c r="F3502" i="1"/>
  <c r="D3503" i="1"/>
  <c r="F3503" i="1"/>
  <c r="D3504" i="1"/>
  <c r="F3504" i="1"/>
  <c r="D3505" i="1"/>
  <c r="F3505" i="1"/>
  <c r="D3506" i="1"/>
  <c r="F3506" i="1"/>
  <c r="D3507" i="1"/>
  <c r="F3507" i="1"/>
  <c r="D3508" i="1"/>
  <c r="F3508" i="1"/>
  <c r="D3509" i="1"/>
  <c r="F3509" i="1"/>
  <c r="D3510" i="1"/>
  <c r="F3510" i="1"/>
  <c r="D3511" i="1"/>
  <c r="F3511" i="1"/>
  <c r="D3512" i="1"/>
  <c r="F3512" i="1"/>
  <c r="D3513" i="1"/>
  <c r="F3513" i="1"/>
  <c r="D3514" i="1"/>
  <c r="F3514" i="1"/>
  <c r="D3515" i="1"/>
  <c r="F3515" i="1"/>
  <c r="D3516" i="1"/>
  <c r="F3516" i="1"/>
  <c r="D3517" i="1"/>
  <c r="F3517" i="1"/>
  <c r="D3518" i="1"/>
  <c r="F3518" i="1"/>
  <c r="D3519" i="1"/>
  <c r="F3519" i="1"/>
  <c r="D3520" i="1"/>
  <c r="F3520" i="1"/>
  <c r="D3521" i="1"/>
  <c r="F3521" i="1"/>
  <c r="D3522" i="1"/>
  <c r="F3522" i="1"/>
  <c r="D3523" i="1"/>
  <c r="F3523" i="1"/>
  <c r="D3524" i="1"/>
  <c r="F3524" i="1"/>
  <c r="D3525" i="1"/>
  <c r="F3525" i="1"/>
  <c r="D3526" i="1"/>
  <c r="F3526" i="1"/>
  <c r="D3527" i="1"/>
  <c r="F3527" i="1"/>
  <c r="D3528" i="1"/>
  <c r="F3528" i="1"/>
  <c r="D3529" i="1"/>
  <c r="F3529" i="1"/>
  <c r="D3530" i="1"/>
  <c r="F3530" i="1"/>
  <c r="D3531" i="1"/>
  <c r="F3531" i="1"/>
  <c r="D3532" i="1"/>
  <c r="F3532" i="1"/>
  <c r="D3533" i="1"/>
  <c r="F3533" i="1"/>
  <c r="D3534" i="1"/>
  <c r="F3534" i="1"/>
  <c r="D3535" i="1"/>
  <c r="F3535" i="1"/>
  <c r="D3536" i="1"/>
  <c r="F3536" i="1"/>
  <c r="D3537" i="1"/>
  <c r="F3537" i="1"/>
  <c r="D3538" i="1"/>
  <c r="F3538" i="1"/>
  <c r="D3539" i="1"/>
  <c r="F3539" i="1"/>
  <c r="D3540" i="1"/>
  <c r="F3540" i="1"/>
  <c r="D3541" i="1"/>
  <c r="F3541" i="1"/>
  <c r="D3542" i="1"/>
  <c r="F3542" i="1"/>
  <c r="D3543" i="1"/>
  <c r="F3543" i="1"/>
  <c r="D3544" i="1"/>
  <c r="F3544" i="1"/>
  <c r="D3545" i="1"/>
  <c r="F3545" i="1"/>
  <c r="D3546" i="1"/>
  <c r="F3546" i="1"/>
  <c r="D3547" i="1"/>
  <c r="F3547" i="1"/>
  <c r="D3548" i="1"/>
  <c r="F3548" i="1"/>
  <c r="D3549" i="1"/>
  <c r="F3549" i="1"/>
  <c r="D3550" i="1"/>
  <c r="F3550" i="1"/>
  <c r="D3551" i="1"/>
  <c r="F3551" i="1"/>
  <c r="D3552" i="1"/>
  <c r="F3552" i="1"/>
  <c r="D3553" i="1"/>
  <c r="F3553" i="1"/>
  <c r="D3554" i="1"/>
  <c r="F3554" i="1"/>
  <c r="D3555" i="1"/>
  <c r="F3555" i="1"/>
  <c r="D3556" i="1"/>
  <c r="F3556" i="1"/>
  <c r="D3557" i="1"/>
  <c r="F3557" i="1"/>
  <c r="D3558" i="1"/>
  <c r="F3558" i="1"/>
  <c r="D3559" i="1"/>
  <c r="F3559" i="1"/>
  <c r="D3560" i="1"/>
  <c r="F3560" i="1"/>
  <c r="D3561" i="1"/>
  <c r="F3561" i="1"/>
  <c r="D3562" i="1"/>
  <c r="F3562" i="1"/>
  <c r="D3563" i="1"/>
  <c r="F3563" i="1"/>
  <c r="D3564" i="1"/>
  <c r="F3564" i="1"/>
  <c r="D3565" i="1"/>
  <c r="F3565" i="1"/>
  <c r="D3566" i="1"/>
  <c r="F3566" i="1"/>
  <c r="D3567" i="1"/>
  <c r="F3567" i="1"/>
  <c r="D3568" i="1"/>
  <c r="F3568" i="1"/>
  <c r="D3569" i="1"/>
  <c r="F3569" i="1"/>
  <c r="D3570" i="1"/>
  <c r="F3570" i="1"/>
  <c r="D3571" i="1"/>
  <c r="F3571" i="1"/>
  <c r="D3572" i="1"/>
  <c r="F3572" i="1"/>
  <c r="D3573" i="1"/>
  <c r="F3573" i="1"/>
  <c r="D3574" i="1"/>
  <c r="F3574" i="1"/>
  <c r="D3575" i="1"/>
  <c r="F3575" i="1"/>
  <c r="D3576" i="1"/>
  <c r="F3576" i="1"/>
  <c r="D3577" i="1"/>
  <c r="F3577" i="1"/>
  <c r="D3578" i="1"/>
  <c r="F3578" i="1"/>
  <c r="D3579" i="1"/>
  <c r="F3579" i="1"/>
  <c r="D3580" i="1"/>
  <c r="F3580" i="1"/>
  <c r="D3581" i="1"/>
  <c r="F3581" i="1"/>
  <c r="D3582" i="1"/>
  <c r="F3582" i="1"/>
  <c r="D3583" i="1"/>
  <c r="F3583" i="1"/>
  <c r="D3584" i="1"/>
  <c r="F3584" i="1"/>
  <c r="D3585" i="1"/>
  <c r="F3585" i="1"/>
  <c r="D3586" i="1"/>
  <c r="F3586" i="1"/>
  <c r="D3587" i="1"/>
  <c r="F3587" i="1"/>
  <c r="D3588" i="1"/>
  <c r="F3588" i="1"/>
  <c r="D3589" i="1"/>
  <c r="F3589" i="1"/>
  <c r="D3590" i="1"/>
  <c r="F3590" i="1"/>
  <c r="D3591" i="1"/>
  <c r="F3591" i="1"/>
  <c r="D3592" i="1"/>
  <c r="F3592" i="1"/>
  <c r="D3593" i="1"/>
  <c r="F3593" i="1"/>
  <c r="D3594" i="1"/>
  <c r="F3594" i="1"/>
  <c r="D3595" i="1"/>
  <c r="F3595" i="1"/>
  <c r="D3596" i="1"/>
  <c r="F3596" i="1"/>
  <c r="D3597" i="1"/>
  <c r="F3597" i="1"/>
  <c r="D3598" i="1"/>
  <c r="F3598" i="1"/>
  <c r="D3599" i="1"/>
  <c r="F3599" i="1"/>
  <c r="D3600" i="1"/>
  <c r="F3600" i="1"/>
  <c r="D3601" i="1"/>
  <c r="F3601" i="1"/>
  <c r="D3602" i="1"/>
  <c r="F3602" i="1"/>
  <c r="D3603" i="1"/>
  <c r="F3603" i="1"/>
  <c r="D3604" i="1"/>
  <c r="F3604" i="1"/>
  <c r="D3605" i="1"/>
  <c r="F3605" i="1"/>
  <c r="D3606" i="1"/>
  <c r="F3606" i="1"/>
  <c r="D3607" i="1"/>
  <c r="F3607" i="1"/>
  <c r="D3608" i="1"/>
  <c r="F3608" i="1"/>
  <c r="D3609" i="1"/>
  <c r="F3609" i="1"/>
  <c r="D3610" i="1"/>
  <c r="F3610" i="1"/>
  <c r="D3611" i="1"/>
  <c r="F3611" i="1"/>
  <c r="D3612" i="1"/>
  <c r="F3612" i="1"/>
  <c r="D3613" i="1"/>
  <c r="F3613" i="1"/>
  <c r="D3614" i="1"/>
  <c r="F3614" i="1"/>
  <c r="D3615" i="1"/>
  <c r="F3615" i="1"/>
  <c r="D3616" i="1"/>
  <c r="F3616" i="1"/>
  <c r="D3617" i="1"/>
  <c r="F3617" i="1"/>
  <c r="D3618" i="1"/>
  <c r="F3618" i="1"/>
  <c r="D3619" i="1"/>
  <c r="F3619" i="1"/>
  <c r="D3620" i="1"/>
  <c r="F3620" i="1"/>
  <c r="D3621" i="1"/>
  <c r="F3621" i="1"/>
  <c r="D3622" i="1"/>
  <c r="F3622" i="1"/>
  <c r="D3623" i="1"/>
  <c r="F3623" i="1"/>
  <c r="D3624" i="1"/>
  <c r="F3624" i="1"/>
  <c r="D3625" i="1"/>
  <c r="F3625" i="1"/>
  <c r="D3626" i="1"/>
  <c r="F3626" i="1"/>
  <c r="D3627" i="1"/>
  <c r="F3627" i="1"/>
  <c r="D3628" i="1"/>
  <c r="F3628" i="1"/>
  <c r="D3629" i="1"/>
  <c r="F3629" i="1"/>
  <c r="D3630" i="1"/>
  <c r="F3630" i="1"/>
  <c r="D3631" i="1"/>
  <c r="F3631" i="1"/>
  <c r="D3632" i="1"/>
  <c r="F3632" i="1"/>
  <c r="D3633" i="1"/>
  <c r="F3633" i="1"/>
  <c r="D3634" i="1"/>
  <c r="F3634" i="1"/>
  <c r="D3635" i="1"/>
  <c r="F3635" i="1"/>
  <c r="D3636" i="1"/>
  <c r="F3636" i="1"/>
  <c r="D3637" i="1"/>
  <c r="F3637" i="1"/>
  <c r="D3638" i="1"/>
  <c r="F3638" i="1"/>
  <c r="D3639" i="1"/>
  <c r="F3639" i="1"/>
  <c r="D3640" i="1"/>
  <c r="F3640" i="1"/>
  <c r="D3641" i="1"/>
  <c r="F3641" i="1"/>
  <c r="D3642" i="1"/>
  <c r="F3642" i="1"/>
  <c r="D3643" i="1"/>
  <c r="F3643" i="1"/>
  <c r="D3644" i="1"/>
  <c r="F3644" i="1"/>
  <c r="D3645" i="1"/>
  <c r="F3645" i="1"/>
  <c r="D3646" i="1"/>
  <c r="F3646" i="1"/>
  <c r="D3647" i="1"/>
  <c r="F3647" i="1"/>
  <c r="D3648" i="1"/>
  <c r="F3648" i="1"/>
  <c r="D3649" i="1"/>
  <c r="F3649" i="1"/>
  <c r="D3650" i="1"/>
  <c r="F3650" i="1"/>
  <c r="D3651" i="1"/>
  <c r="F3651" i="1"/>
  <c r="D3652" i="1"/>
  <c r="F3652" i="1"/>
  <c r="D3653" i="1"/>
  <c r="F3653" i="1"/>
  <c r="D3654" i="1"/>
  <c r="F3654" i="1"/>
  <c r="D3655" i="1"/>
  <c r="F3655" i="1"/>
  <c r="D3656" i="1"/>
  <c r="F3656" i="1"/>
  <c r="D3657" i="1"/>
  <c r="F3657" i="1"/>
  <c r="D3658" i="1"/>
  <c r="F3658" i="1"/>
  <c r="D3659" i="1"/>
  <c r="F3659" i="1"/>
  <c r="D3660" i="1"/>
  <c r="F3660" i="1"/>
  <c r="D3661" i="1"/>
  <c r="F3661" i="1"/>
  <c r="D3662" i="1"/>
  <c r="F3662" i="1"/>
  <c r="D3663" i="1"/>
  <c r="F3663" i="1"/>
  <c r="D3664" i="1"/>
  <c r="F3664" i="1"/>
  <c r="D3665" i="1"/>
  <c r="F3665" i="1"/>
  <c r="D3666" i="1"/>
  <c r="F3666" i="1"/>
  <c r="D3667" i="1"/>
  <c r="F3667" i="1"/>
  <c r="D3668" i="1"/>
  <c r="F3668" i="1"/>
  <c r="D3669" i="1"/>
  <c r="F3669" i="1"/>
  <c r="D3670" i="1"/>
  <c r="F3670" i="1"/>
  <c r="D3671" i="1"/>
  <c r="F3671" i="1"/>
  <c r="D3672" i="1"/>
  <c r="F3672" i="1"/>
  <c r="D3673" i="1"/>
  <c r="F3673" i="1"/>
  <c r="D3674" i="1"/>
  <c r="F3674" i="1"/>
  <c r="D3675" i="1"/>
  <c r="F3675" i="1"/>
  <c r="D3676" i="1"/>
  <c r="F3676" i="1"/>
  <c r="D3677" i="1"/>
  <c r="F3677" i="1"/>
  <c r="D3678" i="1"/>
  <c r="F3678" i="1"/>
  <c r="D3679" i="1"/>
  <c r="F3679" i="1"/>
  <c r="D3680" i="1"/>
  <c r="F3680" i="1"/>
  <c r="D3681" i="1"/>
  <c r="F3681" i="1"/>
  <c r="D3682" i="1"/>
  <c r="F3682" i="1"/>
  <c r="D3683" i="1"/>
  <c r="F3683" i="1"/>
  <c r="D3684" i="1"/>
  <c r="F3684" i="1"/>
  <c r="D3685" i="1"/>
  <c r="F3685" i="1"/>
  <c r="D3686" i="1"/>
  <c r="F3686" i="1"/>
  <c r="D3687" i="1"/>
  <c r="F3687" i="1"/>
  <c r="D3688" i="1"/>
  <c r="F3688" i="1"/>
  <c r="D3689" i="1"/>
  <c r="F3689" i="1"/>
  <c r="D3690" i="1"/>
  <c r="F3690" i="1"/>
  <c r="D3691" i="1"/>
  <c r="F3691" i="1"/>
  <c r="D3692" i="1"/>
  <c r="F3692" i="1"/>
  <c r="D3693" i="1"/>
  <c r="F3693" i="1"/>
  <c r="D3694" i="1"/>
  <c r="F3694" i="1"/>
  <c r="D3695" i="1"/>
  <c r="F3695" i="1"/>
  <c r="D3696" i="1"/>
  <c r="F3696" i="1"/>
  <c r="D3697" i="1"/>
  <c r="F3697" i="1"/>
  <c r="D3698" i="1"/>
  <c r="F3698" i="1"/>
  <c r="D3699" i="1"/>
  <c r="F3699" i="1"/>
  <c r="D3700" i="1"/>
  <c r="F3700" i="1"/>
  <c r="D3701" i="1"/>
  <c r="F3701" i="1"/>
  <c r="D3702" i="1"/>
  <c r="F3702" i="1"/>
  <c r="D3703" i="1"/>
  <c r="F3703" i="1"/>
  <c r="D3704" i="1"/>
  <c r="F3704" i="1"/>
  <c r="D3705" i="1"/>
  <c r="F3705" i="1"/>
  <c r="D3706" i="1"/>
  <c r="F3706" i="1"/>
  <c r="D3707" i="1"/>
  <c r="F3707" i="1"/>
  <c r="D3708" i="1"/>
  <c r="F3708" i="1"/>
  <c r="D3709" i="1"/>
  <c r="F3709" i="1"/>
  <c r="D3710" i="1"/>
  <c r="F3710" i="1"/>
  <c r="D3711" i="1"/>
  <c r="F3711" i="1"/>
  <c r="D3712" i="1"/>
  <c r="F3712" i="1"/>
  <c r="D3713" i="1"/>
  <c r="F3713" i="1"/>
  <c r="D3714" i="1"/>
  <c r="F3714" i="1"/>
  <c r="D3715" i="1"/>
  <c r="F3715" i="1"/>
  <c r="D3716" i="1"/>
  <c r="F3716" i="1"/>
  <c r="D3717" i="1"/>
  <c r="F3717" i="1"/>
  <c r="D3718" i="1"/>
  <c r="F3718" i="1"/>
  <c r="D3719" i="1"/>
  <c r="F3719" i="1"/>
  <c r="D3720" i="1"/>
  <c r="F3720" i="1"/>
  <c r="D3721" i="1"/>
  <c r="F3721" i="1"/>
  <c r="D3722" i="1"/>
  <c r="F3722" i="1"/>
  <c r="D3723" i="1"/>
  <c r="F3723" i="1"/>
  <c r="D3724" i="1"/>
  <c r="F3724" i="1"/>
  <c r="D3725" i="1"/>
  <c r="F3725" i="1"/>
  <c r="D3726" i="1"/>
  <c r="F3726" i="1"/>
  <c r="D3727" i="1"/>
  <c r="F3727" i="1"/>
  <c r="D3728" i="1"/>
  <c r="F3728" i="1"/>
  <c r="D3729" i="1"/>
  <c r="F3729" i="1"/>
  <c r="D3730" i="1"/>
  <c r="F3730" i="1"/>
  <c r="D3731" i="1"/>
  <c r="F3731" i="1"/>
  <c r="D3732" i="1"/>
  <c r="F3732" i="1"/>
  <c r="D3733" i="1"/>
  <c r="F3733" i="1"/>
  <c r="D3734" i="1"/>
  <c r="F3734" i="1"/>
  <c r="D3735" i="1"/>
  <c r="F3735" i="1"/>
  <c r="D3736" i="1"/>
  <c r="F3736" i="1"/>
  <c r="D3737" i="1"/>
  <c r="F3737" i="1"/>
  <c r="D3738" i="1"/>
  <c r="F3738" i="1"/>
  <c r="D3739" i="1"/>
  <c r="F3739" i="1"/>
  <c r="D3740" i="1"/>
  <c r="F3740" i="1"/>
  <c r="D3741" i="1"/>
  <c r="F3741" i="1"/>
  <c r="D3742" i="1"/>
  <c r="F3742" i="1"/>
  <c r="D3743" i="1"/>
  <c r="F3743" i="1"/>
  <c r="D3744" i="1"/>
  <c r="F3744" i="1"/>
  <c r="D3745" i="1"/>
  <c r="F3745" i="1"/>
  <c r="D3746" i="1"/>
  <c r="F3746" i="1"/>
  <c r="D3747" i="1"/>
  <c r="F3747" i="1"/>
  <c r="D3748" i="1"/>
  <c r="F3748" i="1"/>
  <c r="D3749" i="1"/>
  <c r="F3749" i="1"/>
  <c r="D3750" i="1"/>
  <c r="F3750" i="1"/>
  <c r="D3751" i="1"/>
  <c r="F3751" i="1"/>
  <c r="D3752" i="1"/>
  <c r="F3752" i="1"/>
  <c r="D3753" i="1"/>
  <c r="F3753" i="1"/>
  <c r="D3754" i="1"/>
  <c r="F3754" i="1"/>
  <c r="D3755" i="1"/>
  <c r="F3755" i="1"/>
  <c r="D3756" i="1"/>
  <c r="F3756" i="1"/>
  <c r="D3757" i="1"/>
  <c r="F3757" i="1"/>
  <c r="D3758" i="1"/>
  <c r="F3758" i="1"/>
  <c r="D3759" i="1"/>
  <c r="F3759" i="1"/>
  <c r="D3760" i="1"/>
  <c r="F3760" i="1"/>
  <c r="D3761" i="1"/>
  <c r="F3761" i="1"/>
  <c r="D3762" i="1"/>
  <c r="F3762" i="1"/>
  <c r="D3763" i="1"/>
  <c r="F3763" i="1"/>
  <c r="D3764" i="1"/>
  <c r="F3764" i="1"/>
  <c r="D3765" i="1"/>
  <c r="F3765" i="1"/>
  <c r="D3766" i="1"/>
  <c r="F3766" i="1"/>
  <c r="D3767" i="1"/>
  <c r="F3767" i="1"/>
  <c r="D3768" i="1"/>
  <c r="F3768" i="1"/>
  <c r="D3769" i="1"/>
  <c r="F3769" i="1"/>
  <c r="D3770" i="1"/>
  <c r="F3770" i="1"/>
  <c r="D3771" i="1"/>
  <c r="F3771" i="1"/>
  <c r="D3772" i="1"/>
  <c r="F3772" i="1"/>
  <c r="D3773" i="1"/>
  <c r="F3773" i="1"/>
  <c r="D3774" i="1"/>
  <c r="F3774" i="1"/>
  <c r="D3775" i="1"/>
  <c r="F3775" i="1"/>
  <c r="D3776" i="1"/>
  <c r="F3776" i="1"/>
  <c r="D3777" i="1"/>
  <c r="F3777" i="1"/>
  <c r="D3778" i="1"/>
  <c r="F3778" i="1"/>
  <c r="D3779" i="1"/>
  <c r="F3779" i="1"/>
  <c r="D3780" i="1"/>
  <c r="F3780" i="1"/>
  <c r="D3781" i="1"/>
  <c r="F3781" i="1"/>
  <c r="D3782" i="1"/>
  <c r="F3782" i="1"/>
  <c r="D3783" i="1"/>
  <c r="F3783" i="1"/>
  <c r="D3784" i="1"/>
  <c r="F3784" i="1"/>
  <c r="D3785" i="1"/>
  <c r="F3785" i="1"/>
  <c r="D3786" i="1"/>
  <c r="F3786" i="1"/>
  <c r="D3787" i="1"/>
  <c r="F3787" i="1"/>
  <c r="D3788" i="1"/>
  <c r="F3788" i="1"/>
  <c r="D3789" i="1"/>
  <c r="F3789" i="1"/>
  <c r="D3790" i="1"/>
  <c r="F3790" i="1"/>
  <c r="D3791" i="1"/>
  <c r="F3791" i="1"/>
  <c r="D3792" i="1"/>
  <c r="F3792" i="1"/>
  <c r="D3793" i="1"/>
  <c r="F3793" i="1"/>
  <c r="D3794" i="1"/>
  <c r="F3794" i="1"/>
  <c r="D3795" i="1"/>
  <c r="F3795" i="1"/>
  <c r="D3796" i="1"/>
  <c r="F3796" i="1"/>
  <c r="D3797" i="1"/>
  <c r="F3797" i="1"/>
  <c r="D3798" i="1"/>
  <c r="F3798" i="1"/>
  <c r="D3799" i="1"/>
  <c r="F3799" i="1"/>
  <c r="D3800" i="1"/>
  <c r="F3800" i="1"/>
  <c r="D3801" i="1"/>
  <c r="F3801" i="1"/>
  <c r="D3802" i="1"/>
  <c r="F3802" i="1"/>
  <c r="D3803" i="1"/>
  <c r="F3803" i="1"/>
  <c r="D3804" i="1"/>
  <c r="F3804" i="1"/>
  <c r="D3805" i="1"/>
  <c r="F3805" i="1"/>
  <c r="D3806" i="1"/>
  <c r="F3806" i="1"/>
  <c r="D3807" i="1"/>
  <c r="F3807" i="1"/>
  <c r="D3808" i="1"/>
  <c r="F3808" i="1"/>
  <c r="D3809" i="1"/>
  <c r="F3809" i="1"/>
  <c r="D3810" i="1"/>
  <c r="F3810" i="1"/>
  <c r="D3811" i="1"/>
  <c r="F3811" i="1"/>
  <c r="D3812" i="1"/>
  <c r="F3812" i="1"/>
  <c r="D3813" i="1"/>
  <c r="F3813" i="1"/>
  <c r="D3814" i="1"/>
  <c r="F3814" i="1"/>
  <c r="D3815" i="1"/>
  <c r="F3815" i="1"/>
  <c r="D3816" i="1"/>
  <c r="F3816" i="1"/>
  <c r="D3817" i="1"/>
  <c r="F3817" i="1"/>
  <c r="D3818" i="1"/>
  <c r="F3818" i="1"/>
  <c r="D3819" i="1"/>
  <c r="F3819" i="1"/>
  <c r="D3820" i="1"/>
  <c r="F3820" i="1"/>
  <c r="D3821" i="1"/>
  <c r="F3821" i="1"/>
  <c r="D3822" i="1"/>
  <c r="F3822" i="1"/>
  <c r="D3823" i="1"/>
  <c r="F3823" i="1"/>
  <c r="D3824" i="1"/>
  <c r="F3824" i="1"/>
  <c r="D3825" i="1"/>
  <c r="F3825" i="1"/>
  <c r="D3826" i="1"/>
  <c r="F3826" i="1"/>
  <c r="D3827" i="1"/>
  <c r="F3827" i="1"/>
  <c r="D3828" i="1"/>
  <c r="F3828" i="1"/>
  <c r="D3829" i="1"/>
  <c r="F3829" i="1"/>
  <c r="D3830" i="1"/>
  <c r="F3830" i="1"/>
  <c r="D3831" i="1"/>
  <c r="F3831" i="1"/>
  <c r="D3832" i="1"/>
  <c r="F3832" i="1"/>
  <c r="D3833" i="1"/>
  <c r="F3833" i="1"/>
  <c r="D3834" i="1"/>
  <c r="F3834" i="1"/>
  <c r="D3835" i="1"/>
  <c r="F3835" i="1"/>
  <c r="D3836" i="1"/>
  <c r="F3836" i="1"/>
  <c r="D3837" i="1"/>
  <c r="F3837" i="1"/>
  <c r="D3838" i="1"/>
  <c r="F3838" i="1"/>
  <c r="D3839" i="1"/>
  <c r="F3839" i="1"/>
  <c r="D3840" i="1"/>
  <c r="F3840" i="1"/>
  <c r="D3841" i="1"/>
  <c r="F3841" i="1"/>
  <c r="D3842" i="1"/>
  <c r="F3842" i="1"/>
  <c r="D3843" i="1"/>
  <c r="F3843" i="1"/>
  <c r="D3844" i="1"/>
  <c r="F3844" i="1"/>
  <c r="D3845" i="1"/>
  <c r="F3845" i="1"/>
  <c r="D3846" i="1"/>
  <c r="F3846" i="1"/>
  <c r="D3847" i="1"/>
  <c r="F3847" i="1"/>
  <c r="D3848" i="1"/>
  <c r="F3848" i="1"/>
  <c r="D3849" i="1"/>
  <c r="F3849" i="1"/>
  <c r="D3850" i="1"/>
  <c r="F3850" i="1"/>
  <c r="D3851" i="1"/>
  <c r="F3851" i="1"/>
  <c r="D3852" i="1"/>
  <c r="F3852" i="1"/>
  <c r="D3853" i="1"/>
  <c r="F3853" i="1"/>
  <c r="D3854" i="1"/>
  <c r="F3854" i="1"/>
  <c r="D3855" i="1"/>
  <c r="F3855" i="1"/>
  <c r="D3856" i="1"/>
  <c r="F3856" i="1"/>
  <c r="D3857" i="1"/>
  <c r="F3857" i="1"/>
  <c r="D3858" i="1"/>
  <c r="F3858" i="1"/>
  <c r="D3859" i="1"/>
  <c r="F3859" i="1"/>
  <c r="D3860" i="1"/>
  <c r="F3860" i="1"/>
  <c r="D3861" i="1"/>
  <c r="F3861" i="1"/>
  <c r="D3862" i="1"/>
  <c r="F3862" i="1"/>
  <c r="D3863" i="1"/>
  <c r="F3863" i="1"/>
  <c r="D3864" i="1"/>
  <c r="F3864" i="1"/>
  <c r="D3865" i="1"/>
  <c r="F3865" i="1"/>
  <c r="D3866" i="1"/>
  <c r="F3866" i="1"/>
  <c r="D3867" i="1"/>
  <c r="F3867" i="1"/>
  <c r="D3868" i="1"/>
  <c r="F3868" i="1"/>
  <c r="D3869" i="1"/>
  <c r="F3869" i="1"/>
  <c r="D3870" i="1"/>
  <c r="F3870" i="1"/>
  <c r="D3871" i="1"/>
  <c r="F3871" i="1"/>
  <c r="D3872" i="1"/>
  <c r="F3872" i="1"/>
  <c r="D3873" i="1"/>
  <c r="F3873" i="1"/>
  <c r="D3874" i="1"/>
  <c r="F3874" i="1"/>
  <c r="D3875" i="1"/>
  <c r="F3875" i="1"/>
  <c r="D3876" i="1"/>
  <c r="F3876" i="1"/>
  <c r="D3877" i="1"/>
  <c r="F3877" i="1"/>
  <c r="D3878" i="1"/>
  <c r="F3878" i="1"/>
  <c r="D3879" i="1"/>
  <c r="F3879" i="1"/>
  <c r="D3880" i="1"/>
  <c r="F3880" i="1"/>
  <c r="D3881" i="1"/>
  <c r="F3881" i="1"/>
  <c r="D3882" i="1"/>
  <c r="F3882" i="1"/>
  <c r="D3883" i="1"/>
  <c r="F3883" i="1"/>
  <c r="D3884" i="1"/>
  <c r="F3884" i="1"/>
  <c r="D3885" i="1"/>
  <c r="F3885" i="1"/>
  <c r="D3886" i="1"/>
  <c r="F3886" i="1"/>
  <c r="D3887" i="1"/>
  <c r="F3887" i="1"/>
  <c r="D3888" i="1"/>
  <c r="F3888" i="1"/>
  <c r="D3889" i="1"/>
  <c r="F3889" i="1"/>
  <c r="D3890" i="1"/>
  <c r="F3890" i="1"/>
  <c r="D3891" i="1"/>
  <c r="F3891" i="1"/>
  <c r="D3892" i="1"/>
  <c r="F3892" i="1"/>
  <c r="D3893" i="1"/>
  <c r="F3893" i="1"/>
  <c r="D3894" i="1"/>
  <c r="F3894" i="1"/>
  <c r="D3895" i="1"/>
  <c r="F3895" i="1"/>
  <c r="D3896" i="1"/>
  <c r="F3896" i="1"/>
  <c r="D3897" i="1"/>
  <c r="F3897" i="1"/>
  <c r="D3898" i="1"/>
  <c r="F3898" i="1"/>
  <c r="D3899" i="1"/>
  <c r="F3899" i="1"/>
  <c r="D3900" i="1"/>
  <c r="F3900" i="1"/>
  <c r="D3901" i="1"/>
  <c r="F3901" i="1"/>
  <c r="D3902" i="1"/>
  <c r="F3902" i="1"/>
  <c r="D3903" i="1"/>
  <c r="F3903" i="1"/>
  <c r="D3904" i="1"/>
  <c r="F3904" i="1"/>
  <c r="D3905" i="1"/>
  <c r="F3905" i="1"/>
  <c r="D3906" i="1"/>
  <c r="F3906" i="1"/>
  <c r="D3907" i="1"/>
  <c r="F3907" i="1"/>
  <c r="D3908" i="1"/>
  <c r="F3908" i="1"/>
  <c r="D3909" i="1"/>
  <c r="F3909" i="1"/>
  <c r="D3910" i="1"/>
  <c r="F3910" i="1"/>
  <c r="D3911" i="1"/>
  <c r="F3911" i="1"/>
  <c r="D3912" i="1"/>
  <c r="F3912" i="1"/>
  <c r="D3913" i="1"/>
  <c r="F3913" i="1"/>
  <c r="D3914" i="1"/>
  <c r="F3914" i="1"/>
  <c r="D3915" i="1"/>
  <c r="F3915" i="1"/>
  <c r="D3916" i="1"/>
  <c r="F3916" i="1"/>
  <c r="D3917" i="1"/>
  <c r="F3917" i="1"/>
  <c r="D3918" i="1"/>
  <c r="F3918" i="1"/>
  <c r="D3919" i="1"/>
  <c r="F3919" i="1"/>
  <c r="D3920" i="1"/>
  <c r="F3920" i="1"/>
  <c r="D3921" i="1"/>
  <c r="F3921" i="1"/>
  <c r="D3922" i="1"/>
  <c r="F3922" i="1"/>
  <c r="D3923" i="1"/>
  <c r="F3923" i="1"/>
  <c r="D3924" i="1"/>
  <c r="F3924" i="1"/>
  <c r="D3925" i="1"/>
  <c r="F3925" i="1"/>
  <c r="D3926" i="1"/>
  <c r="F3926" i="1"/>
  <c r="D3927" i="1"/>
  <c r="F3927" i="1"/>
  <c r="D3928" i="1"/>
  <c r="F3928" i="1"/>
  <c r="D3929" i="1"/>
  <c r="F3929" i="1"/>
  <c r="D3930" i="1"/>
  <c r="F3930" i="1"/>
  <c r="D3931" i="1"/>
  <c r="F3931" i="1"/>
  <c r="D3932" i="1"/>
  <c r="F3932" i="1"/>
  <c r="D3933" i="1"/>
  <c r="F3933" i="1"/>
  <c r="D3934" i="1"/>
  <c r="F3934" i="1"/>
  <c r="D3935" i="1"/>
  <c r="F3935" i="1"/>
  <c r="D3936" i="1"/>
  <c r="F3936" i="1"/>
  <c r="D3937" i="1"/>
  <c r="F3937" i="1"/>
  <c r="D3938" i="1"/>
  <c r="F3938" i="1"/>
  <c r="D3939" i="1"/>
  <c r="F3939" i="1"/>
  <c r="D3940" i="1"/>
  <c r="F3940" i="1"/>
  <c r="D3941" i="1"/>
  <c r="F3941" i="1"/>
  <c r="D3942" i="1"/>
  <c r="F3942" i="1"/>
  <c r="D3943" i="1"/>
  <c r="F3943" i="1"/>
  <c r="D3944" i="1"/>
  <c r="F3944" i="1"/>
  <c r="D3945" i="1"/>
  <c r="F3945" i="1"/>
  <c r="D3946" i="1"/>
  <c r="F3946" i="1"/>
  <c r="D3947" i="1"/>
  <c r="F3947" i="1"/>
  <c r="D3948" i="1"/>
  <c r="F3948" i="1"/>
  <c r="D3949" i="1"/>
  <c r="F3949" i="1"/>
  <c r="D3950" i="1"/>
  <c r="F3950" i="1"/>
  <c r="D3951" i="1"/>
  <c r="F3951" i="1"/>
  <c r="D3952" i="1"/>
  <c r="F3952" i="1"/>
  <c r="D3953" i="1"/>
  <c r="F3953" i="1"/>
  <c r="D3954" i="1"/>
  <c r="F3954" i="1"/>
  <c r="D3955" i="1"/>
  <c r="F3955" i="1"/>
  <c r="D3956" i="1"/>
  <c r="F3956" i="1"/>
  <c r="D3957" i="1"/>
  <c r="F3957" i="1"/>
  <c r="D3958" i="1"/>
  <c r="F3958" i="1"/>
  <c r="D3959" i="1"/>
  <c r="F3959" i="1"/>
  <c r="D3960" i="1"/>
  <c r="F3960" i="1"/>
  <c r="D3961" i="1"/>
  <c r="F3961" i="1"/>
  <c r="D3962" i="1"/>
  <c r="F3962" i="1"/>
  <c r="D3963" i="1"/>
  <c r="F3963" i="1"/>
  <c r="D3964" i="1"/>
  <c r="F3964" i="1"/>
  <c r="D3965" i="1"/>
  <c r="F3965" i="1"/>
  <c r="D3966" i="1"/>
  <c r="F3966" i="1"/>
  <c r="D3967" i="1"/>
  <c r="F3967" i="1"/>
  <c r="D3968" i="1"/>
  <c r="F3968" i="1"/>
  <c r="D3969" i="1"/>
  <c r="F3969" i="1"/>
  <c r="D3970" i="1"/>
  <c r="F3970" i="1"/>
  <c r="D3971" i="1"/>
  <c r="F3971" i="1"/>
  <c r="D3972" i="1"/>
  <c r="F3972" i="1"/>
  <c r="D3973" i="1"/>
  <c r="F3973" i="1"/>
  <c r="D3974" i="1"/>
  <c r="F3974" i="1"/>
  <c r="D3975" i="1"/>
  <c r="F3975" i="1"/>
  <c r="D3976" i="1"/>
  <c r="F3976" i="1"/>
  <c r="D3977" i="1"/>
  <c r="F3977" i="1"/>
  <c r="D3978" i="1"/>
  <c r="F3978" i="1"/>
  <c r="D3979" i="1"/>
  <c r="F3979" i="1"/>
  <c r="D3980" i="1"/>
  <c r="F3980" i="1"/>
  <c r="D3981" i="1"/>
  <c r="F3981" i="1"/>
  <c r="D3982" i="1"/>
  <c r="F3982" i="1"/>
  <c r="D3983" i="1"/>
  <c r="F3983" i="1"/>
  <c r="D3984" i="1"/>
  <c r="F3984" i="1"/>
  <c r="D3985" i="1"/>
  <c r="F3985" i="1"/>
  <c r="D3986" i="1"/>
  <c r="F3986" i="1"/>
  <c r="D3987" i="1"/>
  <c r="F3987" i="1"/>
  <c r="D3988" i="1"/>
  <c r="F3988" i="1"/>
  <c r="D3989" i="1"/>
  <c r="F3989" i="1"/>
  <c r="D3990" i="1"/>
  <c r="F3990" i="1"/>
  <c r="D3991" i="1"/>
  <c r="F3991" i="1"/>
  <c r="D3992" i="1"/>
  <c r="F3992" i="1"/>
  <c r="D3993" i="1"/>
  <c r="F3993" i="1"/>
  <c r="D3994" i="1"/>
  <c r="F3994" i="1"/>
  <c r="D3995" i="1"/>
  <c r="F3995" i="1"/>
  <c r="D3996" i="1"/>
  <c r="F3996" i="1"/>
  <c r="D3997" i="1"/>
  <c r="F3997" i="1"/>
  <c r="D3998" i="1"/>
  <c r="F3998" i="1"/>
  <c r="D3999" i="1"/>
  <c r="F3999" i="1"/>
  <c r="D4000" i="1"/>
  <c r="F4000" i="1"/>
  <c r="D4001" i="1"/>
  <c r="F4001" i="1"/>
  <c r="D4002" i="1"/>
  <c r="F4002" i="1"/>
  <c r="D4003" i="1"/>
  <c r="F4003" i="1"/>
  <c r="D4004" i="1"/>
  <c r="F4004" i="1"/>
  <c r="D4005" i="1"/>
  <c r="F4005" i="1"/>
  <c r="D4006" i="1"/>
  <c r="F4006" i="1"/>
  <c r="D4007" i="1"/>
  <c r="F4007" i="1"/>
  <c r="D4008" i="1"/>
  <c r="F4008" i="1"/>
  <c r="D4009" i="1"/>
  <c r="F4009" i="1"/>
  <c r="D4010" i="1"/>
  <c r="F4010" i="1"/>
  <c r="D4011" i="1"/>
  <c r="F4011" i="1"/>
  <c r="D4012" i="1"/>
  <c r="F4012" i="1"/>
  <c r="D4013" i="1"/>
  <c r="F4013" i="1"/>
  <c r="D4014" i="1"/>
  <c r="F4014" i="1"/>
  <c r="D4015" i="1"/>
  <c r="F4015" i="1"/>
  <c r="D4016" i="1"/>
  <c r="F4016" i="1"/>
  <c r="D4017" i="1"/>
  <c r="F4017" i="1"/>
  <c r="D4018" i="1"/>
  <c r="F4018" i="1"/>
  <c r="D4019" i="1"/>
  <c r="F4019" i="1"/>
  <c r="D4020" i="1"/>
  <c r="F4020" i="1"/>
  <c r="D4021" i="1"/>
  <c r="F4021" i="1"/>
  <c r="D4022" i="1"/>
  <c r="F4022" i="1"/>
  <c r="D4023" i="1"/>
  <c r="F4023" i="1"/>
  <c r="D4024" i="1"/>
  <c r="F4024" i="1"/>
  <c r="D4025" i="1"/>
  <c r="F4025" i="1"/>
  <c r="D4026" i="1"/>
  <c r="F4026" i="1"/>
  <c r="D4027" i="1"/>
  <c r="F4027" i="1"/>
  <c r="D4028" i="1"/>
  <c r="F4028" i="1"/>
  <c r="D4029" i="1"/>
  <c r="F4029" i="1"/>
  <c r="D4030" i="1"/>
  <c r="F4030" i="1"/>
  <c r="D4031" i="1"/>
  <c r="F4031" i="1"/>
  <c r="D4032" i="1"/>
  <c r="F4032" i="1"/>
  <c r="D4033" i="1"/>
  <c r="F4033" i="1"/>
  <c r="D4034" i="1"/>
  <c r="F4034" i="1"/>
  <c r="D4035" i="1"/>
  <c r="F4035" i="1"/>
  <c r="D4036" i="1"/>
  <c r="F4036" i="1"/>
  <c r="D4037" i="1"/>
  <c r="F4037" i="1"/>
  <c r="D4038" i="1"/>
  <c r="F4038" i="1"/>
  <c r="D4039" i="1"/>
  <c r="F4039" i="1"/>
  <c r="D4040" i="1"/>
  <c r="F4040" i="1"/>
  <c r="D4041" i="1"/>
  <c r="F4041" i="1"/>
  <c r="D4042" i="1"/>
  <c r="F4042" i="1"/>
  <c r="D4043" i="1"/>
  <c r="F4043" i="1"/>
  <c r="D4044" i="1"/>
  <c r="F4044" i="1"/>
  <c r="D4045" i="1"/>
  <c r="F4045" i="1"/>
  <c r="D4046" i="1"/>
  <c r="F4046" i="1"/>
  <c r="D4047" i="1"/>
  <c r="F4047" i="1"/>
  <c r="D4048" i="1"/>
  <c r="F4048" i="1"/>
  <c r="D4049" i="1"/>
  <c r="F4049" i="1"/>
  <c r="D4050" i="1"/>
  <c r="F4050" i="1"/>
  <c r="D4051" i="1"/>
  <c r="F4051" i="1"/>
  <c r="D4052" i="1"/>
  <c r="F4052" i="1"/>
  <c r="D4053" i="1"/>
  <c r="F4053" i="1"/>
  <c r="D4054" i="1"/>
  <c r="F4054" i="1"/>
  <c r="D4055" i="1"/>
  <c r="F4055" i="1"/>
  <c r="D4056" i="1"/>
  <c r="F4056" i="1"/>
  <c r="D4057" i="1"/>
  <c r="F4057" i="1"/>
  <c r="D4058" i="1"/>
  <c r="F4058" i="1"/>
  <c r="D4059" i="1"/>
  <c r="F4059" i="1"/>
  <c r="D4060" i="1"/>
  <c r="F4060" i="1"/>
  <c r="D4061" i="1"/>
  <c r="F4061" i="1"/>
  <c r="D4062" i="1"/>
  <c r="F4062" i="1"/>
  <c r="D4063" i="1"/>
  <c r="F4063" i="1"/>
  <c r="D4064" i="1"/>
  <c r="F4064" i="1"/>
  <c r="D4065" i="1"/>
  <c r="F4065" i="1"/>
  <c r="D4066" i="1"/>
  <c r="F4066" i="1"/>
  <c r="D4067" i="1"/>
  <c r="F4067" i="1"/>
  <c r="D4068" i="1"/>
  <c r="F4068" i="1"/>
  <c r="D4069" i="1"/>
  <c r="F4069" i="1"/>
  <c r="D4070" i="1"/>
  <c r="F4070" i="1"/>
  <c r="D4071" i="1"/>
  <c r="F4071" i="1"/>
  <c r="D4072" i="1"/>
  <c r="F4072" i="1"/>
  <c r="D4073" i="1"/>
  <c r="F4073" i="1"/>
  <c r="D4074" i="1"/>
  <c r="F4074" i="1"/>
  <c r="D4075" i="1"/>
  <c r="F4075" i="1"/>
  <c r="D4076" i="1"/>
  <c r="F4076" i="1"/>
  <c r="D4077" i="1"/>
  <c r="F4077" i="1"/>
  <c r="D4078" i="1"/>
  <c r="F4078" i="1"/>
  <c r="D4079" i="1"/>
  <c r="F4079" i="1"/>
  <c r="D4080" i="1"/>
  <c r="F4080" i="1"/>
  <c r="D4081" i="1"/>
  <c r="F4081" i="1"/>
  <c r="D4082" i="1"/>
  <c r="F4082" i="1"/>
  <c r="D4083" i="1"/>
  <c r="F4083" i="1"/>
  <c r="D4084" i="1"/>
  <c r="F4084" i="1"/>
  <c r="D4085" i="1"/>
  <c r="F4085" i="1"/>
  <c r="D4086" i="1"/>
  <c r="F4086" i="1"/>
  <c r="D4087" i="1"/>
  <c r="F4087" i="1"/>
  <c r="D4088" i="1"/>
  <c r="F4088" i="1"/>
  <c r="D4089" i="1"/>
  <c r="F4089" i="1"/>
  <c r="D4090" i="1"/>
  <c r="F4090" i="1"/>
  <c r="D4091" i="1"/>
  <c r="F4091" i="1"/>
  <c r="D4092" i="1"/>
  <c r="F4092" i="1"/>
  <c r="D4093" i="1"/>
  <c r="F4093" i="1"/>
  <c r="D4094" i="1"/>
  <c r="F4094" i="1"/>
  <c r="D4095" i="1"/>
  <c r="F4095" i="1"/>
  <c r="D4096" i="1"/>
  <c r="F4096" i="1"/>
  <c r="D4097" i="1"/>
  <c r="F4097" i="1"/>
  <c r="D4098" i="1"/>
  <c r="F4098" i="1"/>
  <c r="D4099" i="1"/>
  <c r="F4099" i="1"/>
  <c r="D4100" i="1"/>
  <c r="F4100" i="1"/>
  <c r="D4101" i="1"/>
  <c r="F4101" i="1"/>
  <c r="D4102" i="1"/>
  <c r="F4102" i="1"/>
  <c r="D4103" i="1"/>
  <c r="F4103" i="1"/>
  <c r="D4104" i="1"/>
  <c r="F4104" i="1"/>
  <c r="D4105" i="1"/>
  <c r="F4105" i="1"/>
  <c r="D4106" i="1"/>
  <c r="F4106" i="1"/>
  <c r="D4107" i="1"/>
  <c r="F4107" i="1"/>
  <c r="D4108" i="1"/>
  <c r="F4108" i="1"/>
  <c r="D4109" i="1"/>
  <c r="F4109" i="1"/>
  <c r="D4110" i="1"/>
  <c r="F4110" i="1"/>
  <c r="D4111" i="1"/>
  <c r="F4111" i="1"/>
  <c r="D4112" i="1"/>
  <c r="F4112" i="1"/>
  <c r="D4113" i="1"/>
  <c r="F4113" i="1"/>
  <c r="D4114" i="1"/>
  <c r="F4114" i="1"/>
  <c r="D4115" i="1"/>
  <c r="F4115" i="1"/>
  <c r="D4116" i="1"/>
  <c r="F4116" i="1"/>
  <c r="D4117" i="1"/>
  <c r="F4117" i="1"/>
  <c r="D4118" i="1"/>
  <c r="F4118" i="1"/>
  <c r="D4119" i="1"/>
  <c r="F4119" i="1"/>
  <c r="D4120" i="1"/>
  <c r="F4120" i="1"/>
  <c r="D4121" i="1"/>
  <c r="F4121" i="1"/>
  <c r="D4122" i="1"/>
  <c r="F4122" i="1"/>
  <c r="D4123" i="1"/>
  <c r="F4123" i="1"/>
  <c r="D4124" i="1"/>
  <c r="F4124" i="1"/>
  <c r="D4125" i="1"/>
  <c r="F4125" i="1"/>
  <c r="D4126" i="1"/>
  <c r="F4126" i="1"/>
  <c r="D4127" i="1"/>
  <c r="F4127" i="1"/>
  <c r="D4128" i="1"/>
  <c r="F4128" i="1"/>
  <c r="D4129" i="1"/>
  <c r="F4129" i="1"/>
  <c r="D4130" i="1"/>
  <c r="F4130" i="1"/>
  <c r="D4131" i="1"/>
  <c r="F4131" i="1"/>
  <c r="D4132" i="1"/>
  <c r="F4132" i="1"/>
  <c r="D4133" i="1"/>
  <c r="F4133" i="1"/>
  <c r="D4134" i="1"/>
  <c r="F4134" i="1"/>
  <c r="D4135" i="1"/>
  <c r="F4135" i="1"/>
  <c r="D4136" i="1"/>
  <c r="F4136" i="1"/>
  <c r="D4137" i="1"/>
  <c r="F4137" i="1"/>
  <c r="D4138" i="1"/>
  <c r="F4138" i="1"/>
  <c r="D4139" i="1"/>
  <c r="F4139" i="1"/>
  <c r="D4140" i="1"/>
  <c r="F4140" i="1"/>
  <c r="D4141" i="1"/>
  <c r="F4141" i="1"/>
  <c r="D4142" i="1"/>
  <c r="F4142" i="1"/>
  <c r="D4143" i="1"/>
  <c r="F4143" i="1"/>
  <c r="D4144" i="1"/>
  <c r="F4144" i="1"/>
  <c r="D4145" i="1"/>
  <c r="F4145" i="1"/>
  <c r="D4146" i="1"/>
  <c r="F4146" i="1"/>
  <c r="D4147" i="1"/>
  <c r="F4147" i="1"/>
  <c r="D4148" i="1"/>
  <c r="F4148" i="1"/>
  <c r="D4149" i="1"/>
  <c r="F4149" i="1"/>
  <c r="D4150" i="1"/>
  <c r="F4150" i="1"/>
  <c r="D4151" i="1"/>
  <c r="F4151" i="1"/>
  <c r="D4152" i="1"/>
  <c r="F4152" i="1"/>
  <c r="D4153" i="1"/>
  <c r="F4153" i="1"/>
  <c r="D4154" i="1"/>
  <c r="F4154" i="1"/>
  <c r="D4155" i="1"/>
  <c r="F4155" i="1"/>
  <c r="D4156" i="1"/>
  <c r="F4156" i="1"/>
  <c r="D4157" i="1"/>
  <c r="F4157" i="1"/>
  <c r="D4158" i="1"/>
  <c r="F4158" i="1"/>
  <c r="D4159" i="1"/>
  <c r="F4159" i="1"/>
  <c r="D4160" i="1"/>
  <c r="F4160" i="1"/>
  <c r="D4161" i="1"/>
  <c r="F4161" i="1"/>
  <c r="D4162" i="1"/>
  <c r="F4162" i="1"/>
  <c r="D4163" i="1"/>
  <c r="F4163" i="1"/>
  <c r="D4164" i="1"/>
  <c r="F4164" i="1"/>
  <c r="D4165" i="1"/>
  <c r="F4165" i="1"/>
  <c r="D4166" i="1"/>
  <c r="F4166" i="1"/>
  <c r="D4167" i="1"/>
  <c r="F4167" i="1"/>
  <c r="D4168" i="1"/>
  <c r="F4168" i="1"/>
  <c r="D4169" i="1"/>
  <c r="F4169" i="1"/>
  <c r="D4170" i="1"/>
  <c r="F4170" i="1"/>
  <c r="D4171" i="1"/>
  <c r="F4171" i="1"/>
  <c r="D4172" i="1"/>
  <c r="F4172" i="1"/>
  <c r="D4173" i="1"/>
  <c r="F4173" i="1"/>
  <c r="D4174" i="1"/>
  <c r="F4174" i="1"/>
  <c r="D4175" i="1"/>
  <c r="F4175" i="1"/>
  <c r="D4176" i="1"/>
  <c r="F4176" i="1"/>
  <c r="D4177" i="1"/>
  <c r="F4177" i="1"/>
  <c r="D4178" i="1"/>
  <c r="F4178" i="1"/>
  <c r="D4179" i="1"/>
  <c r="F4179" i="1"/>
  <c r="D4180" i="1"/>
  <c r="F4180" i="1"/>
  <c r="D4181" i="1"/>
  <c r="F4181" i="1"/>
  <c r="D4182" i="1"/>
  <c r="F4182" i="1"/>
  <c r="D4183" i="1"/>
  <c r="F4183" i="1"/>
  <c r="D4184" i="1"/>
  <c r="F4184" i="1"/>
  <c r="D4185" i="1"/>
  <c r="F4185" i="1"/>
  <c r="D4186" i="1"/>
  <c r="F4186" i="1"/>
  <c r="D4187" i="1"/>
  <c r="F4187" i="1"/>
  <c r="D4188" i="1"/>
  <c r="F4188" i="1"/>
  <c r="D4189" i="1"/>
  <c r="F4189" i="1"/>
  <c r="D4190" i="1"/>
  <c r="F4190" i="1"/>
  <c r="D4191" i="1"/>
  <c r="F4191" i="1"/>
  <c r="D4192" i="1"/>
  <c r="F4192" i="1"/>
  <c r="D4193" i="1"/>
  <c r="F4193" i="1"/>
  <c r="D4194" i="1"/>
  <c r="F4194" i="1"/>
  <c r="D4195" i="1"/>
  <c r="F4195" i="1"/>
  <c r="D4196" i="1"/>
  <c r="F4196" i="1"/>
  <c r="D4197" i="1"/>
  <c r="F4197" i="1"/>
  <c r="D4198" i="1"/>
  <c r="F4198" i="1"/>
  <c r="D4199" i="1"/>
  <c r="F4199" i="1"/>
  <c r="D4200" i="1"/>
  <c r="F4200" i="1"/>
  <c r="D4201" i="1"/>
  <c r="F4201" i="1"/>
  <c r="D4202" i="1"/>
  <c r="F4202" i="1"/>
  <c r="D4203" i="1"/>
  <c r="F4203" i="1"/>
  <c r="D4204" i="1"/>
  <c r="F4204" i="1"/>
  <c r="D4205" i="1"/>
  <c r="F4205" i="1"/>
  <c r="D4206" i="1"/>
  <c r="F4206" i="1"/>
  <c r="D4207" i="1"/>
  <c r="F4207" i="1"/>
  <c r="D4208" i="1"/>
  <c r="F4208" i="1"/>
  <c r="D4209" i="1"/>
  <c r="F4209" i="1"/>
  <c r="D4210" i="1"/>
  <c r="F4210" i="1"/>
  <c r="D4211" i="1"/>
  <c r="F4211" i="1"/>
  <c r="D4212" i="1"/>
  <c r="F4212" i="1"/>
  <c r="D4213" i="1"/>
  <c r="F4213" i="1"/>
  <c r="D4214" i="1"/>
  <c r="F4214" i="1"/>
  <c r="D4215" i="1"/>
  <c r="F4215" i="1"/>
  <c r="D4216" i="1"/>
  <c r="F4216" i="1"/>
  <c r="D4217" i="1"/>
  <c r="F4217" i="1"/>
  <c r="D4218" i="1"/>
  <c r="F4218" i="1"/>
  <c r="D4219" i="1"/>
  <c r="F4219" i="1"/>
  <c r="D4220" i="1"/>
  <c r="F4220" i="1"/>
  <c r="D4221" i="1"/>
  <c r="F4221" i="1"/>
  <c r="D4222" i="1"/>
  <c r="F4222" i="1"/>
  <c r="D4223" i="1"/>
  <c r="F4223" i="1"/>
  <c r="D4224" i="1"/>
  <c r="F4224" i="1"/>
  <c r="D4225" i="1"/>
  <c r="F4225" i="1"/>
  <c r="D4226" i="1"/>
  <c r="F4226" i="1"/>
  <c r="D4227" i="1"/>
  <c r="F4227" i="1"/>
  <c r="D4228" i="1"/>
  <c r="F4228" i="1"/>
  <c r="D4229" i="1"/>
  <c r="F4229" i="1"/>
  <c r="D4230" i="1"/>
  <c r="F4230" i="1"/>
  <c r="D4231" i="1"/>
  <c r="F4231" i="1"/>
  <c r="D4232" i="1"/>
  <c r="F4232" i="1"/>
  <c r="D4233" i="1"/>
  <c r="F4233" i="1"/>
  <c r="D4234" i="1"/>
  <c r="F4234" i="1"/>
  <c r="D4235" i="1"/>
  <c r="F4235" i="1"/>
  <c r="D4236" i="1"/>
  <c r="F4236" i="1"/>
  <c r="D4237" i="1"/>
  <c r="F4237" i="1"/>
  <c r="D4238" i="1"/>
  <c r="F4238" i="1"/>
  <c r="D4239" i="1"/>
  <c r="F4239" i="1"/>
  <c r="D4240" i="1"/>
  <c r="F4240" i="1"/>
  <c r="D4241" i="1"/>
  <c r="F4241" i="1"/>
  <c r="D4242" i="1"/>
  <c r="F4242" i="1"/>
  <c r="D4243" i="1"/>
  <c r="F4243" i="1"/>
  <c r="D4244" i="1"/>
  <c r="F4244" i="1"/>
  <c r="D4245" i="1"/>
  <c r="F4245" i="1"/>
  <c r="D4246" i="1"/>
  <c r="F4246" i="1"/>
  <c r="D4247" i="1"/>
  <c r="F4247" i="1"/>
  <c r="D4248" i="1"/>
  <c r="F4248" i="1"/>
  <c r="D4249" i="1"/>
  <c r="F4249" i="1"/>
  <c r="D4250" i="1"/>
  <c r="F4250" i="1"/>
  <c r="D4251" i="1"/>
  <c r="F4251" i="1"/>
  <c r="D4252" i="1"/>
  <c r="F4252" i="1"/>
  <c r="D4253" i="1"/>
  <c r="F4253" i="1"/>
  <c r="D4254" i="1"/>
  <c r="F4254" i="1"/>
  <c r="D4255" i="1"/>
  <c r="F4255" i="1"/>
  <c r="D4256" i="1"/>
  <c r="F4256" i="1"/>
  <c r="D4257" i="1"/>
  <c r="F4257" i="1"/>
  <c r="D4258" i="1"/>
  <c r="F4258" i="1"/>
  <c r="D4259" i="1"/>
  <c r="F4259" i="1"/>
  <c r="D4260" i="1"/>
  <c r="F4260" i="1"/>
  <c r="D4261" i="1"/>
  <c r="F4261" i="1"/>
  <c r="D4262" i="1"/>
  <c r="F4262" i="1"/>
  <c r="D4263" i="1"/>
  <c r="F4263" i="1"/>
  <c r="D4264" i="1"/>
  <c r="F4264" i="1"/>
  <c r="D4265" i="1"/>
  <c r="F4265" i="1"/>
  <c r="D4266" i="1"/>
  <c r="F4266" i="1"/>
  <c r="D4267" i="1"/>
  <c r="F4267" i="1"/>
  <c r="D4268" i="1"/>
  <c r="F4268" i="1"/>
  <c r="D4269" i="1"/>
  <c r="F4269" i="1"/>
  <c r="D4270" i="1"/>
  <c r="F4270" i="1"/>
  <c r="D4271" i="1"/>
  <c r="F4271" i="1"/>
  <c r="D4272" i="1"/>
  <c r="F4272" i="1"/>
  <c r="D4273" i="1"/>
  <c r="F4273" i="1"/>
  <c r="D4274" i="1"/>
  <c r="F4274" i="1"/>
  <c r="D4275" i="1"/>
  <c r="F4275" i="1"/>
  <c r="D4276" i="1"/>
  <c r="F4276" i="1"/>
  <c r="D4277" i="1"/>
  <c r="F4277" i="1"/>
  <c r="D4278" i="1"/>
  <c r="F4278" i="1"/>
  <c r="D4279" i="1"/>
  <c r="F4279" i="1"/>
  <c r="D4280" i="1"/>
  <c r="F4280" i="1"/>
  <c r="D4281" i="1"/>
  <c r="F4281" i="1"/>
  <c r="D4282" i="1"/>
  <c r="F4282" i="1"/>
  <c r="D4283" i="1"/>
  <c r="F4283" i="1"/>
  <c r="D4284" i="1"/>
  <c r="F4284" i="1"/>
  <c r="D4285" i="1"/>
  <c r="F4285" i="1"/>
  <c r="D4286" i="1"/>
  <c r="F4286" i="1"/>
  <c r="D4287" i="1"/>
  <c r="F4287" i="1"/>
  <c r="D4288" i="1"/>
  <c r="F4288" i="1"/>
  <c r="D4289" i="1"/>
  <c r="F4289" i="1"/>
  <c r="D4290" i="1"/>
  <c r="F4290" i="1"/>
  <c r="D4291" i="1"/>
  <c r="F4291" i="1"/>
  <c r="D4292" i="1"/>
  <c r="F4292" i="1"/>
  <c r="D4293" i="1"/>
  <c r="F4293" i="1"/>
  <c r="D4294" i="1"/>
  <c r="F4294" i="1"/>
  <c r="D4295" i="1"/>
  <c r="F4295" i="1"/>
  <c r="D4296" i="1"/>
  <c r="F4296" i="1"/>
  <c r="D4297" i="1"/>
  <c r="F4297" i="1"/>
  <c r="D4298" i="1"/>
  <c r="F4298" i="1"/>
  <c r="D4299" i="1"/>
  <c r="F4299" i="1"/>
  <c r="D4300" i="1"/>
  <c r="F4300" i="1"/>
  <c r="D4301" i="1"/>
  <c r="F4301" i="1"/>
  <c r="D4302" i="1"/>
  <c r="F4302" i="1"/>
  <c r="D4303" i="1"/>
  <c r="F4303" i="1"/>
  <c r="D4304" i="1"/>
  <c r="F4304" i="1"/>
  <c r="D4305" i="1"/>
  <c r="F4305" i="1"/>
  <c r="D4306" i="1"/>
  <c r="F4306" i="1"/>
  <c r="D4307" i="1"/>
  <c r="F4307" i="1"/>
  <c r="D4308" i="1"/>
  <c r="F4308" i="1"/>
  <c r="D4309" i="1"/>
  <c r="F4309" i="1"/>
  <c r="D4310" i="1"/>
  <c r="F4310" i="1"/>
  <c r="D4311" i="1"/>
  <c r="F4311" i="1"/>
  <c r="D4312" i="1"/>
  <c r="F4312" i="1"/>
  <c r="D4313" i="1"/>
  <c r="F4313" i="1"/>
  <c r="D4314" i="1"/>
  <c r="F4314" i="1"/>
  <c r="D4315" i="1"/>
  <c r="F4315" i="1"/>
  <c r="D4316" i="1"/>
  <c r="F4316" i="1"/>
  <c r="D4317" i="1"/>
  <c r="F4317" i="1"/>
  <c r="D4318" i="1"/>
  <c r="F4318" i="1"/>
  <c r="D4319" i="1"/>
  <c r="F4319" i="1"/>
  <c r="D4320" i="1"/>
  <c r="F4320" i="1"/>
  <c r="D4321" i="1"/>
  <c r="F4321" i="1"/>
  <c r="D4322" i="1"/>
  <c r="F4322" i="1"/>
  <c r="D4323" i="1"/>
  <c r="F4323" i="1"/>
  <c r="D4324" i="1"/>
  <c r="F4324" i="1"/>
  <c r="D4325" i="1"/>
  <c r="F4325" i="1"/>
  <c r="D4326" i="1"/>
  <c r="F4326" i="1"/>
  <c r="D4327" i="1"/>
  <c r="F4327" i="1"/>
  <c r="D4328" i="1"/>
  <c r="F4328" i="1"/>
  <c r="D4329" i="1"/>
  <c r="F4329" i="1"/>
  <c r="D4330" i="1"/>
  <c r="F4330" i="1"/>
  <c r="D4331" i="1"/>
  <c r="F4331" i="1"/>
  <c r="D4332" i="1"/>
  <c r="F4332" i="1"/>
  <c r="D4333" i="1"/>
  <c r="F4333" i="1"/>
  <c r="D4334" i="1"/>
  <c r="F4334" i="1"/>
  <c r="D4335" i="1"/>
  <c r="F4335" i="1"/>
  <c r="D4336" i="1"/>
  <c r="F4336" i="1"/>
  <c r="D4337" i="1"/>
  <c r="F4337" i="1"/>
  <c r="D4338" i="1"/>
  <c r="F4338" i="1"/>
  <c r="D4339" i="1"/>
  <c r="F4339" i="1"/>
  <c r="D4340" i="1"/>
  <c r="F4340" i="1"/>
  <c r="D4341" i="1"/>
  <c r="F4341" i="1"/>
  <c r="D4342" i="1"/>
  <c r="F4342" i="1"/>
  <c r="D4343" i="1"/>
  <c r="F4343" i="1"/>
  <c r="D4344" i="1"/>
  <c r="F4344" i="1"/>
  <c r="D4345" i="1"/>
  <c r="F4345" i="1"/>
  <c r="D4346" i="1"/>
  <c r="F4346" i="1"/>
  <c r="D4347" i="1"/>
  <c r="F4347" i="1"/>
  <c r="D4348" i="1"/>
  <c r="F4348" i="1"/>
  <c r="D4349" i="1"/>
  <c r="F4349" i="1"/>
  <c r="D4350" i="1"/>
  <c r="F4350" i="1"/>
  <c r="D4351" i="1"/>
  <c r="F4351" i="1"/>
  <c r="D4352" i="1"/>
  <c r="F4352" i="1"/>
  <c r="D4353" i="1"/>
  <c r="F4353" i="1"/>
  <c r="D4354" i="1"/>
  <c r="F4354" i="1"/>
  <c r="D4355" i="1"/>
  <c r="F4355" i="1"/>
  <c r="D4356" i="1"/>
  <c r="F4356" i="1"/>
  <c r="D4357" i="1"/>
  <c r="F4357" i="1"/>
  <c r="D4358" i="1"/>
  <c r="F4358" i="1"/>
  <c r="D4359" i="1"/>
  <c r="F4359" i="1"/>
  <c r="D4360" i="1"/>
  <c r="F4360" i="1"/>
  <c r="D4361" i="1"/>
  <c r="F4361" i="1"/>
  <c r="D4362" i="1"/>
  <c r="F4362" i="1"/>
  <c r="D4363" i="1"/>
  <c r="F4363" i="1"/>
  <c r="D4364" i="1"/>
  <c r="F4364" i="1"/>
  <c r="D4365" i="1"/>
  <c r="F4365" i="1"/>
  <c r="D4366" i="1"/>
  <c r="F4366" i="1"/>
  <c r="D4367" i="1"/>
  <c r="F4367" i="1"/>
  <c r="D4368" i="1"/>
  <c r="F4368" i="1"/>
  <c r="D4369" i="1"/>
  <c r="F4369" i="1"/>
  <c r="D4370" i="1"/>
  <c r="F4370" i="1"/>
  <c r="D4371" i="1"/>
  <c r="F4371" i="1"/>
  <c r="D4372" i="1"/>
  <c r="F4372" i="1"/>
  <c r="D4373" i="1"/>
  <c r="F4373" i="1"/>
  <c r="D4374" i="1"/>
  <c r="F4374" i="1"/>
  <c r="D4375" i="1"/>
  <c r="F4375" i="1"/>
  <c r="D4376" i="1"/>
  <c r="F4376" i="1"/>
  <c r="D4377" i="1"/>
  <c r="F4377" i="1"/>
  <c r="D4378" i="1"/>
  <c r="F4378" i="1"/>
  <c r="D4379" i="1"/>
  <c r="F4379" i="1"/>
  <c r="D4380" i="1"/>
  <c r="F4380" i="1"/>
  <c r="D4381" i="1"/>
  <c r="F4381" i="1"/>
  <c r="D4382" i="1"/>
  <c r="F4382" i="1"/>
  <c r="D4383" i="1"/>
  <c r="F4383" i="1"/>
  <c r="D4384" i="1"/>
  <c r="F4384" i="1"/>
  <c r="D4385" i="1"/>
  <c r="F4385" i="1"/>
  <c r="D4386" i="1"/>
  <c r="F4386" i="1"/>
  <c r="D4387" i="1"/>
  <c r="F4387" i="1"/>
  <c r="D4388" i="1"/>
  <c r="F4388" i="1"/>
  <c r="D4389" i="1"/>
  <c r="F4389" i="1"/>
  <c r="D4390" i="1"/>
  <c r="F4390" i="1"/>
  <c r="D4391" i="1"/>
  <c r="F4391" i="1"/>
  <c r="D4392" i="1"/>
  <c r="F4392" i="1"/>
  <c r="D4393" i="1"/>
  <c r="F4393" i="1"/>
  <c r="D4394" i="1"/>
  <c r="F4394" i="1"/>
  <c r="D4395" i="1"/>
  <c r="F4395" i="1"/>
  <c r="D4396" i="1"/>
  <c r="F4396" i="1"/>
  <c r="D4397" i="1"/>
  <c r="F4397" i="1"/>
  <c r="D4398" i="1"/>
  <c r="F4398" i="1"/>
  <c r="D4399" i="1"/>
  <c r="F4399" i="1"/>
  <c r="D4400" i="1"/>
  <c r="F4400" i="1"/>
  <c r="D4401" i="1"/>
  <c r="F4401" i="1"/>
  <c r="D4402" i="1"/>
  <c r="F4402" i="1"/>
  <c r="D4403" i="1"/>
  <c r="F4403" i="1"/>
  <c r="D4404" i="1"/>
  <c r="F4404" i="1"/>
  <c r="D4405" i="1"/>
  <c r="F4405" i="1"/>
  <c r="D4406" i="1"/>
  <c r="F4406" i="1"/>
  <c r="D4407" i="1"/>
  <c r="F4407" i="1"/>
  <c r="D4408" i="1"/>
  <c r="F4408" i="1"/>
  <c r="D4409" i="1"/>
  <c r="F4409" i="1"/>
  <c r="D4410" i="1"/>
  <c r="F4410" i="1"/>
  <c r="D4411" i="1"/>
  <c r="F4411" i="1"/>
  <c r="D4412" i="1"/>
  <c r="F4412" i="1"/>
  <c r="D4413" i="1"/>
  <c r="F4413" i="1"/>
  <c r="D4414" i="1"/>
  <c r="F4414" i="1"/>
  <c r="D4415" i="1"/>
  <c r="F4415" i="1"/>
  <c r="D4416" i="1"/>
  <c r="F4416" i="1"/>
  <c r="D4417" i="1"/>
  <c r="F4417" i="1"/>
  <c r="D4418" i="1"/>
  <c r="F4418" i="1"/>
  <c r="D4419" i="1"/>
  <c r="F4419" i="1"/>
  <c r="D4420" i="1"/>
  <c r="F4420" i="1"/>
  <c r="D4421" i="1"/>
  <c r="F4421" i="1"/>
  <c r="D4422" i="1"/>
  <c r="F4422" i="1"/>
  <c r="D4423" i="1"/>
  <c r="F4423" i="1"/>
  <c r="D4424" i="1"/>
  <c r="F4424" i="1"/>
  <c r="D4425" i="1"/>
  <c r="F4425" i="1"/>
  <c r="D4426" i="1"/>
  <c r="F4426" i="1"/>
  <c r="D4427" i="1"/>
  <c r="F4427" i="1"/>
  <c r="D4428" i="1"/>
  <c r="F4428" i="1"/>
  <c r="D4429" i="1"/>
  <c r="F4429" i="1"/>
  <c r="D4430" i="1"/>
  <c r="F4430" i="1"/>
  <c r="D4431" i="1"/>
  <c r="F4431" i="1"/>
  <c r="D4432" i="1"/>
  <c r="F4432" i="1"/>
  <c r="D4433" i="1"/>
  <c r="F4433" i="1"/>
  <c r="D4434" i="1"/>
  <c r="F4434" i="1"/>
  <c r="D4435" i="1"/>
  <c r="F4435" i="1"/>
  <c r="D4436" i="1"/>
  <c r="F4436" i="1"/>
  <c r="D4437" i="1"/>
  <c r="F4437" i="1"/>
  <c r="D4438" i="1"/>
  <c r="F4438" i="1"/>
  <c r="D4439" i="1"/>
  <c r="F4439" i="1"/>
  <c r="D4440" i="1"/>
  <c r="F4440" i="1"/>
  <c r="D4441" i="1"/>
  <c r="F4441" i="1"/>
  <c r="D4442" i="1"/>
  <c r="F4442" i="1"/>
  <c r="D4443" i="1"/>
  <c r="F4443" i="1"/>
  <c r="D4444" i="1"/>
  <c r="F4444" i="1"/>
  <c r="D4445" i="1"/>
  <c r="F4445" i="1"/>
  <c r="D4446" i="1"/>
  <c r="F4446" i="1"/>
  <c r="D4447" i="1"/>
  <c r="F4447" i="1"/>
  <c r="D4448" i="1"/>
  <c r="F4448" i="1"/>
  <c r="D4449" i="1"/>
  <c r="F4449" i="1"/>
  <c r="D4450" i="1"/>
  <c r="F4450" i="1"/>
  <c r="D4451" i="1"/>
  <c r="F4451" i="1"/>
  <c r="D4452" i="1"/>
  <c r="F4452" i="1"/>
  <c r="D4453" i="1"/>
  <c r="F4453" i="1"/>
  <c r="D4454" i="1"/>
  <c r="F4454" i="1"/>
  <c r="D4455" i="1"/>
  <c r="F4455" i="1"/>
  <c r="D4456" i="1"/>
  <c r="F4456" i="1"/>
  <c r="D4457" i="1"/>
  <c r="F4457" i="1"/>
  <c r="D4458" i="1"/>
  <c r="F4458" i="1"/>
  <c r="D4459" i="1"/>
  <c r="F4459" i="1"/>
  <c r="D4460" i="1"/>
  <c r="F4460" i="1"/>
  <c r="D4461" i="1"/>
  <c r="F4461" i="1"/>
  <c r="D4462" i="1"/>
  <c r="F4462" i="1"/>
  <c r="D4463" i="1"/>
  <c r="F4463" i="1"/>
  <c r="D4464" i="1"/>
  <c r="F4464" i="1"/>
  <c r="D4465" i="1"/>
  <c r="F4465" i="1"/>
  <c r="D4466" i="1"/>
  <c r="F4466" i="1"/>
  <c r="D4467" i="1"/>
  <c r="F4467" i="1"/>
  <c r="D4468" i="1"/>
  <c r="F4468" i="1"/>
  <c r="D4469" i="1"/>
  <c r="F4469" i="1"/>
  <c r="D4470" i="1"/>
  <c r="F4470" i="1"/>
  <c r="D4471" i="1"/>
  <c r="F4471" i="1"/>
  <c r="D4472" i="1"/>
  <c r="F4472" i="1"/>
  <c r="D4473" i="1"/>
  <c r="F4473" i="1"/>
  <c r="D4474" i="1"/>
  <c r="F4474" i="1"/>
  <c r="D4475" i="1"/>
  <c r="F4475" i="1"/>
  <c r="D4476" i="1"/>
  <c r="F4476" i="1"/>
  <c r="D4477" i="1"/>
  <c r="F4477" i="1"/>
  <c r="D4478" i="1"/>
  <c r="F4478" i="1"/>
  <c r="D4479" i="1"/>
  <c r="F4479" i="1"/>
  <c r="D4480" i="1"/>
  <c r="F4480" i="1"/>
  <c r="D4481" i="1"/>
  <c r="F4481" i="1"/>
  <c r="D4482" i="1"/>
  <c r="F4482" i="1"/>
  <c r="D4483" i="1"/>
  <c r="F4483" i="1"/>
  <c r="D4484" i="1"/>
  <c r="F4484" i="1"/>
  <c r="D4485" i="1"/>
  <c r="F4485" i="1"/>
  <c r="D4486" i="1"/>
  <c r="F4486" i="1"/>
  <c r="D4487" i="1"/>
  <c r="F4487" i="1"/>
  <c r="D4488" i="1"/>
  <c r="F4488" i="1"/>
  <c r="D4489" i="1"/>
  <c r="F4489" i="1"/>
  <c r="D4490" i="1"/>
  <c r="F4490" i="1"/>
  <c r="D4491" i="1"/>
  <c r="F4491" i="1"/>
  <c r="D4492" i="1"/>
  <c r="F4492" i="1"/>
  <c r="D4493" i="1"/>
  <c r="F4493" i="1"/>
  <c r="D4494" i="1"/>
  <c r="F4494" i="1"/>
  <c r="D4495" i="1"/>
  <c r="F4495" i="1"/>
  <c r="D4496" i="1"/>
  <c r="F4496" i="1"/>
  <c r="D4497" i="1"/>
  <c r="F4497" i="1"/>
  <c r="D4498" i="1"/>
  <c r="F4498" i="1"/>
  <c r="D4499" i="1"/>
  <c r="F4499" i="1"/>
  <c r="D4500" i="1"/>
  <c r="F4500" i="1"/>
  <c r="D4501" i="1"/>
  <c r="F4501" i="1"/>
  <c r="D4502" i="1"/>
  <c r="F4502" i="1"/>
  <c r="D4503" i="1"/>
  <c r="F4503" i="1"/>
  <c r="D4504" i="1"/>
  <c r="F4504" i="1"/>
  <c r="D4505" i="1"/>
  <c r="F4505" i="1"/>
  <c r="D4506" i="1"/>
  <c r="F4506" i="1"/>
  <c r="D4507" i="1"/>
  <c r="F4507" i="1"/>
  <c r="D4508" i="1"/>
  <c r="F4508" i="1"/>
  <c r="D4509" i="1"/>
  <c r="F4509" i="1"/>
  <c r="D4510" i="1"/>
  <c r="F4510" i="1"/>
  <c r="D4511" i="1"/>
  <c r="F4511" i="1"/>
  <c r="D4512" i="1"/>
  <c r="F4512" i="1"/>
  <c r="D4513" i="1"/>
  <c r="F4513" i="1"/>
  <c r="D4514" i="1"/>
  <c r="F4514" i="1"/>
  <c r="D4515" i="1"/>
  <c r="F4515" i="1"/>
  <c r="D4516" i="1"/>
  <c r="F4516" i="1"/>
  <c r="D4517" i="1"/>
  <c r="F4517" i="1"/>
  <c r="D4518" i="1"/>
  <c r="F4518" i="1"/>
  <c r="D4519" i="1"/>
  <c r="F4519" i="1"/>
  <c r="D4520" i="1"/>
  <c r="F4520" i="1"/>
  <c r="D4521" i="1"/>
  <c r="F4521" i="1"/>
  <c r="D4522" i="1"/>
  <c r="F4522" i="1"/>
  <c r="D4523" i="1"/>
  <c r="F4523" i="1"/>
  <c r="D4524" i="1"/>
  <c r="F4524" i="1"/>
  <c r="D4525" i="1"/>
  <c r="F4525" i="1"/>
  <c r="D4526" i="1"/>
  <c r="F4526" i="1"/>
  <c r="D4527" i="1"/>
  <c r="F4527" i="1"/>
  <c r="D4528" i="1"/>
  <c r="F4528" i="1"/>
  <c r="D4529" i="1"/>
  <c r="F4529" i="1"/>
  <c r="D4530" i="1"/>
  <c r="F4530" i="1"/>
  <c r="D4531" i="1"/>
  <c r="F4531" i="1"/>
  <c r="D4532" i="1"/>
  <c r="F4532" i="1"/>
  <c r="D4533" i="1"/>
  <c r="F4533" i="1"/>
  <c r="D4534" i="1"/>
  <c r="F4534" i="1"/>
  <c r="D4535" i="1"/>
  <c r="F4535" i="1"/>
  <c r="D4536" i="1"/>
  <c r="F4536" i="1"/>
  <c r="D4537" i="1"/>
  <c r="F4537" i="1"/>
  <c r="D4538" i="1"/>
  <c r="F4538" i="1"/>
  <c r="D4539" i="1"/>
  <c r="F4539" i="1"/>
  <c r="D4540" i="1"/>
  <c r="F4540" i="1"/>
  <c r="D4541" i="1"/>
  <c r="F4541" i="1"/>
  <c r="D4542" i="1"/>
  <c r="F4542" i="1"/>
  <c r="D4543" i="1"/>
  <c r="F4543" i="1"/>
  <c r="D4544" i="1"/>
  <c r="F4544" i="1"/>
  <c r="D4545" i="1"/>
  <c r="F4545" i="1"/>
  <c r="D4546" i="1"/>
  <c r="F4546" i="1"/>
  <c r="D4547" i="1"/>
  <c r="F4547" i="1"/>
  <c r="D4548" i="1"/>
  <c r="F4548" i="1"/>
  <c r="D4549" i="1"/>
  <c r="F4549" i="1"/>
  <c r="D4550" i="1"/>
  <c r="F4550" i="1"/>
  <c r="D4551" i="1"/>
  <c r="F4551" i="1"/>
  <c r="D4552" i="1"/>
  <c r="F4552" i="1"/>
  <c r="D4553" i="1"/>
  <c r="F4553" i="1"/>
  <c r="D4554" i="1"/>
  <c r="F4554" i="1"/>
  <c r="D4555" i="1"/>
  <c r="F4555" i="1"/>
  <c r="D4556" i="1"/>
  <c r="F4556" i="1"/>
  <c r="D4557" i="1"/>
  <c r="F4557" i="1"/>
  <c r="D4558" i="1"/>
  <c r="F4558" i="1"/>
  <c r="D4559" i="1"/>
  <c r="F4559" i="1"/>
  <c r="D4560" i="1"/>
  <c r="F4560" i="1"/>
  <c r="D4561" i="1"/>
  <c r="F4561" i="1"/>
  <c r="D4562" i="1"/>
  <c r="F4562" i="1"/>
  <c r="D4563" i="1"/>
  <c r="F4563" i="1"/>
  <c r="D4564" i="1"/>
  <c r="F4564" i="1"/>
  <c r="D4565" i="1"/>
  <c r="F4565" i="1"/>
  <c r="D4566" i="1"/>
  <c r="F4566" i="1"/>
  <c r="D4567" i="1"/>
  <c r="F4567" i="1"/>
  <c r="D4568" i="1"/>
  <c r="F4568" i="1"/>
  <c r="D4569" i="1"/>
  <c r="F4569" i="1"/>
  <c r="D4570" i="1"/>
  <c r="F4570" i="1"/>
  <c r="D4571" i="1"/>
  <c r="F4571" i="1"/>
  <c r="D4572" i="1"/>
  <c r="F4572" i="1"/>
  <c r="D4573" i="1"/>
  <c r="F4573" i="1"/>
  <c r="D4574" i="1"/>
  <c r="F4574" i="1"/>
  <c r="D4575" i="1"/>
  <c r="F4575" i="1"/>
  <c r="D4576" i="1"/>
  <c r="F4576" i="1"/>
  <c r="D4577" i="1"/>
  <c r="F4577" i="1"/>
  <c r="D4578" i="1"/>
  <c r="F4578" i="1"/>
  <c r="D4579" i="1"/>
  <c r="F4579" i="1"/>
  <c r="D4580" i="1"/>
  <c r="F4580" i="1"/>
  <c r="D4581" i="1"/>
  <c r="F4581" i="1"/>
  <c r="D4582" i="1"/>
  <c r="F4582" i="1"/>
  <c r="D4583" i="1"/>
  <c r="F4583" i="1"/>
  <c r="D4584" i="1"/>
  <c r="F4584" i="1"/>
  <c r="D4585" i="1"/>
  <c r="F4585" i="1"/>
  <c r="D4586" i="1"/>
  <c r="F4586" i="1"/>
  <c r="D4587" i="1"/>
  <c r="F4587" i="1"/>
  <c r="D4588" i="1"/>
  <c r="F4588" i="1"/>
  <c r="D4589" i="1"/>
  <c r="F4589" i="1"/>
  <c r="D4590" i="1"/>
  <c r="F4590" i="1"/>
  <c r="D4591" i="1"/>
  <c r="F4591" i="1"/>
  <c r="D4592" i="1"/>
  <c r="F4592" i="1"/>
  <c r="D4593" i="1"/>
  <c r="F4593" i="1"/>
  <c r="D4594" i="1"/>
  <c r="F4594" i="1"/>
  <c r="D4595" i="1"/>
  <c r="F4595" i="1"/>
  <c r="D4596" i="1"/>
  <c r="F4596" i="1"/>
  <c r="D4597" i="1"/>
  <c r="F4597" i="1"/>
  <c r="D4598" i="1"/>
  <c r="F4598" i="1"/>
  <c r="D4599" i="1"/>
  <c r="F4599" i="1"/>
  <c r="D4600" i="1"/>
  <c r="F4600" i="1"/>
  <c r="D4601" i="1"/>
  <c r="F4601" i="1"/>
  <c r="D4602" i="1"/>
  <c r="F4602" i="1"/>
  <c r="D4603" i="1"/>
  <c r="F4603" i="1"/>
  <c r="D4604" i="1"/>
  <c r="F4604" i="1"/>
  <c r="D4605" i="1"/>
  <c r="F4605" i="1"/>
  <c r="D4606" i="1"/>
  <c r="F4606" i="1"/>
  <c r="D4607" i="1"/>
  <c r="F4607" i="1"/>
  <c r="D4608" i="1"/>
  <c r="F4608" i="1"/>
  <c r="D4609" i="1"/>
  <c r="F4609" i="1"/>
  <c r="D4610" i="1"/>
  <c r="F4610" i="1"/>
  <c r="D4611" i="1"/>
  <c r="F4611" i="1"/>
  <c r="D4612" i="1"/>
  <c r="F4612" i="1"/>
  <c r="D4613" i="1"/>
  <c r="F4613" i="1"/>
  <c r="D4614" i="1"/>
  <c r="F4614" i="1"/>
  <c r="D4615" i="1"/>
  <c r="F4615" i="1"/>
  <c r="D4616" i="1"/>
  <c r="F4616" i="1"/>
  <c r="D4617" i="1"/>
  <c r="F4617" i="1"/>
  <c r="D4618" i="1"/>
  <c r="F4618" i="1"/>
  <c r="D4619" i="1"/>
  <c r="F4619" i="1"/>
  <c r="D4620" i="1"/>
  <c r="F4620" i="1"/>
  <c r="D4621" i="1"/>
  <c r="F4621" i="1"/>
  <c r="D4622" i="1"/>
  <c r="F4622" i="1"/>
  <c r="D4623" i="1"/>
  <c r="F4623" i="1"/>
  <c r="D4624" i="1"/>
  <c r="F4624" i="1"/>
  <c r="D4625" i="1"/>
  <c r="F4625" i="1"/>
  <c r="D4626" i="1"/>
  <c r="F4626" i="1"/>
  <c r="D4627" i="1"/>
  <c r="F4627" i="1"/>
  <c r="D4628" i="1"/>
  <c r="F4628" i="1"/>
  <c r="D4629" i="1"/>
  <c r="F4629" i="1"/>
  <c r="D4630" i="1"/>
  <c r="F4630" i="1"/>
  <c r="D4631" i="1"/>
  <c r="F4631" i="1"/>
  <c r="D4632" i="1"/>
  <c r="F4632" i="1"/>
  <c r="D4633" i="1"/>
  <c r="F4633" i="1"/>
  <c r="D4634" i="1"/>
  <c r="F4634" i="1"/>
  <c r="D4635" i="1"/>
  <c r="F4635" i="1"/>
  <c r="D4636" i="1"/>
  <c r="F4636" i="1"/>
  <c r="D4637" i="1"/>
  <c r="F4637" i="1"/>
  <c r="D4638" i="1"/>
  <c r="F4638" i="1"/>
  <c r="D4639" i="1"/>
  <c r="F4639" i="1"/>
  <c r="D4640" i="1"/>
  <c r="F4640" i="1"/>
  <c r="D4641" i="1"/>
  <c r="F4641" i="1"/>
  <c r="D4642" i="1"/>
  <c r="F4642" i="1"/>
  <c r="D4643" i="1"/>
  <c r="F4643" i="1"/>
  <c r="D4644" i="1"/>
  <c r="F4644" i="1"/>
  <c r="D4645" i="1"/>
  <c r="F4645" i="1"/>
  <c r="D4646" i="1"/>
  <c r="F4646" i="1"/>
  <c r="D4647" i="1"/>
  <c r="F4647" i="1"/>
  <c r="D4648" i="1"/>
  <c r="F4648" i="1"/>
  <c r="D4649" i="1"/>
  <c r="F4649" i="1"/>
  <c r="D4650" i="1"/>
  <c r="F4650" i="1"/>
  <c r="D4651" i="1"/>
  <c r="F4651" i="1"/>
  <c r="D4652" i="1"/>
  <c r="F4652" i="1"/>
  <c r="D4653" i="1"/>
  <c r="F4653" i="1"/>
  <c r="D4654" i="1"/>
  <c r="F4654" i="1"/>
  <c r="D4655" i="1"/>
  <c r="F4655" i="1"/>
  <c r="D4656" i="1"/>
  <c r="F4656" i="1"/>
  <c r="D4657" i="1"/>
  <c r="F4657" i="1"/>
  <c r="D4658" i="1"/>
  <c r="F4658" i="1"/>
  <c r="D4659" i="1"/>
  <c r="F4659" i="1"/>
  <c r="D4660" i="1"/>
  <c r="F4660" i="1"/>
  <c r="D4661" i="1"/>
  <c r="F4661" i="1"/>
  <c r="D4662" i="1"/>
  <c r="F4662" i="1"/>
  <c r="D4663" i="1"/>
  <c r="F4663" i="1"/>
  <c r="D4664" i="1"/>
  <c r="F4664" i="1"/>
  <c r="D4665" i="1"/>
  <c r="F4665" i="1"/>
  <c r="D4666" i="1"/>
  <c r="F4666" i="1"/>
  <c r="D4667" i="1"/>
  <c r="F4667" i="1"/>
  <c r="D4668" i="1"/>
  <c r="F4668" i="1"/>
  <c r="D4669" i="1"/>
  <c r="F4669" i="1"/>
  <c r="D4670" i="1"/>
  <c r="F4670" i="1"/>
  <c r="D4671" i="1"/>
  <c r="F4671" i="1"/>
  <c r="D4672" i="1"/>
  <c r="F4672" i="1"/>
  <c r="D4673" i="1"/>
  <c r="F4673" i="1"/>
  <c r="D4674" i="1"/>
  <c r="F4674" i="1"/>
  <c r="D4675" i="1"/>
  <c r="F4675" i="1"/>
  <c r="D4676" i="1"/>
  <c r="F4676" i="1"/>
  <c r="D4677" i="1"/>
  <c r="F4677" i="1"/>
  <c r="D4678" i="1"/>
  <c r="F4678" i="1"/>
  <c r="D4679" i="1"/>
  <c r="F4679" i="1"/>
  <c r="D4680" i="1"/>
  <c r="F4680" i="1"/>
  <c r="D4681" i="1"/>
  <c r="F4681" i="1"/>
  <c r="D4682" i="1"/>
  <c r="F4682" i="1"/>
  <c r="D4683" i="1"/>
  <c r="F4683" i="1"/>
  <c r="D4684" i="1"/>
  <c r="F4684" i="1"/>
  <c r="D4685" i="1"/>
  <c r="F4685" i="1"/>
  <c r="D4686" i="1"/>
  <c r="F4686" i="1"/>
  <c r="D4687" i="1"/>
  <c r="F4687" i="1"/>
  <c r="D4688" i="1"/>
  <c r="F4688" i="1"/>
  <c r="D4689" i="1"/>
  <c r="F4689" i="1"/>
  <c r="D4690" i="1"/>
  <c r="F4690" i="1"/>
  <c r="D4691" i="1"/>
  <c r="F4691" i="1"/>
  <c r="D4692" i="1"/>
  <c r="F4692" i="1"/>
  <c r="D4693" i="1"/>
  <c r="F4693" i="1"/>
  <c r="D4694" i="1"/>
  <c r="F4694" i="1"/>
  <c r="D4695" i="1"/>
  <c r="F4695" i="1"/>
  <c r="D4696" i="1"/>
  <c r="F4696" i="1"/>
  <c r="D4697" i="1"/>
  <c r="F4697" i="1"/>
  <c r="D4698" i="1"/>
  <c r="F4698" i="1"/>
  <c r="D4699" i="1"/>
  <c r="F4699" i="1"/>
  <c r="D4700" i="1"/>
  <c r="F4700" i="1"/>
  <c r="D4701" i="1"/>
  <c r="F4701" i="1"/>
  <c r="D4702" i="1"/>
  <c r="F4702" i="1"/>
  <c r="D4703" i="1"/>
  <c r="F4703" i="1"/>
  <c r="D4704" i="1"/>
  <c r="F4704" i="1"/>
  <c r="D4705" i="1"/>
  <c r="F4705" i="1"/>
  <c r="D4706" i="1"/>
  <c r="F4706" i="1"/>
  <c r="D4707" i="1"/>
  <c r="F4707" i="1"/>
  <c r="D4708" i="1"/>
  <c r="F4708" i="1"/>
  <c r="D4709" i="1"/>
  <c r="F4709" i="1"/>
  <c r="D4710" i="1"/>
  <c r="F4710" i="1"/>
  <c r="D4711" i="1"/>
  <c r="F4711" i="1"/>
  <c r="D4712" i="1"/>
  <c r="F4712" i="1"/>
  <c r="D4713" i="1"/>
  <c r="F4713" i="1"/>
  <c r="D4714" i="1"/>
  <c r="F4714" i="1"/>
  <c r="D4715" i="1"/>
  <c r="F4715" i="1"/>
  <c r="D4716" i="1"/>
  <c r="F4716" i="1"/>
  <c r="D4717" i="1"/>
  <c r="F4717" i="1"/>
  <c r="D4718" i="1"/>
  <c r="F4718" i="1"/>
  <c r="D4719" i="1"/>
  <c r="F4719" i="1"/>
  <c r="D4720" i="1"/>
  <c r="F4720" i="1"/>
  <c r="D4721" i="1"/>
  <c r="F4721" i="1"/>
  <c r="D4722" i="1"/>
  <c r="F4722" i="1"/>
  <c r="D4723" i="1"/>
  <c r="F4723" i="1"/>
  <c r="D4724" i="1"/>
  <c r="F4724" i="1"/>
  <c r="D4725" i="1"/>
  <c r="F4725" i="1"/>
  <c r="D4726" i="1"/>
  <c r="F4726" i="1"/>
  <c r="D4727" i="1"/>
  <c r="F4727" i="1"/>
  <c r="D4728" i="1"/>
  <c r="F4728" i="1"/>
  <c r="D4729" i="1"/>
  <c r="F4729" i="1"/>
  <c r="D4730" i="1"/>
  <c r="F4730" i="1"/>
  <c r="D4731" i="1"/>
  <c r="F4731" i="1"/>
  <c r="D4732" i="1"/>
  <c r="F4732" i="1"/>
  <c r="D4733" i="1"/>
  <c r="F4733" i="1"/>
  <c r="D4734" i="1"/>
  <c r="F4734" i="1"/>
  <c r="D4735" i="1"/>
  <c r="F4735" i="1"/>
  <c r="D4736" i="1"/>
  <c r="F4736" i="1"/>
  <c r="D4737" i="1"/>
  <c r="F4737" i="1"/>
  <c r="D4738" i="1"/>
  <c r="F4738" i="1"/>
  <c r="D4739" i="1"/>
  <c r="F4739" i="1"/>
  <c r="D4740" i="1"/>
  <c r="F4740" i="1"/>
  <c r="D4741" i="1"/>
  <c r="F4741" i="1"/>
  <c r="D4742" i="1"/>
  <c r="F4742" i="1"/>
  <c r="D4743" i="1"/>
  <c r="F4743" i="1"/>
  <c r="D4744" i="1"/>
  <c r="F4744" i="1"/>
  <c r="D4745" i="1"/>
  <c r="F4745" i="1"/>
  <c r="D4746" i="1"/>
  <c r="F4746" i="1"/>
  <c r="D4747" i="1"/>
  <c r="F4747" i="1"/>
  <c r="D4748" i="1"/>
  <c r="F4748" i="1"/>
  <c r="D4749" i="1"/>
  <c r="F4749" i="1"/>
  <c r="D4750" i="1"/>
  <c r="F4750" i="1"/>
  <c r="D4751" i="1"/>
  <c r="F4751" i="1"/>
  <c r="D4752" i="1"/>
  <c r="F4752" i="1"/>
  <c r="D4753" i="1"/>
  <c r="F4753" i="1"/>
  <c r="D4754" i="1"/>
  <c r="F4754" i="1"/>
  <c r="D4755" i="1"/>
  <c r="F4755" i="1"/>
  <c r="D4756" i="1"/>
  <c r="F4756" i="1"/>
  <c r="D4757" i="1"/>
  <c r="F4757" i="1"/>
  <c r="D4758" i="1"/>
  <c r="F4758" i="1"/>
  <c r="D4759" i="1"/>
  <c r="F4759" i="1"/>
  <c r="D4760" i="1"/>
  <c r="F4760" i="1"/>
  <c r="D4761" i="1"/>
  <c r="F4761" i="1"/>
  <c r="D4762" i="1"/>
  <c r="F4762" i="1"/>
  <c r="D4763" i="1"/>
  <c r="F4763" i="1"/>
  <c r="D4764" i="1"/>
  <c r="F4764" i="1"/>
  <c r="D4765" i="1"/>
  <c r="F4765" i="1"/>
  <c r="D4766" i="1"/>
  <c r="F4766" i="1"/>
  <c r="D4767" i="1"/>
  <c r="F4767" i="1"/>
  <c r="D4768" i="1"/>
  <c r="F4768" i="1"/>
  <c r="D4769" i="1"/>
  <c r="F4769" i="1"/>
  <c r="D4770" i="1"/>
  <c r="F4770" i="1"/>
  <c r="D4771" i="1"/>
  <c r="F4771" i="1"/>
  <c r="D4772" i="1"/>
  <c r="F4772" i="1"/>
  <c r="D4773" i="1"/>
  <c r="F4773" i="1"/>
  <c r="D4774" i="1"/>
  <c r="F4774" i="1"/>
  <c r="D4775" i="1"/>
  <c r="F4775" i="1"/>
  <c r="D4776" i="1"/>
  <c r="F4776" i="1"/>
  <c r="D4777" i="1"/>
  <c r="F4777" i="1"/>
  <c r="D4778" i="1"/>
  <c r="F4778" i="1"/>
  <c r="D4779" i="1"/>
  <c r="F4779" i="1"/>
  <c r="D4780" i="1"/>
  <c r="F4780" i="1"/>
  <c r="D4781" i="1"/>
  <c r="F4781" i="1"/>
  <c r="D4782" i="1"/>
  <c r="F4782" i="1"/>
  <c r="D4783" i="1"/>
  <c r="F4783" i="1"/>
  <c r="D4784" i="1"/>
  <c r="F4784" i="1"/>
  <c r="D4785" i="1"/>
  <c r="F4785" i="1"/>
  <c r="D4786" i="1"/>
  <c r="F4786" i="1"/>
  <c r="D4787" i="1"/>
  <c r="F4787" i="1"/>
  <c r="D4788" i="1"/>
  <c r="F4788" i="1"/>
  <c r="D4789" i="1"/>
  <c r="F4789" i="1"/>
  <c r="D4790" i="1"/>
  <c r="F4790" i="1"/>
  <c r="D4791" i="1"/>
  <c r="F4791" i="1"/>
  <c r="D4792" i="1"/>
  <c r="F4792" i="1"/>
  <c r="D4793" i="1"/>
  <c r="F4793" i="1"/>
  <c r="D4794" i="1"/>
  <c r="F4794" i="1"/>
  <c r="D4795" i="1"/>
  <c r="F4795" i="1"/>
  <c r="D4796" i="1"/>
  <c r="F4796" i="1"/>
  <c r="D4797" i="1"/>
  <c r="F4797" i="1"/>
  <c r="D4798" i="1"/>
  <c r="F4798" i="1"/>
  <c r="D4799" i="1"/>
  <c r="F4799" i="1"/>
  <c r="D4800" i="1"/>
  <c r="F4800" i="1"/>
  <c r="D4801" i="1"/>
  <c r="F4801" i="1"/>
  <c r="D4802" i="1"/>
  <c r="F4802" i="1"/>
  <c r="D4803" i="1"/>
  <c r="F4803" i="1"/>
  <c r="D4804" i="1"/>
  <c r="F4804" i="1"/>
  <c r="D4805" i="1"/>
  <c r="F4805" i="1"/>
  <c r="D4806" i="1"/>
  <c r="F4806" i="1"/>
  <c r="D4807" i="1"/>
  <c r="F4807" i="1"/>
  <c r="D4808" i="1"/>
  <c r="F4808" i="1"/>
  <c r="D4809" i="1"/>
  <c r="F4809" i="1"/>
  <c r="D4810" i="1"/>
  <c r="F4810" i="1"/>
  <c r="D4811" i="1"/>
  <c r="F4811" i="1"/>
  <c r="D4812" i="1"/>
  <c r="F4812" i="1"/>
  <c r="D4813" i="1"/>
  <c r="F4813" i="1"/>
  <c r="D4814" i="1"/>
  <c r="F4814" i="1"/>
  <c r="D4815" i="1"/>
  <c r="F4815" i="1"/>
  <c r="D4816" i="1"/>
  <c r="F4816" i="1"/>
  <c r="D4817" i="1"/>
  <c r="F4817" i="1"/>
  <c r="D4818" i="1"/>
  <c r="F4818" i="1"/>
  <c r="D4819" i="1"/>
  <c r="F4819" i="1"/>
  <c r="D4820" i="1"/>
  <c r="F4820" i="1"/>
  <c r="D4821" i="1"/>
  <c r="F4821" i="1"/>
  <c r="D4822" i="1"/>
  <c r="F4822" i="1"/>
  <c r="D4823" i="1"/>
  <c r="F4823" i="1"/>
  <c r="D4824" i="1"/>
  <c r="F4824" i="1"/>
  <c r="D4825" i="1"/>
  <c r="F4825" i="1"/>
  <c r="D4826" i="1"/>
  <c r="F4826" i="1"/>
  <c r="D4827" i="1"/>
  <c r="F4827" i="1"/>
  <c r="D4828" i="1"/>
  <c r="F4828" i="1"/>
  <c r="D4829" i="1"/>
  <c r="F4829" i="1"/>
  <c r="D4830" i="1"/>
  <c r="F4830" i="1"/>
  <c r="D4831" i="1"/>
  <c r="F4831" i="1"/>
  <c r="D4832" i="1"/>
  <c r="F4832" i="1"/>
  <c r="D4833" i="1"/>
  <c r="F4833" i="1"/>
  <c r="D4834" i="1"/>
  <c r="F4834" i="1"/>
  <c r="D4835" i="1"/>
  <c r="F4835" i="1"/>
  <c r="D4836" i="1"/>
  <c r="F4836" i="1"/>
  <c r="D4837" i="1"/>
  <c r="F4837" i="1"/>
  <c r="D4838" i="1"/>
  <c r="F4838" i="1"/>
  <c r="D4839" i="1"/>
  <c r="F4839" i="1"/>
  <c r="D4840" i="1"/>
  <c r="F4840" i="1"/>
  <c r="D4841" i="1"/>
  <c r="F4841" i="1"/>
  <c r="D4842" i="1"/>
  <c r="F4842" i="1"/>
  <c r="D4843" i="1"/>
  <c r="F4843" i="1"/>
  <c r="D4844" i="1"/>
  <c r="F4844" i="1"/>
  <c r="D4845" i="1"/>
  <c r="F4845" i="1"/>
  <c r="D4846" i="1"/>
  <c r="F4846" i="1"/>
  <c r="D4847" i="1"/>
  <c r="F4847" i="1"/>
  <c r="D4848" i="1"/>
  <c r="F4848" i="1"/>
  <c r="D4849" i="1"/>
  <c r="F4849" i="1"/>
  <c r="D4850" i="1"/>
  <c r="F4850" i="1"/>
  <c r="D4851" i="1"/>
  <c r="F4851" i="1"/>
  <c r="D4852" i="1"/>
  <c r="F4852" i="1"/>
  <c r="D4853" i="1"/>
  <c r="F4853" i="1"/>
  <c r="D4854" i="1"/>
  <c r="F4854" i="1"/>
  <c r="D4855" i="1"/>
  <c r="F4855" i="1"/>
  <c r="D4856" i="1"/>
  <c r="F4856" i="1"/>
  <c r="D4857" i="1"/>
  <c r="F4857" i="1"/>
  <c r="D4858" i="1"/>
  <c r="F4858" i="1"/>
  <c r="D4859" i="1"/>
  <c r="F4859" i="1"/>
  <c r="D4860" i="1"/>
  <c r="F4860" i="1"/>
  <c r="D4861" i="1"/>
  <c r="F4861" i="1"/>
  <c r="D4862" i="1"/>
  <c r="F4862" i="1"/>
  <c r="D4863" i="1"/>
  <c r="F4863" i="1"/>
  <c r="D4864" i="1"/>
  <c r="F4864" i="1"/>
  <c r="D4865" i="1"/>
  <c r="F4865" i="1"/>
  <c r="D4866" i="1"/>
  <c r="F4866" i="1"/>
  <c r="D4867" i="1"/>
  <c r="F4867" i="1"/>
  <c r="D4868" i="1"/>
  <c r="F4868" i="1"/>
  <c r="D4869" i="1"/>
  <c r="F4869" i="1"/>
  <c r="D4870" i="1"/>
  <c r="F4870" i="1"/>
  <c r="D4871" i="1"/>
  <c r="F4871" i="1"/>
  <c r="D4872" i="1"/>
  <c r="F4872" i="1"/>
  <c r="D4873" i="1"/>
  <c r="F4873" i="1"/>
  <c r="D4874" i="1"/>
  <c r="F4874" i="1"/>
  <c r="D4875" i="1"/>
  <c r="F4875" i="1"/>
  <c r="D4876" i="1"/>
  <c r="F4876" i="1"/>
  <c r="D4877" i="1"/>
  <c r="F4877" i="1"/>
  <c r="D4878" i="1"/>
  <c r="F4878" i="1"/>
  <c r="D4879" i="1"/>
  <c r="F4879" i="1"/>
  <c r="D4880" i="1"/>
  <c r="F4880" i="1"/>
  <c r="D4881" i="1"/>
  <c r="F4881" i="1"/>
  <c r="D4882" i="1"/>
  <c r="F4882" i="1"/>
  <c r="D4883" i="1"/>
  <c r="F4883" i="1"/>
  <c r="D4884" i="1"/>
  <c r="F4884" i="1"/>
  <c r="D4885" i="1"/>
  <c r="F4885" i="1"/>
  <c r="D4886" i="1"/>
  <c r="F4886" i="1"/>
  <c r="D4887" i="1"/>
  <c r="F4887" i="1"/>
  <c r="D4888" i="1"/>
  <c r="F4888" i="1"/>
  <c r="D4889" i="1"/>
  <c r="F4889" i="1"/>
  <c r="D4890" i="1"/>
  <c r="F4890" i="1"/>
  <c r="D4891" i="1"/>
  <c r="F4891" i="1"/>
  <c r="D4892" i="1"/>
  <c r="F4892" i="1"/>
  <c r="D4893" i="1"/>
  <c r="F4893" i="1"/>
  <c r="D4894" i="1"/>
  <c r="F4894" i="1"/>
  <c r="D4895" i="1"/>
  <c r="F4895" i="1"/>
  <c r="D4896" i="1"/>
  <c r="F4896" i="1"/>
  <c r="D4897" i="1"/>
  <c r="F4897" i="1"/>
  <c r="D4898" i="1"/>
  <c r="F4898" i="1"/>
  <c r="D4899" i="1"/>
  <c r="F4899" i="1"/>
  <c r="D4900" i="1"/>
  <c r="F4900" i="1"/>
  <c r="D4901" i="1"/>
  <c r="F4901" i="1"/>
  <c r="D4902" i="1"/>
  <c r="F4902" i="1"/>
  <c r="D4903" i="1"/>
  <c r="F4903" i="1"/>
  <c r="D4904" i="1"/>
  <c r="F4904" i="1"/>
  <c r="D4905" i="1"/>
  <c r="F4905" i="1"/>
  <c r="D4906" i="1"/>
  <c r="F4906" i="1"/>
  <c r="D4907" i="1"/>
  <c r="F4907" i="1"/>
  <c r="D4908" i="1"/>
  <c r="F4908" i="1"/>
  <c r="D4909" i="1"/>
  <c r="F4909" i="1"/>
  <c r="D4910" i="1"/>
  <c r="F4910" i="1"/>
  <c r="D4911" i="1"/>
  <c r="F4911" i="1"/>
  <c r="D4912" i="1"/>
  <c r="F4912" i="1"/>
  <c r="D4913" i="1"/>
  <c r="F4913" i="1"/>
  <c r="D4914" i="1"/>
  <c r="F4914" i="1"/>
  <c r="D4915" i="1"/>
  <c r="F4915" i="1"/>
  <c r="D4916" i="1"/>
  <c r="F4916" i="1"/>
  <c r="D4917" i="1"/>
  <c r="F4917" i="1"/>
  <c r="D4918" i="1"/>
  <c r="F4918" i="1"/>
  <c r="D4919" i="1"/>
  <c r="F4919" i="1"/>
  <c r="D4920" i="1"/>
  <c r="F4920" i="1"/>
  <c r="D4921" i="1"/>
  <c r="F4921" i="1"/>
  <c r="D4922" i="1"/>
  <c r="F4922" i="1"/>
  <c r="D4923" i="1"/>
  <c r="F4923" i="1"/>
  <c r="D4924" i="1"/>
  <c r="F4924" i="1"/>
  <c r="D4925" i="1"/>
  <c r="F4925" i="1"/>
  <c r="D4926" i="1"/>
  <c r="F4926" i="1"/>
  <c r="D4927" i="1"/>
  <c r="F4927" i="1"/>
  <c r="D4928" i="1"/>
  <c r="F4928" i="1"/>
  <c r="D4929" i="1"/>
  <c r="F4929" i="1"/>
  <c r="D4930" i="1"/>
  <c r="F4930" i="1"/>
  <c r="D4931" i="1"/>
  <c r="F4931" i="1"/>
  <c r="D4932" i="1"/>
  <c r="F4932" i="1"/>
  <c r="D4933" i="1"/>
  <c r="F4933" i="1"/>
  <c r="D4934" i="1"/>
  <c r="F4934" i="1"/>
  <c r="D4935" i="1"/>
  <c r="F4935" i="1"/>
  <c r="D4936" i="1"/>
  <c r="F4936" i="1"/>
  <c r="D4937" i="1"/>
  <c r="F4937" i="1"/>
  <c r="D4938" i="1"/>
  <c r="F4938" i="1"/>
  <c r="D4939" i="1"/>
  <c r="F4939" i="1"/>
  <c r="D4940" i="1"/>
  <c r="F4940" i="1"/>
  <c r="D4941" i="1"/>
  <c r="F4941" i="1"/>
  <c r="D4942" i="1"/>
  <c r="F4942" i="1"/>
  <c r="D4943" i="1"/>
  <c r="F4943" i="1"/>
  <c r="D4944" i="1"/>
  <c r="F4944" i="1"/>
  <c r="D4945" i="1"/>
  <c r="F4945" i="1"/>
  <c r="D4946" i="1"/>
  <c r="F4946" i="1"/>
  <c r="D4947" i="1"/>
  <c r="F4947" i="1"/>
  <c r="D4948" i="1"/>
  <c r="F4948" i="1"/>
  <c r="D4949" i="1"/>
  <c r="F4949" i="1"/>
  <c r="D4950" i="1"/>
  <c r="F4950" i="1"/>
  <c r="D4951" i="1"/>
  <c r="F4951" i="1"/>
  <c r="D4952" i="1"/>
  <c r="F4952" i="1"/>
  <c r="D4953" i="1"/>
  <c r="F4953" i="1"/>
  <c r="D4954" i="1"/>
  <c r="F4954" i="1"/>
  <c r="D4955" i="1"/>
  <c r="F4955" i="1"/>
  <c r="D4956" i="1"/>
  <c r="F4956" i="1"/>
  <c r="D4957" i="1"/>
  <c r="F4957" i="1"/>
  <c r="D4958" i="1"/>
  <c r="F4958" i="1"/>
  <c r="D4959" i="1"/>
  <c r="F4959" i="1"/>
  <c r="D4960" i="1"/>
  <c r="F4960" i="1"/>
  <c r="D4961" i="1"/>
  <c r="F4961" i="1"/>
  <c r="D4962" i="1"/>
  <c r="F4962" i="1"/>
  <c r="D4963" i="1"/>
  <c r="F4963" i="1"/>
  <c r="D4964" i="1"/>
  <c r="F4964" i="1"/>
  <c r="D4965" i="1"/>
  <c r="F4965" i="1"/>
  <c r="D4966" i="1"/>
  <c r="F4966" i="1"/>
  <c r="D4967" i="1"/>
  <c r="F4967" i="1"/>
  <c r="D4968" i="1"/>
  <c r="F4968" i="1"/>
  <c r="D4969" i="1"/>
  <c r="F4969" i="1"/>
  <c r="D4970" i="1"/>
  <c r="F4970" i="1"/>
  <c r="D4971" i="1"/>
  <c r="F4971" i="1"/>
  <c r="D4972" i="1"/>
  <c r="F4972" i="1"/>
  <c r="D4973" i="1"/>
  <c r="F4973" i="1"/>
  <c r="D4974" i="1"/>
  <c r="F4974" i="1"/>
  <c r="D4975" i="1"/>
  <c r="F4975" i="1"/>
  <c r="D4976" i="1"/>
  <c r="F4976" i="1"/>
  <c r="D4977" i="1"/>
  <c r="F4977" i="1"/>
  <c r="D4978" i="1"/>
  <c r="F4978" i="1"/>
  <c r="D4979" i="1"/>
  <c r="F4979" i="1"/>
  <c r="D4980" i="1"/>
  <c r="F4980" i="1"/>
  <c r="D4981" i="1"/>
  <c r="F4981" i="1"/>
  <c r="D4982" i="1"/>
  <c r="F4982" i="1"/>
  <c r="D4983" i="1"/>
  <c r="F4983" i="1"/>
  <c r="D4984" i="1"/>
  <c r="F4984" i="1"/>
  <c r="D4985" i="1"/>
  <c r="F4985" i="1"/>
  <c r="D4986" i="1"/>
  <c r="F4986" i="1"/>
  <c r="D4987" i="1"/>
  <c r="F4987" i="1"/>
  <c r="D4988" i="1"/>
  <c r="F4988" i="1"/>
  <c r="D4989" i="1"/>
  <c r="F4989" i="1"/>
  <c r="D4990" i="1"/>
  <c r="F4990" i="1"/>
  <c r="D4991" i="1"/>
  <c r="F4991" i="1"/>
  <c r="D4992" i="1"/>
  <c r="F4992" i="1"/>
  <c r="D4993" i="1"/>
  <c r="F4993" i="1"/>
  <c r="D4994" i="1"/>
  <c r="F4994" i="1"/>
  <c r="D4995" i="1"/>
  <c r="F4995" i="1"/>
  <c r="D4996" i="1"/>
  <c r="F4996" i="1"/>
  <c r="D4997" i="1"/>
  <c r="F4997" i="1"/>
  <c r="D4998" i="1"/>
  <c r="F4998" i="1"/>
  <c r="D4999" i="1"/>
  <c r="F4999" i="1"/>
  <c r="D5000" i="1"/>
  <c r="F5000" i="1"/>
  <c r="D5001" i="1"/>
  <c r="F5001" i="1"/>
  <c r="D5002" i="1"/>
  <c r="F5002" i="1"/>
  <c r="D5003" i="1"/>
  <c r="F5003" i="1"/>
  <c r="D5004" i="1"/>
  <c r="F5004" i="1"/>
  <c r="D5005" i="1"/>
  <c r="F5005" i="1"/>
  <c r="D5006" i="1"/>
  <c r="F5006" i="1"/>
  <c r="D5007" i="1"/>
  <c r="F5007" i="1"/>
  <c r="D5008" i="1"/>
  <c r="F5008" i="1"/>
  <c r="D5009" i="1"/>
  <c r="F5009" i="1"/>
  <c r="D5010" i="1"/>
  <c r="F5010" i="1"/>
  <c r="D5011" i="1"/>
  <c r="F5011" i="1"/>
  <c r="D5012" i="1"/>
  <c r="F5012" i="1"/>
  <c r="D5013" i="1"/>
  <c r="F5013" i="1"/>
  <c r="D5014" i="1"/>
  <c r="F5014" i="1"/>
  <c r="D5015" i="1"/>
  <c r="F5015" i="1"/>
  <c r="D5016" i="1"/>
  <c r="F5016" i="1"/>
  <c r="D5017" i="1"/>
  <c r="F5017" i="1"/>
  <c r="D5018" i="1"/>
  <c r="F5018" i="1"/>
  <c r="D5019" i="1"/>
  <c r="F5019" i="1"/>
  <c r="D5020" i="1"/>
  <c r="F5020" i="1"/>
  <c r="D5021" i="1"/>
  <c r="F5021" i="1"/>
  <c r="D5022" i="1"/>
  <c r="F5022" i="1"/>
  <c r="D5023" i="1"/>
  <c r="F5023" i="1"/>
  <c r="D5024" i="1"/>
  <c r="F5024" i="1"/>
  <c r="D5025" i="1"/>
  <c r="F5025" i="1"/>
  <c r="D5026" i="1"/>
  <c r="F5026" i="1"/>
  <c r="D5027" i="1"/>
  <c r="F5027" i="1"/>
  <c r="D5028" i="1"/>
  <c r="F5028" i="1"/>
  <c r="D5029" i="1"/>
  <c r="F5029" i="1"/>
  <c r="D5030" i="1"/>
  <c r="F5030" i="1"/>
  <c r="D5031" i="1"/>
  <c r="F5031" i="1"/>
  <c r="D5032" i="1"/>
  <c r="F5032" i="1"/>
  <c r="D5033" i="1"/>
  <c r="F5033" i="1"/>
  <c r="D5034" i="1"/>
  <c r="F5034" i="1"/>
  <c r="D5035" i="1"/>
  <c r="F5035" i="1"/>
  <c r="D5036" i="1"/>
  <c r="F5036" i="1"/>
  <c r="D5037" i="1"/>
  <c r="F5037" i="1"/>
  <c r="D5038" i="1"/>
  <c r="F5038" i="1"/>
  <c r="D5039" i="1"/>
  <c r="F5039" i="1"/>
  <c r="D5040" i="1"/>
  <c r="F5040" i="1"/>
  <c r="D5041" i="1"/>
  <c r="F5041" i="1"/>
  <c r="D5042" i="1"/>
  <c r="F5042" i="1"/>
  <c r="D5043" i="1"/>
  <c r="F5043" i="1"/>
  <c r="D5044" i="1"/>
  <c r="F5044" i="1"/>
  <c r="D5045" i="1"/>
  <c r="F5045" i="1"/>
  <c r="D5046" i="1"/>
  <c r="F5046" i="1"/>
  <c r="D5047" i="1"/>
  <c r="F5047" i="1"/>
  <c r="D5048" i="1"/>
  <c r="F5048" i="1"/>
  <c r="D5049" i="1"/>
  <c r="F5049" i="1"/>
  <c r="D5050" i="1"/>
  <c r="F5050" i="1"/>
  <c r="D5051" i="1"/>
  <c r="F5051" i="1"/>
  <c r="D5052" i="1"/>
  <c r="F5052" i="1"/>
  <c r="D5053" i="1"/>
  <c r="F5053" i="1"/>
  <c r="D5054" i="1"/>
  <c r="F5054" i="1"/>
  <c r="D5055" i="1"/>
  <c r="F5055" i="1"/>
  <c r="D5056" i="1"/>
  <c r="F5056" i="1"/>
  <c r="D5057" i="1"/>
  <c r="F5057" i="1"/>
  <c r="D5058" i="1"/>
  <c r="F5058" i="1"/>
  <c r="D5059" i="1"/>
  <c r="F5059" i="1"/>
  <c r="D5060" i="1"/>
  <c r="F5060" i="1"/>
  <c r="D5061" i="1"/>
  <c r="F5061" i="1"/>
  <c r="D5062" i="1"/>
  <c r="F5062" i="1"/>
  <c r="D5063" i="1"/>
  <c r="F5063" i="1"/>
  <c r="D5064" i="1"/>
  <c r="F5064" i="1"/>
  <c r="D5065" i="1"/>
  <c r="F5065" i="1"/>
  <c r="D5066" i="1"/>
  <c r="F5066" i="1"/>
  <c r="D5067" i="1"/>
  <c r="F5067" i="1"/>
  <c r="D5068" i="1"/>
  <c r="F5068" i="1"/>
  <c r="D5069" i="1"/>
  <c r="F5069" i="1"/>
  <c r="D5070" i="1"/>
  <c r="F5070" i="1"/>
  <c r="D5071" i="1"/>
  <c r="F5071" i="1"/>
  <c r="D5072" i="1"/>
  <c r="F5072" i="1"/>
  <c r="D5073" i="1"/>
  <c r="F5073" i="1"/>
  <c r="D5074" i="1"/>
  <c r="F5074" i="1"/>
  <c r="D5075" i="1"/>
  <c r="F5075" i="1"/>
  <c r="D5076" i="1"/>
  <c r="F5076" i="1"/>
  <c r="D5077" i="1"/>
  <c r="F5077" i="1"/>
  <c r="D5078" i="1"/>
  <c r="F5078" i="1"/>
  <c r="D5079" i="1"/>
  <c r="F5079" i="1"/>
  <c r="D5080" i="1"/>
  <c r="F5080" i="1"/>
  <c r="D5081" i="1"/>
  <c r="F5081" i="1"/>
  <c r="D5082" i="1"/>
  <c r="F5082" i="1"/>
  <c r="D5083" i="1"/>
  <c r="F5083" i="1"/>
  <c r="D5084" i="1"/>
  <c r="F5084" i="1"/>
  <c r="D5085" i="1"/>
  <c r="F5085" i="1"/>
  <c r="D5086" i="1"/>
  <c r="F5086" i="1"/>
  <c r="D5087" i="1"/>
  <c r="F5087" i="1"/>
  <c r="D5088" i="1"/>
  <c r="F5088" i="1"/>
  <c r="D5089" i="1"/>
  <c r="F5089" i="1"/>
  <c r="D5090" i="1"/>
  <c r="F5090" i="1"/>
  <c r="D5091" i="1"/>
  <c r="F5091" i="1"/>
  <c r="D5092" i="1"/>
  <c r="F5092" i="1"/>
  <c r="D5093" i="1"/>
  <c r="F5093" i="1"/>
  <c r="D5094" i="1"/>
  <c r="F5094" i="1"/>
  <c r="D5095" i="1"/>
  <c r="F5095" i="1"/>
  <c r="D5096" i="1"/>
  <c r="F5096" i="1"/>
  <c r="D5097" i="1"/>
  <c r="F5097" i="1"/>
  <c r="D5098" i="1"/>
  <c r="F5098" i="1"/>
  <c r="D5099" i="1"/>
  <c r="F5099" i="1"/>
  <c r="D5100" i="1"/>
  <c r="F5100" i="1"/>
  <c r="D5101" i="1"/>
  <c r="F5101" i="1"/>
  <c r="D5102" i="1"/>
  <c r="F5102" i="1"/>
  <c r="D5103" i="1"/>
  <c r="F5103" i="1"/>
  <c r="D5104" i="1"/>
  <c r="F5104" i="1"/>
  <c r="D5105" i="1"/>
  <c r="F5105" i="1"/>
  <c r="D5106" i="1"/>
  <c r="F5106" i="1"/>
  <c r="D5107" i="1"/>
  <c r="F5107" i="1"/>
  <c r="D5108" i="1"/>
  <c r="F5108" i="1"/>
  <c r="D5109" i="1"/>
  <c r="F5109" i="1"/>
  <c r="D5110" i="1"/>
  <c r="F5110" i="1"/>
  <c r="D5111" i="1"/>
  <c r="F5111" i="1"/>
  <c r="D5112" i="1"/>
  <c r="F5112" i="1"/>
  <c r="D5113" i="1"/>
  <c r="F5113" i="1"/>
  <c r="D5114" i="1"/>
  <c r="F5114" i="1"/>
  <c r="D5115" i="1"/>
  <c r="F5115" i="1"/>
  <c r="D5116" i="1"/>
  <c r="F5116" i="1"/>
  <c r="D5117" i="1"/>
  <c r="F5117" i="1"/>
  <c r="D5118" i="1"/>
  <c r="F5118" i="1"/>
  <c r="D5119" i="1"/>
  <c r="F5119" i="1"/>
  <c r="D5120" i="1"/>
  <c r="F5120" i="1"/>
  <c r="D5121" i="1"/>
  <c r="F5121" i="1"/>
  <c r="D5122" i="1"/>
  <c r="F5122" i="1"/>
  <c r="D5123" i="1"/>
  <c r="F5123" i="1"/>
  <c r="D5124" i="1"/>
  <c r="F5124" i="1"/>
  <c r="D5125" i="1"/>
  <c r="F5125" i="1"/>
  <c r="D5126" i="1"/>
  <c r="F5126" i="1"/>
  <c r="D5127" i="1"/>
  <c r="F5127" i="1"/>
  <c r="D5128" i="1"/>
  <c r="F5128" i="1"/>
  <c r="D5129" i="1"/>
  <c r="F5129" i="1"/>
  <c r="D5130" i="1"/>
  <c r="F5130" i="1"/>
  <c r="D5131" i="1"/>
  <c r="F5131" i="1"/>
  <c r="D5132" i="1"/>
  <c r="F5132" i="1"/>
  <c r="D5133" i="1"/>
  <c r="F5133" i="1"/>
  <c r="D5134" i="1"/>
  <c r="F5134" i="1"/>
  <c r="D5135" i="1"/>
  <c r="F5135" i="1"/>
  <c r="D5136" i="1"/>
  <c r="F5136" i="1"/>
  <c r="D5137" i="1"/>
  <c r="F5137" i="1"/>
  <c r="D5138" i="1"/>
  <c r="F5138" i="1"/>
  <c r="D5139" i="1"/>
  <c r="F5139" i="1"/>
  <c r="D5140" i="1"/>
  <c r="F5140" i="1"/>
  <c r="D5141" i="1"/>
  <c r="F5141" i="1"/>
  <c r="D5142" i="1"/>
  <c r="F5142" i="1"/>
  <c r="D5143" i="1"/>
  <c r="F5143" i="1"/>
  <c r="D5144" i="1"/>
  <c r="F5144" i="1"/>
  <c r="D5145" i="1"/>
  <c r="F5145" i="1"/>
  <c r="D5146" i="1"/>
  <c r="F5146" i="1"/>
  <c r="D5147" i="1"/>
  <c r="F5147" i="1"/>
  <c r="D5148" i="1"/>
  <c r="F5148" i="1"/>
  <c r="D5149" i="1"/>
  <c r="F5149" i="1"/>
  <c r="D5150" i="1"/>
  <c r="F5150" i="1"/>
  <c r="D5151" i="1"/>
  <c r="F5151" i="1"/>
  <c r="D5152" i="1"/>
  <c r="F5152" i="1"/>
  <c r="D5153" i="1"/>
  <c r="F5153" i="1"/>
  <c r="D5154" i="1"/>
  <c r="F5154" i="1"/>
  <c r="D5155" i="1"/>
  <c r="F5155" i="1"/>
  <c r="D5156" i="1"/>
  <c r="F5156" i="1"/>
  <c r="D5157" i="1"/>
  <c r="F5157" i="1"/>
  <c r="D5158" i="1"/>
  <c r="F5158" i="1"/>
  <c r="D5159" i="1"/>
  <c r="F5159" i="1"/>
  <c r="D5160" i="1"/>
  <c r="F5160" i="1"/>
  <c r="D5161" i="1"/>
  <c r="F5161" i="1"/>
  <c r="D5162" i="1"/>
  <c r="F5162" i="1"/>
  <c r="D5163" i="1"/>
  <c r="F5163" i="1"/>
  <c r="D5164" i="1"/>
  <c r="F5164" i="1"/>
  <c r="D5165" i="1"/>
  <c r="F5165" i="1"/>
  <c r="D5166" i="1"/>
  <c r="F5166" i="1"/>
  <c r="D5167" i="1"/>
  <c r="F5167" i="1"/>
  <c r="D5168" i="1"/>
  <c r="F5168" i="1"/>
  <c r="D5169" i="1"/>
  <c r="F5169" i="1"/>
  <c r="D5170" i="1"/>
  <c r="F5170" i="1"/>
  <c r="D5171" i="1"/>
  <c r="F5171" i="1"/>
  <c r="D5172" i="1"/>
  <c r="F5172" i="1"/>
  <c r="D5173" i="1"/>
  <c r="F5173" i="1"/>
  <c r="D5174" i="1"/>
  <c r="F5174" i="1"/>
  <c r="D5175" i="1"/>
  <c r="F5175" i="1"/>
  <c r="D5176" i="1"/>
  <c r="F5176" i="1"/>
  <c r="D5177" i="1"/>
  <c r="F5177" i="1"/>
  <c r="D5178" i="1"/>
  <c r="F5178" i="1"/>
  <c r="D5179" i="1"/>
  <c r="F5179" i="1"/>
  <c r="D5180" i="1"/>
  <c r="F5180" i="1"/>
  <c r="D5181" i="1"/>
  <c r="F5181" i="1"/>
  <c r="D5182" i="1"/>
  <c r="F5182" i="1"/>
  <c r="D5183" i="1"/>
  <c r="F5183" i="1"/>
  <c r="D5184" i="1"/>
  <c r="F5184" i="1"/>
  <c r="D5185" i="1"/>
  <c r="F5185" i="1"/>
  <c r="D5186" i="1"/>
  <c r="F5186" i="1"/>
  <c r="D5187" i="1"/>
  <c r="F5187" i="1"/>
  <c r="D5188" i="1"/>
  <c r="F5188" i="1"/>
  <c r="D5189" i="1"/>
  <c r="F5189" i="1"/>
  <c r="D5190" i="1"/>
  <c r="F5190" i="1"/>
  <c r="D5191" i="1"/>
  <c r="F5191" i="1"/>
  <c r="D5192" i="1"/>
  <c r="F5192" i="1"/>
  <c r="D5193" i="1"/>
  <c r="F5193" i="1"/>
  <c r="D5194" i="1"/>
  <c r="F5194" i="1"/>
  <c r="D5195" i="1"/>
  <c r="F5195" i="1"/>
  <c r="D5196" i="1"/>
  <c r="F5196" i="1"/>
  <c r="D5197" i="1"/>
  <c r="F5197" i="1"/>
  <c r="D5198" i="1"/>
  <c r="F5198" i="1"/>
  <c r="D5199" i="1"/>
  <c r="F5199" i="1"/>
  <c r="D5200" i="1"/>
  <c r="F5200" i="1"/>
  <c r="D5201" i="1"/>
  <c r="F5201" i="1"/>
  <c r="D5202" i="1"/>
  <c r="F5202" i="1"/>
  <c r="D5203" i="1"/>
  <c r="F5203" i="1"/>
  <c r="D5204" i="1"/>
  <c r="F5204" i="1"/>
  <c r="D5205" i="1"/>
  <c r="F5205" i="1"/>
  <c r="D5206" i="1"/>
  <c r="F5206" i="1"/>
  <c r="D5207" i="1"/>
  <c r="F5207" i="1"/>
  <c r="D5208" i="1"/>
  <c r="F5208" i="1"/>
  <c r="D5209" i="1"/>
  <c r="F5209" i="1"/>
  <c r="D5210" i="1"/>
  <c r="F5210" i="1"/>
  <c r="D5211" i="1"/>
  <c r="F5211" i="1"/>
  <c r="D5212" i="1"/>
  <c r="F5212" i="1"/>
  <c r="D5213" i="1"/>
  <c r="F5213" i="1"/>
  <c r="D5214" i="1"/>
  <c r="F5214" i="1"/>
  <c r="D5215" i="1"/>
  <c r="F5215" i="1"/>
  <c r="D5216" i="1"/>
  <c r="F5216" i="1"/>
  <c r="D5217" i="1"/>
  <c r="F5217" i="1"/>
  <c r="D5218" i="1"/>
  <c r="F5218" i="1"/>
  <c r="D5219" i="1"/>
  <c r="F5219" i="1"/>
  <c r="D5220" i="1"/>
  <c r="F5220" i="1"/>
  <c r="D5221" i="1"/>
  <c r="F5221" i="1"/>
  <c r="D5222" i="1"/>
  <c r="F5222" i="1"/>
  <c r="D5223" i="1"/>
  <c r="F5223" i="1"/>
  <c r="D5224" i="1"/>
  <c r="F5224" i="1"/>
  <c r="D5225" i="1"/>
  <c r="F5225" i="1"/>
  <c r="D5226" i="1"/>
  <c r="F5226" i="1"/>
  <c r="D5227" i="1"/>
  <c r="F5227" i="1"/>
  <c r="D5228" i="1"/>
  <c r="F5228" i="1"/>
  <c r="D5229" i="1"/>
  <c r="F5229" i="1"/>
  <c r="D5230" i="1"/>
  <c r="F5230" i="1"/>
  <c r="D5231" i="1"/>
  <c r="F5231" i="1"/>
  <c r="D5232" i="1"/>
  <c r="F5232" i="1"/>
  <c r="D5233" i="1"/>
  <c r="F5233" i="1"/>
  <c r="D5234" i="1"/>
  <c r="F5234" i="1"/>
  <c r="D5235" i="1"/>
  <c r="F5235" i="1"/>
  <c r="D5236" i="1"/>
  <c r="F5236" i="1"/>
  <c r="D5237" i="1"/>
  <c r="F5237" i="1"/>
  <c r="D5238" i="1"/>
  <c r="F5238" i="1"/>
  <c r="D5239" i="1"/>
  <c r="F5239" i="1"/>
  <c r="D5240" i="1"/>
  <c r="F5240" i="1"/>
  <c r="D5241" i="1"/>
  <c r="F5241" i="1"/>
  <c r="D5242" i="1"/>
  <c r="F5242" i="1"/>
  <c r="D5243" i="1"/>
  <c r="F5243" i="1"/>
  <c r="D5244" i="1"/>
  <c r="F5244" i="1"/>
  <c r="D5245" i="1"/>
  <c r="F5245" i="1"/>
  <c r="D5246" i="1"/>
  <c r="F5246" i="1"/>
  <c r="D5247" i="1"/>
  <c r="F5247" i="1"/>
  <c r="D5248" i="1"/>
  <c r="F5248" i="1"/>
  <c r="D5249" i="1"/>
  <c r="F5249" i="1"/>
  <c r="D5250" i="1"/>
  <c r="F5250" i="1"/>
  <c r="D5251" i="1"/>
  <c r="F5251" i="1"/>
  <c r="D5252" i="1"/>
  <c r="F5252" i="1"/>
  <c r="D5253" i="1"/>
  <c r="F5253" i="1"/>
  <c r="D5254" i="1"/>
  <c r="F5254" i="1"/>
  <c r="D5255" i="1"/>
  <c r="F5255" i="1"/>
  <c r="D5256" i="1"/>
  <c r="F5256" i="1"/>
  <c r="D5257" i="1"/>
  <c r="F5257" i="1"/>
  <c r="D5258" i="1"/>
  <c r="F5258" i="1"/>
  <c r="D5259" i="1"/>
  <c r="F5259" i="1"/>
  <c r="D5260" i="1"/>
  <c r="F5260" i="1"/>
  <c r="D5261" i="1"/>
  <c r="F5261" i="1"/>
  <c r="D5262" i="1"/>
  <c r="F5262" i="1"/>
  <c r="D5263" i="1"/>
  <c r="F5263" i="1"/>
  <c r="D5264" i="1"/>
  <c r="F5264" i="1"/>
  <c r="D5265" i="1"/>
  <c r="F5265" i="1"/>
  <c r="D5266" i="1"/>
  <c r="F5266" i="1"/>
  <c r="D5267" i="1"/>
  <c r="F5267" i="1"/>
  <c r="D5268" i="1"/>
  <c r="F5268" i="1"/>
  <c r="D5269" i="1"/>
  <c r="F5269" i="1"/>
  <c r="D5270" i="1"/>
  <c r="F5270" i="1"/>
  <c r="D5271" i="1"/>
  <c r="F5271" i="1"/>
  <c r="D5272" i="1"/>
  <c r="F5272" i="1"/>
  <c r="D5273" i="1"/>
  <c r="F5273" i="1"/>
  <c r="D5274" i="1"/>
  <c r="F5274" i="1"/>
  <c r="D5275" i="1"/>
  <c r="F5275" i="1"/>
  <c r="D5276" i="1"/>
  <c r="F5276" i="1"/>
  <c r="D5277" i="1"/>
  <c r="F5277" i="1"/>
  <c r="D5278" i="1"/>
  <c r="F5278" i="1"/>
  <c r="D5279" i="1"/>
  <c r="F5279" i="1"/>
  <c r="D5280" i="1"/>
  <c r="F5280" i="1"/>
  <c r="D5281" i="1"/>
  <c r="F5281" i="1"/>
  <c r="D5282" i="1"/>
  <c r="F5282" i="1"/>
  <c r="D5283" i="1"/>
  <c r="F5283" i="1"/>
  <c r="D5284" i="1"/>
  <c r="F5284" i="1"/>
  <c r="D5285" i="1"/>
  <c r="F5285" i="1"/>
  <c r="D5286" i="1"/>
  <c r="F5286" i="1"/>
  <c r="D5287" i="1"/>
  <c r="F5287" i="1"/>
  <c r="D5288" i="1"/>
  <c r="F5288" i="1"/>
  <c r="D5289" i="1"/>
  <c r="F5289" i="1"/>
  <c r="D5290" i="1"/>
  <c r="F5290" i="1"/>
  <c r="D5291" i="1"/>
  <c r="F5291" i="1"/>
  <c r="D5292" i="1"/>
  <c r="F5292" i="1"/>
  <c r="D5293" i="1"/>
  <c r="F5293" i="1"/>
  <c r="D5294" i="1"/>
  <c r="F5294" i="1"/>
  <c r="D5295" i="1"/>
  <c r="F5295" i="1"/>
  <c r="D5296" i="1"/>
  <c r="F5296" i="1"/>
  <c r="D5297" i="1"/>
  <c r="F5297" i="1"/>
  <c r="D5298" i="1"/>
  <c r="F5298" i="1"/>
  <c r="D5299" i="1"/>
  <c r="F5299" i="1"/>
  <c r="D5300" i="1"/>
  <c r="F5300" i="1"/>
  <c r="D5301" i="1"/>
  <c r="F5301" i="1"/>
  <c r="D5302" i="1"/>
  <c r="F5302" i="1"/>
  <c r="D5303" i="1"/>
  <c r="F5303" i="1"/>
  <c r="D5304" i="1"/>
  <c r="F5304" i="1"/>
  <c r="D5305" i="1"/>
  <c r="F5305" i="1"/>
  <c r="D5306" i="1"/>
  <c r="F5306" i="1"/>
  <c r="D5307" i="1"/>
  <c r="F5307" i="1"/>
  <c r="D5308" i="1"/>
  <c r="F5308" i="1"/>
  <c r="D5309" i="1"/>
  <c r="F5309" i="1"/>
  <c r="D5310" i="1"/>
  <c r="F5310" i="1"/>
  <c r="D5311" i="1"/>
  <c r="F5311" i="1"/>
  <c r="D5312" i="1"/>
  <c r="F5312" i="1"/>
  <c r="D5313" i="1"/>
  <c r="F5313" i="1"/>
  <c r="D5314" i="1"/>
  <c r="F5314" i="1"/>
  <c r="D5315" i="1"/>
  <c r="F5315" i="1"/>
  <c r="D5316" i="1"/>
  <c r="F5316" i="1"/>
  <c r="D5317" i="1"/>
  <c r="F5317" i="1"/>
  <c r="D5318" i="1"/>
  <c r="F5318" i="1"/>
  <c r="D5319" i="1"/>
  <c r="F5319" i="1"/>
  <c r="D5320" i="1"/>
  <c r="F5320" i="1"/>
  <c r="D5321" i="1"/>
  <c r="F5321" i="1"/>
  <c r="D5322" i="1"/>
  <c r="F5322" i="1"/>
  <c r="D5323" i="1"/>
  <c r="F5323" i="1"/>
  <c r="D5324" i="1"/>
  <c r="F5324" i="1"/>
  <c r="D5325" i="1"/>
  <c r="F5325" i="1"/>
  <c r="D5326" i="1"/>
  <c r="F5326" i="1"/>
  <c r="D5327" i="1"/>
  <c r="F5327" i="1"/>
  <c r="D5328" i="1"/>
  <c r="F5328" i="1"/>
  <c r="D5329" i="1"/>
  <c r="F5329" i="1"/>
  <c r="D5330" i="1"/>
  <c r="F5330" i="1"/>
  <c r="D5331" i="1"/>
  <c r="F5331" i="1"/>
  <c r="D5332" i="1"/>
  <c r="F5332" i="1"/>
  <c r="D5333" i="1"/>
  <c r="F5333" i="1"/>
  <c r="D5334" i="1"/>
  <c r="F5334" i="1"/>
  <c r="D5335" i="1"/>
  <c r="F5335" i="1"/>
  <c r="D5336" i="1"/>
  <c r="F5336" i="1"/>
  <c r="D5337" i="1"/>
  <c r="F5337" i="1"/>
  <c r="D5338" i="1"/>
  <c r="F5338" i="1"/>
  <c r="D5339" i="1"/>
  <c r="F5339" i="1"/>
  <c r="D5340" i="1"/>
  <c r="F5340" i="1"/>
  <c r="D5341" i="1"/>
  <c r="F5341" i="1"/>
  <c r="D5342" i="1"/>
  <c r="F5342" i="1"/>
  <c r="D5343" i="1"/>
  <c r="F5343" i="1"/>
  <c r="D5344" i="1"/>
  <c r="F5344" i="1"/>
  <c r="D5345" i="1"/>
  <c r="F5345" i="1"/>
  <c r="D5346" i="1"/>
  <c r="F5346" i="1"/>
  <c r="D5347" i="1"/>
  <c r="F5347" i="1"/>
  <c r="D5348" i="1"/>
  <c r="F5348" i="1"/>
  <c r="D5349" i="1"/>
  <c r="F5349" i="1"/>
  <c r="D5350" i="1"/>
  <c r="F5350" i="1"/>
  <c r="D5351" i="1"/>
  <c r="F5351" i="1"/>
  <c r="D5352" i="1"/>
  <c r="F5352" i="1"/>
  <c r="D5353" i="1"/>
  <c r="F5353" i="1"/>
  <c r="D5354" i="1"/>
  <c r="F5354" i="1"/>
  <c r="D5355" i="1"/>
  <c r="F5355" i="1"/>
  <c r="D5356" i="1"/>
  <c r="F5356" i="1"/>
  <c r="D5357" i="1"/>
  <c r="F5357" i="1"/>
  <c r="D5358" i="1"/>
  <c r="F5358" i="1"/>
  <c r="D5359" i="1"/>
  <c r="F5359" i="1"/>
  <c r="D5360" i="1"/>
  <c r="F5360" i="1"/>
  <c r="D5361" i="1"/>
  <c r="F5361" i="1"/>
  <c r="D5362" i="1"/>
  <c r="F5362" i="1"/>
  <c r="D5363" i="1"/>
  <c r="F5363" i="1"/>
  <c r="D5364" i="1"/>
  <c r="F5364" i="1"/>
  <c r="D5365" i="1"/>
  <c r="F5365" i="1"/>
  <c r="D5366" i="1"/>
  <c r="F5366" i="1"/>
  <c r="D5367" i="1"/>
  <c r="F5367" i="1"/>
  <c r="D5368" i="1"/>
  <c r="F5368" i="1"/>
  <c r="D5369" i="1"/>
  <c r="F5369" i="1"/>
  <c r="D5370" i="1"/>
  <c r="F5370" i="1"/>
  <c r="D5371" i="1"/>
  <c r="F5371" i="1"/>
  <c r="D5372" i="1"/>
  <c r="F5372" i="1"/>
  <c r="D5373" i="1"/>
  <c r="F5373" i="1"/>
  <c r="D5374" i="1"/>
  <c r="F5374" i="1"/>
  <c r="D5375" i="1"/>
  <c r="F5375" i="1"/>
  <c r="D5376" i="1"/>
  <c r="F5376" i="1"/>
  <c r="D5377" i="1"/>
  <c r="F5377" i="1"/>
  <c r="D5378" i="1"/>
  <c r="F5378" i="1"/>
  <c r="D5379" i="1"/>
  <c r="F5379" i="1"/>
  <c r="D5380" i="1"/>
  <c r="F5380" i="1"/>
  <c r="D5381" i="1"/>
  <c r="F5381" i="1"/>
  <c r="D5382" i="1"/>
  <c r="F5382" i="1"/>
  <c r="D5383" i="1"/>
  <c r="F5383" i="1"/>
  <c r="D5384" i="1"/>
  <c r="F5384" i="1"/>
  <c r="D5385" i="1"/>
  <c r="F5385" i="1"/>
  <c r="D5386" i="1"/>
  <c r="F5386" i="1"/>
  <c r="D5387" i="1"/>
  <c r="F5387" i="1"/>
  <c r="D5388" i="1"/>
  <c r="F5388" i="1"/>
  <c r="D5389" i="1"/>
  <c r="F5389" i="1"/>
  <c r="D5390" i="1"/>
  <c r="F5390" i="1"/>
  <c r="D5391" i="1"/>
  <c r="F5391" i="1"/>
  <c r="D5392" i="1"/>
  <c r="F5392" i="1"/>
  <c r="D5393" i="1"/>
  <c r="F5393" i="1"/>
  <c r="D5394" i="1"/>
  <c r="F5394" i="1"/>
  <c r="D5395" i="1"/>
  <c r="F5395" i="1"/>
  <c r="D5396" i="1"/>
  <c r="F5396" i="1"/>
  <c r="D5397" i="1"/>
  <c r="F5397" i="1"/>
  <c r="D5398" i="1"/>
  <c r="F5398" i="1"/>
  <c r="D5399" i="1"/>
  <c r="F5399" i="1"/>
  <c r="D5400" i="1"/>
  <c r="F5400" i="1"/>
  <c r="D5401" i="1"/>
  <c r="F5401" i="1"/>
  <c r="D5402" i="1"/>
  <c r="F5402" i="1"/>
  <c r="D5403" i="1"/>
  <c r="F5403" i="1"/>
  <c r="D5404" i="1"/>
  <c r="F5404" i="1"/>
  <c r="D5405" i="1"/>
  <c r="F5405" i="1"/>
  <c r="D5406" i="1"/>
  <c r="F5406" i="1"/>
  <c r="D5407" i="1"/>
  <c r="F5407" i="1"/>
  <c r="D5408" i="1"/>
  <c r="F5408" i="1"/>
  <c r="D5409" i="1"/>
  <c r="F5409" i="1"/>
  <c r="D5410" i="1"/>
  <c r="F5410" i="1"/>
  <c r="D5411" i="1"/>
  <c r="F5411" i="1"/>
  <c r="D5412" i="1"/>
  <c r="F5412" i="1"/>
  <c r="D5413" i="1"/>
  <c r="F5413" i="1"/>
  <c r="D5414" i="1"/>
  <c r="F5414" i="1"/>
  <c r="D5415" i="1"/>
  <c r="F5415" i="1"/>
  <c r="D5416" i="1"/>
  <c r="F5416" i="1"/>
  <c r="D5417" i="1"/>
  <c r="F5417" i="1"/>
  <c r="D5418" i="1"/>
  <c r="F5418" i="1"/>
  <c r="D5419" i="1"/>
  <c r="F5419" i="1"/>
  <c r="D5420" i="1"/>
  <c r="F5420" i="1"/>
  <c r="D5421" i="1"/>
  <c r="F5421" i="1"/>
  <c r="D5422" i="1"/>
  <c r="F5422" i="1"/>
  <c r="D5423" i="1"/>
  <c r="F5423" i="1"/>
  <c r="D5424" i="1"/>
  <c r="F5424" i="1"/>
  <c r="D5425" i="1"/>
  <c r="F5425" i="1"/>
  <c r="D5426" i="1"/>
  <c r="F5426" i="1"/>
  <c r="D5427" i="1"/>
  <c r="F5427" i="1"/>
  <c r="D5428" i="1"/>
  <c r="F5428" i="1"/>
  <c r="D5429" i="1"/>
  <c r="F5429" i="1"/>
  <c r="D5430" i="1"/>
  <c r="F5430" i="1"/>
  <c r="D5431" i="1"/>
  <c r="F5431" i="1"/>
  <c r="D5432" i="1"/>
  <c r="F5432" i="1"/>
  <c r="D5433" i="1"/>
  <c r="F5433" i="1"/>
  <c r="D5434" i="1"/>
  <c r="F5434" i="1"/>
  <c r="D5435" i="1"/>
  <c r="F5435" i="1"/>
  <c r="D5436" i="1"/>
  <c r="F5436" i="1"/>
  <c r="D5437" i="1"/>
  <c r="F5437" i="1"/>
  <c r="D5438" i="1"/>
  <c r="F5438" i="1"/>
  <c r="D5439" i="1"/>
  <c r="F5439" i="1"/>
  <c r="D5440" i="1"/>
  <c r="F5440" i="1"/>
  <c r="D5441" i="1"/>
  <c r="F5441" i="1"/>
  <c r="D5442" i="1"/>
  <c r="F5442" i="1"/>
  <c r="D5443" i="1"/>
  <c r="F5443" i="1"/>
  <c r="D5444" i="1"/>
  <c r="F5444" i="1"/>
  <c r="D5445" i="1"/>
  <c r="F5445" i="1"/>
  <c r="D5446" i="1"/>
  <c r="F5446" i="1"/>
  <c r="D5447" i="1"/>
  <c r="F5447" i="1"/>
  <c r="D5448" i="1"/>
  <c r="F5448" i="1"/>
  <c r="D5449" i="1"/>
  <c r="F5449" i="1"/>
  <c r="D5450" i="1"/>
  <c r="F5450" i="1"/>
  <c r="D5451" i="1"/>
  <c r="F5451" i="1"/>
  <c r="D5452" i="1"/>
  <c r="F5452" i="1"/>
  <c r="D5453" i="1"/>
  <c r="F5453" i="1"/>
  <c r="D5454" i="1"/>
  <c r="F5454" i="1"/>
  <c r="D5455" i="1"/>
  <c r="F5455" i="1"/>
  <c r="D5456" i="1"/>
  <c r="F5456" i="1"/>
  <c r="D5457" i="1"/>
  <c r="F5457" i="1"/>
  <c r="D5458" i="1"/>
  <c r="F5458" i="1"/>
  <c r="D5459" i="1"/>
  <c r="F5459" i="1"/>
  <c r="D5460" i="1"/>
  <c r="F5460" i="1"/>
  <c r="D5461" i="1"/>
  <c r="F5461" i="1"/>
  <c r="D5462" i="1"/>
  <c r="F5462" i="1"/>
  <c r="D5463" i="1"/>
  <c r="F5463" i="1"/>
  <c r="D5464" i="1"/>
  <c r="F5464" i="1"/>
  <c r="D5465" i="1"/>
  <c r="F5465" i="1"/>
  <c r="D5466" i="1"/>
  <c r="F5466" i="1"/>
  <c r="D5467" i="1"/>
  <c r="F5467" i="1"/>
  <c r="D5468" i="1"/>
  <c r="F5468" i="1"/>
  <c r="D5469" i="1"/>
  <c r="F5469" i="1"/>
  <c r="D5470" i="1"/>
  <c r="F5470" i="1"/>
  <c r="D5471" i="1"/>
  <c r="F5471" i="1"/>
  <c r="D5472" i="1"/>
  <c r="F5472" i="1"/>
  <c r="D5473" i="1"/>
  <c r="F5473" i="1"/>
  <c r="D5474" i="1"/>
  <c r="F5474" i="1"/>
  <c r="D5475" i="1"/>
  <c r="F5475" i="1"/>
  <c r="D5476" i="1"/>
  <c r="F5476" i="1"/>
  <c r="D5477" i="1"/>
  <c r="F5477" i="1"/>
  <c r="D5478" i="1"/>
  <c r="F5478" i="1"/>
  <c r="D5479" i="1"/>
  <c r="F5479" i="1"/>
  <c r="D5480" i="1"/>
  <c r="F5480" i="1"/>
  <c r="D5481" i="1"/>
  <c r="F5481" i="1"/>
  <c r="D5482" i="1"/>
  <c r="F5482" i="1"/>
  <c r="D5483" i="1"/>
  <c r="F5483" i="1"/>
  <c r="D5484" i="1"/>
  <c r="F5484" i="1"/>
  <c r="D5485" i="1"/>
  <c r="F5485" i="1"/>
  <c r="D5486" i="1"/>
  <c r="F5486" i="1"/>
  <c r="D5487" i="1"/>
  <c r="F5487" i="1"/>
  <c r="D5488" i="1"/>
  <c r="F5488" i="1"/>
  <c r="D5489" i="1"/>
  <c r="F5489" i="1"/>
  <c r="D5490" i="1"/>
  <c r="F5490" i="1"/>
  <c r="D5491" i="1"/>
  <c r="F5491" i="1"/>
  <c r="D5492" i="1"/>
  <c r="F5492" i="1"/>
  <c r="D5493" i="1"/>
  <c r="F5493" i="1"/>
  <c r="D5494" i="1"/>
  <c r="F5494" i="1"/>
  <c r="D5495" i="1"/>
  <c r="F5495" i="1"/>
  <c r="D5496" i="1"/>
  <c r="F5496" i="1"/>
  <c r="D5497" i="1"/>
  <c r="F5497" i="1"/>
  <c r="D5498" i="1"/>
  <c r="F5498" i="1"/>
  <c r="D5499" i="1"/>
  <c r="F5499" i="1"/>
  <c r="D5500" i="1"/>
  <c r="F5500" i="1"/>
  <c r="D5501" i="1"/>
  <c r="F5501" i="1"/>
  <c r="D5502" i="1"/>
  <c r="F5502" i="1"/>
  <c r="D5503" i="1"/>
  <c r="F5503" i="1"/>
  <c r="D5504" i="1"/>
  <c r="F5504" i="1"/>
  <c r="D5505" i="1"/>
  <c r="F5505" i="1"/>
  <c r="D5506" i="1"/>
  <c r="F5506" i="1"/>
  <c r="D5507" i="1"/>
  <c r="F5507" i="1"/>
  <c r="D5508" i="1"/>
  <c r="F5508" i="1"/>
  <c r="D5509" i="1"/>
  <c r="F5509" i="1"/>
  <c r="D5510" i="1"/>
  <c r="F5510" i="1"/>
  <c r="D5511" i="1"/>
  <c r="F5511" i="1"/>
  <c r="D5512" i="1"/>
  <c r="F5512" i="1"/>
  <c r="D5513" i="1"/>
  <c r="F5513" i="1"/>
  <c r="D5514" i="1"/>
  <c r="F5514" i="1"/>
  <c r="D5515" i="1"/>
  <c r="F5515" i="1"/>
  <c r="D5516" i="1"/>
  <c r="F5516" i="1"/>
  <c r="D5517" i="1"/>
  <c r="F5517" i="1"/>
  <c r="D5518" i="1"/>
  <c r="F5518" i="1"/>
  <c r="D5519" i="1"/>
  <c r="F5519" i="1"/>
  <c r="D5520" i="1"/>
  <c r="F5520" i="1"/>
  <c r="D5521" i="1"/>
  <c r="F5521" i="1"/>
  <c r="D5522" i="1"/>
  <c r="F5522" i="1"/>
  <c r="D5523" i="1"/>
  <c r="F5523" i="1"/>
  <c r="D5524" i="1"/>
  <c r="F5524" i="1"/>
  <c r="D5525" i="1"/>
  <c r="F5525" i="1"/>
  <c r="D5526" i="1"/>
  <c r="F5526" i="1"/>
  <c r="D5527" i="1"/>
  <c r="F5527" i="1"/>
  <c r="D5528" i="1"/>
  <c r="F5528" i="1"/>
  <c r="D5529" i="1"/>
  <c r="F5529" i="1"/>
  <c r="D5530" i="1"/>
  <c r="F5530" i="1"/>
  <c r="D5531" i="1"/>
  <c r="F5531" i="1"/>
  <c r="D5532" i="1"/>
  <c r="F5532" i="1"/>
  <c r="D5533" i="1"/>
  <c r="F5533" i="1"/>
  <c r="D5534" i="1"/>
  <c r="F5534" i="1"/>
  <c r="D5535" i="1"/>
  <c r="F5535" i="1"/>
  <c r="D5536" i="1"/>
  <c r="F5536" i="1"/>
  <c r="D5537" i="1"/>
  <c r="F5537" i="1"/>
  <c r="D5538" i="1"/>
  <c r="F5538" i="1"/>
  <c r="D5539" i="1"/>
  <c r="F5539" i="1"/>
  <c r="D5540" i="1"/>
  <c r="F5540" i="1"/>
  <c r="D5541" i="1"/>
  <c r="F5541" i="1"/>
  <c r="D5542" i="1"/>
  <c r="F5542" i="1"/>
  <c r="D5543" i="1"/>
  <c r="F5543" i="1"/>
  <c r="D5544" i="1"/>
  <c r="F5544" i="1"/>
  <c r="D5545" i="1"/>
  <c r="F5545" i="1"/>
  <c r="D5546" i="1"/>
  <c r="F5546" i="1"/>
  <c r="D5547" i="1"/>
  <c r="F5547" i="1"/>
  <c r="D5548" i="1"/>
  <c r="F5548" i="1"/>
  <c r="D5549" i="1"/>
  <c r="F5549" i="1"/>
  <c r="D5550" i="1"/>
  <c r="F5550" i="1"/>
  <c r="D5551" i="1"/>
  <c r="F5551" i="1"/>
  <c r="D5552" i="1"/>
  <c r="F5552" i="1"/>
  <c r="D5553" i="1"/>
  <c r="F5553" i="1"/>
  <c r="D5554" i="1"/>
  <c r="F5554" i="1"/>
  <c r="D5555" i="1"/>
  <c r="F5555" i="1"/>
  <c r="D5556" i="1"/>
  <c r="F5556" i="1"/>
  <c r="D5557" i="1"/>
  <c r="F5557" i="1"/>
  <c r="D5558" i="1"/>
  <c r="F5558" i="1"/>
  <c r="D5559" i="1"/>
  <c r="F5559" i="1"/>
  <c r="D5560" i="1"/>
  <c r="F5560" i="1"/>
  <c r="D5561" i="1"/>
  <c r="F5561" i="1"/>
  <c r="D5562" i="1"/>
  <c r="F5562" i="1"/>
  <c r="D5563" i="1"/>
  <c r="F5563" i="1"/>
  <c r="D5564" i="1"/>
  <c r="F5564" i="1"/>
  <c r="D5565" i="1"/>
  <c r="F5565" i="1"/>
  <c r="D5566" i="1"/>
  <c r="F5566" i="1"/>
  <c r="D5567" i="1"/>
  <c r="F5567" i="1"/>
  <c r="D5568" i="1"/>
  <c r="F5568" i="1"/>
  <c r="D5569" i="1"/>
  <c r="F5569" i="1"/>
  <c r="D5570" i="1"/>
  <c r="F5570" i="1"/>
  <c r="D5571" i="1"/>
  <c r="F5571" i="1"/>
  <c r="D5572" i="1"/>
  <c r="F5572" i="1"/>
  <c r="D5573" i="1"/>
  <c r="F5573" i="1"/>
  <c r="D5574" i="1"/>
  <c r="F5574" i="1"/>
  <c r="D5575" i="1"/>
  <c r="F5575" i="1"/>
  <c r="D5576" i="1"/>
  <c r="F5576" i="1"/>
  <c r="D5577" i="1"/>
  <c r="F5577" i="1"/>
  <c r="D5578" i="1"/>
  <c r="F5578" i="1"/>
  <c r="D5579" i="1"/>
  <c r="F5579" i="1"/>
  <c r="D5580" i="1"/>
  <c r="F5580" i="1"/>
  <c r="D5581" i="1"/>
  <c r="F5581" i="1"/>
  <c r="D5582" i="1"/>
  <c r="F5582" i="1"/>
  <c r="D5583" i="1"/>
  <c r="F5583" i="1"/>
  <c r="D5584" i="1"/>
  <c r="F5584" i="1"/>
  <c r="D5585" i="1"/>
  <c r="F5585" i="1"/>
  <c r="D5586" i="1"/>
  <c r="F5586" i="1"/>
  <c r="D5587" i="1"/>
  <c r="F5587" i="1"/>
  <c r="D5588" i="1"/>
  <c r="F5588" i="1"/>
  <c r="D5589" i="1"/>
  <c r="F5589" i="1"/>
  <c r="D5590" i="1"/>
  <c r="F5590" i="1"/>
  <c r="D5591" i="1"/>
  <c r="F5591" i="1"/>
  <c r="D5592" i="1"/>
  <c r="F5592" i="1"/>
  <c r="D5593" i="1"/>
  <c r="F5593" i="1"/>
  <c r="D5594" i="1"/>
  <c r="F5594" i="1"/>
  <c r="D5595" i="1"/>
  <c r="F5595" i="1"/>
  <c r="D5596" i="1"/>
  <c r="F5596" i="1"/>
  <c r="D5597" i="1"/>
  <c r="F5597" i="1"/>
  <c r="D5598" i="1"/>
  <c r="F5598" i="1"/>
  <c r="D5599" i="1"/>
  <c r="F5599" i="1"/>
  <c r="D5600" i="1"/>
  <c r="F5600" i="1"/>
  <c r="D5601" i="1"/>
  <c r="F5601" i="1"/>
  <c r="D5602" i="1"/>
  <c r="F5602" i="1"/>
  <c r="D5603" i="1"/>
  <c r="F5603" i="1"/>
  <c r="D5604" i="1"/>
  <c r="F5604" i="1"/>
  <c r="D5605" i="1"/>
  <c r="F5605" i="1"/>
  <c r="D5606" i="1"/>
  <c r="F5606" i="1"/>
  <c r="D5607" i="1"/>
  <c r="F5607" i="1"/>
  <c r="D5608" i="1"/>
  <c r="F5608" i="1"/>
  <c r="D5609" i="1"/>
  <c r="F5609" i="1"/>
  <c r="D5610" i="1"/>
  <c r="F5610" i="1"/>
  <c r="D5611" i="1"/>
  <c r="F5611" i="1"/>
  <c r="D5612" i="1"/>
  <c r="F5612" i="1"/>
  <c r="D5613" i="1"/>
  <c r="F5613" i="1"/>
  <c r="D5614" i="1"/>
  <c r="F5614" i="1"/>
  <c r="D5615" i="1"/>
  <c r="F5615" i="1"/>
  <c r="D5616" i="1"/>
  <c r="F5616" i="1"/>
  <c r="D5617" i="1"/>
  <c r="F5617" i="1"/>
  <c r="D5618" i="1"/>
  <c r="F5618" i="1"/>
  <c r="D5619" i="1"/>
  <c r="F5619" i="1"/>
  <c r="D5620" i="1"/>
  <c r="F5620" i="1"/>
  <c r="D5621" i="1"/>
  <c r="F5621" i="1"/>
  <c r="D5622" i="1"/>
  <c r="F5622" i="1"/>
  <c r="D5623" i="1"/>
  <c r="F5623" i="1"/>
  <c r="D5624" i="1"/>
  <c r="F5624" i="1"/>
  <c r="D5625" i="1"/>
  <c r="F5625" i="1"/>
  <c r="D5626" i="1"/>
  <c r="F5626" i="1"/>
  <c r="D5627" i="1"/>
  <c r="F5627" i="1"/>
  <c r="D5628" i="1"/>
  <c r="F5628" i="1"/>
  <c r="D5629" i="1"/>
  <c r="F5629" i="1"/>
  <c r="D5630" i="1"/>
  <c r="F5630" i="1"/>
  <c r="D5631" i="1"/>
  <c r="F5631" i="1"/>
  <c r="D5632" i="1"/>
  <c r="F5632" i="1"/>
  <c r="D5633" i="1"/>
  <c r="F5633" i="1"/>
  <c r="D5634" i="1"/>
  <c r="F5634" i="1"/>
  <c r="D5635" i="1"/>
  <c r="F5635" i="1"/>
  <c r="D5636" i="1"/>
  <c r="F5636" i="1"/>
  <c r="D5637" i="1"/>
  <c r="F5637" i="1"/>
  <c r="D5638" i="1"/>
  <c r="F5638" i="1"/>
  <c r="D5639" i="1"/>
  <c r="F5639" i="1"/>
  <c r="D5640" i="1"/>
  <c r="F5640" i="1"/>
  <c r="D5641" i="1"/>
  <c r="F5641" i="1"/>
  <c r="D5642" i="1"/>
  <c r="F5642" i="1"/>
  <c r="D5643" i="1"/>
  <c r="F5643" i="1"/>
  <c r="D5644" i="1"/>
  <c r="F5644" i="1"/>
  <c r="D5645" i="1"/>
  <c r="F5645" i="1"/>
  <c r="D5646" i="1"/>
  <c r="F5646" i="1"/>
  <c r="D5647" i="1"/>
  <c r="F5647" i="1"/>
  <c r="D5648" i="1"/>
  <c r="F5648" i="1"/>
  <c r="D5649" i="1"/>
  <c r="F5649" i="1"/>
  <c r="D5650" i="1"/>
  <c r="F5650" i="1"/>
  <c r="D5651" i="1"/>
  <c r="F5651" i="1"/>
  <c r="D5652" i="1"/>
  <c r="F5652" i="1"/>
  <c r="D5653" i="1"/>
  <c r="F5653" i="1"/>
  <c r="D5654" i="1"/>
  <c r="F5654" i="1"/>
  <c r="D5655" i="1"/>
  <c r="F5655" i="1"/>
  <c r="D5656" i="1"/>
  <c r="F5656" i="1"/>
  <c r="D5657" i="1"/>
  <c r="F5657" i="1"/>
  <c r="D5658" i="1"/>
  <c r="F5658" i="1"/>
  <c r="D5659" i="1"/>
  <c r="F5659" i="1"/>
  <c r="D5660" i="1"/>
  <c r="F5660" i="1"/>
  <c r="D5661" i="1"/>
  <c r="F5661" i="1"/>
  <c r="D5662" i="1"/>
  <c r="F5662" i="1"/>
  <c r="D5663" i="1"/>
  <c r="F5663" i="1"/>
  <c r="D5664" i="1"/>
  <c r="F5664" i="1"/>
  <c r="D5665" i="1"/>
  <c r="F5665" i="1"/>
  <c r="D5666" i="1"/>
  <c r="F5666" i="1"/>
  <c r="D5667" i="1"/>
  <c r="F5667" i="1"/>
  <c r="D5668" i="1"/>
  <c r="F5668" i="1"/>
  <c r="D5669" i="1"/>
  <c r="F5669" i="1"/>
  <c r="D5670" i="1"/>
  <c r="F5670" i="1"/>
  <c r="D5671" i="1"/>
  <c r="F5671" i="1"/>
  <c r="D5672" i="1"/>
  <c r="F5672" i="1"/>
  <c r="D5673" i="1"/>
  <c r="F5673" i="1"/>
  <c r="D5674" i="1"/>
  <c r="F5674" i="1"/>
  <c r="D5675" i="1"/>
  <c r="F5675" i="1"/>
  <c r="D5676" i="1"/>
  <c r="F5676" i="1"/>
  <c r="D5677" i="1"/>
  <c r="F5677" i="1"/>
  <c r="D5678" i="1"/>
  <c r="F5678" i="1"/>
  <c r="D5679" i="1"/>
  <c r="F5679" i="1"/>
  <c r="D5680" i="1"/>
  <c r="F5680" i="1"/>
  <c r="D5681" i="1"/>
  <c r="F5681" i="1"/>
  <c r="D5682" i="1"/>
  <c r="F5682" i="1"/>
  <c r="D5683" i="1"/>
  <c r="F5683" i="1"/>
  <c r="D5684" i="1"/>
  <c r="F5684" i="1"/>
  <c r="D5685" i="1"/>
  <c r="F5685" i="1"/>
  <c r="D5686" i="1"/>
  <c r="F5686" i="1"/>
  <c r="D5687" i="1"/>
  <c r="F5687" i="1"/>
  <c r="D5688" i="1"/>
  <c r="F5688" i="1"/>
  <c r="D5689" i="1"/>
  <c r="F5689" i="1"/>
  <c r="D5690" i="1"/>
  <c r="F5690" i="1"/>
  <c r="D5691" i="1"/>
  <c r="F5691" i="1"/>
  <c r="D5692" i="1"/>
  <c r="F5692" i="1"/>
  <c r="D5693" i="1"/>
  <c r="F5693" i="1"/>
  <c r="D5694" i="1"/>
  <c r="F5694" i="1"/>
  <c r="D5695" i="1"/>
  <c r="F5695" i="1"/>
  <c r="D5696" i="1"/>
  <c r="F5696" i="1"/>
  <c r="D5697" i="1"/>
  <c r="F5697" i="1"/>
  <c r="D5698" i="1"/>
  <c r="F5698" i="1"/>
  <c r="D5699" i="1"/>
  <c r="F5699" i="1"/>
  <c r="D5700" i="1"/>
  <c r="F5700" i="1"/>
  <c r="D5701" i="1"/>
  <c r="F5701" i="1"/>
  <c r="D5702" i="1"/>
  <c r="F5702" i="1"/>
  <c r="D5703" i="1"/>
  <c r="F5703" i="1"/>
  <c r="D5704" i="1"/>
  <c r="F5704" i="1"/>
  <c r="D5705" i="1"/>
  <c r="F5705" i="1"/>
  <c r="D5706" i="1"/>
  <c r="F5706" i="1"/>
  <c r="D5707" i="1"/>
  <c r="F5707" i="1"/>
  <c r="D5708" i="1"/>
  <c r="F5708" i="1"/>
  <c r="D5709" i="1"/>
  <c r="F5709" i="1"/>
  <c r="D5710" i="1"/>
  <c r="F5710" i="1"/>
  <c r="D5711" i="1"/>
  <c r="F5711" i="1"/>
  <c r="D5712" i="1"/>
  <c r="F5712" i="1"/>
  <c r="D5713" i="1"/>
  <c r="F5713" i="1"/>
  <c r="D5714" i="1"/>
  <c r="F5714" i="1"/>
  <c r="D5715" i="1"/>
  <c r="F5715" i="1"/>
  <c r="D5716" i="1"/>
  <c r="F5716" i="1"/>
  <c r="D5717" i="1"/>
  <c r="F5717" i="1"/>
  <c r="D5718" i="1"/>
  <c r="F5718" i="1"/>
  <c r="D5719" i="1"/>
  <c r="F5719" i="1"/>
  <c r="D5720" i="1"/>
  <c r="F5720" i="1"/>
  <c r="D5721" i="1"/>
  <c r="F5721" i="1"/>
  <c r="D5722" i="1"/>
  <c r="F5722" i="1"/>
  <c r="D5723" i="1"/>
  <c r="F5723" i="1"/>
  <c r="D5724" i="1"/>
  <c r="F5724" i="1"/>
  <c r="D5725" i="1"/>
  <c r="F5725" i="1"/>
  <c r="D5726" i="1"/>
  <c r="F5726" i="1"/>
  <c r="D5727" i="1"/>
  <c r="F5727" i="1"/>
  <c r="D5728" i="1"/>
  <c r="F5728" i="1"/>
  <c r="D5729" i="1"/>
  <c r="F5729" i="1"/>
  <c r="D5730" i="1"/>
  <c r="F5730" i="1"/>
  <c r="D5731" i="1"/>
  <c r="F5731" i="1"/>
  <c r="D5732" i="1"/>
  <c r="F5732" i="1"/>
  <c r="D5733" i="1"/>
  <c r="F5733" i="1"/>
  <c r="D5734" i="1"/>
  <c r="F5734" i="1"/>
  <c r="D5735" i="1"/>
  <c r="F5735" i="1"/>
  <c r="D5736" i="1"/>
  <c r="F5736" i="1"/>
  <c r="D5737" i="1"/>
  <c r="F5737" i="1"/>
  <c r="D5738" i="1"/>
  <c r="F5738" i="1"/>
  <c r="D5739" i="1"/>
  <c r="F5739" i="1"/>
  <c r="D5740" i="1"/>
  <c r="F5740" i="1"/>
  <c r="D5741" i="1"/>
  <c r="F5741" i="1"/>
  <c r="D5742" i="1"/>
  <c r="F5742" i="1"/>
  <c r="D5743" i="1"/>
  <c r="F5743" i="1"/>
  <c r="D5744" i="1"/>
  <c r="F5744" i="1"/>
  <c r="D5745" i="1"/>
  <c r="F5745" i="1"/>
  <c r="D5746" i="1"/>
  <c r="F5746" i="1"/>
  <c r="D5747" i="1"/>
  <c r="F5747" i="1"/>
  <c r="D5748" i="1"/>
  <c r="F5748" i="1"/>
  <c r="D5749" i="1"/>
  <c r="F5749" i="1"/>
  <c r="D5750" i="1"/>
  <c r="F5750" i="1"/>
  <c r="D5751" i="1"/>
  <c r="F5751" i="1"/>
  <c r="D5752" i="1"/>
  <c r="F5752" i="1"/>
  <c r="D5753" i="1"/>
  <c r="F5753" i="1"/>
  <c r="D5754" i="1"/>
  <c r="F5754" i="1"/>
  <c r="D5755" i="1"/>
  <c r="F5755" i="1"/>
  <c r="D5756" i="1"/>
  <c r="F5756" i="1"/>
  <c r="D5757" i="1"/>
  <c r="F5757" i="1"/>
  <c r="D5758" i="1"/>
  <c r="F5758" i="1"/>
  <c r="D5759" i="1"/>
  <c r="F5759" i="1"/>
  <c r="D5760" i="1"/>
  <c r="F5760" i="1"/>
  <c r="D5761" i="1"/>
  <c r="F5761" i="1"/>
  <c r="D5762" i="1"/>
  <c r="F5762" i="1"/>
  <c r="D5763" i="1"/>
  <c r="F5763" i="1"/>
  <c r="D5764" i="1"/>
  <c r="F5764" i="1"/>
  <c r="D5765" i="1"/>
  <c r="F5765" i="1"/>
  <c r="D5766" i="1"/>
  <c r="F5766" i="1"/>
  <c r="D5767" i="1"/>
  <c r="F5767" i="1"/>
  <c r="D5768" i="1"/>
  <c r="F5768" i="1"/>
  <c r="D5769" i="1"/>
  <c r="F5769" i="1"/>
  <c r="D5770" i="1"/>
  <c r="F5770" i="1"/>
  <c r="D5771" i="1"/>
  <c r="F5771" i="1"/>
  <c r="D5772" i="1"/>
  <c r="F5772" i="1"/>
  <c r="D5773" i="1"/>
  <c r="F5773" i="1"/>
  <c r="D5774" i="1"/>
  <c r="F5774" i="1"/>
  <c r="D5775" i="1"/>
  <c r="F5775" i="1"/>
  <c r="D5776" i="1"/>
  <c r="F5776" i="1"/>
  <c r="D5777" i="1"/>
  <c r="F5777" i="1"/>
  <c r="D5778" i="1"/>
  <c r="F5778" i="1"/>
  <c r="D5779" i="1"/>
  <c r="F5779" i="1"/>
  <c r="D5780" i="1"/>
  <c r="F5780" i="1"/>
  <c r="D5781" i="1"/>
  <c r="F5781" i="1"/>
  <c r="D5782" i="1"/>
  <c r="F5782" i="1"/>
  <c r="D5783" i="1"/>
  <c r="F5783" i="1"/>
  <c r="D5784" i="1"/>
  <c r="F5784" i="1"/>
  <c r="D5785" i="1"/>
  <c r="F5785" i="1"/>
  <c r="D5786" i="1"/>
  <c r="F5786" i="1"/>
  <c r="D5787" i="1"/>
  <c r="F5787" i="1"/>
  <c r="D5788" i="1"/>
  <c r="F5788" i="1"/>
  <c r="D5789" i="1"/>
  <c r="F5789" i="1"/>
  <c r="D5790" i="1"/>
  <c r="F5790" i="1"/>
  <c r="D5791" i="1"/>
  <c r="F5791" i="1"/>
  <c r="D5792" i="1"/>
  <c r="F5792" i="1"/>
  <c r="D5793" i="1"/>
  <c r="F5793" i="1"/>
  <c r="D5794" i="1"/>
  <c r="F5794" i="1"/>
  <c r="D5795" i="1"/>
  <c r="F5795" i="1"/>
  <c r="D5796" i="1"/>
  <c r="F5796" i="1"/>
  <c r="D5797" i="1"/>
  <c r="F5797" i="1"/>
  <c r="D5798" i="1"/>
  <c r="F5798" i="1"/>
  <c r="D5799" i="1"/>
  <c r="F5799" i="1"/>
  <c r="D5800" i="1"/>
  <c r="F5800" i="1"/>
  <c r="D5801" i="1"/>
  <c r="F5801" i="1"/>
  <c r="D5802" i="1"/>
  <c r="F5802" i="1"/>
  <c r="D5803" i="1"/>
  <c r="F5803" i="1"/>
  <c r="D5804" i="1"/>
  <c r="F5804" i="1"/>
  <c r="D5805" i="1"/>
  <c r="F5805" i="1"/>
  <c r="D5806" i="1"/>
  <c r="F5806" i="1"/>
  <c r="D5807" i="1"/>
  <c r="F5807" i="1"/>
  <c r="D5808" i="1"/>
  <c r="F5808" i="1"/>
  <c r="D5809" i="1"/>
  <c r="F5809" i="1"/>
  <c r="D5810" i="1"/>
  <c r="F5810" i="1"/>
  <c r="D5811" i="1"/>
  <c r="F5811" i="1"/>
  <c r="D5812" i="1"/>
  <c r="F5812" i="1"/>
  <c r="D5813" i="1"/>
  <c r="F5813" i="1"/>
  <c r="D5814" i="1"/>
  <c r="F5814" i="1"/>
  <c r="D5815" i="1"/>
  <c r="F5815" i="1"/>
  <c r="D5816" i="1"/>
  <c r="F5816" i="1"/>
  <c r="D5817" i="1"/>
  <c r="F5817" i="1"/>
  <c r="D5818" i="1"/>
  <c r="F5818" i="1"/>
  <c r="D5819" i="1"/>
  <c r="F5819" i="1"/>
  <c r="D5820" i="1"/>
  <c r="F5820" i="1"/>
  <c r="D5821" i="1"/>
  <c r="F5821" i="1"/>
  <c r="D5822" i="1"/>
  <c r="F5822" i="1"/>
  <c r="D5823" i="1"/>
  <c r="F5823" i="1"/>
  <c r="D5824" i="1"/>
  <c r="F5824" i="1"/>
  <c r="D5825" i="1"/>
  <c r="F5825" i="1"/>
  <c r="D5826" i="1"/>
  <c r="F5826" i="1"/>
  <c r="D5827" i="1"/>
  <c r="F5827" i="1"/>
  <c r="D5828" i="1"/>
  <c r="F5828" i="1"/>
  <c r="D5829" i="1"/>
  <c r="F5829" i="1"/>
  <c r="D5830" i="1"/>
  <c r="F5830" i="1"/>
  <c r="D5831" i="1"/>
  <c r="F5831" i="1"/>
  <c r="D5832" i="1"/>
  <c r="F5832" i="1"/>
  <c r="D5833" i="1"/>
  <c r="F5833" i="1"/>
  <c r="D5834" i="1"/>
  <c r="F5834" i="1"/>
  <c r="D5835" i="1"/>
  <c r="F5835" i="1"/>
  <c r="D5836" i="1"/>
  <c r="F5836" i="1"/>
  <c r="D5837" i="1"/>
  <c r="F5837" i="1"/>
  <c r="D5838" i="1"/>
  <c r="F5838" i="1"/>
  <c r="D5839" i="1"/>
  <c r="F5839" i="1"/>
  <c r="D5840" i="1"/>
  <c r="F5840" i="1"/>
  <c r="D5841" i="1"/>
  <c r="F5841" i="1"/>
  <c r="D5842" i="1"/>
  <c r="F5842" i="1"/>
  <c r="D5843" i="1"/>
  <c r="F5843" i="1"/>
  <c r="D5844" i="1"/>
  <c r="F5844" i="1"/>
  <c r="D5845" i="1"/>
  <c r="F5845" i="1"/>
  <c r="D5846" i="1"/>
  <c r="F5846" i="1"/>
  <c r="D5847" i="1"/>
  <c r="F5847" i="1"/>
  <c r="D5848" i="1"/>
  <c r="F5848" i="1"/>
  <c r="D5849" i="1"/>
  <c r="F5849" i="1"/>
  <c r="D5850" i="1"/>
  <c r="F5850" i="1"/>
  <c r="D5851" i="1"/>
  <c r="F5851" i="1"/>
  <c r="D5852" i="1"/>
  <c r="F5852" i="1"/>
  <c r="D5853" i="1"/>
  <c r="F5853" i="1"/>
  <c r="D5854" i="1"/>
  <c r="F5854" i="1"/>
  <c r="D5855" i="1"/>
  <c r="F5855" i="1"/>
  <c r="D5856" i="1"/>
  <c r="F5856" i="1"/>
  <c r="D5857" i="1"/>
  <c r="F5857" i="1"/>
  <c r="D5858" i="1"/>
  <c r="F5858" i="1"/>
  <c r="D5859" i="1"/>
  <c r="F5859" i="1"/>
  <c r="D5860" i="1"/>
  <c r="F5860" i="1"/>
  <c r="D5861" i="1"/>
  <c r="F5861" i="1"/>
  <c r="D5862" i="1"/>
  <c r="F5862" i="1"/>
  <c r="D5863" i="1"/>
  <c r="F5863" i="1"/>
  <c r="D5864" i="1"/>
  <c r="F5864" i="1"/>
  <c r="D5865" i="1"/>
  <c r="F5865" i="1"/>
  <c r="D5866" i="1"/>
  <c r="F5866" i="1"/>
  <c r="D5867" i="1"/>
  <c r="F5867" i="1"/>
  <c r="D5868" i="1"/>
  <c r="F5868" i="1"/>
  <c r="D5869" i="1"/>
  <c r="F5869" i="1"/>
  <c r="D5870" i="1"/>
  <c r="F5870" i="1"/>
  <c r="D5871" i="1"/>
  <c r="F5871" i="1"/>
  <c r="D5872" i="1"/>
  <c r="F5872" i="1"/>
  <c r="D5873" i="1"/>
  <c r="F5873" i="1"/>
  <c r="D5874" i="1"/>
  <c r="F5874" i="1"/>
  <c r="D5875" i="1"/>
  <c r="F5875" i="1"/>
  <c r="D5876" i="1"/>
  <c r="F5876" i="1"/>
  <c r="D5877" i="1"/>
  <c r="F5877" i="1"/>
  <c r="D5878" i="1"/>
  <c r="F5878" i="1"/>
  <c r="D5879" i="1"/>
  <c r="F5879" i="1"/>
  <c r="D5880" i="1"/>
  <c r="F5880" i="1"/>
  <c r="D5881" i="1"/>
  <c r="F5881" i="1"/>
  <c r="D5882" i="1"/>
  <c r="F5882" i="1"/>
  <c r="D5883" i="1"/>
  <c r="F5883" i="1"/>
  <c r="D5884" i="1"/>
  <c r="F5884" i="1"/>
  <c r="D5885" i="1"/>
  <c r="F5885" i="1"/>
  <c r="D5886" i="1"/>
  <c r="F5886" i="1"/>
  <c r="D5887" i="1"/>
  <c r="F5887" i="1"/>
  <c r="D5888" i="1"/>
  <c r="F5888" i="1"/>
  <c r="D5889" i="1"/>
  <c r="F5889" i="1"/>
  <c r="D5890" i="1"/>
  <c r="F5890" i="1"/>
  <c r="D5891" i="1"/>
  <c r="F5891" i="1"/>
  <c r="D5892" i="1"/>
  <c r="F5892" i="1"/>
  <c r="D5893" i="1"/>
  <c r="F5893" i="1"/>
  <c r="D5894" i="1"/>
  <c r="F5894" i="1"/>
  <c r="D5895" i="1"/>
  <c r="F5895" i="1"/>
  <c r="D5896" i="1"/>
  <c r="F5896" i="1"/>
  <c r="D5897" i="1"/>
  <c r="F5897" i="1"/>
  <c r="D5898" i="1"/>
  <c r="F5898" i="1"/>
  <c r="D5899" i="1"/>
  <c r="F5899" i="1"/>
  <c r="D5900" i="1"/>
  <c r="F5900" i="1"/>
  <c r="D5901" i="1"/>
  <c r="F5901" i="1"/>
  <c r="D5902" i="1"/>
  <c r="F5902" i="1"/>
  <c r="D5903" i="1"/>
  <c r="F5903" i="1"/>
  <c r="D5904" i="1"/>
  <c r="F5904" i="1"/>
  <c r="D5905" i="1"/>
  <c r="F5905" i="1"/>
  <c r="D5906" i="1"/>
  <c r="F5906" i="1"/>
  <c r="D5907" i="1"/>
  <c r="F5907" i="1"/>
  <c r="D5908" i="1"/>
  <c r="F5908" i="1"/>
  <c r="D5909" i="1"/>
  <c r="F5909" i="1"/>
  <c r="D5910" i="1"/>
  <c r="F5910" i="1"/>
  <c r="D5911" i="1"/>
  <c r="F5911" i="1"/>
  <c r="D5912" i="1"/>
  <c r="F5912" i="1"/>
  <c r="D5913" i="1"/>
  <c r="F5913" i="1"/>
  <c r="D5914" i="1"/>
  <c r="F5914" i="1"/>
  <c r="D5915" i="1"/>
  <c r="F5915" i="1"/>
  <c r="D5916" i="1"/>
  <c r="F5916" i="1"/>
  <c r="D5917" i="1"/>
  <c r="F5917" i="1"/>
  <c r="D5918" i="1"/>
  <c r="F5918" i="1"/>
  <c r="D5919" i="1"/>
  <c r="F5919" i="1"/>
  <c r="D5920" i="1"/>
  <c r="F5920" i="1"/>
  <c r="D5921" i="1"/>
  <c r="F5921" i="1"/>
  <c r="D5922" i="1"/>
  <c r="F5922" i="1"/>
  <c r="D5923" i="1"/>
  <c r="F5923" i="1"/>
  <c r="D5924" i="1"/>
  <c r="F5924" i="1"/>
  <c r="D5925" i="1"/>
  <c r="F5925" i="1"/>
  <c r="D5926" i="1"/>
  <c r="F5926" i="1"/>
  <c r="D5927" i="1"/>
  <c r="F5927" i="1"/>
  <c r="D5928" i="1"/>
  <c r="F5928" i="1"/>
  <c r="D5929" i="1"/>
  <c r="F5929" i="1"/>
  <c r="D5930" i="1"/>
  <c r="F5930" i="1"/>
  <c r="D5931" i="1"/>
  <c r="F5931" i="1"/>
  <c r="D5932" i="1"/>
  <c r="F5932" i="1"/>
  <c r="D5933" i="1"/>
  <c r="F5933" i="1"/>
  <c r="D5934" i="1"/>
  <c r="F5934" i="1"/>
  <c r="D5935" i="1"/>
  <c r="F5935" i="1"/>
  <c r="D5936" i="1"/>
  <c r="F5936" i="1"/>
  <c r="D5937" i="1"/>
  <c r="F5937" i="1"/>
  <c r="D5938" i="1"/>
  <c r="F5938" i="1"/>
  <c r="D5939" i="1"/>
  <c r="F5939" i="1"/>
  <c r="D5940" i="1"/>
  <c r="F5940" i="1"/>
  <c r="D5941" i="1"/>
  <c r="F5941" i="1"/>
  <c r="D5942" i="1"/>
  <c r="F5942" i="1"/>
  <c r="D5943" i="1"/>
  <c r="F5943" i="1"/>
  <c r="D5944" i="1"/>
  <c r="F5944" i="1"/>
  <c r="D5945" i="1"/>
  <c r="F5945" i="1"/>
  <c r="D5946" i="1"/>
  <c r="F5946" i="1"/>
  <c r="D5947" i="1"/>
  <c r="F5947" i="1"/>
  <c r="D5948" i="1"/>
  <c r="F5948" i="1"/>
  <c r="D5949" i="1"/>
  <c r="F5949" i="1"/>
  <c r="D5950" i="1"/>
  <c r="F5950" i="1"/>
  <c r="D5951" i="1"/>
  <c r="F5951" i="1"/>
  <c r="D5952" i="1"/>
  <c r="F5952" i="1"/>
  <c r="D5953" i="1"/>
  <c r="F5953" i="1"/>
  <c r="D5954" i="1"/>
  <c r="F5954" i="1"/>
  <c r="D5955" i="1"/>
  <c r="F5955" i="1"/>
  <c r="D5956" i="1"/>
  <c r="F5956" i="1"/>
  <c r="D5957" i="1"/>
  <c r="F5957" i="1"/>
  <c r="D5958" i="1"/>
  <c r="F5958" i="1"/>
  <c r="D5959" i="1"/>
  <c r="F5959" i="1"/>
  <c r="D5960" i="1"/>
  <c r="F5960" i="1"/>
  <c r="D5961" i="1"/>
  <c r="F5961" i="1"/>
  <c r="D5962" i="1"/>
  <c r="F5962" i="1"/>
  <c r="D5963" i="1"/>
  <c r="F5963" i="1"/>
  <c r="D5964" i="1"/>
  <c r="F5964" i="1"/>
  <c r="D5965" i="1"/>
  <c r="F5965" i="1"/>
  <c r="D5966" i="1"/>
  <c r="F5966" i="1"/>
  <c r="D5967" i="1"/>
  <c r="F5967" i="1"/>
  <c r="D5968" i="1"/>
  <c r="F5968" i="1"/>
  <c r="D5969" i="1"/>
  <c r="F5969" i="1"/>
  <c r="D5970" i="1"/>
  <c r="F5970" i="1"/>
  <c r="D5971" i="1"/>
  <c r="F5971" i="1"/>
  <c r="D5972" i="1"/>
  <c r="F5972" i="1"/>
  <c r="D5973" i="1"/>
  <c r="F5973" i="1"/>
  <c r="D5974" i="1"/>
  <c r="F5974" i="1"/>
  <c r="D5975" i="1"/>
  <c r="F5975" i="1"/>
  <c r="D5976" i="1"/>
  <c r="F5976" i="1"/>
  <c r="D5977" i="1"/>
  <c r="F5977" i="1"/>
  <c r="D5978" i="1"/>
  <c r="F5978" i="1"/>
  <c r="D5979" i="1"/>
  <c r="F5979" i="1"/>
  <c r="D5980" i="1"/>
  <c r="F5980" i="1"/>
  <c r="D5981" i="1"/>
  <c r="F5981" i="1"/>
  <c r="D5982" i="1"/>
  <c r="F5982" i="1"/>
  <c r="D5983" i="1"/>
  <c r="F5983" i="1"/>
  <c r="D5984" i="1"/>
  <c r="F5984" i="1"/>
  <c r="D5985" i="1"/>
  <c r="F5985" i="1"/>
  <c r="D5986" i="1"/>
  <c r="F5986" i="1"/>
  <c r="D5987" i="1"/>
  <c r="F5987" i="1"/>
  <c r="D5988" i="1"/>
  <c r="F5988" i="1"/>
  <c r="D5989" i="1"/>
  <c r="F5989" i="1"/>
  <c r="D5990" i="1"/>
  <c r="F5990" i="1"/>
  <c r="D5991" i="1"/>
  <c r="F5991" i="1"/>
  <c r="D5992" i="1"/>
  <c r="F5992" i="1"/>
  <c r="D5993" i="1"/>
  <c r="F5993" i="1"/>
  <c r="D5994" i="1"/>
  <c r="F5994" i="1"/>
  <c r="D5995" i="1"/>
  <c r="F5995" i="1"/>
  <c r="D5996" i="1"/>
  <c r="F5996" i="1"/>
  <c r="D5997" i="1"/>
  <c r="F5997" i="1"/>
  <c r="D5998" i="1"/>
  <c r="F5998" i="1"/>
  <c r="D5999" i="1"/>
  <c r="F5999" i="1"/>
  <c r="D6000" i="1"/>
  <c r="F6000" i="1"/>
  <c r="D6001" i="1"/>
  <c r="F6001" i="1"/>
  <c r="D6002" i="1"/>
  <c r="F6002" i="1"/>
  <c r="D6003" i="1"/>
  <c r="F6003" i="1"/>
  <c r="D6004" i="1"/>
  <c r="F6004" i="1"/>
  <c r="D6005" i="1"/>
  <c r="F6005" i="1"/>
  <c r="D6006" i="1"/>
  <c r="F6006" i="1"/>
  <c r="D6007" i="1"/>
  <c r="F6007" i="1"/>
  <c r="D6008" i="1"/>
  <c r="F6008" i="1"/>
  <c r="D6009" i="1"/>
  <c r="F6009" i="1"/>
  <c r="D6010" i="1"/>
  <c r="F6010" i="1"/>
  <c r="D6011" i="1"/>
  <c r="F6011" i="1"/>
  <c r="D6012" i="1"/>
  <c r="F6012" i="1"/>
  <c r="D6013" i="1"/>
  <c r="F6013" i="1"/>
  <c r="D6014" i="1"/>
  <c r="F6014" i="1"/>
  <c r="D6015" i="1"/>
  <c r="F6015" i="1"/>
  <c r="D6016" i="1"/>
  <c r="F6016" i="1"/>
  <c r="D6017" i="1"/>
  <c r="F6017" i="1"/>
  <c r="D6018" i="1"/>
  <c r="F6018" i="1"/>
  <c r="D6019" i="1"/>
  <c r="F6019" i="1"/>
  <c r="D6020" i="1"/>
  <c r="F6020" i="1"/>
  <c r="D6021" i="1"/>
  <c r="F6021" i="1"/>
  <c r="D6022" i="1"/>
  <c r="F6022" i="1"/>
  <c r="D6023" i="1"/>
  <c r="F6023" i="1"/>
  <c r="D6024" i="1"/>
  <c r="F6024" i="1"/>
  <c r="D6025" i="1"/>
  <c r="F6025" i="1"/>
  <c r="D6026" i="1"/>
  <c r="F6026" i="1"/>
  <c r="D6027" i="1"/>
  <c r="F6027" i="1"/>
  <c r="D6028" i="1"/>
  <c r="F6028" i="1"/>
  <c r="D6029" i="1"/>
  <c r="F6029" i="1"/>
  <c r="D6030" i="1"/>
  <c r="F6030" i="1"/>
  <c r="D6031" i="1"/>
  <c r="F6031" i="1"/>
  <c r="D6032" i="1"/>
  <c r="F6032" i="1"/>
  <c r="D6033" i="1"/>
  <c r="F6033" i="1"/>
  <c r="D6034" i="1"/>
  <c r="F6034" i="1"/>
  <c r="D6035" i="1"/>
  <c r="F6035" i="1"/>
  <c r="D6036" i="1"/>
  <c r="F6036" i="1"/>
  <c r="D6037" i="1"/>
  <c r="F6037" i="1"/>
  <c r="D6038" i="1"/>
  <c r="F6038" i="1"/>
  <c r="D6039" i="1"/>
  <c r="F6039" i="1"/>
  <c r="D6040" i="1"/>
  <c r="F6040" i="1"/>
  <c r="D6041" i="1"/>
  <c r="F6041" i="1"/>
  <c r="D6042" i="1"/>
  <c r="F6042" i="1"/>
  <c r="D6043" i="1"/>
  <c r="F6043" i="1"/>
  <c r="D6044" i="1"/>
  <c r="F6044" i="1"/>
  <c r="D6045" i="1"/>
  <c r="F6045" i="1"/>
  <c r="D6046" i="1"/>
  <c r="F6046" i="1"/>
  <c r="D6047" i="1"/>
  <c r="F6047" i="1"/>
  <c r="D6048" i="1"/>
  <c r="F6048" i="1"/>
  <c r="D6049" i="1"/>
  <c r="F6049" i="1"/>
  <c r="D6050" i="1"/>
  <c r="F6050" i="1"/>
  <c r="D6051" i="1"/>
  <c r="F6051" i="1"/>
  <c r="D6052" i="1"/>
  <c r="F6052" i="1"/>
  <c r="D6053" i="1"/>
  <c r="F6053" i="1"/>
  <c r="D6054" i="1"/>
  <c r="F6054" i="1"/>
  <c r="D6055" i="1"/>
  <c r="F6055" i="1"/>
  <c r="D6056" i="1"/>
  <c r="F6056" i="1"/>
  <c r="D6057" i="1"/>
  <c r="F6057" i="1"/>
  <c r="D6058" i="1"/>
  <c r="F6058" i="1"/>
  <c r="D6059" i="1"/>
  <c r="F6059" i="1"/>
  <c r="D6060" i="1"/>
  <c r="F6060" i="1"/>
  <c r="D6061" i="1"/>
  <c r="F6061" i="1"/>
  <c r="D6062" i="1"/>
  <c r="F6062" i="1"/>
  <c r="D6063" i="1"/>
  <c r="F6063" i="1"/>
  <c r="D6064" i="1"/>
  <c r="F6064" i="1"/>
  <c r="D6065" i="1"/>
  <c r="F6065" i="1"/>
  <c r="D6066" i="1"/>
  <c r="F6066" i="1"/>
  <c r="D6067" i="1"/>
  <c r="F6067" i="1"/>
  <c r="D6068" i="1"/>
  <c r="F6068" i="1"/>
  <c r="D6069" i="1"/>
  <c r="F6069" i="1"/>
  <c r="D6070" i="1"/>
  <c r="F6070" i="1"/>
  <c r="D6071" i="1"/>
  <c r="F6071" i="1"/>
  <c r="D6072" i="1"/>
  <c r="F6072" i="1"/>
  <c r="D6073" i="1"/>
  <c r="F6073" i="1"/>
  <c r="D6074" i="1"/>
  <c r="F6074" i="1"/>
  <c r="D6075" i="1"/>
  <c r="F6075" i="1"/>
  <c r="D6076" i="1"/>
  <c r="F6076" i="1"/>
  <c r="D6077" i="1"/>
  <c r="F6077" i="1"/>
  <c r="D6078" i="1"/>
  <c r="F6078" i="1"/>
  <c r="D6079" i="1"/>
  <c r="F6079" i="1"/>
  <c r="D6080" i="1"/>
  <c r="F6080" i="1"/>
  <c r="D6081" i="1"/>
  <c r="F6081" i="1"/>
  <c r="D6082" i="1"/>
  <c r="F6082" i="1"/>
  <c r="D6083" i="1"/>
  <c r="F6083" i="1"/>
  <c r="D6084" i="1"/>
  <c r="F6084" i="1"/>
  <c r="D6085" i="1"/>
  <c r="F6085" i="1"/>
  <c r="D6086" i="1"/>
  <c r="F6086" i="1"/>
  <c r="D6087" i="1"/>
  <c r="F6087" i="1"/>
  <c r="D6088" i="1"/>
  <c r="F6088" i="1"/>
  <c r="D6089" i="1"/>
  <c r="F6089" i="1"/>
  <c r="D6090" i="1"/>
  <c r="F6090" i="1"/>
  <c r="D6091" i="1"/>
  <c r="F6091" i="1"/>
  <c r="D6092" i="1"/>
  <c r="F6092" i="1"/>
  <c r="D6093" i="1"/>
  <c r="F6093" i="1"/>
  <c r="D6094" i="1"/>
  <c r="F6094" i="1"/>
  <c r="D6095" i="1"/>
  <c r="F6095" i="1"/>
  <c r="D6096" i="1"/>
  <c r="F6096" i="1"/>
  <c r="D6097" i="1"/>
  <c r="F6097" i="1"/>
  <c r="D6098" i="1"/>
  <c r="F6098" i="1"/>
  <c r="D6099" i="1"/>
  <c r="F6099" i="1"/>
  <c r="D6100" i="1"/>
  <c r="F6100" i="1"/>
  <c r="D6101" i="1"/>
  <c r="F6101" i="1"/>
  <c r="D6102" i="1"/>
  <c r="F6102" i="1"/>
  <c r="D6103" i="1"/>
  <c r="F6103" i="1"/>
  <c r="D6104" i="1"/>
  <c r="F6104" i="1"/>
  <c r="D6105" i="1"/>
  <c r="F6105" i="1"/>
  <c r="D6106" i="1"/>
  <c r="F6106" i="1"/>
  <c r="D6107" i="1"/>
  <c r="F6107" i="1"/>
  <c r="D6108" i="1"/>
  <c r="F6108" i="1"/>
  <c r="D6109" i="1"/>
  <c r="F6109" i="1"/>
  <c r="D6110" i="1"/>
  <c r="F6110" i="1"/>
  <c r="D6111" i="1"/>
  <c r="F6111" i="1"/>
  <c r="D6112" i="1"/>
  <c r="F6112" i="1"/>
  <c r="D6113" i="1"/>
  <c r="F6113" i="1"/>
  <c r="D6114" i="1"/>
  <c r="F6114" i="1"/>
  <c r="D6115" i="1"/>
  <c r="F6115" i="1"/>
  <c r="D6116" i="1"/>
  <c r="F6116" i="1"/>
  <c r="D6117" i="1"/>
  <c r="F6117" i="1"/>
  <c r="D6118" i="1"/>
  <c r="F6118" i="1"/>
  <c r="D6119" i="1"/>
  <c r="F6119" i="1"/>
  <c r="D6120" i="1"/>
  <c r="F6120" i="1"/>
  <c r="D6121" i="1"/>
  <c r="F6121" i="1"/>
  <c r="D6122" i="1"/>
  <c r="F6122" i="1"/>
  <c r="D6123" i="1"/>
  <c r="F6123" i="1"/>
  <c r="D6124" i="1"/>
  <c r="F6124" i="1"/>
  <c r="D6125" i="1"/>
  <c r="F6125" i="1"/>
  <c r="D6126" i="1"/>
  <c r="F6126" i="1"/>
  <c r="D6127" i="1"/>
  <c r="F6127" i="1"/>
  <c r="D6128" i="1"/>
  <c r="F6128" i="1"/>
  <c r="D6129" i="1"/>
  <c r="F6129" i="1"/>
  <c r="D6130" i="1"/>
  <c r="F6130" i="1"/>
  <c r="D6131" i="1"/>
  <c r="F6131" i="1"/>
  <c r="D6132" i="1"/>
  <c r="F6132" i="1"/>
  <c r="D6133" i="1"/>
  <c r="F6133" i="1"/>
  <c r="D6134" i="1"/>
  <c r="F6134" i="1"/>
  <c r="D6135" i="1"/>
  <c r="F6135" i="1"/>
  <c r="D6136" i="1"/>
  <c r="F6136" i="1"/>
  <c r="D6137" i="1"/>
  <c r="F6137" i="1"/>
  <c r="D6138" i="1"/>
  <c r="F6138" i="1"/>
  <c r="D6139" i="1"/>
  <c r="F6139" i="1"/>
  <c r="D6140" i="1"/>
  <c r="F6140" i="1"/>
  <c r="D6141" i="1"/>
  <c r="F6141" i="1"/>
  <c r="D6142" i="1"/>
  <c r="F6142" i="1"/>
  <c r="D6143" i="1"/>
  <c r="F6143" i="1"/>
  <c r="D6144" i="1"/>
  <c r="F6144" i="1"/>
  <c r="D6145" i="1"/>
  <c r="F6145" i="1"/>
  <c r="D6146" i="1"/>
  <c r="F6146" i="1"/>
  <c r="D6147" i="1"/>
  <c r="F6147" i="1"/>
  <c r="D6148" i="1"/>
  <c r="F6148" i="1"/>
  <c r="D6149" i="1"/>
  <c r="F6149" i="1"/>
  <c r="D6150" i="1"/>
  <c r="F6150" i="1"/>
  <c r="D6151" i="1"/>
  <c r="F6151" i="1"/>
  <c r="D6152" i="1"/>
  <c r="F6152" i="1"/>
  <c r="D6153" i="1"/>
  <c r="F6153" i="1"/>
  <c r="D6154" i="1"/>
  <c r="F6154" i="1"/>
  <c r="D6155" i="1"/>
  <c r="F6155" i="1"/>
  <c r="D6156" i="1"/>
  <c r="F6156" i="1"/>
  <c r="D6157" i="1"/>
  <c r="F6157" i="1"/>
  <c r="D6158" i="1"/>
  <c r="F6158" i="1"/>
  <c r="D6159" i="1"/>
  <c r="F6159" i="1"/>
  <c r="D6160" i="1"/>
  <c r="F6160" i="1"/>
  <c r="D6161" i="1"/>
  <c r="F6161" i="1"/>
  <c r="D6162" i="1"/>
  <c r="F6162" i="1"/>
  <c r="D6163" i="1"/>
  <c r="F6163" i="1"/>
  <c r="D6164" i="1"/>
  <c r="F6164" i="1"/>
  <c r="D6165" i="1"/>
  <c r="F6165" i="1"/>
  <c r="D6166" i="1"/>
  <c r="F6166" i="1"/>
  <c r="D6167" i="1"/>
  <c r="F6167" i="1"/>
  <c r="D6168" i="1"/>
  <c r="F6168" i="1"/>
  <c r="D6169" i="1"/>
  <c r="F6169" i="1"/>
  <c r="D6170" i="1"/>
  <c r="F6170" i="1"/>
  <c r="D6171" i="1"/>
  <c r="F6171" i="1"/>
  <c r="D6172" i="1"/>
  <c r="F6172" i="1"/>
  <c r="D6173" i="1"/>
  <c r="F6173" i="1"/>
  <c r="D6174" i="1"/>
  <c r="F6174" i="1"/>
  <c r="D6175" i="1"/>
  <c r="F6175" i="1"/>
  <c r="D6176" i="1"/>
  <c r="F6176" i="1"/>
  <c r="D6177" i="1"/>
  <c r="F6177" i="1"/>
  <c r="D6178" i="1"/>
  <c r="F6178" i="1"/>
  <c r="D6179" i="1"/>
  <c r="F6179" i="1"/>
  <c r="D6180" i="1"/>
  <c r="F6180" i="1"/>
  <c r="D6181" i="1"/>
  <c r="F6181" i="1"/>
  <c r="D6182" i="1"/>
  <c r="F6182" i="1"/>
  <c r="D6183" i="1"/>
  <c r="F6183" i="1"/>
  <c r="D6184" i="1"/>
  <c r="F6184" i="1"/>
  <c r="D6185" i="1"/>
  <c r="F6185" i="1"/>
  <c r="D6186" i="1"/>
  <c r="F6186" i="1"/>
  <c r="D6187" i="1"/>
  <c r="F6187" i="1"/>
  <c r="D6188" i="1"/>
  <c r="F6188" i="1"/>
  <c r="D6189" i="1"/>
  <c r="F6189" i="1"/>
  <c r="D6190" i="1"/>
  <c r="F6190" i="1"/>
  <c r="D6191" i="1"/>
  <c r="F6191" i="1"/>
  <c r="D6192" i="1"/>
  <c r="F6192" i="1"/>
  <c r="D6193" i="1"/>
  <c r="F6193" i="1"/>
  <c r="D6194" i="1"/>
  <c r="F6194" i="1"/>
  <c r="D6195" i="1"/>
  <c r="F6195" i="1"/>
  <c r="D6196" i="1"/>
  <c r="F6196" i="1"/>
  <c r="D6197" i="1"/>
  <c r="F6197" i="1"/>
  <c r="D6198" i="1"/>
  <c r="F6198" i="1"/>
  <c r="D6199" i="1"/>
  <c r="F6199" i="1"/>
  <c r="D6200" i="1"/>
  <c r="F6200" i="1"/>
  <c r="D6201" i="1"/>
  <c r="F6201" i="1"/>
  <c r="D6202" i="1"/>
  <c r="F6202" i="1"/>
  <c r="D6203" i="1"/>
  <c r="F6203" i="1"/>
  <c r="D6204" i="1"/>
  <c r="F6204" i="1"/>
  <c r="D6205" i="1"/>
  <c r="F6205" i="1"/>
  <c r="D6206" i="1"/>
  <c r="F6206" i="1"/>
  <c r="D6207" i="1"/>
  <c r="F6207" i="1"/>
  <c r="D6208" i="1"/>
  <c r="F6208" i="1"/>
  <c r="D6209" i="1"/>
  <c r="F6209" i="1"/>
  <c r="D6210" i="1"/>
  <c r="F6210" i="1"/>
  <c r="D6211" i="1"/>
  <c r="F6211" i="1"/>
  <c r="D6212" i="1"/>
  <c r="F6212" i="1"/>
  <c r="D6213" i="1"/>
  <c r="F6213" i="1"/>
  <c r="D6214" i="1"/>
  <c r="F6214" i="1"/>
  <c r="D6215" i="1"/>
  <c r="F6215" i="1"/>
  <c r="D6216" i="1"/>
  <c r="F6216" i="1"/>
  <c r="D6217" i="1"/>
  <c r="F6217" i="1"/>
  <c r="D6218" i="1"/>
  <c r="F6218" i="1"/>
  <c r="D6219" i="1"/>
  <c r="F6219" i="1"/>
  <c r="D6220" i="1"/>
  <c r="F6220" i="1"/>
  <c r="D6221" i="1"/>
  <c r="F6221" i="1"/>
  <c r="D6222" i="1"/>
  <c r="F6222" i="1"/>
  <c r="D6223" i="1"/>
  <c r="F6223" i="1"/>
  <c r="D6224" i="1"/>
  <c r="F6224" i="1"/>
  <c r="D6225" i="1"/>
  <c r="F6225" i="1"/>
  <c r="D6226" i="1"/>
  <c r="F6226" i="1"/>
  <c r="D6227" i="1"/>
  <c r="F6227" i="1"/>
  <c r="D6228" i="1"/>
  <c r="F6228" i="1"/>
  <c r="D6229" i="1"/>
  <c r="F6229" i="1"/>
  <c r="D6230" i="1"/>
  <c r="F6230" i="1"/>
  <c r="D6231" i="1"/>
  <c r="F6231" i="1"/>
  <c r="D6232" i="1"/>
  <c r="F6232" i="1"/>
  <c r="D6233" i="1"/>
  <c r="F6233" i="1"/>
  <c r="D6234" i="1"/>
  <c r="F6234" i="1"/>
  <c r="D6235" i="1"/>
  <c r="F6235" i="1"/>
  <c r="D6236" i="1"/>
  <c r="F6236" i="1"/>
  <c r="D6237" i="1"/>
  <c r="F6237" i="1"/>
  <c r="D6238" i="1"/>
  <c r="F6238" i="1"/>
  <c r="D6239" i="1"/>
  <c r="F6239" i="1"/>
  <c r="D6240" i="1"/>
  <c r="F6240" i="1"/>
  <c r="D6241" i="1"/>
  <c r="F6241" i="1"/>
  <c r="D6242" i="1"/>
  <c r="F6242" i="1"/>
  <c r="D6243" i="1"/>
  <c r="F6243" i="1"/>
  <c r="D6244" i="1"/>
  <c r="F6244" i="1"/>
  <c r="D6245" i="1"/>
  <c r="F6245" i="1"/>
  <c r="D6246" i="1"/>
  <c r="F6246" i="1"/>
  <c r="D6247" i="1"/>
  <c r="F6247" i="1"/>
  <c r="D6248" i="1"/>
  <c r="F6248" i="1"/>
  <c r="D6249" i="1"/>
  <c r="F6249" i="1"/>
  <c r="D6250" i="1"/>
  <c r="F6250" i="1"/>
  <c r="D6251" i="1"/>
  <c r="F6251" i="1"/>
  <c r="D6252" i="1"/>
  <c r="F6252" i="1"/>
  <c r="D6253" i="1"/>
  <c r="F6253" i="1"/>
  <c r="D6254" i="1"/>
  <c r="F6254" i="1"/>
  <c r="D6255" i="1"/>
  <c r="F6255" i="1"/>
  <c r="D6256" i="1"/>
  <c r="F6256" i="1"/>
  <c r="D6257" i="1"/>
  <c r="F6257" i="1"/>
  <c r="D6258" i="1"/>
  <c r="F6258" i="1"/>
  <c r="D6259" i="1"/>
  <c r="F6259" i="1"/>
  <c r="D6260" i="1"/>
  <c r="F6260" i="1"/>
  <c r="D6261" i="1"/>
  <c r="F6261" i="1"/>
  <c r="D6262" i="1"/>
  <c r="F6262" i="1"/>
  <c r="D6263" i="1"/>
  <c r="F6263" i="1"/>
  <c r="D6264" i="1"/>
  <c r="F6264" i="1"/>
  <c r="D6265" i="1"/>
  <c r="F6265" i="1"/>
  <c r="D6266" i="1"/>
  <c r="F6266" i="1"/>
  <c r="D6267" i="1"/>
  <c r="F6267" i="1"/>
  <c r="D6268" i="1"/>
  <c r="F6268" i="1"/>
  <c r="D6269" i="1"/>
  <c r="F6269" i="1"/>
  <c r="D6270" i="1"/>
  <c r="F6270" i="1"/>
  <c r="D6271" i="1"/>
  <c r="F6271" i="1"/>
  <c r="D6272" i="1"/>
  <c r="F6272" i="1"/>
  <c r="D6273" i="1"/>
  <c r="F6273" i="1"/>
  <c r="D6274" i="1"/>
  <c r="F6274" i="1"/>
  <c r="D6275" i="1"/>
  <c r="F6275" i="1"/>
  <c r="D6276" i="1"/>
  <c r="F6276" i="1"/>
  <c r="D6277" i="1"/>
  <c r="F6277" i="1"/>
  <c r="D6278" i="1"/>
  <c r="F6278" i="1"/>
  <c r="D6279" i="1"/>
  <c r="F6279" i="1"/>
  <c r="D6280" i="1"/>
  <c r="F6280" i="1"/>
  <c r="D6281" i="1"/>
  <c r="F6281" i="1"/>
  <c r="D6282" i="1"/>
  <c r="F6282" i="1"/>
  <c r="D6283" i="1"/>
  <c r="F6283" i="1"/>
  <c r="D6284" i="1"/>
  <c r="F6284" i="1"/>
  <c r="D6285" i="1"/>
  <c r="F6285" i="1"/>
  <c r="D6286" i="1"/>
  <c r="F6286" i="1"/>
  <c r="D6287" i="1"/>
  <c r="F6287" i="1"/>
  <c r="D6288" i="1"/>
  <c r="F6288" i="1"/>
  <c r="D6289" i="1"/>
  <c r="F6289" i="1"/>
  <c r="D6290" i="1"/>
  <c r="F6290" i="1"/>
  <c r="D6291" i="1"/>
  <c r="F6291" i="1"/>
  <c r="D6292" i="1"/>
  <c r="F6292" i="1"/>
  <c r="D6293" i="1"/>
  <c r="F6293" i="1"/>
  <c r="D6294" i="1"/>
  <c r="F6294" i="1"/>
  <c r="D6295" i="1"/>
  <c r="F6295" i="1"/>
  <c r="D6296" i="1"/>
  <c r="F6296" i="1"/>
  <c r="D6297" i="1"/>
  <c r="F6297" i="1"/>
  <c r="D6298" i="1"/>
  <c r="F6298" i="1"/>
  <c r="D6299" i="1"/>
  <c r="F6299" i="1"/>
  <c r="D6300" i="1"/>
  <c r="F6300" i="1"/>
  <c r="D6301" i="1"/>
  <c r="F6301" i="1"/>
  <c r="D6302" i="1"/>
  <c r="F6302" i="1"/>
  <c r="D6303" i="1"/>
  <c r="F6303" i="1"/>
  <c r="D6304" i="1"/>
  <c r="F6304" i="1"/>
  <c r="D6305" i="1"/>
  <c r="F6305" i="1"/>
  <c r="D6306" i="1"/>
  <c r="F6306" i="1"/>
  <c r="D6307" i="1"/>
  <c r="F6307" i="1"/>
  <c r="D6308" i="1"/>
  <c r="F6308" i="1"/>
  <c r="D6309" i="1"/>
  <c r="F6309" i="1"/>
  <c r="D6310" i="1"/>
  <c r="F6310" i="1"/>
  <c r="D6311" i="1"/>
  <c r="F6311" i="1"/>
  <c r="D6312" i="1"/>
  <c r="F6312" i="1"/>
  <c r="D6313" i="1"/>
  <c r="F6313" i="1"/>
  <c r="D6314" i="1"/>
  <c r="F6314" i="1"/>
  <c r="D6315" i="1"/>
  <c r="F6315" i="1"/>
  <c r="D6316" i="1"/>
  <c r="F6316" i="1"/>
  <c r="D6317" i="1"/>
  <c r="F6317" i="1"/>
  <c r="D6318" i="1"/>
  <c r="F6318" i="1"/>
  <c r="D6319" i="1"/>
  <c r="F6319" i="1"/>
  <c r="D6320" i="1"/>
  <c r="F6320" i="1"/>
  <c r="D6321" i="1"/>
  <c r="F6321" i="1"/>
  <c r="D6322" i="1"/>
  <c r="F6322" i="1"/>
  <c r="D6323" i="1"/>
  <c r="F6323" i="1"/>
  <c r="D6324" i="1"/>
  <c r="F6324" i="1"/>
  <c r="D6325" i="1"/>
  <c r="F6325" i="1"/>
  <c r="D6326" i="1"/>
  <c r="F6326" i="1"/>
  <c r="D6327" i="1"/>
  <c r="F6327" i="1"/>
  <c r="D6328" i="1"/>
  <c r="F6328" i="1"/>
  <c r="D6329" i="1"/>
  <c r="F6329" i="1"/>
  <c r="D6330" i="1"/>
  <c r="F6330" i="1"/>
  <c r="D6331" i="1"/>
  <c r="F6331" i="1"/>
  <c r="D6332" i="1"/>
  <c r="F6332" i="1"/>
  <c r="D6333" i="1"/>
  <c r="F6333" i="1"/>
  <c r="D6334" i="1"/>
  <c r="F6334" i="1"/>
  <c r="D6335" i="1"/>
  <c r="F6335" i="1"/>
  <c r="D6336" i="1"/>
  <c r="F6336" i="1"/>
  <c r="D6337" i="1"/>
  <c r="F6337" i="1"/>
  <c r="D6338" i="1"/>
  <c r="F6338" i="1"/>
  <c r="D6339" i="1"/>
  <c r="F6339" i="1"/>
  <c r="D6340" i="1"/>
  <c r="F6340" i="1"/>
  <c r="D6341" i="1"/>
  <c r="F6341" i="1"/>
  <c r="D6342" i="1"/>
  <c r="F6342" i="1"/>
  <c r="D6343" i="1"/>
  <c r="F6343" i="1"/>
  <c r="D6344" i="1"/>
  <c r="F6344" i="1"/>
  <c r="D6345" i="1"/>
  <c r="F6345" i="1"/>
  <c r="D6346" i="1"/>
  <c r="F6346" i="1"/>
  <c r="D6347" i="1"/>
  <c r="F6347" i="1"/>
  <c r="D6348" i="1"/>
  <c r="F6348" i="1"/>
  <c r="D6349" i="1"/>
  <c r="F6349" i="1"/>
  <c r="D6350" i="1"/>
  <c r="F6350" i="1"/>
  <c r="D6351" i="1"/>
  <c r="F6351" i="1"/>
  <c r="D6352" i="1"/>
  <c r="F6352" i="1"/>
  <c r="D6353" i="1"/>
  <c r="F6353" i="1"/>
  <c r="D6354" i="1"/>
  <c r="F6354" i="1"/>
  <c r="D6355" i="1"/>
  <c r="F6355" i="1"/>
  <c r="D6356" i="1"/>
  <c r="F6356" i="1"/>
  <c r="D6357" i="1"/>
  <c r="F6357" i="1"/>
  <c r="D6358" i="1"/>
  <c r="F6358" i="1"/>
  <c r="D6359" i="1"/>
  <c r="F6359" i="1"/>
  <c r="D6360" i="1"/>
  <c r="F6360" i="1"/>
  <c r="D6361" i="1"/>
  <c r="F6361" i="1"/>
  <c r="D6362" i="1"/>
  <c r="F6362" i="1"/>
  <c r="D6363" i="1"/>
  <c r="F6363" i="1"/>
  <c r="D6364" i="1"/>
  <c r="F6364" i="1"/>
  <c r="D6365" i="1"/>
  <c r="F6365" i="1"/>
  <c r="D6366" i="1"/>
  <c r="F6366" i="1"/>
  <c r="D6367" i="1"/>
  <c r="F6367" i="1"/>
  <c r="D6368" i="1"/>
  <c r="F6368" i="1"/>
  <c r="D6369" i="1"/>
  <c r="F6369" i="1"/>
  <c r="D6370" i="1"/>
  <c r="F6370" i="1"/>
  <c r="D6371" i="1"/>
  <c r="F6371" i="1"/>
  <c r="D6372" i="1"/>
  <c r="F6372" i="1"/>
  <c r="D6373" i="1"/>
  <c r="F6373" i="1"/>
  <c r="D6374" i="1"/>
  <c r="F6374" i="1"/>
  <c r="D6375" i="1"/>
  <c r="F6375" i="1"/>
  <c r="D6376" i="1"/>
  <c r="F6376" i="1"/>
  <c r="D6377" i="1"/>
  <c r="F6377" i="1"/>
  <c r="D6378" i="1"/>
  <c r="F6378" i="1"/>
  <c r="D6379" i="1"/>
  <c r="F6379" i="1"/>
  <c r="D6380" i="1"/>
  <c r="F6380" i="1"/>
  <c r="D6381" i="1"/>
  <c r="F6381" i="1"/>
  <c r="D6382" i="1"/>
  <c r="F6382" i="1"/>
  <c r="D6383" i="1"/>
  <c r="F6383" i="1"/>
  <c r="D6384" i="1"/>
  <c r="F6384" i="1"/>
  <c r="D6385" i="1"/>
  <c r="F6385" i="1"/>
  <c r="D6386" i="1"/>
  <c r="F6386" i="1"/>
  <c r="D6387" i="1"/>
  <c r="F6387" i="1"/>
  <c r="D6388" i="1"/>
  <c r="F6388" i="1"/>
  <c r="D6389" i="1"/>
  <c r="F6389" i="1"/>
  <c r="D6390" i="1"/>
  <c r="F6390" i="1"/>
  <c r="D6391" i="1"/>
  <c r="F6391" i="1"/>
  <c r="D6392" i="1"/>
  <c r="F6392" i="1"/>
  <c r="D6393" i="1"/>
  <c r="F6393" i="1"/>
  <c r="D6394" i="1"/>
  <c r="F6394" i="1"/>
  <c r="D6395" i="1"/>
  <c r="F6395" i="1"/>
  <c r="D6396" i="1"/>
  <c r="F6396" i="1"/>
  <c r="D6397" i="1"/>
  <c r="F6397" i="1"/>
  <c r="D6398" i="1"/>
  <c r="F6398" i="1"/>
  <c r="D6399" i="1"/>
  <c r="F6399" i="1"/>
  <c r="D6400" i="1"/>
  <c r="F6400" i="1"/>
  <c r="D6401" i="1"/>
  <c r="F6401" i="1"/>
  <c r="D6402" i="1"/>
  <c r="F6402" i="1"/>
  <c r="D6403" i="1"/>
  <c r="F6403" i="1"/>
  <c r="D6404" i="1"/>
  <c r="F6404" i="1"/>
  <c r="D6405" i="1"/>
  <c r="F6405" i="1"/>
  <c r="D6406" i="1"/>
  <c r="F6406" i="1"/>
  <c r="D6407" i="1"/>
  <c r="F6407" i="1"/>
  <c r="D6408" i="1"/>
  <c r="F6408" i="1"/>
  <c r="D6409" i="1"/>
  <c r="F6409" i="1"/>
  <c r="D6410" i="1"/>
  <c r="F6410" i="1"/>
  <c r="D6411" i="1"/>
  <c r="F6411" i="1"/>
  <c r="D6412" i="1"/>
  <c r="F6412" i="1"/>
  <c r="D6413" i="1"/>
  <c r="F6413" i="1"/>
  <c r="D6414" i="1"/>
  <c r="F6414" i="1"/>
  <c r="D6415" i="1"/>
  <c r="F6415" i="1"/>
  <c r="D6416" i="1"/>
  <c r="F6416" i="1"/>
  <c r="D6417" i="1"/>
  <c r="F6417" i="1"/>
  <c r="D6418" i="1"/>
  <c r="F6418" i="1"/>
  <c r="D6419" i="1"/>
  <c r="F6419" i="1"/>
  <c r="D6420" i="1"/>
  <c r="F6420" i="1"/>
  <c r="D6421" i="1"/>
  <c r="F6421" i="1"/>
  <c r="D6422" i="1"/>
  <c r="F6422" i="1"/>
  <c r="D6423" i="1"/>
  <c r="F6423" i="1"/>
  <c r="D6424" i="1"/>
  <c r="F6424" i="1"/>
  <c r="D6425" i="1"/>
  <c r="F6425" i="1"/>
  <c r="D6426" i="1"/>
  <c r="F6426" i="1"/>
  <c r="D6427" i="1"/>
  <c r="F6427" i="1"/>
  <c r="D6428" i="1"/>
  <c r="F6428" i="1"/>
  <c r="D6429" i="1"/>
  <c r="F6429" i="1"/>
  <c r="D6430" i="1"/>
  <c r="F6430" i="1"/>
  <c r="D6431" i="1"/>
  <c r="F6431" i="1"/>
  <c r="D6432" i="1"/>
  <c r="F6432" i="1"/>
  <c r="D6433" i="1"/>
  <c r="F6433" i="1"/>
  <c r="D6434" i="1"/>
  <c r="F6434" i="1"/>
  <c r="D6435" i="1"/>
  <c r="F6435" i="1"/>
  <c r="D6436" i="1"/>
  <c r="F6436" i="1"/>
  <c r="D6437" i="1"/>
  <c r="F6437" i="1"/>
  <c r="D6438" i="1"/>
  <c r="F6438" i="1"/>
  <c r="D6439" i="1"/>
  <c r="F6439" i="1"/>
  <c r="D6440" i="1"/>
  <c r="F6440" i="1"/>
  <c r="D6441" i="1"/>
  <c r="F6441" i="1"/>
  <c r="D6442" i="1"/>
  <c r="F6442" i="1"/>
  <c r="D6443" i="1"/>
  <c r="F6443" i="1"/>
  <c r="D6444" i="1"/>
  <c r="F6444" i="1"/>
  <c r="D6445" i="1"/>
  <c r="F6445" i="1"/>
  <c r="D6446" i="1"/>
  <c r="F6446" i="1"/>
  <c r="D6447" i="1"/>
  <c r="F6447" i="1"/>
  <c r="D6448" i="1"/>
  <c r="F6448" i="1"/>
  <c r="D6449" i="1"/>
  <c r="F6449" i="1"/>
  <c r="D6450" i="1"/>
  <c r="F6450" i="1"/>
  <c r="D6451" i="1"/>
  <c r="F6451" i="1"/>
  <c r="D6452" i="1"/>
  <c r="F6452" i="1"/>
  <c r="D6453" i="1"/>
  <c r="F6453" i="1"/>
  <c r="D6454" i="1"/>
  <c r="F6454" i="1"/>
  <c r="D6455" i="1"/>
  <c r="F6455" i="1"/>
  <c r="D6456" i="1"/>
  <c r="F6456" i="1"/>
  <c r="D6457" i="1"/>
  <c r="F6457" i="1"/>
  <c r="D6458" i="1"/>
  <c r="F6458" i="1"/>
  <c r="D6459" i="1"/>
  <c r="F6459" i="1"/>
  <c r="D6460" i="1"/>
  <c r="F6460" i="1"/>
  <c r="D6461" i="1"/>
  <c r="F6461" i="1"/>
  <c r="D6462" i="1"/>
  <c r="F6462" i="1"/>
  <c r="D6463" i="1"/>
  <c r="F6463" i="1"/>
  <c r="D6464" i="1"/>
  <c r="F6464" i="1"/>
  <c r="D6465" i="1"/>
  <c r="F6465" i="1"/>
  <c r="D6466" i="1"/>
  <c r="F6466" i="1"/>
  <c r="D6467" i="1"/>
  <c r="F6467" i="1"/>
  <c r="D6468" i="1"/>
  <c r="F6468" i="1"/>
  <c r="D6469" i="1"/>
  <c r="F6469" i="1"/>
  <c r="D6470" i="1"/>
  <c r="F6470" i="1"/>
  <c r="D6471" i="1"/>
  <c r="F6471" i="1"/>
  <c r="D6472" i="1"/>
  <c r="F6472" i="1"/>
  <c r="D6473" i="1"/>
  <c r="F6473" i="1"/>
  <c r="D6474" i="1"/>
  <c r="F6474" i="1"/>
  <c r="D6475" i="1"/>
  <c r="F6475" i="1"/>
  <c r="D6476" i="1"/>
  <c r="F6476" i="1"/>
  <c r="D6477" i="1"/>
  <c r="F6477" i="1"/>
  <c r="D6478" i="1"/>
  <c r="F6478" i="1"/>
  <c r="D6479" i="1"/>
  <c r="F6479" i="1"/>
  <c r="D6480" i="1"/>
  <c r="F6480" i="1"/>
  <c r="D6481" i="1"/>
  <c r="F6481" i="1"/>
  <c r="D6482" i="1"/>
  <c r="F6482" i="1"/>
  <c r="D6483" i="1"/>
  <c r="F6483" i="1"/>
  <c r="D6484" i="1"/>
  <c r="F6484" i="1"/>
  <c r="D6485" i="1"/>
  <c r="F6485" i="1"/>
  <c r="D6486" i="1"/>
  <c r="F6486" i="1"/>
  <c r="D6487" i="1"/>
  <c r="F6487" i="1"/>
  <c r="D6488" i="1"/>
  <c r="F6488" i="1"/>
  <c r="D6489" i="1"/>
  <c r="F6489" i="1"/>
  <c r="D6490" i="1"/>
  <c r="F6490" i="1"/>
  <c r="D6491" i="1"/>
  <c r="F6491" i="1"/>
  <c r="D6492" i="1"/>
  <c r="F6492" i="1"/>
  <c r="D6493" i="1"/>
  <c r="F6493" i="1"/>
  <c r="D6494" i="1"/>
  <c r="F6494" i="1"/>
  <c r="D6495" i="1"/>
  <c r="F6495" i="1"/>
  <c r="D6496" i="1"/>
  <c r="F6496" i="1"/>
  <c r="D6497" i="1"/>
  <c r="F6497" i="1"/>
  <c r="D6498" i="1"/>
  <c r="F6498" i="1"/>
  <c r="D6499" i="1"/>
  <c r="F6499" i="1"/>
  <c r="D6500" i="1"/>
  <c r="F6500" i="1"/>
  <c r="D6501" i="1"/>
  <c r="F6501" i="1"/>
  <c r="D6502" i="1"/>
  <c r="F6502" i="1"/>
  <c r="D6503" i="1"/>
  <c r="F6503" i="1"/>
  <c r="D6504" i="1"/>
  <c r="F6504" i="1"/>
  <c r="D6505" i="1"/>
  <c r="F6505" i="1"/>
  <c r="D6506" i="1"/>
  <c r="F6506" i="1"/>
  <c r="D6507" i="1"/>
  <c r="F6507" i="1"/>
  <c r="D6508" i="1"/>
  <c r="F6508" i="1"/>
  <c r="D6509" i="1"/>
  <c r="F6509" i="1"/>
  <c r="D6510" i="1"/>
  <c r="F6510" i="1"/>
  <c r="D6511" i="1"/>
  <c r="F6511" i="1"/>
  <c r="D6512" i="1"/>
  <c r="F6512" i="1"/>
  <c r="D6513" i="1"/>
  <c r="F6513" i="1"/>
  <c r="D6514" i="1"/>
  <c r="F6514" i="1"/>
  <c r="D6515" i="1"/>
  <c r="F6515" i="1"/>
  <c r="D6516" i="1"/>
  <c r="F6516" i="1"/>
  <c r="D6517" i="1"/>
  <c r="F6517" i="1"/>
  <c r="D6518" i="1"/>
  <c r="F6518" i="1"/>
  <c r="D6519" i="1"/>
  <c r="F6519" i="1"/>
  <c r="D6520" i="1"/>
  <c r="F6520" i="1"/>
  <c r="D6521" i="1"/>
  <c r="F6521" i="1"/>
  <c r="D6522" i="1"/>
  <c r="F6522" i="1"/>
  <c r="D6523" i="1"/>
  <c r="F6523" i="1"/>
  <c r="D6524" i="1"/>
  <c r="F6524" i="1"/>
  <c r="D6525" i="1"/>
  <c r="F6525" i="1"/>
  <c r="D6526" i="1"/>
  <c r="F6526" i="1"/>
  <c r="D6527" i="1"/>
  <c r="F6527" i="1"/>
  <c r="D6528" i="1"/>
  <c r="F6528" i="1"/>
  <c r="D6529" i="1"/>
  <c r="F6529" i="1"/>
  <c r="D6530" i="1"/>
  <c r="F6530" i="1"/>
  <c r="D6531" i="1"/>
  <c r="F6531" i="1"/>
  <c r="D6532" i="1"/>
  <c r="F6532" i="1"/>
  <c r="D6533" i="1"/>
  <c r="F6533" i="1"/>
  <c r="D6534" i="1"/>
  <c r="F6534" i="1"/>
  <c r="D6535" i="1"/>
  <c r="F6535" i="1"/>
  <c r="D6536" i="1"/>
  <c r="F6536" i="1"/>
  <c r="D6537" i="1"/>
  <c r="F6537" i="1"/>
  <c r="D6538" i="1"/>
  <c r="F6538" i="1"/>
  <c r="D6539" i="1"/>
  <c r="F6539" i="1"/>
  <c r="D6540" i="1"/>
  <c r="F6540" i="1"/>
  <c r="D6541" i="1"/>
  <c r="F6541" i="1"/>
  <c r="D6542" i="1"/>
  <c r="F6542" i="1"/>
  <c r="D6543" i="1"/>
  <c r="F6543" i="1"/>
  <c r="D6544" i="1"/>
  <c r="F6544" i="1"/>
  <c r="D6545" i="1"/>
  <c r="F6545" i="1"/>
  <c r="D6546" i="1"/>
  <c r="F6546" i="1"/>
  <c r="D6547" i="1"/>
  <c r="F6547" i="1"/>
  <c r="D6548" i="1"/>
  <c r="F6548" i="1"/>
  <c r="D6549" i="1"/>
  <c r="F6549" i="1"/>
  <c r="D6550" i="1"/>
  <c r="F6550" i="1"/>
  <c r="D6551" i="1"/>
  <c r="F6551" i="1"/>
  <c r="D6552" i="1"/>
  <c r="F6552" i="1"/>
  <c r="D6553" i="1"/>
  <c r="F6553" i="1"/>
  <c r="D6554" i="1"/>
  <c r="F6554" i="1"/>
  <c r="D6555" i="1"/>
  <c r="F6555" i="1"/>
  <c r="D6556" i="1"/>
  <c r="F6556" i="1"/>
  <c r="D6557" i="1"/>
  <c r="F6557" i="1"/>
  <c r="D6558" i="1"/>
  <c r="F6558" i="1"/>
  <c r="D6559" i="1"/>
  <c r="F6559" i="1"/>
  <c r="D6560" i="1"/>
  <c r="F6560" i="1"/>
  <c r="D6561" i="1"/>
  <c r="F6561" i="1"/>
  <c r="D6562" i="1"/>
  <c r="F6562" i="1"/>
  <c r="D6563" i="1"/>
  <c r="F6563" i="1"/>
  <c r="D6564" i="1"/>
  <c r="F6564" i="1"/>
  <c r="D6565" i="1"/>
  <c r="F6565" i="1"/>
  <c r="D6566" i="1"/>
  <c r="F6566" i="1"/>
  <c r="D6567" i="1"/>
  <c r="F6567" i="1"/>
  <c r="D6568" i="1"/>
  <c r="F6568" i="1"/>
  <c r="D6569" i="1"/>
  <c r="F6569" i="1"/>
  <c r="D6570" i="1"/>
  <c r="F6570" i="1"/>
  <c r="D6571" i="1"/>
  <c r="F6571" i="1"/>
  <c r="D6572" i="1"/>
  <c r="F6572" i="1"/>
  <c r="D6573" i="1"/>
  <c r="F6573" i="1"/>
  <c r="D6574" i="1"/>
  <c r="F6574" i="1"/>
  <c r="D6575" i="1"/>
  <c r="F6575" i="1"/>
  <c r="D6576" i="1"/>
  <c r="F6576" i="1"/>
  <c r="D6577" i="1"/>
  <c r="F6577" i="1"/>
  <c r="D6578" i="1"/>
  <c r="F6578" i="1"/>
  <c r="D6579" i="1"/>
  <c r="F6579" i="1"/>
  <c r="D6580" i="1"/>
  <c r="F6580" i="1"/>
  <c r="D6581" i="1"/>
  <c r="F6581" i="1"/>
  <c r="D6582" i="1"/>
  <c r="F6582" i="1"/>
  <c r="D6583" i="1"/>
  <c r="F6583" i="1"/>
  <c r="D6584" i="1"/>
  <c r="F6584" i="1"/>
  <c r="D6585" i="1"/>
  <c r="F6585" i="1"/>
  <c r="D6586" i="1"/>
  <c r="F6586" i="1"/>
  <c r="D6587" i="1"/>
  <c r="F6587" i="1"/>
  <c r="D6588" i="1"/>
  <c r="F6588" i="1"/>
  <c r="D6589" i="1"/>
  <c r="F6589" i="1"/>
  <c r="D6590" i="1"/>
  <c r="F6590" i="1"/>
  <c r="D6591" i="1"/>
  <c r="F6591" i="1"/>
  <c r="D6592" i="1"/>
  <c r="F6592" i="1"/>
  <c r="D6593" i="1"/>
  <c r="F6593" i="1"/>
  <c r="D6594" i="1"/>
  <c r="F6594" i="1"/>
  <c r="D6595" i="1"/>
  <c r="F6595" i="1"/>
  <c r="D6596" i="1"/>
  <c r="F6596" i="1"/>
  <c r="D6597" i="1"/>
  <c r="F6597" i="1"/>
  <c r="D6598" i="1"/>
  <c r="F6598" i="1"/>
  <c r="D6599" i="1"/>
  <c r="F6599" i="1"/>
  <c r="D6600" i="1"/>
  <c r="F6600" i="1"/>
  <c r="D6601" i="1"/>
  <c r="F6601" i="1"/>
  <c r="D6602" i="1"/>
  <c r="F6602" i="1"/>
  <c r="D6603" i="1"/>
  <c r="F6603" i="1"/>
  <c r="D6604" i="1"/>
  <c r="F6604" i="1"/>
  <c r="D6605" i="1"/>
  <c r="F6605" i="1"/>
  <c r="D6606" i="1"/>
  <c r="F6606" i="1"/>
  <c r="D6607" i="1"/>
  <c r="F6607" i="1"/>
  <c r="D6608" i="1"/>
  <c r="F6608" i="1"/>
  <c r="D6609" i="1"/>
  <c r="F6609" i="1"/>
  <c r="D6610" i="1"/>
  <c r="F6610" i="1"/>
  <c r="D6611" i="1"/>
  <c r="F6611" i="1"/>
  <c r="D6612" i="1"/>
  <c r="F6612" i="1"/>
  <c r="D6613" i="1"/>
  <c r="F6613" i="1"/>
  <c r="D6614" i="1"/>
  <c r="F6614" i="1"/>
  <c r="D6615" i="1"/>
  <c r="F6615" i="1"/>
  <c r="D6616" i="1"/>
  <c r="F6616" i="1"/>
  <c r="D6617" i="1"/>
  <c r="F6617" i="1"/>
  <c r="D6618" i="1"/>
  <c r="F6618" i="1"/>
  <c r="D6619" i="1"/>
  <c r="F6619" i="1"/>
  <c r="D6620" i="1"/>
  <c r="F6620" i="1"/>
  <c r="D6621" i="1"/>
  <c r="F6621" i="1"/>
  <c r="D6622" i="1"/>
  <c r="F6622" i="1"/>
  <c r="D6623" i="1"/>
  <c r="F6623" i="1"/>
  <c r="D6624" i="1"/>
  <c r="F6624" i="1"/>
  <c r="D6625" i="1"/>
  <c r="F6625" i="1"/>
  <c r="D6626" i="1"/>
  <c r="F6626" i="1"/>
  <c r="D6627" i="1"/>
  <c r="F6627" i="1"/>
  <c r="D6628" i="1"/>
  <c r="F6628" i="1"/>
  <c r="D6629" i="1"/>
  <c r="F6629" i="1"/>
  <c r="D6630" i="1"/>
  <c r="F6630" i="1"/>
  <c r="D6631" i="1"/>
  <c r="F6631" i="1"/>
  <c r="D6632" i="1"/>
  <c r="F6632" i="1"/>
  <c r="D6633" i="1"/>
  <c r="F6633" i="1"/>
  <c r="D6634" i="1"/>
  <c r="F6634" i="1"/>
  <c r="D6635" i="1"/>
  <c r="F6635" i="1"/>
  <c r="D6636" i="1"/>
  <c r="F6636" i="1"/>
  <c r="D6637" i="1"/>
  <c r="F6637" i="1"/>
  <c r="D6638" i="1"/>
  <c r="F6638" i="1"/>
  <c r="D6639" i="1"/>
  <c r="F6639" i="1"/>
  <c r="D6640" i="1"/>
  <c r="F6640" i="1"/>
  <c r="D6641" i="1"/>
  <c r="F6641" i="1"/>
  <c r="D6642" i="1"/>
  <c r="F6642" i="1"/>
  <c r="D6643" i="1"/>
  <c r="F6643" i="1"/>
  <c r="D6644" i="1"/>
  <c r="F6644" i="1"/>
  <c r="D6645" i="1"/>
  <c r="F6645" i="1"/>
  <c r="D6646" i="1"/>
  <c r="F6646" i="1"/>
  <c r="D6647" i="1"/>
  <c r="F6647" i="1"/>
  <c r="D6648" i="1"/>
  <c r="F6648" i="1"/>
  <c r="D6649" i="1"/>
  <c r="F6649" i="1"/>
  <c r="D6650" i="1"/>
  <c r="F6650" i="1"/>
  <c r="D6651" i="1"/>
  <c r="F6651" i="1"/>
  <c r="D6652" i="1"/>
  <c r="F6652" i="1"/>
  <c r="D6653" i="1"/>
  <c r="F6653" i="1"/>
  <c r="D6654" i="1"/>
  <c r="F6654" i="1"/>
  <c r="D6655" i="1"/>
  <c r="F6655" i="1"/>
  <c r="D6656" i="1"/>
  <c r="F6656" i="1"/>
  <c r="D6657" i="1"/>
  <c r="F6657" i="1"/>
  <c r="D6658" i="1"/>
  <c r="F6658" i="1"/>
  <c r="D6659" i="1"/>
  <c r="F6659" i="1"/>
  <c r="D6660" i="1"/>
  <c r="F6660" i="1"/>
  <c r="D6661" i="1"/>
  <c r="F6661" i="1"/>
  <c r="D6662" i="1"/>
  <c r="F6662" i="1"/>
  <c r="D6663" i="1"/>
  <c r="F6663" i="1"/>
  <c r="D6664" i="1"/>
  <c r="F6664" i="1"/>
  <c r="D6665" i="1"/>
  <c r="F6665" i="1"/>
  <c r="D6666" i="1"/>
  <c r="F6666" i="1"/>
  <c r="D6667" i="1"/>
  <c r="F6667" i="1"/>
  <c r="D6668" i="1"/>
  <c r="F6668" i="1"/>
  <c r="D6669" i="1"/>
  <c r="F6669" i="1"/>
  <c r="D6670" i="1"/>
  <c r="F6670" i="1"/>
  <c r="D6671" i="1"/>
  <c r="F6671" i="1"/>
  <c r="D6672" i="1"/>
  <c r="F6672" i="1"/>
  <c r="D6673" i="1"/>
  <c r="F6673" i="1"/>
  <c r="D6674" i="1"/>
  <c r="F6674" i="1"/>
  <c r="D6675" i="1"/>
  <c r="F6675" i="1"/>
  <c r="D6676" i="1"/>
  <c r="F6676" i="1"/>
  <c r="D6677" i="1"/>
  <c r="F6677" i="1"/>
  <c r="D6678" i="1"/>
  <c r="F6678" i="1"/>
  <c r="D6679" i="1"/>
  <c r="F6679" i="1"/>
  <c r="D6680" i="1"/>
  <c r="F6680" i="1"/>
  <c r="D6681" i="1"/>
  <c r="F6681" i="1"/>
  <c r="D6682" i="1"/>
  <c r="F6682" i="1"/>
  <c r="D6683" i="1"/>
  <c r="F6683" i="1"/>
  <c r="D6684" i="1"/>
  <c r="F6684" i="1"/>
  <c r="D6685" i="1"/>
  <c r="F6685" i="1"/>
  <c r="D6686" i="1"/>
  <c r="F6686" i="1"/>
  <c r="D6687" i="1"/>
  <c r="F6687" i="1"/>
  <c r="D6688" i="1"/>
  <c r="F6688" i="1"/>
  <c r="D6689" i="1"/>
  <c r="F6689" i="1"/>
  <c r="D6690" i="1"/>
  <c r="F6690" i="1"/>
  <c r="D6691" i="1"/>
  <c r="F6691" i="1"/>
  <c r="D6692" i="1"/>
  <c r="F6692" i="1"/>
  <c r="D6693" i="1"/>
  <c r="F6693" i="1"/>
  <c r="D6694" i="1"/>
  <c r="F6694" i="1"/>
  <c r="D6695" i="1"/>
  <c r="F6695" i="1"/>
  <c r="D6696" i="1"/>
  <c r="F6696" i="1"/>
  <c r="D6697" i="1"/>
  <c r="F6697" i="1"/>
  <c r="D6698" i="1"/>
  <c r="F6698" i="1"/>
  <c r="D6699" i="1"/>
  <c r="F6699" i="1"/>
  <c r="D6700" i="1"/>
  <c r="F6700" i="1"/>
  <c r="D6701" i="1"/>
  <c r="F6701" i="1"/>
  <c r="D6702" i="1"/>
  <c r="F6702" i="1"/>
  <c r="D6703" i="1"/>
  <c r="F6703" i="1"/>
  <c r="D6704" i="1"/>
  <c r="F6704" i="1"/>
  <c r="D6705" i="1"/>
  <c r="F6705" i="1"/>
  <c r="D6706" i="1"/>
  <c r="F6706" i="1"/>
  <c r="D6707" i="1"/>
  <c r="F6707" i="1"/>
  <c r="D6708" i="1"/>
  <c r="F6708" i="1"/>
  <c r="D6709" i="1"/>
  <c r="F6709" i="1"/>
  <c r="D6710" i="1"/>
  <c r="F6710" i="1"/>
  <c r="D6711" i="1"/>
  <c r="F6711" i="1"/>
  <c r="D6712" i="1"/>
  <c r="F6712" i="1"/>
  <c r="D6713" i="1"/>
  <c r="F6713" i="1"/>
  <c r="D6714" i="1"/>
  <c r="F6714" i="1"/>
  <c r="D6715" i="1"/>
  <c r="F6715" i="1"/>
  <c r="D6716" i="1"/>
  <c r="F6716" i="1"/>
  <c r="D6717" i="1"/>
  <c r="F6717" i="1"/>
  <c r="D6718" i="1"/>
  <c r="F6718" i="1"/>
  <c r="D6719" i="1"/>
  <c r="F6719" i="1"/>
  <c r="D6720" i="1"/>
  <c r="F6720" i="1"/>
  <c r="D6721" i="1"/>
  <c r="F6721" i="1"/>
  <c r="D6722" i="1"/>
  <c r="F6722" i="1"/>
  <c r="D6723" i="1"/>
  <c r="F6723" i="1"/>
  <c r="D6724" i="1"/>
  <c r="F6724" i="1"/>
  <c r="D6725" i="1"/>
  <c r="F6725" i="1"/>
  <c r="D6726" i="1"/>
  <c r="F6726" i="1"/>
  <c r="D6727" i="1"/>
  <c r="F6727" i="1"/>
  <c r="D6728" i="1"/>
  <c r="F6728" i="1"/>
  <c r="D6729" i="1"/>
  <c r="F6729" i="1"/>
  <c r="D6730" i="1"/>
  <c r="F6730" i="1"/>
  <c r="D6731" i="1"/>
  <c r="F6731" i="1"/>
  <c r="D6732" i="1"/>
  <c r="F6732" i="1"/>
  <c r="D6733" i="1"/>
  <c r="F6733" i="1"/>
  <c r="D6734" i="1"/>
  <c r="F6734" i="1"/>
  <c r="D6735" i="1"/>
  <c r="F6735" i="1"/>
  <c r="D6736" i="1"/>
  <c r="F6736" i="1"/>
  <c r="D6737" i="1"/>
  <c r="F6737" i="1"/>
  <c r="D6738" i="1"/>
  <c r="F6738" i="1"/>
  <c r="D6739" i="1"/>
  <c r="F6739" i="1"/>
  <c r="D6740" i="1"/>
  <c r="F6740" i="1"/>
  <c r="D6741" i="1"/>
  <c r="F6741" i="1"/>
  <c r="D6742" i="1"/>
  <c r="F6742" i="1"/>
  <c r="D6743" i="1"/>
  <c r="F6743" i="1"/>
  <c r="D6744" i="1"/>
  <c r="F6744" i="1"/>
  <c r="D6745" i="1"/>
  <c r="F6745" i="1"/>
  <c r="D6746" i="1"/>
  <c r="F6746" i="1"/>
  <c r="D6747" i="1"/>
  <c r="F6747" i="1"/>
  <c r="D6748" i="1"/>
  <c r="F6748" i="1"/>
  <c r="D6749" i="1"/>
  <c r="F6749" i="1"/>
  <c r="D6750" i="1"/>
  <c r="F6750" i="1"/>
  <c r="D6751" i="1"/>
  <c r="F6751" i="1"/>
  <c r="D6752" i="1"/>
  <c r="F6752" i="1"/>
  <c r="D6753" i="1"/>
  <c r="F6753" i="1"/>
  <c r="D6754" i="1"/>
  <c r="F6754" i="1"/>
  <c r="D6755" i="1"/>
  <c r="F6755" i="1"/>
  <c r="D6756" i="1"/>
  <c r="F6756" i="1"/>
  <c r="D6757" i="1"/>
  <c r="F6757" i="1"/>
  <c r="D6758" i="1"/>
  <c r="F6758" i="1"/>
  <c r="D6759" i="1"/>
  <c r="F6759" i="1"/>
  <c r="D6760" i="1"/>
  <c r="F6760" i="1"/>
  <c r="D6761" i="1"/>
  <c r="F6761" i="1"/>
  <c r="D6762" i="1"/>
  <c r="F6762" i="1"/>
  <c r="D6763" i="1"/>
  <c r="F6763" i="1"/>
  <c r="D6764" i="1"/>
  <c r="F6764" i="1"/>
  <c r="D6765" i="1"/>
  <c r="F6765" i="1"/>
  <c r="D6766" i="1"/>
  <c r="F6766" i="1"/>
  <c r="D6767" i="1"/>
  <c r="F6767" i="1"/>
  <c r="D6768" i="1"/>
  <c r="F6768" i="1"/>
  <c r="D6769" i="1"/>
  <c r="F6769" i="1"/>
  <c r="D6770" i="1"/>
  <c r="F6770" i="1"/>
  <c r="D6771" i="1"/>
  <c r="F6771" i="1"/>
  <c r="D6772" i="1"/>
  <c r="F6772" i="1"/>
  <c r="D6773" i="1"/>
  <c r="F6773" i="1"/>
  <c r="D6774" i="1"/>
  <c r="F6774" i="1"/>
  <c r="D6775" i="1"/>
  <c r="F6775" i="1"/>
  <c r="D6776" i="1"/>
  <c r="F6776" i="1"/>
  <c r="D6777" i="1"/>
  <c r="F6777" i="1"/>
  <c r="D6778" i="1"/>
  <c r="F6778" i="1"/>
  <c r="D6779" i="1"/>
  <c r="F6779" i="1"/>
  <c r="D6780" i="1"/>
  <c r="F6780" i="1"/>
  <c r="D6781" i="1"/>
  <c r="F6781" i="1"/>
  <c r="D6782" i="1"/>
  <c r="F6782" i="1"/>
  <c r="D6783" i="1"/>
  <c r="F6783" i="1"/>
  <c r="D6784" i="1"/>
  <c r="F6784" i="1"/>
  <c r="D6785" i="1"/>
  <c r="F6785" i="1"/>
  <c r="D6786" i="1"/>
  <c r="F6786" i="1"/>
  <c r="D6787" i="1"/>
  <c r="F6787" i="1"/>
  <c r="D6788" i="1"/>
  <c r="F6788" i="1"/>
  <c r="D6789" i="1"/>
  <c r="F6789" i="1"/>
  <c r="D6790" i="1"/>
  <c r="F6790" i="1"/>
  <c r="D6791" i="1"/>
  <c r="F6791" i="1"/>
  <c r="D6792" i="1"/>
  <c r="F6792" i="1"/>
  <c r="D6793" i="1"/>
  <c r="F6793" i="1"/>
  <c r="D6794" i="1"/>
  <c r="F6794" i="1"/>
  <c r="D6795" i="1"/>
  <c r="F6795" i="1"/>
  <c r="D6796" i="1"/>
  <c r="F6796" i="1"/>
  <c r="D6797" i="1"/>
  <c r="F6797" i="1"/>
  <c r="D6798" i="1"/>
  <c r="F6798" i="1"/>
  <c r="D6799" i="1"/>
  <c r="F6799" i="1"/>
  <c r="D6800" i="1"/>
  <c r="F6800" i="1"/>
  <c r="D6801" i="1"/>
  <c r="F6801" i="1"/>
  <c r="D6802" i="1"/>
  <c r="F6802" i="1"/>
  <c r="D6803" i="1"/>
  <c r="F6803" i="1"/>
  <c r="D6804" i="1"/>
  <c r="F6804" i="1"/>
  <c r="D6805" i="1"/>
  <c r="F6805" i="1"/>
  <c r="D6806" i="1"/>
  <c r="F6806" i="1"/>
  <c r="D6807" i="1"/>
  <c r="F6807" i="1"/>
  <c r="D6808" i="1"/>
  <c r="F6808" i="1"/>
  <c r="D6809" i="1"/>
  <c r="F6809" i="1"/>
  <c r="D6810" i="1"/>
  <c r="F6810" i="1"/>
  <c r="D6811" i="1"/>
  <c r="F6811" i="1"/>
  <c r="D6812" i="1"/>
  <c r="F6812" i="1"/>
  <c r="D6813" i="1"/>
  <c r="F6813" i="1"/>
  <c r="D6814" i="1"/>
  <c r="F6814" i="1"/>
  <c r="D6815" i="1"/>
  <c r="F6815" i="1"/>
  <c r="D6816" i="1"/>
  <c r="F6816" i="1"/>
  <c r="D6817" i="1"/>
  <c r="F6817" i="1"/>
  <c r="D6818" i="1"/>
  <c r="F6818" i="1"/>
  <c r="D6819" i="1"/>
  <c r="F6819" i="1"/>
  <c r="D6820" i="1"/>
  <c r="F6820" i="1"/>
  <c r="D6821" i="1"/>
  <c r="F6821" i="1"/>
  <c r="D6822" i="1"/>
  <c r="F6822" i="1"/>
  <c r="D6823" i="1"/>
  <c r="F6823" i="1"/>
  <c r="D6824" i="1"/>
  <c r="F6824" i="1"/>
  <c r="D6825" i="1"/>
  <c r="F6825" i="1"/>
  <c r="D6826" i="1"/>
  <c r="F6826" i="1"/>
  <c r="D6827" i="1"/>
  <c r="F6827" i="1"/>
  <c r="D6828" i="1"/>
  <c r="F6828" i="1"/>
  <c r="D6829" i="1"/>
  <c r="F6829" i="1"/>
  <c r="D6830" i="1"/>
  <c r="F6830" i="1"/>
  <c r="D6831" i="1"/>
  <c r="F6831" i="1"/>
  <c r="D6832" i="1"/>
  <c r="F6832" i="1"/>
  <c r="D6833" i="1"/>
  <c r="F6833" i="1"/>
  <c r="D6834" i="1"/>
  <c r="F6834" i="1"/>
  <c r="D6835" i="1"/>
  <c r="F6835" i="1"/>
  <c r="D6836" i="1"/>
  <c r="F6836" i="1"/>
  <c r="D6837" i="1"/>
  <c r="F6837" i="1"/>
  <c r="D6838" i="1"/>
  <c r="F6838" i="1"/>
  <c r="D6839" i="1"/>
  <c r="F6839" i="1"/>
  <c r="D6840" i="1"/>
  <c r="F6840" i="1"/>
  <c r="D6841" i="1"/>
  <c r="F6841" i="1"/>
  <c r="D6842" i="1"/>
  <c r="F6842" i="1"/>
  <c r="D6843" i="1"/>
  <c r="F6843" i="1"/>
  <c r="D6844" i="1"/>
  <c r="F6844" i="1"/>
  <c r="D6845" i="1"/>
  <c r="F6845" i="1"/>
  <c r="D6846" i="1"/>
  <c r="F6846" i="1"/>
  <c r="D6847" i="1"/>
  <c r="F6847" i="1"/>
  <c r="D6848" i="1"/>
  <c r="F6848" i="1"/>
  <c r="D6849" i="1"/>
  <c r="F6849" i="1"/>
  <c r="D6850" i="1"/>
  <c r="F6850" i="1"/>
  <c r="D6851" i="1"/>
  <c r="F6851" i="1"/>
  <c r="D6852" i="1"/>
  <c r="F6852" i="1"/>
  <c r="D6853" i="1"/>
  <c r="F6853" i="1"/>
  <c r="D6854" i="1"/>
  <c r="F6854" i="1"/>
  <c r="D6855" i="1"/>
  <c r="F6855" i="1"/>
  <c r="D6856" i="1"/>
  <c r="F6856" i="1"/>
  <c r="D6857" i="1"/>
  <c r="F6857" i="1"/>
  <c r="D6858" i="1"/>
  <c r="F6858" i="1"/>
  <c r="D6859" i="1"/>
  <c r="F6859" i="1"/>
  <c r="D6860" i="1"/>
  <c r="F6860" i="1"/>
  <c r="D6861" i="1"/>
  <c r="F6861" i="1"/>
  <c r="D6862" i="1"/>
  <c r="F6862" i="1"/>
  <c r="D6863" i="1"/>
  <c r="F6863" i="1"/>
  <c r="D6864" i="1"/>
  <c r="F6864" i="1"/>
  <c r="D6865" i="1"/>
  <c r="F6865" i="1"/>
  <c r="D6866" i="1"/>
  <c r="F6866" i="1"/>
  <c r="D6867" i="1"/>
  <c r="F6867" i="1"/>
  <c r="D6868" i="1"/>
  <c r="F6868" i="1"/>
  <c r="D6869" i="1"/>
  <c r="F6869" i="1"/>
  <c r="D6870" i="1"/>
  <c r="F6870" i="1"/>
  <c r="D6871" i="1"/>
  <c r="F6871" i="1"/>
  <c r="D6872" i="1"/>
  <c r="F6872" i="1"/>
  <c r="D6873" i="1"/>
  <c r="F6873" i="1"/>
  <c r="D6874" i="1"/>
  <c r="F6874" i="1"/>
  <c r="D6875" i="1"/>
  <c r="F6875" i="1"/>
  <c r="D6876" i="1"/>
  <c r="F6876" i="1"/>
  <c r="D6877" i="1"/>
  <c r="F6877" i="1"/>
  <c r="D6878" i="1"/>
  <c r="F6878" i="1"/>
  <c r="D6879" i="1"/>
  <c r="F6879" i="1"/>
  <c r="D6880" i="1"/>
  <c r="F6880" i="1"/>
  <c r="D6881" i="1"/>
  <c r="F6881" i="1"/>
  <c r="D6882" i="1"/>
  <c r="F6882" i="1"/>
  <c r="D6883" i="1"/>
  <c r="F6883" i="1"/>
  <c r="D6884" i="1"/>
  <c r="F6884" i="1"/>
  <c r="D6885" i="1"/>
  <c r="F6885" i="1"/>
  <c r="D6886" i="1"/>
  <c r="F6886" i="1"/>
  <c r="D6887" i="1"/>
  <c r="F6887" i="1"/>
  <c r="D6888" i="1"/>
  <c r="F6888" i="1"/>
  <c r="D6889" i="1"/>
  <c r="F6889" i="1"/>
  <c r="D6890" i="1"/>
  <c r="F6890" i="1"/>
  <c r="D6891" i="1"/>
  <c r="F6891" i="1"/>
  <c r="D6892" i="1"/>
  <c r="F6892" i="1"/>
  <c r="D6893" i="1"/>
  <c r="F6893" i="1"/>
  <c r="D6894" i="1"/>
  <c r="F6894" i="1"/>
  <c r="D6895" i="1"/>
  <c r="F6895" i="1"/>
  <c r="D6896" i="1"/>
  <c r="F6896" i="1"/>
  <c r="D6897" i="1"/>
  <c r="F6897" i="1"/>
  <c r="D6898" i="1"/>
  <c r="F6898" i="1"/>
  <c r="D6899" i="1"/>
  <c r="F6899" i="1"/>
  <c r="D6900" i="1"/>
  <c r="F6900" i="1"/>
  <c r="D6901" i="1"/>
  <c r="F6901" i="1"/>
  <c r="D6902" i="1"/>
  <c r="F6902" i="1"/>
  <c r="D6903" i="1"/>
  <c r="F6903" i="1"/>
  <c r="D6904" i="1"/>
  <c r="F6904" i="1"/>
  <c r="D6905" i="1"/>
  <c r="F6905" i="1"/>
  <c r="D6906" i="1"/>
  <c r="F6906" i="1"/>
  <c r="D6907" i="1"/>
  <c r="F6907" i="1"/>
  <c r="D6908" i="1"/>
  <c r="F6908" i="1"/>
  <c r="D6909" i="1"/>
  <c r="F6909" i="1"/>
  <c r="D6910" i="1"/>
  <c r="F6910" i="1"/>
  <c r="D6911" i="1"/>
  <c r="F6911" i="1"/>
  <c r="D6912" i="1"/>
  <c r="F6912" i="1"/>
  <c r="D6913" i="1"/>
  <c r="F6913" i="1"/>
  <c r="D6914" i="1"/>
  <c r="F6914" i="1"/>
  <c r="D6915" i="1"/>
  <c r="F6915" i="1"/>
  <c r="D6916" i="1"/>
  <c r="F6916" i="1"/>
  <c r="D6917" i="1"/>
  <c r="F6917" i="1"/>
  <c r="D6918" i="1"/>
  <c r="F6918" i="1"/>
  <c r="D6919" i="1"/>
  <c r="F6919" i="1"/>
  <c r="D6920" i="1"/>
  <c r="F6920" i="1"/>
  <c r="D6921" i="1"/>
  <c r="F6921" i="1"/>
  <c r="D6922" i="1"/>
  <c r="F6922" i="1"/>
  <c r="D6923" i="1"/>
  <c r="F6923" i="1"/>
  <c r="D6924" i="1"/>
  <c r="F6924" i="1"/>
  <c r="D6925" i="1"/>
  <c r="F6925" i="1"/>
  <c r="D6926" i="1"/>
  <c r="F6926" i="1"/>
  <c r="D6927" i="1"/>
  <c r="F6927" i="1"/>
  <c r="D6928" i="1"/>
  <c r="F6928" i="1"/>
  <c r="D6929" i="1"/>
  <c r="F6929" i="1"/>
  <c r="D6930" i="1"/>
  <c r="F6930" i="1"/>
  <c r="D6931" i="1"/>
  <c r="F6931" i="1"/>
  <c r="D6932" i="1"/>
  <c r="F6932" i="1"/>
  <c r="D6933" i="1"/>
  <c r="F6933" i="1"/>
  <c r="D6934" i="1"/>
  <c r="F6934" i="1"/>
  <c r="D6935" i="1"/>
  <c r="F6935" i="1"/>
  <c r="D6936" i="1"/>
  <c r="F6936" i="1"/>
  <c r="D6937" i="1"/>
  <c r="F6937" i="1"/>
  <c r="D6938" i="1"/>
  <c r="F6938" i="1"/>
  <c r="D6939" i="1"/>
  <c r="F6939" i="1"/>
  <c r="D6940" i="1"/>
  <c r="F6940" i="1"/>
  <c r="D6941" i="1"/>
  <c r="F6941" i="1"/>
  <c r="D6942" i="1"/>
  <c r="F6942" i="1"/>
  <c r="D6943" i="1"/>
  <c r="F6943" i="1"/>
  <c r="D6944" i="1"/>
  <c r="F6944" i="1"/>
  <c r="D6945" i="1"/>
  <c r="F6945" i="1"/>
  <c r="D6946" i="1"/>
  <c r="F6946" i="1"/>
  <c r="D6947" i="1"/>
  <c r="F6947" i="1"/>
  <c r="D6948" i="1"/>
  <c r="F6948" i="1"/>
  <c r="D6949" i="1"/>
  <c r="F6949" i="1"/>
  <c r="D6950" i="1"/>
  <c r="F6950" i="1"/>
  <c r="D6951" i="1"/>
  <c r="F6951" i="1"/>
  <c r="D6952" i="1"/>
  <c r="F6952" i="1"/>
  <c r="D6953" i="1"/>
  <c r="F6953" i="1"/>
  <c r="D6954" i="1"/>
  <c r="F6954" i="1"/>
  <c r="D6955" i="1"/>
  <c r="F6955" i="1"/>
  <c r="D6956" i="1"/>
  <c r="F6956" i="1"/>
  <c r="D6957" i="1"/>
  <c r="F6957" i="1"/>
  <c r="D6958" i="1"/>
  <c r="F6958" i="1"/>
  <c r="D6959" i="1"/>
  <c r="F6959" i="1"/>
  <c r="D6960" i="1"/>
  <c r="F6960" i="1"/>
  <c r="D6961" i="1"/>
  <c r="F6961" i="1"/>
  <c r="D6962" i="1"/>
  <c r="F6962" i="1"/>
  <c r="D6963" i="1"/>
  <c r="F6963" i="1"/>
  <c r="D6964" i="1"/>
  <c r="F6964" i="1"/>
  <c r="D6965" i="1"/>
  <c r="F6965" i="1"/>
  <c r="D6966" i="1"/>
  <c r="F6966" i="1"/>
  <c r="D6967" i="1"/>
  <c r="F6967" i="1"/>
  <c r="D6968" i="1"/>
  <c r="F6968" i="1"/>
  <c r="D6969" i="1"/>
  <c r="F6969" i="1"/>
  <c r="D6970" i="1"/>
  <c r="F6970" i="1"/>
  <c r="D6971" i="1"/>
  <c r="F6971" i="1"/>
  <c r="D6972" i="1"/>
  <c r="F6972" i="1"/>
  <c r="D6973" i="1"/>
  <c r="F6973" i="1"/>
  <c r="D6974" i="1"/>
  <c r="F6974" i="1"/>
  <c r="D6975" i="1"/>
  <c r="F6975" i="1"/>
  <c r="D6976" i="1"/>
  <c r="F6976" i="1"/>
  <c r="D6977" i="1"/>
  <c r="F6977" i="1"/>
  <c r="D6978" i="1"/>
  <c r="F6978" i="1"/>
  <c r="D6979" i="1"/>
  <c r="F6979" i="1"/>
  <c r="D6980" i="1"/>
  <c r="F6980" i="1"/>
  <c r="D6981" i="1"/>
  <c r="F6981" i="1"/>
  <c r="D6982" i="1"/>
  <c r="F6982" i="1"/>
  <c r="D6983" i="1"/>
  <c r="F6983" i="1"/>
  <c r="D6984" i="1"/>
  <c r="F6984" i="1"/>
  <c r="D6985" i="1"/>
  <c r="F6985" i="1"/>
  <c r="D6986" i="1"/>
  <c r="F6986" i="1"/>
  <c r="D6987" i="1"/>
  <c r="F6987" i="1"/>
  <c r="D6988" i="1"/>
  <c r="F6988" i="1"/>
  <c r="D6989" i="1"/>
  <c r="F6989" i="1"/>
  <c r="D6990" i="1"/>
  <c r="F6990" i="1"/>
  <c r="D6991" i="1"/>
  <c r="F6991" i="1"/>
  <c r="D6992" i="1"/>
  <c r="F6992" i="1"/>
  <c r="D6993" i="1"/>
  <c r="F6993" i="1"/>
  <c r="D6994" i="1"/>
  <c r="F6994" i="1"/>
  <c r="D6995" i="1"/>
  <c r="F6995" i="1"/>
  <c r="D6996" i="1"/>
  <c r="F6996" i="1"/>
  <c r="D6997" i="1"/>
  <c r="F6997" i="1"/>
  <c r="D6998" i="1"/>
  <c r="F6998" i="1"/>
  <c r="D6999" i="1"/>
  <c r="F6999" i="1"/>
  <c r="D7000" i="1"/>
  <c r="F7000" i="1"/>
  <c r="D7001" i="1"/>
  <c r="F7001" i="1"/>
  <c r="D7002" i="1"/>
  <c r="F7002" i="1"/>
  <c r="D7003" i="1"/>
  <c r="F7003" i="1"/>
  <c r="D7004" i="1"/>
  <c r="F7004" i="1"/>
  <c r="D7005" i="1"/>
  <c r="F7005" i="1"/>
  <c r="D7006" i="1"/>
  <c r="F7006" i="1"/>
  <c r="D7007" i="1"/>
  <c r="F7007" i="1"/>
  <c r="D7008" i="1"/>
  <c r="F7008" i="1"/>
  <c r="D7009" i="1"/>
  <c r="F7009" i="1"/>
  <c r="D7010" i="1"/>
  <c r="F7010" i="1"/>
  <c r="D7011" i="1"/>
  <c r="F7011" i="1"/>
  <c r="D7012" i="1"/>
  <c r="F7012" i="1"/>
  <c r="D7013" i="1"/>
  <c r="F7013" i="1"/>
  <c r="D7014" i="1"/>
  <c r="F7014" i="1"/>
  <c r="D7015" i="1"/>
  <c r="F7015" i="1"/>
  <c r="D7016" i="1"/>
  <c r="F7016" i="1"/>
  <c r="D7017" i="1"/>
  <c r="F7017" i="1"/>
  <c r="D7018" i="1"/>
  <c r="F7018" i="1"/>
  <c r="D7019" i="1"/>
  <c r="F7019" i="1"/>
  <c r="D7020" i="1"/>
  <c r="F7020" i="1"/>
  <c r="D7021" i="1"/>
  <c r="F7021" i="1"/>
  <c r="D7022" i="1"/>
  <c r="F7022" i="1"/>
  <c r="D7023" i="1"/>
  <c r="F7023" i="1"/>
  <c r="D7024" i="1"/>
  <c r="F7024" i="1"/>
  <c r="D7025" i="1"/>
  <c r="F7025" i="1"/>
  <c r="D7026" i="1"/>
  <c r="F7026" i="1"/>
  <c r="D7027" i="1"/>
  <c r="F7027" i="1"/>
  <c r="D7028" i="1"/>
  <c r="F7028" i="1"/>
  <c r="D7029" i="1"/>
  <c r="F7029" i="1"/>
  <c r="D7030" i="1"/>
  <c r="F7030" i="1"/>
  <c r="D7031" i="1"/>
  <c r="F7031" i="1"/>
  <c r="D7032" i="1"/>
  <c r="F7032" i="1"/>
  <c r="D7033" i="1"/>
  <c r="F7033" i="1"/>
  <c r="D7034" i="1"/>
  <c r="F7034" i="1"/>
  <c r="D7035" i="1"/>
  <c r="F7035" i="1"/>
  <c r="D7036" i="1"/>
  <c r="F7036" i="1"/>
  <c r="D7037" i="1"/>
  <c r="F7037" i="1"/>
  <c r="D7038" i="1"/>
  <c r="F7038" i="1"/>
  <c r="D7039" i="1"/>
  <c r="F7039" i="1"/>
  <c r="D7040" i="1"/>
  <c r="F7040" i="1"/>
  <c r="D7041" i="1"/>
  <c r="F7041" i="1"/>
  <c r="D7042" i="1"/>
  <c r="F7042" i="1"/>
  <c r="D7043" i="1"/>
  <c r="F7043" i="1"/>
  <c r="D7044" i="1"/>
  <c r="F7044" i="1"/>
  <c r="D7045" i="1"/>
  <c r="F7045" i="1"/>
  <c r="D7046" i="1"/>
  <c r="F7046" i="1"/>
  <c r="D7047" i="1"/>
  <c r="F7047" i="1"/>
  <c r="D7048" i="1"/>
  <c r="F7048" i="1"/>
  <c r="D7049" i="1"/>
  <c r="F7049" i="1"/>
  <c r="D7050" i="1"/>
  <c r="F7050" i="1"/>
  <c r="D7051" i="1"/>
  <c r="F7051" i="1"/>
  <c r="D7052" i="1"/>
  <c r="F7052" i="1"/>
  <c r="D7053" i="1"/>
  <c r="F7053" i="1"/>
  <c r="D7054" i="1"/>
  <c r="F7054" i="1"/>
  <c r="D7055" i="1"/>
  <c r="F7055" i="1"/>
  <c r="D7056" i="1"/>
  <c r="F7056" i="1"/>
  <c r="D7057" i="1"/>
  <c r="F7057" i="1"/>
  <c r="D7058" i="1"/>
  <c r="F7058" i="1"/>
  <c r="D7059" i="1"/>
  <c r="F7059" i="1"/>
  <c r="D7060" i="1"/>
  <c r="F7060" i="1"/>
  <c r="D7061" i="1"/>
  <c r="F7061" i="1"/>
  <c r="D7062" i="1"/>
  <c r="F7062" i="1"/>
  <c r="D7063" i="1"/>
  <c r="F7063" i="1"/>
  <c r="D7064" i="1"/>
  <c r="F7064" i="1"/>
  <c r="D7065" i="1"/>
  <c r="F7065" i="1"/>
  <c r="D7066" i="1"/>
  <c r="F7066" i="1"/>
  <c r="D7067" i="1"/>
  <c r="F7067" i="1"/>
  <c r="D7068" i="1"/>
  <c r="F7068" i="1"/>
  <c r="D7069" i="1"/>
  <c r="F7069" i="1"/>
  <c r="D7070" i="1"/>
  <c r="F7070" i="1"/>
  <c r="D7071" i="1"/>
  <c r="F7071" i="1"/>
  <c r="D7072" i="1"/>
  <c r="F7072" i="1"/>
  <c r="D7073" i="1"/>
  <c r="F7073" i="1"/>
  <c r="D7074" i="1"/>
  <c r="F7074" i="1"/>
  <c r="D7075" i="1"/>
  <c r="F7075" i="1"/>
  <c r="D7076" i="1"/>
  <c r="F7076" i="1"/>
  <c r="D7077" i="1"/>
  <c r="F7077" i="1"/>
  <c r="D7078" i="1"/>
  <c r="F7078" i="1"/>
  <c r="D7079" i="1"/>
  <c r="F7079" i="1"/>
  <c r="D7080" i="1"/>
  <c r="F7080" i="1"/>
  <c r="D7081" i="1"/>
  <c r="F7081" i="1"/>
  <c r="D7082" i="1"/>
  <c r="F7082" i="1"/>
  <c r="D7083" i="1"/>
  <c r="F7083" i="1"/>
  <c r="D7084" i="1"/>
  <c r="F7084" i="1"/>
  <c r="D7085" i="1"/>
  <c r="F7085" i="1"/>
  <c r="D7086" i="1"/>
  <c r="F7086" i="1"/>
  <c r="D7087" i="1"/>
  <c r="F7087" i="1"/>
  <c r="D7088" i="1"/>
  <c r="F7088" i="1"/>
  <c r="D7089" i="1"/>
  <c r="F7089" i="1"/>
  <c r="D7090" i="1"/>
  <c r="F7090" i="1"/>
  <c r="D7091" i="1"/>
  <c r="F7091" i="1"/>
  <c r="D7092" i="1"/>
  <c r="F7092" i="1"/>
  <c r="D7093" i="1"/>
  <c r="F7093" i="1"/>
  <c r="D7094" i="1"/>
  <c r="F7094" i="1"/>
  <c r="D7095" i="1"/>
  <c r="F7095" i="1"/>
  <c r="D7096" i="1"/>
  <c r="F7096" i="1"/>
  <c r="D7097" i="1"/>
  <c r="F7097" i="1"/>
  <c r="D7098" i="1"/>
  <c r="F7098" i="1"/>
  <c r="D7099" i="1"/>
  <c r="F7099" i="1"/>
  <c r="D7100" i="1"/>
  <c r="F7100" i="1"/>
  <c r="D7101" i="1"/>
  <c r="F7101" i="1"/>
  <c r="D7102" i="1"/>
  <c r="F7102" i="1"/>
  <c r="D7103" i="1"/>
  <c r="F7103" i="1"/>
  <c r="D7104" i="1"/>
  <c r="F7104" i="1"/>
  <c r="D7105" i="1"/>
  <c r="F7105" i="1"/>
  <c r="D7106" i="1"/>
  <c r="F7106" i="1"/>
  <c r="D7107" i="1"/>
  <c r="F7107" i="1"/>
  <c r="D7108" i="1"/>
  <c r="F7108" i="1"/>
  <c r="D7109" i="1"/>
  <c r="F7109" i="1"/>
  <c r="D7110" i="1"/>
  <c r="F7110" i="1"/>
  <c r="D7111" i="1"/>
  <c r="F7111" i="1"/>
  <c r="D7112" i="1"/>
  <c r="F7112" i="1"/>
  <c r="D7113" i="1"/>
  <c r="F7113" i="1"/>
  <c r="D7114" i="1"/>
  <c r="F7114" i="1"/>
  <c r="D7115" i="1"/>
  <c r="F7115" i="1"/>
  <c r="D7116" i="1"/>
  <c r="F7116" i="1"/>
  <c r="D7117" i="1"/>
  <c r="F7117" i="1"/>
  <c r="D7118" i="1"/>
  <c r="F7118" i="1"/>
  <c r="D7119" i="1"/>
  <c r="F7119" i="1"/>
  <c r="D7120" i="1"/>
  <c r="F7120" i="1"/>
  <c r="D7121" i="1"/>
  <c r="F7121" i="1"/>
  <c r="D7122" i="1"/>
  <c r="F7122" i="1"/>
  <c r="D7123" i="1"/>
  <c r="F7123" i="1"/>
  <c r="D7124" i="1"/>
  <c r="F7124" i="1"/>
  <c r="D7125" i="1"/>
  <c r="F7125" i="1"/>
  <c r="D7126" i="1"/>
  <c r="F7126" i="1"/>
  <c r="D7127" i="1"/>
  <c r="F7127" i="1"/>
  <c r="D7128" i="1"/>
  <c r="F7128" i="1"/>
  <c r="D7129" i="1"/>
  <c r="F7129" i="1"/>
  <c r="D7130" i="1"/>
  <c r="F7130" i="1"/>
  <c r="D7131" i="1"/>
  <c r="F7131" i="1"/>
  <c r="D7132" i="1"/>
  <c r="F7132" i="1"/>
  <c r="D7133" i="1"/>
  <c r="F7133" i="1"/>
  <c r="D7134" i="1"/>
  <c r="F7134" i="1"/>
  <c r="D7135" i="1"/>
  <c r="F7135" i="1"/>
  <c r="D7136" i="1"/>
  <c r="F7136" i="1"/>
  <c r="D7137" i="1"/>
  <c r="F7137" i="1"/>
  <c r="D7138" i="1"/>
  <c r="F7138" i="1"/>
  <c r="D7139" i="1"/>
  <c r="F7139" i="1"/>
  <c r="D7140" i="1"/>
  <c r="F7140" i="1"/>
  <c r="D7141" i="1"/>
  <c r="F7141" i="1"/>
  <c r="D7142" i="1"/>
  <c r="F7142" i="1"/>
  <c r="D7143" i="1"/>
  <c r="F7143" i="1"/>
  <c r="D7144" i="1"/>
  <c r="F7144" i="1"/>
  <c r="D7145" i="1"/>
  <c r="F7145" i="1"/>
  <c r="D7146" i="1"/>
  <c r="F7146" i="1"/>
  <c r="D7147" i="1"/>
  <c r="F7147" i="1"/>
  <c r="D7148" i="1"/>
  <c r="F7148" i="1"/>
  <c r="D7149" i="1"/>
  <c r="F7149" i="1"/>
  <c r="D7150" i="1"/>
  <c r="F7150" i="1"/>
  <c r="D7151" i="1"/>
  <c r="F7151" i="1"/>
  <c r="D7152" i="1"/>
  <c r="F7152" i="1"/>
  <c r="D7153" i="1"/>
  <c r="F7153" i="1"/>
  <c r="D7154" i="1"/>
  <c r="F7154" i="1"/>
  <c r="D7155" i="1"/>
  <c r="F7155" i="1"/>
  <c r="D7156" i="1"/>
  <c r="F7156" i="1"/>
  <c r="D7157" i="1"/>
  <c r="F7157" i="1"/>
  <c r="D7158" i="1"/>
  <c r="F7158" i="1"/>
  <c r="D7159" i="1"/>
  <c r="F7159" i="1"/>
  <c r="D7160" i="1"/>
  <c r="F7160" i="1"/>
  <c r="D7161" i="1"/>
  <c r="F7161" i="1"/>
  <c r="D7162" i="1"/>
  <c r="F7162" i="1"/>
  <c r="D7163" i="1"/>
  <c r="F7163" i="1"/>
  <c r="D7164" i="1"/>
  <c r="F7164" i="1"/>
  <c r="D7165" i="1"/>
  <c r="F7165" i="1"/>
  <c r="D7166" i="1"/>
  <c r="F7166" i="1"/>
  <c r="D7167" i="1"/>
  <c r="F7167" i="1"/>
  <c r="D7168" i="1"/>
  <c r="F7168" i="1"/>
  <c r="D7169" i="1"/>
  <c r="F7169" i="1"/>
  <c r="D7170" i="1"/>
  <c r="F7170" i="1"/>
  <c r="D7171" i="1"/>
  <c r="F7171" i="1"/>
  <c r="D7172" i="1"/>
  <c r="F7172" i="1"/>
  <c r="D7173" i="1"/>
  <c r="F7173" i="1"/>
  <c r="D7174" i="1"/>
  <c r="F7174" i="1"/>
  <c r="D7175" i="1"/>
  <c r="F7175" i="1"/>
  <c r="D7176" i="1"/>
  <c r="F7176" i="1"/>
  <c r="D7177" i="1"/>
  <c r="F7177" i="1"/>
  <c r="D7178" i="1"/>
  <c r="F7178" i="1"/>
  <c r="D7179" i="1"/>
  <c r="F7179" i="1"/>
  <c r="D7180" i="1"/>
  <c r="F7180" i="1"/>
  <c r="D7181" i="1"/>
  <c r="F7181" i="1"/>
  <c r="D7182" i="1"/>
  <c r="F7182" i="1"/>
  <c r="D7183" i="1"/>
  <c r="F7183" i="1"/>
  <c r="D7184" i="1"/>
  <c r="F7184" i="1"/>
  <c r="D7185" i="1"/>
  <c r="F7185" i="1"/>
  <c r="D7186" i="1"/>
  <c r="F7186" i="1"/>
  <c r="D7187" i="1"/>
  <c r="F7187" i="1"/>
  <c r="D7188" i="1"/>
  <c r="F7188" i="1"/>
  <c r="D7189" i="1"/>
  <c r="F7189" i="1"/>
  <c r="D7190" i="1"/>
  <c r="F7190" i="1"/>
  <c r="D7191" i="1"/>
  <c r="F7191" i="1"/>
  <c r="D7192" i="1"/>
  <c r="F7192" i="1"/>
  <c r="D7193" i="1"/>
  <c r="F7193" i="1"/>
  <c r="D7194" i="1"/>
  <c r="F7194" i="1"/>
  <c r="D7195" i="1"/>
  <c r="F7195" i="1"/>
  <c r="D7196" i="1"/>
  <c r="F7196" i="1"/>
  <c r="D7197" i="1"/>
  <c r="F7197" i="1"/>
  <c r="D7198" i="1"/>
  <c r="F7198" i="1"/>
  <c r="D7199" i="1"/>
  <c r="F7199" i="1"/>
  <c r="D7200" i="1"/>
  <c r="F7200" i="1"/>
  <c r="D7201" i="1"/>
  <c r="F7201" i="1"/>
  <c r="D7202" i="1"/>
  <c r="F7202" i="1"/>
  <c r="D7203" i="1"/>
  <c r="F7203" i="1"/>
  <c r="D7204" i="1"/>
  <c r="F7204" i="1"/>
  <c r="D7205" i="1"/>
  <c r="F7205" i="1"/>
  <c r="D7206" i="1"/>
  <c r="F7206" i="1"/>
  <c r="D7207" i="1"/>
  <c r="F7207" i="1"/>
  <c r="D7208" i="1"/>
  <c r="F7208" i="1"/>
  <c r="D7209" i="1"/>
  <c r="F7209" i="1"/>
  <c r="D7210" i="1"/>
  <c r="F7210" i="1"/>
  <c r="D7211" i="1"/>
  <c r="F7211" i="1"/>
  <c r="D7212" i="1"/>
  <c r="F7212" i="1"/>
  <c r="D7213" i="1"/>
  <c r="F7213" i="1"/>
  <c r="D7214" i="1"/>
  <c r="F7214" i="1"/>
  <c r="D7215" i="1"/>
  <c r="F7215" i="1"/>
  <c r="D7216" i="1"/>
  <c r="F7216" i="1"/>
  <c r="D7217" i="1"/>
  <c r="F7217" i="1"/>
  <c r="D7218" i="1"/>
  <c r="F7218" i="1"/>
  <c r="D7219" i="1"/>
  <c r="F7219" i="1"/>
  <c r="D7220" i="1"/>
  <c r="F7220" i="1"/>
  <c r="D7221" i="1"/>
  <c r="F7221" i="1"/>
  <c r="D7222" i="1"/>
  <c r="F7222" i="1"/>
  <c r="D7223" i="1"/>
  <c r="F7223" i="1"/>
  <c r="D7224" i="1"/>
  <c r="F7224" i="1"/>
  <c r="D7225" i="1"/>
  <c r="F7225" i="1"/>
  <c r="D7226" i="1"/>
  <c r="F7226" i="1"/>
  <c r="D7227" i="1"/>
  <c r="F7227" i="1"/>
  <c r="D7228" i="1"/>
  <c r="F7228" i="1"/>
  <c r="D7229" i="1"/>
  <c r="F7229" i="1"/>
  <c r="D7230" i="1"/>
  <c r="F7230" i="1"/>
  <c r="D7231" i="1"/>
  <c r="F7231" i="1"/>
  <c r="D7232" i="1"/>
  <c r="F7232" i="1"/>
  <c r="D7233" i="1"/>
  <c r="F7233" i="1"/>
  <c r="D7234" i="1"/>
  <c r="F7234" i="1"/>
  <c r="D7235" i="1"/>
  <c r="F7235" i="1"/>
  <c r="D7236" i="1"/>
  <c r="F7236" i="1"/>
  <c r="D7237" i="1"/>
  <c r="F7237" i="1"/>
  <c r="D7238" i="1"/>
  <c r="F7238" i="1"/>
  <c r="D7239" i="1"/>
  <c r="F7239" i="1"/>
  <c r="D7240" i="1"/>
  <c r="F7240" i="1"/>
  <c r="D7241" i="1"/>
  <c r="F7241" i="1"/>
  <c r="D7242" i="1"/>
  <c r="F7242" i="1"/>
  <c r="D7243" i="1"/>
  <c r="F7243" i="1"/>
  <c r="D7244" i="1"/>
  <c r="F7244" i="1"/>
  <c r="D7245" i="1"/>
  <c r="F7245" i="1"/>
  <c r="D7246" i="1"/>
  <c r="F7246" i="1"/>
  <c r="D7247" i="1"/>
  <c r="F7247" i="1"/>
  <c r="D7248" i="1"/>
  <c r="F7248" i="1"/>
  <c r="D7249" i="1"/>
  <c r="F7249" i="1"/>
  <c r="D7250" i="1"/>
  <c r="F7250" i="1"/>
  <c r="D7251" i="1"/>
  <c r="F7251" i="1"/>
  <c r="D7252" i="1"/>
  <c r="F7252" i="1"/>
  <c r="D7253" i="1"/>
  <c r="F7253" i="1"/>
  <c r="D7254" i="1"/>
  <c r="F7254" i="1"/>
  <c r="D7255" i="1"/>
  <c r="F7255" i="1"/>
  <c r="D7256" i="1"/>
  <c r="F7256" i="1"/>
  <c r="D7257" i="1"/>
  <c r="F7257" i="1"/>
  <c r="D7258" i="1"/>
  <c r="F7258" i="1"/>
  <c r="D7259" i="1"/>
  <c r="F7259" i="1"/>
  <c r="D7260" i="1"/>
  <c r="F7260" i="1"/>
  <c r="D7261" i="1"/>
  <c r="F7261" i="1"/>
  <c r="D7262" i="1"/>
  <c r="F7262" i="1"/>
  <c r="D7263" i="1"/>
  <c r="F7263" i="1"/>
  <c r="D7264" i="1"/>
  <c r="F7264" i="1"/>
  <c r="D7265" i="1"/>
  <c r="F7265" i="1"/>
  <c r="D7266" i="1"/>
  <c r="F7266" i="1"/>
  <c r="D7267" i="1"/>
  <c r="F7267" i="1"/>
  <c r="D7268" i="1"/>
  <c r="F7268" i="1"/>
  <c r="D7269" i="1"/>
  <c r="F7269" i="1"/>
  <c r="D7270" i="1"/>
  <c r="F7270" i="1"/>
  <c r="D7271" i="1"/>
  <c r="F7271" i="1"/>
  <c r="D7272" i="1"/>
  <c r="F7272" i="1"/>
  <c r="D7273" i="1"/>
  <c r="F7273" i="1"/>
  <c r="D7274" i="1"/>
  <c r="F7274" i="1"/>
  <c r="D7275" i="1"/>
  <c r="F7275" i="1"/>
  <c r="D7276" i="1"/>
  <c r="F7276" i="1"/>
  <c r="D7277" i="1"/>
  <c r="F7277" i="1"/>
  <c r="D7278" i="1"/>
  <c r="F7278" i="1"/>
  <c r="D7279" i="1"/>
  <c r="F7279" i="1"/>
  <c r="D7280" i="1"/>
  <c r="F7280" i="1"/>
  <c r="D7281" i="1"/>
  <c r="F7281" i="1"/>
  <c r="D7282" i="1"/>
  <c r="F7282" i="1"/>
  <c r="D7283" i="1"/>
  <c r="F7283" i="1"/>
  <c r="D7284" i="1"/>
  <c r="F7284" i="1"/>
  <c r="D7285" i="1"/>
  <c r="F7285" i="1"/>
  <c r="D7286" i="1"/>
  <c r="F7286" i="1"/>
  <c r="D7287" i="1"/>
  <c r="F7287" i="1"/>
  <c r="D7288" i="1"/>
  <c r="F7288" i="1"/>
  <c r="D7289" i="1"/>
  <c r="F7289" i="1"/>
  <c r="D7290" i="1"/>
  <c r="F7290" i="1"/>
  <c r="D7291" i="1"/>
  <c r="F7291" i="1"/>
  <c r="D7292" i="1"/>
  <c r="F7292" i="1"/>
  <c r="D7293" i="1"/>
  <c r="F7293" i="1"/>
  <c r="D7294" i="1"/>
  <c r="F7294" i="1"/>
  <c r="D7295" i="1"/>
  <c r="F7295" i="1"/>
  <c r="D7296" i="1"/>
  <c r="F7296" i="1"/>
  <c r="D7297" i="1"/>
  <c r="F7297" i="1"/>
  <c r="D7298" i="1"/>
  <c r="F7298" i="1"/>
  <c r="D7299" i="1"/>
  <c r="F7299" i="1"/>
  <c r="D7300" i="1"/>
  <c r="F7300" i="1"/>
  <c r="D7301" i="1"/>
  <c r="F7301" i="1"/>
  <c r="D7302" i="1"/>
  <c r="F7302" i="1"/>
  <c r="D7303" i="1"/>
  <c r="F7303" i="1"/>
  <c r="D7304" i="1"/>
  <c r="F7304" i="1"/>
  <c r="D7305" i="1"/>
  <c r="F7305" i="1"/>
  <c r="D7306" i="1"/>
  <c r="F7306" i="1"/>
  <c r="D7307" i="1"/>
  <c r="F7307" i="1"/>
  <c r="D7308" i="1"/>
  <c r="F7308" i="1"/>
  <c r="D7309" i="1"/>
  <c r="F7309" i="1"/>
  <c r="D7310" i="1"/>
  <c r="F7310" i="1"/>
  <c r="D7311" i="1"/>
  <c r="F7311" i="1"/>
  <c r="D7312" i="1"/>
  <c r="F7312" i="1"/>
  <c r="D7313" i="1"/>
  <c r="F7313" i="1"/>
  <c r="D7314" i="1"/>
  <c r="F7314" i="1"/>
  <c r="D7315" i="1"/>
  <c r="F7315" i="1"/>
  <c r="D7316" i="1"/>
  <c r="F7316" i="1"/>
  <c r="D7317" i="1"/>
  <c r="F7317" i="1"/>
  <c r="D7318" i="1"/>
  <c r="F7318" i="1"/>
  <c r="D7319" i="1"/>
  <c r="F7319" i="1"/>
  <c r="D7320" i="1"/>
  <c r="F7320" i="1"/>
  <c r="D7321" i="1"/>
  <c r="F7321" i="1"/>
  <c r="D7322" i="1"/>
  <c r="F7322" i="1"/>
  <c r="D7323" i="1"/>
  <c r="F7323" i="1"/>
  <c r="D7324" i="1"/>
  <c r="F7324" i="1"/>
  <c r="D7325" i="1"/>
  <c r="F7325" i="1"/>
  <c r="D7326" i="1"/>
  <c r="F7326" i="1"/>
  <c r="D7327" i="1"/>
  <c r="F7327" i="1"/>
  <c r="D7328" i="1"/>
  <c r="F7328" i="1"/>
  <c r="D7329" i="1"/>
  <c r="F7329" i="1"/>
  <c r="D7330" i="1"/>
  <c r="F7330" i="1"/>
  <c r="D7331" i="1"/>
  <c r="F7331" i="1"/>
  <c r="D7332" i="1"/>
  <c r="F7332" i="1"/>
  <c r="D7333" i="1"/>
  <c r="F7333" i="1"/>
  <c r="D7334" i="1"/>
  <c r="F7334" i="1"/>
  <c r="D7335" i="1"/>
  <c r="F7335" i="1"/>
  <c r="D7336" i="1"/>
  <c r="F7336" i="1"/>
  <c r="D7337" i="1"/>
  <c r="F7337" i="1"/>
  <c r="D7338" i="1"/>
  <c r="F7338" i="1"/>
  <c r="D7339" i="1"/>
  <c r="F7339" i="1"/>
  <c r="D7340" i="1"/>
  <c r="F7340" i="1"/>
  <c r="D7341" i="1"/>
  <c r="F7341" i="1"/>
  <c r="D7342" i="1"/>
  <c r="F7342" i="1"/>
  <c r="D7343" i="1"/>
  <c r="F7343" i="1"/>
  <c r="D7344" i="1"/>
  <c r="F7344" i="1"/>
  <c r="D7345" i="1"/>
  <c r="F7345" i="1"/>
  <c r="D7346" i="1"/>
  <c r="F7346" i="1"/>
  <c r="D7347" i="1"/>
  <c r="F7347" i="1"/>
  <c r="D7348" i="1"/>
  <c r="F7348" i="1"/>
  <c r="D7349" i="1"/>
  <c r="F7349" i="1"/>
  <c r="D7350" i="1"/>
  <c r="F7350" i="1"/>
  <c r="D7351" i="1"/>
  <c r="F7351" i="1"/>
  <c r="D7352" i="1"/>
  <c r="F7352" i="1"/>
  <c r="D7353" i="1"/>
  <c r="F7353" i="1"/>
  <c r="D7354" i="1"/>
  <c r="F7354" i="1"/>
  <c r="D7355" i="1"/>
  <c r="F7355" i="1"/>
  <c r="D7356" i="1"/>
  <c r="F7356" i="1"/>
  <c r="D7357" i="1"/>
  <c r="F7357" i="1"/>
  <c r="D7358" i="1"/>
  <c r="F7358" i="1"/>
  <c r="D7359" i="1"/>
  <c r="F7359" i="1"/>
  <c r="D7360" i="1"/>
  <c r="F7360" i="1"/>
  <c r="D7361" i="1"/>
  <c r="F7361" i="1"/>
  <c r="D7362" i="1"/>
  <c r="F7362" i="1"/>
  <c r="D7363" i="1"/>
  <c r="F7363" i="1"/>
  <c r="D7364" i="1"/>
  <c r="F7364" i="1"/>
  <c r="D7365" i="1"/>
  <c r="F7365" i="1"/>
  <c r="D7366" i="1"/>
  <c r="F7366" i="1"/>
  <c r="D7367" i="1"/>
  <c r="F7367" i="1"/>
  <c r="D7368" i="1"/>
  <c r="F7368" i="1"/>
  <c r="D7369" i="1"/>
  <c r="F7369" i="1"/>
  <c r="D7370" i="1"/>
  <c r="F7370" i="1"/>
  <c r="D7371" i="1"/>
  <c r="F7371" i="1"/>
  <c r="D7372" i="1"/>
  <c r="F7372" i="1"/>
  <c r="D7373" i="1"/>
  <c r="F7373" i="1"/>
  <c r="D7374" i="1"/>
  <c r="F7374" i="1"/>
  <c r="D7375" i="1"/>
  <c r="F7375" i="1"/>
  <c r="D7376" i="1"/>
  <c r="F7376" i="1"/>
  <c r="D7377" i="1"/>
  <c r="F7377" i="1"/>
  <c r="D7378" i="1"/>
  <c r="F7378" i="1"/>
  <c r="D7379" i="1"/>
  <c r="F7379" i="1"/>
  <c r="D7380" i="1"/>
  <c r="F7380" i="1"/>
  <c r="D7381" i="1"/>
  <c r="F7381" i="1"/>
  <c r="D7382" i="1"/>
  <c r="F7382" i="1"/>
  <c r="D7383" i="1"/>
  <c r="F7383" i="1"/>
  <c r="D7384" i="1"/>
  <c r="F7384" i="1"/>
  <c r="D7385" i="1"/>
  <c r="F7385" i="1"/>
  <c r="D7386" i="1"/>
  <c r="F7386" i="1"/>
  <c r="D7387" i="1"/>
  <c r="F7387" i="1"/>
  <c r="D7388" i="1"/>
  <c r="F7388" i="1"/>
  <c r="D7389" i="1"/>
  <c r="F7389" i="1"/>
  <c r="D7390" i="1"/>
  <c r="F7390" i="1"/>
  <c r="D7391" i="1"/>
  <c r="F7391" i="1"/>
  <c r="D7392" i="1"/>
  <c r="F7392" i="1"/>
  <c r="D7393" i="1"/>
  <c r="F7393" i="1"/>
  <c r="D7394" i="1"/>
  <c r="F7394" i="1"/>
  <c r="D7395" i="1"/>
  <c r="F7395" i="1"/>
  <c r="D7396" i="1"/>
  <c r="F7396" i="1"/>
  <c r="D7397" i="1"/>
  <c r="F7397" i="1"/>
  <c r="D7398" i="1"/>
  <c r="F7398" i="1"/>
  <c r="D7399" i="1"/>
  <c r="F7399" i="1"/>
  <c r="D7400" i="1"/>
  <c r="F7400" i="1"/>
  <c r="D7401" i="1"/>
  <c r="F7401" i="1"/>
  <c r="D7402" i="1"/>
  <c r="F7402" i="1"/>
  <c r="D7403" i="1"/>
  <c r="F7403" i="1"/>
  <c r="D7404" i="1"/>
  <c r="F7404" i="1"/>
  <c r="D7405" i="1"/>
  <c r="F7405" i="1"/>
  <c r="D7406" i="1"/>
  <c r="F7406" i="1"/>
  <c r="D7407" i="1"/>
  <c r="F7407" i="1"/>
  <c r="D7408" i="1"/>
  <c r="F7408" i="1"/>
  <c r="D7409" i="1"/>
  <c r="F7409" i="1"/>
  <c r="D7410" i="1"/>
  <c r="F7410" i="1"/>
  <c r="D7411" i="1"/>
  <c r="F7411" i="1"/>
  <c r="D7412" i="1"/>
  <c r="F7412" i="1"/>
  <c r="D7413" i="1"/>
  <c r="F7413" i="1"/>
  <c r="D7414" i="1"/>
  <c r="F7414" i="1"/>
  <c r="D7415" i="1"/>
  <c r="F7415" i="1"/>
  <c r="D7416" i="1"/>
  <c r="F7416" i="1"/>
  <c r="D7417" i="1"/>
  <c r="F7417" i="1"/>
  <c r="D7418" i="1"/>
  <c r="F7418" i="1"/>
  <c r="D7419" i="1"/>
  <c r="F7419" i="1"/>
  <c r="D7420" i="1"/>
  <c r="F7420" i="1"/>
  <c r="D7421" i="1"/>
  <c r="F7421" i="1"/>
  <c r="D7422" i="1"/>
  <c r="F7422" i="1"/>
  <c r="D7423" i="1"/>
  <c r="F7423" i="1"/>
  <c r="D7424" i="1"/>
  <c r="F7424" i="1"/>
  <c r="D7425" i="1"/>
  <c r="F7425" i="1"/>
  <c r="D7426" i="1"/>
  <c r="F7426" i="1"/>
  <c r="D7427" i="1"/>
  <c r="F7427" i="1"/>
  <c r="D7428" i="1"/>
  <c r="F7428" i="1"/>
  <c r="D7429" i="1"/>
  <c r="F7429" i="1"/>
  <c r="D7430" i="1"/>
  <c r="F7430" i="1"/>
  <c r="D7431" i="1"/>
  <c r="F7431" i="1"/>
  <c r="D7432" i="1"/>
  <c r="F7432" i="1"/>
  <c r="D7433" i="1"/>
  <c r="F7433" i="1"/>
  <c r="D7434" i="1"/>
  <c r="F7434" i="1"/>
  <c r="D7435" i="1"/>
  <c r="F7435" i="1"/>
  <c r="D7436" i="1"/>
  <c r="F7436" i="1"/>
  <c r="D7437" i="1"/>
  <c r="F7437" i="1"/>
  <c r="D7438" i="1"/>
  <c r="F7438" i="1"/>
  <c r="D7439" i="1"/>
  <c r="F7439" i="1"/>
  <c r="D7440" i="1"/>
  <c r="F7440" i="1"/>
  <c r="D7441" i="1"/>
  <c r="F7441" i="1"/>
  <c r="D7442" i="1"/>
  <c r="F7442" i="1"/>
  <c r="D7443" i="1"/>
  <c r="F7443" i="1"/>
  <c r="D7444" i="1"/>
  <c r="F7444" i="1"/>
  <c r="D7445" i="1"/>
  <c r="F7445" i="1"/>
  <c r="D7446" i="1"/>
  <c r="F7446" i="1"/>
  <c r="D7447" i="1"/>
  <c r="F7447" i="1"/>
  <c r="D7448" i="1"/>
  <c r="F7448" i="1"/>
  <c r="D7449" i="1"/>
  <c r="F7449" i="1"/>
  <c r="D7450" i="1"/>
  <c r="F7450" i="1"/>
  <c r="D7451" i="1"/>
  <c r="F7451" i="1"/>
  <c r="D7452" i="1"/>
  <c r="F7452" i="1"/>
  <c r="D7453" i="1"/>
  <c r="F7453" i="1"/>
  <c r="D7454" i="1"/>
  <c r="F7454" i="1"/>
  <c r="D7455" i="1"/>
  <c r="F7455" i="1"/>
  <c r="D7456" i="1"/>
  <c r="F7456" i="1"/>
  <c r="D7457" i="1"/>
  <c r="F7457" i="1"/>
  <c r="D7458" i="1"/>
  <c r="F7458" i="1"/>
  <c r="D7459" i="1"/>
  <c r="F7459" i="1"/>
  <c r="D7460" i="1"/>
  <c r="F7460" i="1"/>
  <c r="D7461" i="1"/>
  <c r="F7461" i="1"/>
  <c r="D7462" i="1"/>
  <c r="F7462" i="1"/>
  <c r="D7463" i="1"/>
  <c r="F7463" i="1"/>
  <c r="D7464" i="1"/>
  <c r="F7464" i="1"/>
  <c r="D7465" i="1"/>
  <c r="F7465" i="1"/>
  <c r="D7466" i="1"/>
  <c r="F7466" i="1"/>
  <c r="D7467" i="1"/>
  <c r="F7467" i="1"/>
  <c r="D7468" i="1"/>
  <c r="F7468" i="1"/>
  <c r="D7469" i="1"/>
  <c r="F7469" i="1"/>
  <c r="D7470" i="1"/>
  <c r="F7470" i="1"/>
  <c r="D7471" i="1"/>
  <c r="F7471" i="1"/>
  <c r="D7472" i="1"/>
  <c r="F7472" i="1"/>
  <c r="D7473" i="1"/>
  <c r="F7473" i="1"/>
  <c r="D7474" i="1"/>
  <c r="F7474" i="1"/>
  <c r="D7475" i="1"/>
  <c r="F7475" i="1"/>
  <c r="D7476" i="1"/>
  <c r="F7476" i="1"/>
  <c r="D7477" i="1"/>
  <c r="F7477" i="1"/>
  <c r="D7478" i="1"/>
  <c r="F7478" i="1"/>
  <c r="D7479" i="1"/>
  <c r="F7479" i="1"/>
  <c r="D7480" i="1"/>
  <c r="F7480" i="1"/>
  <c r="D7481" i="1"/>
  <c r="F7481" i="1"/>
  <c r="D7482" i="1"/>
  <c r="F7482" i="1"/>
  <c r="D7483" i="1"/>
  <c r="F7483" i="1"/>
  <c r="D7484" i="1"/>
  <c r="F7484" i="1"/>
  <c r="D7485" i="1"/>
  <c r="F7485" i="1"/>
  <c r="D7486" i="1"/>
  <c r="F7486" i="1"/>
  <c r="D7487" i="1"/>
  <c r="F7487" i="1"/>
  <c r="D7488" i="1"/>
  <c r="F7488" i="1"/>
  <c r="D7489" i="1"/>
  <c r="F7489" i="1"/>
  <c r="D7490" i="1"/>
  <c r="F7490" i="1"/>
  <c r="D7491" i="1"/>
  <c r="F7491" i="1"/>
  <c r="D7492" i="1"/>
  <c r="F7492" i="1"/>
  <c r="D7493" i="1"/>
  <c r="F7493" i="1"/>
  <c r="D7494" i="1"/>
  <c r="F7494" i="1"/>
  <c r="D7495" i="1"/>
  <c r="F7495" i="1"/>
  <c r="D7496" i="1"/>
  <c r="F7496" i="1"/>
  <c r="D7497" i="1"/>
  <c r="F7497" i="1"/>
  <c r="D7498" i="1"/>
  <c r="F7498" i="1"/>
  <c r="D7499" i="1"/>
  <c r="F7499" i="1"/>
  <c r="D7500" i="1"/>
  <c r="F7500" i="1"/>
  <c r="D7501" i="1"/>
  <c r="F7501" i="1"/>
  <c r="D7502" i="1"/>
  <c r="F7502" i="1"/>
  <c r="D7503" i="1"/>
  <c r="F7503" i="1"/>
  <c r="D7504" i="1"/>
  <c r="F7504" i="1"/>
  <c r="D7505" i="1"/>
  <c r="F7505" i="1"/>
  <c r="D7506" i="1"/>
  <c r="F7506" i="1"/>
  <c r="D7507" i="1"/>
  <c r="F7507" i="1"/>
  <c r="D7508" i="1"/>
  <c r="F7508" i="1"/>
  <c r="D7509" i="1"/>
  <c r="F7509" i="1"/>
  <c r="D7510" i="1"/>
  <c r="F7510" i="1"/>
  <c r="D7511" i="1"/>
  <c r="F7511" i="1"/>
  <c r="D7512" i="1"/>
  <c r="F7512" i="1"/>
  <c r="D7513" i="1"/>
  <c r="F7513" i="1"/>
  <c r="D7514" i="1"/>
  <c r="F7514" i="1"/>
  <c r="D7515" i="1"/>
  <c r="F7515" i="1"/>
  <c r="D7516" i="1"/>
  <c r="F7516" i="1"/>
  <c r="D7517" i="1"/>
  <c r="F7517" i="1"/>
  <c r="D7518" i="1"/>
  <c r="F7518" i="1"/>
  <c r="D7519" i="1"/>
  <c r="F7519" i="1"/>
  <c r="D7520" i="1"/>
  <c r="F7520" i="1"/>
  <c r="D7521" i="1"/>
  <c r="F7521" i="1"/>
  <c r="D7522" i="1"/>
  <c r="F7522" i="1"/>
  <c r="D7523" i="1"/>
  <c r="F7523" i="1"/>
  <c r="D7524" i="1"/>
  <c r="F7524" i="1"/>
  <c r="D7525" i="1"/>
  <c r="F7525" i="1"/>
  <c r="D7526" i="1"/>
  <c r="F7526" i="1"/>
  <c r="D7527" i="1"/>
  <c r="F7527" i="1"/>
  <c r="D7528" i="1"/>
  <c r="F7528" i="1"/>
  <c r="D7529" i="1"/>
  <c r="F7529" i="1"/>
  <c r="D7530" i="1"/>
  <c r="F7530" i="1"/>
  <c r="D7531" i="1"/>
  <c r="F7531" i="1"/>
  <c r="D7532" i="1"/>
  <c r="F7532" i="1"/>
  <c r="D7533" i="1"/>
  <c r="F7533" i="1"/>
  <c r="D7534" i="1"/>
  <c r="F7534" i="1"/>
  <c r="D7535" i="1"/>
  <c r="F7535" i="1"/>
  <c r="D7536" i="1"/>
  <c r="F7536" i="1"/>
  <c r="D7537" i="1"/>
  <c r="F7537" i="1"/>
  <c r="D7538" i="1"/>
  <c r="F7538" i="1"/>
  <c r="D7539" i="1"/>
  <c r="F7539" i="1"/>
  <c r="D7540" i="1"/>
  <c r="F7540" i="1"/>
  <c r="D7541" i="1"/>
  <c r="F7541" i="1"/>
  <c r="D7542" i="1"/>
  <c r="F7542" i="1"/>
  <c r="D7543" i="1"/>
  <c r="F7543" i="1"/>
  <c r="D7544" i="1"/>
  <c r="F7544" i="1"/>
  <c r="D7545" i="1"/>
  <c r="F7545" i="1"/>
  <c r="D7546" i="1"/>
  <c r="F7546" i="1"/>
  <c r="D7547" i="1"/>
  <c r="F7547" i="1"/>
  <c r="D7548" i="1"/>
  <c r="F7548" i="1"/>
  <c r="D7549" i="1"/>
  <c r="F7549" i="1"/>
  <c r="D7550" i="1"/>
  <c r="F7550" i="1"/>
  <c r="D7551" i="1"/>
  <c r="F7551" i="1"/>
  <c r="D7552" i="1"/>
  <c r="F7552" i="1"/>
  <c r="D7553" i="1"/>
  <c r="F7553" i="1"/>
  <c r="D7554" i="1"/>
  <c r="F7554" i="1"/>
  <c r="D7555" i="1"/>
  <c r="F7555" i="1"/>
  <c r="D7556" i="1"/>
  <c r="F7556" i="1"/>
  <c r="D7557" i="1"/>
  <c r="F7557" i="1"/>
  <c r="D7558" i="1"/>
  <c r="F7558" i="1"/>
  <c r="D7559" i="1"/>
  <c r="F7559" i="1"/>
  <c r="D7560" i="1"/>
  <c r="F7560" i="1"/>
  <c r="D7561" i="1"/>
  <c r="F7561" i="1"/>
  <c r="D7562" i="1"/>
  <c r="F7562" i="1"/>
  <c r="D7563" i="1"/>
  <c r="F7563" i="1"/>
  <c r="D7564" i="1"/>
  <c r="F7564" i="1"/>
  <c r="D7565" i="1"/>
  <c r="F7565" i="1"/>
  <c r="D7566" i="1"/>
  <c r="F7566" i="1"/>
  <c r="D7567" i="1"/>
  <c r="F7567" i="1"/>
  <c r="D7568" i="1"/>
  <c r="F7568" i="1"/>
  <c r="D7569" i="1"/>
  <c r="F7569" i="1"/>
  <c r="D7570" i="1"/>
  <c r="F7570" i="1"/>
  <c r="D7571" i="1"/>
  <c r="F7571" i="1"/>
  <c r="D7572" i="1"/>
  <c r="F7572" i="1"/>
  <c r="D7573" i="1"/>
  <c r="F7573" i="1"/>
  <c r="D7574" i="1"/>
  <c r="F7574" i="1"/>
  <c r="D7575" i="1"/>
  <c r="F7575" i="1"/>
  <c r="D7576" i="1"/>
  <c r="F7576" i="1"/>
  <c r="D7577" i="1"/>
  <c r="F7577" i="1"/>
  <c r="D7578" i="1"/>
  <c r="F7578" i="1"/>
  <c r="D7579" i="1"/>
  <c r="F7579" i="1"/>
  <c r="D7580" i="1"/>
  <c r="F7580" i="1"/>
  <c r="D7581" i="1"/>
  <c r="F7581" i="1"/>
  <c r="D7582" i="1"/>
  <c r="F7582" i="1"/>
  <c r="D7583" i="1"/>
  <c r="F7583" i="1"/>
  <c r="D7584" i="1"/>
  <c r="F7584" i="1"/>
  <c r="D7585" i="1"/>
  <c r="F7585" i="1"/>
  <c r="D7586" i="1"/>
  <c r="F7586" i="1"/>
  <c r="D7587" i="1"/>
  <c r="F7587" i="1"/>
  <c r="D7588" i="1"/>
  <c r="F7588" i="1"/>
  <c r="D7589" i="1"/>
  <c r="F7589" i="1"/>
  <c r="D7590" i="1"/>
  <c r="F7590" i="1"/>
  <c r="D7591" i="1"/>
  <c r="F7591" i="1"/>
  <c r="D7592" i="1"/>
  <c r="F7592" i="1"/>
  <c r="D7593" i="1"/>
  <c r="F7593" i="1"/>
  <c r="D7594" i="1"/>
  <c r="F7594" i="1"/>
  <c r="D7595" i="1"/>
  <c r="F7595" i="1"/>
  <c r="D7596" i="1"/>
  <c r="F7596" i="1"/>
  <c r="D7597" i="1"/>
  <c r="F7597" i="1"/>
  <c r="D7598" i="1"/>
  <c r="F7598" i="1"/>
  <c r="D7599" i="1"/>
  <c r="F7599" i="1"/>
  <c r="D7600" i="1"/>
  <c r="F7600" i="1"/>
  <c r="D7601" i="1"/>
  <c r="F7601" i="1"/>
  <c r="D7602" i="1"/>
  <c r="F7602" i="1"/>
  <c r="D7603" i="1"/>
  <c r="F7603" i="1"/>
  <c r="D7604" i="1"/>
  <c r="F7604" i="1"/>
  <c r="D7605" i="1"/>
  <c r="F7605" i="1"/>
  <c r="D7606" i="1"/>
  <c r="F7606" i="1"/>
  <c r="D7607" i="1"/>
  <c r="F7607" i="1"/>
  <c r="D7608" i="1"/>
  <c r="F7608" i="1"/>
  <c r="D7609" i="1"/>
  <c r="F7609" i="1"/>
  <c r="D7610" i="1"/>
  <c r="F7610" i="1"/>
  <c r="D7611" i="1"/>
  <c r="F7611" i="1"/>
  <c r="D7612" i="1"/>
  <c r="F7612" i="1"/>
  <c r="D7613" i="1"/>
  <c r="F7613" i="1"/>
  <c r="D7614" i="1"/>
  <c r="F7614" i="1"/>
  <c r="D7615" i="1"/>
  <c r="F7615" i="1"/>
  <c r="D7616" i="1"/>
  <c r="F7616" i="1"/>
  <c r="D7617" i="1"/>
  <c r="F7617" i="1"/>
  <c r="D7618" i="1"/>
  <c r="F7618" i="1"/>
  <c r="D7619" i="1"/>
  <c r="F7619" i="1"/>
  <c r="D7620" i="1"/>
  <c r="F7620" i="1"/>
  <c r="D7621" i="1"/>
  <c r="F7621" i="1"/>
  <c r="D7622" i="1"/>
  <c r="F7622" i="1"/>
  <c r="D7623" i="1"/>
  <c r="F7623" i="1"/>
  <c r="D7624" i="1"/>
  <c r="F7624" i="1"/>
  <c r="D7625" i="1"/>
  <c r="F7625" i="1"/>
  <c r="D7626" i="1"/>
  <c r="F7626" i="1"/>
  <c r="D7627" i="1"/>
  <c r="F7627" i="1"/>
  <c r="D7628" i="1"/>
  <c r="F7628" i="1"/>
  <c r="D7629" i="1"/>
  <c r="F7629" i="1"/>
  <c r="D7630" i="1"/>
  <c r="F7630" i="1"/>
  <c r="D7631" i="1"/>
  <c r="F7631" i="1"/>
  <c r="D7632" i="1"/>
  <c r="F7632" i="1"/>
  <c r="D7633" i="1"/>
  <c r="F7633" i="1"/>
  <c r="D7634" i="1"/>
  <c r="F7634" i="1"/>
  <c r="D7635" i="1"/>
  <c r="F7635" i="1"/>
  <c r="D7636" i="1"/>
  <c r="F7636" i="1"/>
  <c r="D7637" i="1"/>
  <c r="F7637" i="1"/>
  <c r="D7638" i="1"/>
  <c r="F7638" i="1"/>
  <c r="D7639" i="1"/>
  <c r="F7639" i="1"/>
  <c r="D7640" i="1"/>
  <c r="F7640" i="1"/>
  <c r="D7641" i="1"/>
  <c r="F7641" i="1"/>
  <c r="D7642" i="1"/>
  <c r="F7642" i="1"/>
  <c r="D7643" i="1"/>
  <c r="F7643" i="1"/>
  <c r="D7644" i="1"/>
  <c r="F7644" i="1"/>
  <c r="D7645" i="1"/>
  <c r="F7645" i="1"/>
  <c r="D7646" i="1"/>
  <c r="F7646" i="1"/>
  <c r="D7647" i="1"/>
  <c r="F7647" i="1"/>
  <c r="D7648" i="1"/>
  <c r="F7648" i="1"/>
  <c r="D7649" i="1"/>
  <c r="F7649" i="1"/>
  <c r="D7650" i="1"/>
  <c r="F7650" i="1"/>
  <c r="D7651" i="1"/>
  <c r="F7651" i="1"/>
  <c r="D7652" i="1"/>
  <c r="F7652" i="1"/>
  <c r="D7653" i="1"/>
  <c r="F7653" i="1"/>
  <c r="D7654" i="1"/>
  <c r="F7654" i="1"/>
  <c r="D7655" i="1"/>
  <c r="F7655" i="1"/>
  <c r="D7656" i="1"/>
  <c r="F7656" i="1"/>
  <c r="D7657" i="1"/>
  <c r="F7657" i="1"/>
  <c r="D7658" i="1"/>
  <c r="F7658" i="1"/>
  <c r="D7659" i="1"/>
  <c r="F7659" i="1"/>
  <c r="D7660" i="1"/>
  <c r="F7660" i="1"/>
  <c r="D7661" i="1"/>
  <c r="F7661" i="1"/>
  <c r="D7662" i="1"/>
  <c r="F7662" i="1"/>
  <c r="D7663" i="1"/>
  <c r="F7663" i="1"/>
  <c r="D7664" i="1"/>
  <c r="F7664" i="1"/>
  <c r="D7665" i="1"/>
  <c r="F7665" i="1"/>
  <c r="D7666" i="1"/>
  <c r="F7666" i="1"/>
  <c r="D7667" i="1"/>
  <c r="F7667" i="1"/>
  <c r="D7668" i="1"/>
  <c r="F7668" i="1"/>
  <c r="D7669" i="1"/>
  <c r="F7669" i="1"/>
  <c r="D7670" i="1"/>
  <c r="F7670" i="1"/>
  <c r="D7671" i="1"/>
  <c r="F7671" i="1"/>
  <c r="D7672" i="1"/>
  <c r="F7672" i="1"/>
  <c r="D7673" i="1"/>
  <c r="F7673" i="1"/>
  <c r="D7674" i="1"/>
  <c r="F7674" i="1"/>
  <c r="D7675" i="1"/>
  <c r="F7675" i="1"/>
  <c r="D7676" i="1"/>
  <c r="F7676" i="1"/>
  <c r="D7677" i="1"/>
  <c r="F7677" i="1"/>
  <c r="D7678" i="1"/>
  <c r="F7678" i="1"/>
  <c r="D7679" i="1"/>
  <c r="F7679" i="1"/>
  <c r="D7680" i="1"/>
  <c r="F7680" i="1"/>
  <c r="D7681" i="1"/>
  <c r="F7681" i="1"/>
  <c r="D7682" i="1"/>
  <c r="F7682" i="1"/>
  <c r="D7683" i="1"/>
  <c r="F7683" i="1"/>
  <c r="D7684" i="1"/>
  <c r="F7684" i="1"/>
  <c r="D7685" i="1"/>
  <c r="F7685" i="1"/>
  <c r="D7686" i="1"/>
  <c r="F7686" i="1"/>
  <c r="D7687" i="1"/>
  <c r="F7687" i="1"/>
  <c r="D7688" i="1"/>
  <c r="F7688" i="1"/>
  <c r="D7689" i="1"/>
  <c r="F7689" i="1"/>
  <c r="D7690" i="1"/>
  <c r="F7690" i="1"/>
  <c r="D7691" i="1"/>
  <c r="F7691" i="1"/>
  <c r="D7692" i="1"/>
  <c r="F7692" i="1"/>
  <c r="D7693" i="1"/>
  <c r="F7693" i="1"/>
  <c r="D7694" i="1"/>
  <c r="F7694" i="1"/>
  <c r="D7695" i="1"/>
  <c r="F7695" i="1"/>
  <c r="D7696" i="1"/>
  <c r="F7696" i="1"/>
  <c r="D7697" i="1"/>
  <c r="F7697" i="1"/>
  <c r="D7698" i="1"/>
  <c r="F7698" i="1"/>
  <c r="D7699" i="1"/>
  <c r="F7699" i="1"/>
  <c r="D7700" i="1"/>
  <c r="F7700" i="1"/>
  <c r="D7701" i="1"/>
  <c r="F7701" i="1"/>
  <c r="D7702" i="1"/>
  <c r="F7702" i="1"/>
  <c r="D7703" i="1"/>
  <c r="F7703" i="1"/>
  <c r="D7704" i="1"/>
  <c r="F7704" i="1"/>
  <c r="D7705" i="1"/>
  <c r="F7705" i="1"/>
  <c r="D7706" i="1"/>
  <c r="F7706" i="1"/>
  <c r="D7707" i="1"/>
  <c r="F7707" i="1"/>
  <c r="D7708" i="1"/>
  <c r="F7708" i="1"/>
  <c r="D7709" i="1"/>
  <c r="F7709" i="1"/>
  <c r="D7710" i="1"/>
  <c r="F7710" i="1"/>
  <c r="D7711" i="1"/>
  <c r="F7711" i="1"/>
  <c r="D7712" i="1"/>
  <c r="F7712" i="1"/>
  <c r="D7713" i="1"/>
  <c r="F7713" i="1"/>
  <c r="D7714" i="1"/>
  <c r="F7714" i="1"/>
  <c r="D7715" i="1"/>
  <c r="F7715" i="1"/>
  <c r="D7716" i="1"/>
  <c r="F7716" i="1"/>
  <c r="D7717" i="1"/>
  <c r="F7717" i="1"/>
  <c r="D7718" i="1"/>
  <c r="F7718" i="1"/>
  <c r="D7719" i="1"/>
  <c r="F7719" i="1"/>
  <c r="D7720" i="1"/>
  <c r="F7720" i="1"/>
  <c r="D7721" i="1"/>
  <c r="F7721" i="1"/>
  <c r="D7722" i="1"/>
  <c r="F7722" i="1"/>
  <c r="D7723" i="1"/>
  <c r="F7723" i="1"/>
  <c r="D7724" i="1"/>
  <c r="F7724" i="1"/>
  <c r="D7725" i="1"/>
  <c r="F7725" i="1"/>
  <c r="D7726" i="1"/>
  <c r="F7726" i="1"/>
  <c r="D7727" i="1"/>
  <c r="F7727" i="1"/>
  <c r="D7728" i="1"/>
  <c r="F7728" i="1"/>
  <c r="D7729" i="1"/>
  <c r="F7729" i="1"/>
  <c r="D7730" i="1"/>
  <c r="F7730" i="1"/>
  <c r="D7731" i="1"/>
  <c r="F7731" i="1"/>
  <c r="D7732" i="1"/>
  <c r="F7732" i="1"/>
  <c r="D7733" i="1"/>
  <c r="F7733" i="1"/>
  <c r="D7734" i="1"/>
  <c r="F7734" i="1"/>
  <c r="D7735" i="1"/>
  <c r="F7735" i="1"/>
  <c r="D7736" i="1"/>
  <c r="F7736" i="1"/>
  <c r="D7737" i="1"/>
  <c r="F7737" i="1"/>
  <c r="D7738" i="1"/>
  <c r="F7738" i="1"/>
  <c r="D7739" i="1"/>
  <c r="F7739" i="1"/>
  <c r="D7740" i="1"/>
  <c r="F7740" i="1"/>
  <c r="D7741" i="1"/>
  <c r="F7741" i="1"/>
  <c r="D7742" i="1"/>
  <c r="F7742" i="1"/>
  <c r="D7743" i="1"/>
  <c r="F7743" i="1"/>
  <c r="D7744" i="1"/>
  <c r="F7744" i="1"/>
  <c r="D7745" i="1"/>
  <c r="F7745" i="1"/>
  <c r="D7746" i="1"/>
  <c r="F7746" i="1"/>
  <c r="D7747" i="1"/>
  <c r="F7747" i="1"/>
  <c r="D7748" i="1"/>
  <c r="F7748" i="1"/>
  <c r="D7749" i="1"/>
  <c r="F7749" i="1"/>
  <c r="D7750" i="1"/>
  <c r="F7750" i="1"/>
  <c r="D7751" i="1"/>
  <c r="F7751" i="1"/>
  <c r="D7752" i="1"/>
  <c r="F7752" i="1"/>
  <c r="D7753" i="1"/>
  <c r="F7753" i="1"/>
  <c r="D7754" i="1"/>
  <c r="F7754" i="1"/>
  <c r="D7755" i="1"/>
  <c r="F7755" i="1"/>
  <c r="D7756" i="1"/>
  <c r="F7756" i="1"/>
  <c r="D7757" i="1"/>
  <c r="F7757" i="1"/>
  <c r="D7758" i="1"/>
  <c r="F7758" i="1"/>
  <c r="D7759" i="1"/>
  <c r="F7759" i="1"/>
  <c r="D7760" i="1"/>
  <c r="F7760" i="1"/>
  <c r="D7761" i="1"/>
  <c r="F7761" i="1"/>
  <c r="D7762" i="1"/>
  <c r="F7762" i="1"/>
  <c r="D7763" i="1"/>
  <c r="F7763" i="1"/>
  <c r="D7764" i="1"/>
  <c r="F7764" i="1"/>
  <c r="D7765" i="1"/>
  <c r="F7765" i="1"/>
  <c r="D7766" i="1"/>
  <c r="F7766" i="1"/>
  <c r="D7767" i="1"/>
  <c r="F7767" i="1"/>
  <c r="D7768" i="1"/>
  <c r="F7768" i="1"/>
  <c r="D7769" i="1"/>
  <c r="F7769" i="1"/>
  <c r="D7770" i="1"/>
  <c r="F7770" i="1"/>
  <c r="D7771" i="1"/>
  <c r="F7771" i="1"/>
  <c r="D7772" i="1"/>
  <c r="F7772" i="1"/>
  <c r="D7773" i="1"/>
  <c r="F7773" i="1"/>
  <c r="D7774" i="1"/>
  <c r="F7774" i="1"/>
  <c r="D7775" i="1"/>
  <c r="F7775" i="1"/>
  <c r="D7776" i="1"/>
  <c r="F7776" i="1"/>
  <c r="D7777" i="1"/>
  <c r="F7777" i="1"/>
  <c r="D7778" i="1"/>
  <c r="F7778" i="1"/>
  <c r="D7779" i="1"/>
  <c r="F7779" i="1"/>
  <c r="D7780" i="1"/>
  <c r="F7780" i="1"/>
  <c r="D7781" i="1"/>
  <c r="F7781" i="1"/>
  <c r="D7782" i="1"/>
  <c r="F7782" i="1"/>
  <c r="D7783" i="1"/>
  <c r="F7783" i="1"/>
  <c r="D7784" i="1"/>
  <c r="F7784" i="1"/>
  <c r="D7785" i="1"/>
  <c r="F7785" i="1"/>
  <c r="D7786" i="1"/>
  <c r="F7786" i="1"/>
  <c r="D7787" i="1"/>
  <c r="F7787" i="1"/>
  <c r="D7788" i="1"/>
  <c r="F7788" i="1"/>
  <c r="D7789" i="1"/>
  <c r="F7789" i="1"/>
  <c r="D7790" i="1"/>
  <c r="F7790" i="1"/>
  <c r="D7791" i="1"/>
  <c r="F7791" i="1"/>
  <c r="D7792" i="1"/>
  <c r="F7792" i="1"/>
  <c r="D7793" i="1"/>
  <c r="F7793" i="1"/>
  <c r="D7794" i="1"/>
  <c r="F7794" i="1"/>
  <c r="D7795" i="1"/>
  <c r="F7795" i="1"/>
  <c r="D7796" i="1"/>
  <c r="F7796" i="1"/>
  <c r="D7797" i="1"/>
  <c r="F7797" i="1"/>
  <c r="D7798" i="1"/>
  <c r="F7798" i="1"/>
  <c r="D7799" i="1"/>
  <c r="F7799" i="1"/>
  <c r="D7800" i="1"/>
  <c r="F7800" i="1"/>
  <c r="D7801" i="1"/>
  <c r="F7801" i="1"/>
  <c r="D7802" i="1"/>
  <c r="F7802" i="1"/>
  <c r="D7803" i="1"/>
  <c r="F7803" i="1"/>
  <c r="D7804" i="1"/>
  <c r="F7804" i="1"/>
  <c r="D7805" i="1"/>
  <c r="F7805" i="1"/>
  <c r="D7806" i="1"/>
  <c r="F7806" i="1"/>
  <c r="D7807" i="1"/>
  <c r="F7807" i="1"/>
  <c r="D7808" i="1"/>
  <c r="F7808" i="1"/>
  <c r="D7809" i="1"/>
  <c r="F7809" i="1"/>
  <c r="D7810" i="1"/>
  <c r="F7810" i="1"/>
  <c r="D7811" i="1"/>
  <c r="F7811" i="1"/>
  <c r="D7812" i="1"/>
  <c r="F7812" i="1"/>
  <c r="D7813" i="1"/>
  <c r="F7813" i="1"/>
  <c r="D7814" i="1"/>
  <c r="F7814" i="1"/>
  <c r="D7815" i="1"/>
  <c r="F7815" i="1"/>
  <c r="D7816" i="1"/>
  <c r="F7816" i="1"/>
  <c r="D7817" i="1"/>
  <c r="F7817" i="1"/>
  <c r="D7818" i="1"/>
  <c r="F7818" i="1"/>
  <c r="D7819" i="1"/>
  <c r="F7819" i="1"/>
  <c r="D7820" i="1"/>
  <c r="F7820" i="1"/>
  <c r="D7821" i="1"/>
  <c r="F7821" i="1"/>
  <c r="D7822" i="1"/>
  <c r="F7822" i="1"/>
  <c r="D7823" i="1"/>
  <c r="F7823" i="1"/>
  <c r="D7824" i="1"/>
  <c r="F7824" i="1"/>
  <c r="D7825" i="1"/>
  <c r="F7825" i="1"/>
  <c r="D7826" i="1"/>
  <c r="F7826" i="1"/>
  <c r="D7827" i="1"/>
  <c r="F7827" i="1"/>
  <c r="D7828" i="1"/>
  <c r="F7828" i="1"/>
  <c r="D7829" i="1"/>
  <c r="F7829" i="1"/>
  <c r="D7830" i="1"/>
  <c r="F7830" i="1"/>
  <c r="D7831" i="1"/>
  <c r="F7831" i="1"/>
  <c r="D7832" i="1"/>
  <c r="F7832" i="1"/>
  <c r="D7833" i="1"/>
  <c r="F7833" i="1"/>
  <c r="D7834" i="1"/>
  <c r="F7834" i="1"/>
  <c r="D7835" i="1"/>
  <c r="F7835" i="1"/>
  <c r="D7836" i="1"/>
  <c r="F7836" i="1"/>
  <c r="D7837" i="1"/>
  <c r="F7837" i="1"/>
  <c r="D7838" i="1"/>
  <c r="F7838" i="1"/>
  <c r="D7839" i="1"/>
  <c r="F7839" i="1"/>
  <c r="D7840" i="1"/>
  <c r="F7840" i="1"/>
  <c r="D7841" i="1"/>
  <c r="F7841" i="1"/>
  <c r="D7842" i="1"/>
  <c r="F7842" i="1"/>
  <c r="D7843" i="1"/>
  <c r="F7843" i="1"/>
  <c r="D7844" i="1"/>
  <c r="F7844" i="1"/>
  <c r="D7845" i="1"/>
  <c r="F7845" i="1"/>
  <c r="D7846" i="1"/>
  <c r="F7846" i="1"/>
  <c r="D7847" i="1"/>
  <c r="F7847" i="1"/>
  <c r="D7848" i="1"/>
  <c r="F7848" i="1"/>
  <c r="D7849" i="1"/>
  <c r="F7849" i="1"/>
  <c r="D7850" i="1"/>
  <c r="F7850" i="1"/>
  <c r="D7851" i="1"/>
  <c r="F7851" i="1"/>
  <c r="D7852" i="1"/>
  <c r="F7852" i="1"/>
  <c r="D7853" i="1"/>
  <c r="F7853" i="1"/>
  <c r="D7854" i="1"/>
  <c r="F7854" i="1"/>
  <c r="D7855" i="1"/>
  <c r="F7855" i="1"/>
  <c r="D7856" i="1"/>
  <c r="F7856" i="1"/>
  <c r="D7857" i="1"/>
  <c r="F7857" i="1"/>
  <c r="D7858" i="1"/>
  <c r="F7858" i="1"/>
  <c r="D7859" i="1"/>
  <c r="F7859" i="1"/>
  <c r="D7860" i="1"/>
  <c r="F7860" i="1"/>
  <c r="D7861" i="1"/>
  <c r="F7861" i="1"/>
  <c r="D7862" i="1"/>
  <c r="F7862" i="1"/>
  <c r="D7863" i="1"/>
  <c r="F7863" i="1"/>
  <c r="D7864" i="1"/>
  <c r="F7864" i="1"/>
  <c r="D7865" i="1"/>
  <c r="F7865" i="1"/>
  <c r="D7866" i="1"/>
  <c r="F7866" i="1"/>
  <c r="D7867" i="1"/>
  <c r="F7867" i="1"/>
  <c r="D7868" i="1"/>
  <c r="F7868" i="1"/>
  <c r="D7869" i="1"/>
  <c r="F7869" i="1"/>
  <c r="D7870" i="1"/>
  <c r="F7870" i="1"/>
  <c r="D7871" i="1"/>
  <c r="F7871" i="1"/>
  <c r="D7872" i="1"/>
  <c r="F7872" i="1"/>
  <c r="D7873" i="1"/>
  <c r="F7873" i="1"/>
  <c r="D7874" i="1"/>
  <c r="F7874" i="1"/>
  <c r="D7875" i="1"/>
  <c r="F7875" i="1"/>
  <c r="D7876" i="1"/>
  <c r="F7876" i="1"/>
  <c r="D7877" i="1"/>
  <c r="F7877" i="1"/>
  <c r="D7878" i="1"/>
  <c r="F7878" i="1"/>
  <c r="D7879" i="1"/>
  <c r="F7879" i="1"/>
  <c r="D7880" i="1"/>
  <c r="F7880" i="1"/>
  <c r="D7881" i="1"/>
  <c r="F7881" i="1"/>
  <c r="D7882" i="1"/>
  <c r="F7882" i="1"/>
  <c r="D7883" i="1"/>
  <c r="F7883" i="1"/>
  <c r="D7884" i="1"/>
  <c r="F7884" i="1"/>
  <c r="D7885" i="1"/>
  <c r="F7885" i="1"/>
  <c r="D7886" i="1"/>
  <c r="F7886" i="1"/>
  <c r="D7887" i="1"/>
  <c r="F7887" i="1"/>
  <c r="D7888" i="1"/>
  <c r="F7888" i="1"/>
  <c r="D7889" i="1"/>
  <c r="F7889" i="1"/>
  <c r="D7890" i="1"/>
  <c r="F7890" i="1"/>
  <c r="D7891" i="1"/>
  <c r="F7891" i="1"/>
  <c r="D7892" i="1"/>
  <c r="F7892" i="1"/>
  <c r="D7893" i="1"/>
  <c r="F7893" i="1"/>
  <c r="D7894" i="1"/>
  <c r="F7894" i="1"/>
  <c r="D7895" i="1"/>
  <c r="F7895" i="1"/>
  <c r="D7896" i="1"/>
  <c r="F7896" i="1"/>
  <c r="D7897" i="1"/>
  <c r="F7897" i="1"/>
  <c r="D7898" i="1"/>
  <c r="F7898" i="1"/>
  <c r="D7899" i="1"/>
  <c r="F7899" i="1"/>
  <c r="D7900" i="1"/>
  <c r="F7900" i="1"/>
  <c r="D7901" i="1"/>
  <c r="F7901" i="1"/>
  <c r="D7902" i="1"/>
  <c r="F7902" i="1"/>
  <c r="D7903" i="1"/>
  <c r="F7903" i="1"/>
  <c r="D7904" i="1"/>
  <c r="F7904" i="1"/>
  <c r="D7905" i="1"/>
  <c r="F7905" i="1"/>
  <c r="D7906" i="1"/>
  <c r="F7906" i="1"/>
  <c r="D7907" i="1"/>
  <c r="F7907" i="1"/>
  <c r="D7908" i="1"/>
  <c r="F7908" i="1"/>
  <c r="D7909" i="1"/>
  <c r="F7909" i="1"/>
  <c r="D7910" i="1"/>
  <c r="F7910" i="1"/>
  <c r="D7911" i="1"/>
  <c r="F7911" i="1"/>
  <c r="D7912" i="1"/>
  <c r="F7912" i="1"/>
  <c r="D7913" i="1"/>
  <c r="F7913" i="1"/>
  <c r="D7914" i="1"/>
  <c r="F7914" i="1"/>
  <c r="D7915" i="1"/>
  <c r="F7915" i="1"/>
  <c r="D7916" i="1"/>
  <c r="F7916" i="1"/>
  <c r="D7917" i="1"/>
  <c r="F7917" i="1"/>
  <c r="D7918" i="1"/>
  <c r="F7918" i="1"/>
  <c r="D7919" i="1"/>
  <c r="F7919" i="1"/>
  <c r="D7920" i="1"/>
  <c r="F7920" i="1"/>
  <c r="D7921" i="1"/>
  <c r="F7921" i="1"/>
  <c r="D7922" i="1"/>
  <c r="F7922" i="1"/>
  <c r="D7923" i="1"/>
  <c r="F7923" i="1"/>
  <c r="D7924" i="1"/>
  <c r="F7924" i="1"/>
  <c r="D7925" i="1"/>
  <c r="F7925" i="1"/>
  <c r="D7926" i="1"/>
  <c r="F7926" i="1"/>
  <c r="D7927" i="1"/>
  <c r="F7927" i="1"/>
  <c r="D7928" i="1"/>
  <c r="F7928" i="1"/>
  <c r="D7929" i="1"/>
  <c r="F7929" i="1"/>
  <c r="D7930" i="1"/>
  <c r="F7930" i="1"/>
  <c r="D7931" i="1"/>
  <c r="F7931" i="1"/>
  <c r="D7932" i="1"/>
  <c r="F7932" i="1"/>
  <c r="D7933" i="1"/>
  <c r="F7933" i="1"/>
  <c r="D7934" i="1"/>
  <c r="F7934" i="1"/>
  <c r="D7935" i="1"/>
  <c r="F7935" i="1"/>
  <c r="D7936" i="1"/>
  <c r="F7936" i="1"/>
  <c r="D7937" i="1"/>
  <c r="F7937" i="1"/>
  <c r="D7938" i="1"/>
  <c r="F7938" i="1"/>
  <c r="D7939" i="1"/>
  <c r="F7939" i="1"/>
  <c r="D7940" i="1"/>
  <c r="F7940" i="1"/>
  <c r="D7941" i="1"/>
  <c r="F7941" i="1"/>
  <c r="D7942" i="1"/>
  <c r="F7942" i="1"/>
  <c r="D7943" i="1"/>
  <c r="F7943" i="1"/>
  <c r="D7944" i="1"/>
  <c r="F7944" i="1"/>
  <c r="D7945" i="1"/>
  <c r="F7945" i="1"/>
  <c r="D7946" i="1"/>
  <c r="F7946" i="1"/>
  <c r="D7947" i="1"/>
  <c r="F7947" i="1"/>
  <c r="D7948" i="1"/>
  <c r="F7948" i="1"/>
  <c r="D7949" i="1"/>
  <c r="F7949" i="1"/>
  <c r="D7950" i="1"/>
  <c r="F7950" i="1"/>
  <c r="D7951" i="1"/>
  <c r="F7951" i="1"/>
  <c r="D7952" i="1"/>
  <c r="F7952" i="1"/>
  <c r="D7953" i="1"/>
  <c r="F7953" i="1"/>
  <c r="D7954" i="1"/>
  <c r="F7954" i="1"/>
  <c r="D7955" i="1"/>
  <c r="F7955" i="1"/>
  <c r="D7956" i="1"/>
  <c r="F7956" i="1"/>
  <c r="D7957" i="1"/>
  <c r="F7957" i="1"/>
  <c r="D7958" i="1"/>
  <c r="F7958" i="1"/>
  <c r="D7959" i="1"/>
  <c r="F7959" i="1"/>
  <c r="D7960" i="1"/>
  <c r="F7960" i="1"/>
  <c r="D7961" i="1"/>
  <c r="F7961" i="1"/>
  <c r="D7962" i="1"/>
  <c r="F7962" i="1"/>
  <c r="D7963" i="1"/>
  <c r="F7963" i="1"/>
  <c r="D7964" i="1"/>
  <c r="F7964" i="1"/>
  <c r="D7965" i="1"/>
  <c r="F7965" i="1"/>
  <c r="D7966" i="1"/>
  <c r="F7966" i="1"/>
  <c r="D7967" i="1"/>
  <c r="F7967" i="1"/>
  <c r="D7968" i="1"/>
  <c r="F7968" i="1"/>
  <c r="D7969" i="1"/>
  <c r="F7969" i="1"/>
  <c r="D7970" i="1"/>
  <c r="F7970" i="1"/>
  <c r="D7971" i="1"/>
  <c r="F7971" i="1"/>
  <c r="D7972" i="1"/>
  <c r="F7972" i="1"/>
  <c r="D7973" i="1"/>
  <c r="F7973" i="1"/>
  <c r="D7974" i="1"/>
  <c r="F7974" i="1"/>
  <c r="D7975" i="1"/>
  <c r="F7975" i="1"/>
  <c r="D7976" i="1"/>
  <c r="F7976" i="1"/>
  <c r="D7977" i="1"/>
  <c r="F7977" i="1"/>
  <c r="D7978" i="1"/>
  <c r="F7978" i="1"/>
  <c r="D7979" i="1"/>
  <c r="F7979" i="1"/>
  <c r="D7980" i="1"/>
  <c r="F7980" i="1"/>
  <c r="D7981" i="1"/>
  <c r="F7981" i="1"/>
  <c r="D7982" i="1"/>
  <c r="F7982" i="1"/>
  <c r="D7983" i="1"/>
  <c r="F7983" i="1"/>
  <c r="D7984" i="1"/>
  <c r="F7984" i="1"/>
  <c r="D7985" i="1"/>
  <c r="F7985" i="1"/>
  <c r="D7986" i="1"/>
  <c r="F7986" i="1"/>
  <c r="D7987" i="1"/>
  <c r="F7987" i="1"/>
  <c r="D7988" i="1"/>
  <c r="F7988" i="1"/>
  <c r="D7989" i="1"/>
  <c r="F7989" i="1"/>
  <c r="D7990" i="1"/>
  <c r="F7990" i="1"/>
  <c r="D7991" i="1"/>
  <c r="F7991" i="1"/>
  <c r="D7992" i="1"/>
  <c r="F7992" i="1"/>
  <c r="D7993" i="1"/>
  <c r="F7993" i="1"/>
  <c r="D7994" i="1"/>
  <c r="F7994" i="1"/>
  <c r="D7995" i="1"/>
  <c r="F7995" i="1"/>
  <c r="D7996" i="1"/>
  <c r="F7996" i="1"/>
  <c r="D7997" i="1"/>
  <c r="F7997" i="1"/>
  <c r="D7998" i="1"/>
  <c r="F7998" i="1"/>
  <c r="D7999" i="1"/>
  <c r="F7999" i="1"/>
  <c r="D8000" i="1"/>
  <c r="F8000" i="1"/>
  <c r="D8001" i="1"/>
  <c r="F8001" i="1"/>
  <c r="D8002" i="1"/>
  <c r="F8002" i="1"/>
  <c r="D8003" i="1"/>
  <c r="F8003" i="1"/>
  <c r="D8004" i="1"/>
  <c r="F8004" i="1"/>
  <c r="D8005" i="1"/>
  <c r="F8005" i="1"/>
  <c r="D8006" i="1"/>
  <c r="F8006" i="1"/>
  <c r="D8007" i="1"/>
  <c r="F8007" i="1"/>
  <c r="D8008" i="1"/>
  <c r="F8008" i="1"/>
  <c r="D8009" i="1"/>
  <c r="F8009" i="1"/>
  <c r="D8010" i="1"/>
  <c r="F8010" i="1"/>
  <c r="D8011" i="1"/>
  <c r="F8011" i="1"/>
  <c r="D8012" i="1"/>
  <c r="F8012" i="1"/>
  <c r="D8013" i="1"/>
  <c r="F8013" i="1"/>
  <c r="D8014" i="1"/>
  <c r="F8014" i="1"/>
  <c r="D8015" i="1"/>
  <c r="F8015" i="1"/>
  <c r="D2" i="1"/>
  <c r="F2" i="1"/>
</calcChain>
</file>

<file path=xl/comments1.xml><?xml version="1.0" encoding="utf-8"?>
<comments xmlns="http://schemas.openxmlformats.org/spreadsheetml/2006/main">
  <authors>
    <author>Lydia D Roach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Lydia D Roach:</t>
        </r>
        <r>
          <rPr>
            <sz val="9"/>
            <color indexed="81"/>
            <rFont val="Tahoma"/>
            <family val="2"/>
          </rPr>
          <t xml:space="preserve">
Corresponds to SBT number defined by soil type in the "SBT Classification" Tab</t>
        </r>
      </text>
    </comment>
  </commentList>
</comments>
</file>

<file path=xl/sharedStrings.xml><?xml version="1.0" encoding="utf-8"?>
<sst xmlns="http://schemas.openxmlformats.org/spreadsheetml/2006/main" count="8769" uniqueCount="272">
  <si>
    <t>SAM-CPT53</t>
  </si>
  <si>
    <t>Well_ID</t>
  </si>
  <si>
    <t>Depth_ft</t>
  </si>
  <si>
    <t>Qc_avg_tsf</t>
  </si>
  <si>
    <t>Fs_avg_tsf</t>
  </si>
  <si>
    <t>Rf_percent</t>
  </si>
  <si>
    <t>Rf_zone</t>
  </si>
  <si>
    <t>SptN_blow/ft</t>
  </si>
  <si>
    <t>SptN1_blow/ft</t>
  </si>
  <si>
    <t>Su_tsf</t>
  </si>
  <si>
    <t>SAM-CPT56</t>
  </si>
  <si>
    <t>SAM-CPT57</t>
  </si>
  <si>
    <t>SAM-CPT58</t>
  </si>
  <si>
    <t>SAM-CPT59</t>
  </si>
  <si>
    <t>SAM-CPT60</t>
  </si>
  <si>
    <t>SAM-CPT62</t>
  </si>
  <si>
    <t>SAM-CPT64</t>
  </si>
  <si>
    <t>SAM-CPT65</t>
  </si>
  <si>
    <t>SAM-CPT66</t>
  </si>
  <si>
    <t>SAM-CPT67</t>
  </si>
  <si>
    <t>SAM-CPT74</t>
  </si>
  <si>
    <t>SAM-CPT74A</t>
  </si>
  <si>
    <t>SAM-CPT75</t>
  </si>
  <si>
    <t>SAM-CPT80</t>
  </si>
  <si>
    <t>SAM-CPT82</t>
  </si>
  <si>
    <t>SAM-CPT84</t>
  </si>
  <si>
    <t>SAM-CPT85</t>
  </si>
  <si>
    <t>SAM-CPT93</t>
  </si>
  <si>
    <t>SAM-CPT94A</t>
  </si>
  <si>
    <t>SAM-CPT94</t>
  </si>
  <si>
    <t>SAM-CPT95A</t>
  </si>
  <si>
    <t>SAM-CPT95</t>
  </si>
  <si>
    <t>SAM-CPT97</t>
  </si>
  <si>
    <t>SAM-CPT101</t>
  </si>
  <si>
    <t>SAM-CPT102</t>
  </si>
  <si>
    <t>SAM-CPT103</t>
  </si>
  <si>
    <t>SAM-CPT106</t>
  </si>
  <si>
    <t>SAM-CPT107</t>
  </si>
  <si>
    <t>SAM-CPT108</t>
  </si>
  <si>
    <t>SAM-CPT109</t>
  </si>
  <si>
    <t>SAM-CPT110</t>
  </si>
  <si>
    <t>SAM-CPT111</t>
  </si>
  <si>
    <t>SAM-CPT112</t>
  </si>
  <si>
    <t>SAM-CPT113</t>
  </si>
  <si>
    <t>SAM-CPT123</t>
  </si>
  <si>
    <t>SAM-CPT126</t>
  </si>
  <si>
    <t>SAM-CPT127</t>
  </si>
  <si>
    <t>SAM-CPT129</t>
  </si>
  <si>
    <t>SAM-CPT130</t>
  </si>
  <si>
    <t>SAM-CPT131</t>
  </si>
  <si>
    <t>SAM-CPT132</t>
  </si>
  <si>
    <t>SAM-CPT133</t>
  </si>
  <si>
    <t>SAM-CPT134B</t>
  </si>
  <si>
    <t>SAM-CPT136</t>
  </si>
  <si>
    <t>SAM-CPT137</t>
  </si>
  <si>
    <t>SAM-CPT138</t>
  </si>
  <si>
    <t>SAM-CPT139</t>
  </si>
  <si>
    <t>SAM-CPT140</t>
  </si>
  <si>
    <t>SAM-CPT141</t>
  </si>
  <si>
    <t>SAM-CPT142</t>
  </si>
  <si>
    <t>SAM-CPT143</t>
  </si>
  <si>
    <t>SAM-CPT144</t>
  </si>
  <si>
    <t>SAM-CPT145</t>
  </si>
  <si>
    <t>SAM-CPT146</t>
  </si>
  <si>
    <t>SAM-CPT147</t>
  </si>
  <si>
    <t>SAM-CPT148</t>
  </si>
  <si>
    <t>SAM-CPT149</t>
  </si>
  <si>
    <t>SAM-CPT150</t>
  </si>
  <si>
    <t>SAM-CPT151</t>
  </si>
  <si>
    <t>SAM-CPT152</t>
  </si>
  <si>
    <t>SAM-CPT153</t>
  </si>
  <si>
    <t>SAM-CPT155</t>
  </si>
  <si>
    <t>SAM-CPT156</t>
  </si>
  <si>
    <t>SAM-CPT160</t>
  </si>
  <si>
    <t>SAM-CPT161</t>
  </si>
  <si>
    <t>SAM-CPT164</t>
  </si>
  <si>
    <t>SAM-CPT165</t>
  </si>
  <si>
    <t>SAM-CPT166</t>
  </si>
  <si>
    <t>SAM-CPT176</t>
  </si>
  <si>
    <t>SAM-CPT199</t>
  </si>
  <si>
    <t>SAM-CPT202</t>
  </si>
  <si>
    <t>SAM-CPT203A</t>
  </si>
  <si>
    <t>SAM-CPT203</t>
  </si>
  <si>
    <t>Zone</t>
  </si>
  <si>
    <t>sensitive fine grained</t>
  </si>
  <si>
    <t>organic material</t>
  </si>
  <si>
    <t>clay</t>
  </si>
  <si>
    <t>silty clay  to clay</t>
  </si>
  <si>
    <t>sandy silty to clayey silt</t>
  </si>
  <si>
    <t>clayey silt to silty clay</t>
  </si>
  <si>
    <t>silty sand to sandy silt</t>
  </si>
  <si>
    <t>sand to silty sand</t>
  </si>
  <si>
    <t>sand</t>
  </si>
  <si>
    <t>gravelly sand to sand</t>
  </si>
  <si>
    <t>very stiff fine grained</t>
  </si>
  <si>
    <t>sand to clayey sand</t>
  </si>
  <si>
    <t>Surf_Elev_ftmsl</t>
  </si>
  <si>
    <t>lat</t>
  </si>
  <si>
    <t>long</t>
  </si>
  <si>
    <t>ID</t>
  </si>
  <si>
    <t>OBJECTID</t>
  </si>
  <si>
    <t>CPT_ID</t>
  </si>
  <si>
    <t>ID_num</t>
  </si>
  <si>
    <t>X</t>
  </si>
  <si>
    <t>Y</t>
  </si>
  <si>
    <t>SAM-CPT1</t>
  </si>
  <si>
    <t>SAM-CPT2</t>
  </si>
  <si>
    <t>SAM-CPT3</t>
  </si>
  <si>
    <t>SAM-CPT4</t>
  </si>
  <si>
    <t>SAM-CPT5</t>
  </si>
  <si>
    <t>SAM-CPT6</t>
  </si>
  <si>
    <t>SAM-CPT7</t>
  </si>
  <si>
    <t>SAM-CPT8</t>
  </si>
  <si>
    <t>SAM-CPT9</t>
  </si>
  <si>
    <t>SAM-CPT10</t>
  </si>
  <si>
    <t>SAM-CPT11</t>
  </si>
  <si>
    <t>SAM-CPT12</t>
  </si>
  <si>
    <t>SAM-CPT13</t>
  </si>
  <si>
    <t>SAM-CPT14</t>
  </si>
  <si>
    <t>SAM-CPT15</t>
  </si>
  <si>
    <t>SAM-CPT16</t>
  </si>
  <si>
    <t>SAM-CPT17</t>
  </si>
  <si>
    <t>SAM-CPT18</t>
  </si>
  <si>
    <t>SAM-CPT19</t>
  </si>
  <si>
    <t>SAM-CPT20</t>
  </si>
  <si>
    <t>SAM-CPT21</t>
  </si>
  <si>
    <t>SAM-CPT22</t>
  </si>
  <si>
    <t>SAM-CPT23</t>
  </si>
  <si>
    <t>SAM-CPT24</t>
  </si>
  <si>
    <t>SAM-CPT25</t>
  </si>
  <si>
    <t>SAM-CPT26</t>
  </si>
  <si>
    <t>SAM-CPT28</t>
  </si>
  <si>
    <t>SAM-CPT29</t>
  </si>
  <si>
    <t>SAM-CPT30</t>
  </si>
  <si>
    <t>SAM-CPT31</t>
  </si>
  <si>
    <t>SAM-CPT32</t>
  </si>
  <si>
    <t>SAM-CPT33</t>
  </si>
  <si>
    <t>SAM-CPT34</t>
  </si>
  <si>
    <t>SAM-CPT35</t>
  </si>
  <si>
    <t>SAM-CPT36</t>
  </si>
  <si>
    <t>SAM-CPT37</t>
  </si>
  <si>
    <t>SAM-CPT38</t>
  </si>
  <si>
    <t>SAM-CPT39</t>
  </si>
  <si>
    <t>SAM-CPT40</t>
  </si>
  <si>
    <t>SAM-CPT41</t>
  </si>
  <si>
    <t>SAM-CPT42</t>
  </si>
  <si>
    <t>SAM-CPT43</t>
  </si>
  <si>
    <t>SAM-CPT44</t>
  </si>
  <si>
    <t>SAM-CPT45</t>
  </si>
  <si>
    <t>SAM-CPT46</t>
  </si>
  <si>
    <t>SAM-CPT47</t>
  </si>
  <si>
    <t>SAM-CPT48</t>
  </si>
  <si>
    <t>SAM-CPT49</t>
  </si>
  <si>
    <t>SAM-CPT50</t>
  </si>
  <si>
    <t>SAM-CPT51</t>
  </si>
  <si>
    <t>SAM-CPT52</t>
  </si>
  <si>
    <t>SAM-CPT92</t>
  </si>
  <si>
    <t>SAM-CPT96</t>
  </si>
  <si>
    <t>SAM-CPT98</t>
  </si>
  <si>
    <t>SAM-CPT99</t>
  </si>
  <si>
    <t>SAM-CPT100</t>
  </si>
  <si>
    <t>SAM-CPT90</t>
  </si>
  <si>
    <t>SAM-CPT81</t>
  </si>
  <si>
    <t>SAM-CPT83</t>
  </si>
  <si>
    <t>SAM-CPT86</t>
  </si>
  <si>
    <t>SAM-CPT87</t>
  </si>
  <si>
    <t>SAM-CPT88</t>
  </si>
  <si>
    <t>SAM-CPT89</t>
  </si>
  <si>
    <t>SAM-CPT104</t>
  </si>
  <si>
    <t>SAM-CPT105</t>
  </si>
  <si>
    <t>SAM-CPT192</t>
  </si>
  <si>
    <t>SAM-CPT193</t>
  </si>
  <si>
    <t>SAM-CPT194</t>
  </si>
  <si>
    <t>SAM-CPT195</t>
  </si>
  <si>
    <t>SAM-CPT76</t>
  </si>
  <si>
    <t>SAM-CPT77</t>
  </si>
  <si>
    <t>SAM-CPT78</t>
  </si>
  <si>
    <t>SAM-CPT79</t>
  </si>
  <si>
    <t>SAM-CPT115</t>
  </si>
  <si>
    <t>SAM-CPT116</t>
  </si>
  <si>
    <t>SAM-CPT117</t>
  </si>
  <si>
    <t>SAM-CPT118</t>
  </si>
  <si>
    <t>SAM-CPT119</t>
  </si>
  <si>
    <t>SAM-CPT120</t>
  </si>
  <si>
    <t>SAM-CPT121</t>
  </si>
  <si>
    <t>SAM-CPT122</t>
  </si>
  <si>
    <t>SAM-CPT124</t>
  </si>
  <si>
    <t>SAM-CPT125</t>
  </si>
  <si>
    <t>SAM-CPT188</t>
  </si>
  <si>
    <t>SAM-CPT189</t>
  </si>
  <si>
    <t>SAM-CPT190</t>
  </si>
  <si>
    <t>SAM-CPT191</t>
  </si>
  <si>
    <t>SAM-CPT91</t>
  </si>
  <si>
    <t>SAM-CPT196</t>
  </si>
  <si>
    <t>SAM-CPT61</t>
  </si>
  <si>
    <t>SAM-CPT63</t>
  </si>
  <si>
    <t>SAM-CPT68</t>
  </si>
  <si>
    <t>SAM-CPT69</t>
  </si>
  <si>
    <t>SAM-CPT70</t>
  </si>
  <si>
    <t>SAM-CPT71</t>
  </si>
  <si>
    <t>SAM-CPT72</t>
  </si>
  <si>
    <t>SAM-CPT186</t>
  </si>
  <si>
    <t>SAM-CPT187</t>
  </si>
  <si>
    <t>SAM-CPT134</t>
  </si>
  <si>
    <t>SAM-CPT135</t>
  </si>
  <si>
    <t>SAM-CPT168</t>
  </si>
  <si>
    <t>SAM-CPT171</t>
  </si>
  <si>
    <t>SAM-CPT169</t>
  </si>
  <si>
    <t>SAM-CPT170</t>
  </si>
  <si>
    <t>SAM-CPT200</t>
  </si>
  <si>
    <t>SAM-CPT154</t>
  </si>
  <si>
    <t>SAM-CPT73</t>
  </si>
  <si>
    <t>SAM-CPT157</t>
  </si>
  <si>
    <t>SAM-CPT158</t>
  </si>
  <si>
    <t>SAM-CPT159</t>
  </si>
  <si>
    <t>SAM-CPT173</t>
  </si>
  <si>
    <t>SAM-CPT174</t>
  </si>
  <si>
    <t>SAM-CPT201</t>
  </si>
  <si>
    <t>SAM-CPT180</t>
  </si>
  <si>
    <t>SAM-CPT181</t>
  </si>
  <si>
    <t>SAM-CPT182</t>
  </si>
  <si>
    <t>SAM-CPT172</t>
  </si>
  <si>
    <t>SAM-CPT114</t>
  </si>
  <si>
    <t>SAM-CPT162</t>
  </si>
  <si>
    <t>SAM-CPT128</t>
  </si>
  <si>
    <t>SAM-CPT163</t>
  </si>
  <si>
    <t>SAM-CPT167</t>
  </si>
  <si>
    <t>SAM-CPT177</t>
  </si>
  <si>
    <t>SAM-CPT178</t>
  </si>
  <si>
    <t>SAM-CPT179</t>
  </si>
  <si>
    <t>SAM-CPT175</t>
  </si>
  <si>
    <t>SAM-CPT184</t>
  </si>
  <si>
    <t>SAM-CPT185</t>
  </si>
  <si>
    <t>SAM-CPT183</t>
  </si>
  <si>
    <t>SAM-CPT54</t>
  </si>
  <si>
    <t>SAM-CPT55</t>
  </si>
  <si>
    <t>SAM-CPT197</t>
  </si>
  <si>
    <t>SAM-CPT198</t>
  </si>
  <si>
    <t>SAM-CPT27</t>
  </si>
  <si>
    <t>Elev_ftmsl</t>
  </si>
  <si>
    <t>Columns added by Dudek:</t>
  </si>
  <si>
    <t>Sources:</t>
  </si>
  <si>
    <t>Surface Elevation-Google Earth</t>
  </si>
  <si>
    <t>Lat and Lon-Exported from the Approximate_SAM_CPT_ALL_locs feature class in the Soco West file geodatabase/well_locs feature dataset</t>
  </si>
  <si>
    <t xml:space="preserve">Data-Data files for each individual SAM CPT location downloaded from the Dudek ftp site (ftp://ftp.dudek.com/secure_transfers/7006-01-ocwd_cpt-2/Phase%202%20CPT%20profiles%20and%20data/), originally uploaded by OCWD. Dudek combinded </t>
  </si>
  <si>
    <t>individual data files into this combined version under tab "Data" in this worksheet</t>
  </si>
  <si>
    <t>Individual data files located at : P:\400.Hydrogeology\7006 Soco West\Water Quality\OCWD\SAM-CPT\SAM-CPT-Litho</t>
  </si>
  <si>
    <t>Oringally downloaded to P:\400.Hydrogeology\7006 Soco West\OCWD\SAM CPT\Phase II CPTs\From Dudek FTP Site\Data\CPT profiles</t>
  </si>
  <si>
    <t>Soil Behavoir Type (SBT)</t>
  </si>
  <si>
    <t>numbers in this column correspond to SBT numbers defined in the "SBT Classification" tab</t>
  </si>
  <si>
    <t>SURFACE ELEVATION (ft_msl)</t>
  </si>
  <si>
    <t>see "SBT Classification" tab for more information</t>
  </si>
  <si>
    <t xml:space="preserve">SBT Classification-CPT Classification Chart file located at: P:\400.Hydrogeology\7006 Soco West\OCWD\SAM CPT\Phase I CPT Logs\Logs\CPT_SoilClassificationCht.pdf, provided by OCWD. </t>
  </si>
  <si>
    <t>CPT Classification Chart (after Robertson and Campanella, 1988) Courtesy of KEHOE TESTING &amp; ENGINEERING. As provided by OCWD</t>
  </si>
  <si>
    <t>Soil Behavoir Type is determined based on Cone Resistane (qt) and the friction ration Rf (which is the ratio of sleeve friction, fs to cone resistance, qt) (Robertson &amp; Cabal, 2010)</t>
  </si>
  <si>
    <t>SAM-CPT203B</t>
  </si>
  <si>
    <t>When mulitple CPTids occur for the same CPT number (eg. SAM-CPT203, SAM-CPT203A, SAM-CPT203B) lat and long are assigned to CPTid with the deepest lithologic data.</t>
  </si>
  <si>
    <t>Full I.D.</t>
  </si>
  <si>
    <t>Aquitard Classification</t>
  </si>
  <si>
    <t>From</t>
  </si>
  <si>
    <t>To</t>
  </si>
  <si>
    <t>Aquitard Thickness (feet)</t>
  </si>
  <si>
    <t>Aquifer Thickness (feet)</t>
  </si>
  <si>
    <t>203B</t>
  </si>
  <si>
    <t>203A</t>
  </si>
  <si>
    <t>Latitude</t>
  </si>
  <si>
    <t>Longitude</t>
  </si>
  <si>
    <t>74A</t>
  </si>
  <si>
    <t>95A</t>
  </si>
  <si>
    <t>94A</t>
  </si>
  <si>
    <t>134B</t>
  </si>
  <si>
    <t>Zone Thickness - Top to Bottom (ft bgs)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</si>
</sst>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11" fontId="0" fillId="0" borderId="0" xfId="0" applyNumberFormat="1"/>
    <xf numFmtId="0" fontId="0" fillId="0" borderId="0" xfId="0" applyAlignme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" xfId="0" applyFill="1" applyBorder="1"/>
    <xf numFmtId="0" fontId="1" fillId="0" borderId="5" xfId="0" applyFont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139700</xdr:rowOff>
        </xdr:from>
        <xdr:to>
          <xdr:col>5</xdr:col>
          <xdr:colOff>711200</xdr:colOff>
          <xdr:row>3</xdr:row>
          <xdr:rowOff>482600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Zone 1 Thicknesses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3</xdr:row>
          <xdr:rowOff>139700</xdr:rowOff>
        </xdr:from>
        <xdr:to>
          <xdr:col>7</xdr:col>
          <xdr:colOff>711200</xdr:colOff>
          <xdr:row>3</xdr:row>
          <xdr:rowOff>482600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Zone 2 Thicknesses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</xdr:row>
          <xdr:rowOff>139700</xdr:rowOff>
        </xdr:from>
        <xdr:to>
          <xdr:col>9</xdr:col>
          <xdr:colOff>711200</xdr:colOff>
          <xdr:row>3</xdr:row>
          <xdr:rowOff>482600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Zone 3 Thicknesses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J162"/>
  <sheetViews>
    <sheetView tabSelected="1" workbookViewId="0">
      <selection activeCell="G24" sqref="G24"/>
    </sheetView>
  </sheetViews>
  <sheetFormatPr baseColWidth="10" defaultColWidth="8.83203125" defaultRowHeight="14" x14ac:dyDescent="0"/>
  <cols>
    <col min="1" max="1" width="15.83203125" style="12" customWidth="1"/>
    <col min="2" max="4" width="14.33203125" style="12" customWidth="1"/>
    <col min="5" max="6" width="13.6640625" customWidth="1"/>
    <col min="7" max="10" width="13.6640625" style="12" customWidth="1"/>
  </cols>
  <sheetData>
    <row r="1" spans="1:10">
      <c r="B1" s="11"/>
      <c r="C1" s="11"/>
      <c r="D1" s="11"/>
      <c r="E1" s="12" t="s">
        <v>259</v>
      </c>
      <c r="F1" s="12" t="s">
        <v>260</v>
      </c>
    </row>
    <row r="2" spans="1:10" ht="22.5" customHeight="1" thickBot="1">
      <c r="C2" s="11"/>
      <c r="D2" s="11" t="s">
        <v>258</v>
      </c>
      <c r="E2" s="12">
        <v>1</v>
      </c>
      <c r="F2" s="12">
        <v>5</v>
      </c>
    </row>
    <row r="3" spans="1:10" ht="25.5" customHeight="1">
      <c r="C3" s="11"/>
      <c r="D3" s="11" t="s">
        <v>271</v>
      </c>
      <c r="E3" s="18">
        <v>0</v>
      </c>
      <c r="F3" s="19">
        <v>45</v>
      </c>
      <c r="G3" s="18">
        <v>45</v>
      </c>
      <c r="H3" s="19">
        <v>75</v>
      </c>
      <c r="I3" s="18">
        <v>75</v>
      </c>
      <c r="J3" s="19">
        <v>115</v>
      </c>
    </row>
    <row r="4" spans="1:10" ht="50.25" customHeight="1" thickBot="1">
      <c r="B4" s="11"/>
      <c r="E4" s="20"/>
      <c r="F4" s="21"/>
      <c r="G4" s="20"/>
      <c r="H4" s="21"/>
      <c r="I4" s="20"/>
      <c r="J4" s="21"/>
    </row>
    <row r="5" spans="1:10" ht="54.75" customHeight="1" thickBot="1">
      <c r="A5" s="14" t="s">
        <v>257</v>
      </c>
      <c r="B5" s="14" t="s">
        <v>99</v>
      </c>
      <c r="C5" s="13" t="s">
        <v>265</v>
      </c>
      <c r="D5" s="16" t="s">
        <v>266</v>
      </c>
      <c r="E5" s="28" t="s">
        <v>261</v>
      </c>
      <c r="F5" s="29" t="s">
        <v>262</v>
      </c>
      <c r="G5" s="28" t="s">
        <v>261</v>
      </c>
      <c r="H5" s="29" t="s">
        <v>262</v>
      </c>
      <c r="I5" s="28" t="s">
        <v>261</v>
      </c>
      <c r="J5" s="29" t="s">
        <v>262</v>
      </c>
    </row>
    <row r="6" spans="1:10">
      <c r="A6" s="15" t="s">
        <v>0</v>
      </c>
      <c r="B6" s="15">
        <v>53</v>
      </c>
      <c r="C6" s="15">
        <f>VLOOKUP(A6,Data!$A$2:$C$8135,2,FALSE)</f>
        <v>33.710053000000002</v>
      </c>
      <c r="D6" s="17">
        <f>VLOOKUP(A6,Data!$A$2:$C$8135,3,FALSE)</f>
        <v>-117.87410800000001</v>
      </c>
      <c r="E6" s="26">
        <v>24</v>
      </c>
      <c r="F6" s="27">
        <v>21</v>
      </c>
      <c r="G6" s="26">
        <v>11</v>
      </c>
      <c r="H6" s="27">
        <v>19</v>
      </c>
      <c r="I6" s="26">
        <v>9</v>
      </c>
      <c r="J6" s="27">
        <v>9</v>
      </c>
    </row>
    <row r="7" spans="1:10">
      <c r="A7" s="15" t="s">
        <v>234</v>
      </c>
      <c r="B7" s="15">
        <v>54</v>
      </c>
      <c r="C7" s="15" t="e">
        <f>VLOOKUP(A7,Data!$A$2:$C$8135,2,FALSE)</f>
        <v>#N/A</v>
      </c>
      <c r="D7" s="17" t="e">
        <f>VLOOKUP(A7,Data!$A$2:$C$8135,3,FALSE)</f>
        <v>#N/A</v>
      </c>
      <c r="E7" s="22"/>
      <c r="F7" s="23"/>
      <c r="G7" s="22"/>
      <c r="H7" s="23"/>
      <c r="I7" s="22"/>
      <c r="J7" s="23"/>
    </row>
    <row r="8" spans="1:10">
      <c r="A8" s="15" t="s">
        <v>235</v>
      </c>
      <c r="B8" s="15">
        <v>55</v>
      </c>
      <c r="C8" s="15" t="e">
        <f>VLOOKUP(A8,Data!$A$2:$C$8135,2,FALSE)</f>
        <v>#N/A</v>
      </c>
      <c r="D8" s="17" t="e">
        <f>VLOOKUP(A8,Data!$A$2:$C$8135,3,FALSE)</f>
        <v>#N/A</v>
      </c>
      <c r="E8" s="22"/>
      <c r="F8" s="23"/>
      <c r="G8" s="22"/>
      <c r="H8" s="23"/>
      <c r="I8" s="22"/>
      <c r="J8" s="23"/>
    </row>
    <row r="9" spans="1:10">
      <c r="A9" s="15" t="s">
        <v>10</v>
      </c>
      <c r="B9" s="15">
        <v>56</v>
      </c>
      <c r="C9" s="15">
        <f>VLOOKUP(A9,Data!$A$2:$C$8135,2,FALSE)</f>
        <v>33.711578000000003</v>
      </c>
      <c r="D9" s="17">
        <f>VLOOKUP(A9,Data!$A$2:$C$8135,3,FALSE)</f>
        <v>-117.87132699999999</v>
      </c>
      <c r="E9" s="22">
        <v>25</v>
      </c>
      <c r="F9" s="23">
        <v>20</v>
      </c>
      <c r="G9" s="22">
        <v>3</v>
      </c>
      <c r="H9" s="23">
        <v>27</v>
      </c>
      <c r="I9" s="22">
        <v>10</v>
      </c>
      <c r="J9" s="23">
        <v>30</v>
      </c>
    </row>
    <row r="10" spans="1:10">
      <c r="A10" s="15" t="s">
        <v>11</v>
      </c>
      <c r="B10" s="15">
        <v>57</v>
      </c>
      <c r="C10" s="15">
        <f>VLOOKUP(A10,Data!$A$2:$C$8135,2,FALSE)</f>
        <v>33.712265000000002</v>
      </c>
      <c r="D10" s="17">
        <f>VLOOKUP(A10,Data!$A$2:$C$8135,3,FALSE)</f>
        <v>-117.87132800000001</v>
      </c>
      <c r="E10" s="22">
        <v>28</v>
      </c>
      <c r="F10" s="23">
        <v>17</v>
      </c>
      <c r="G10" s="22">
        <v>1</v>
      </c>
      <c r="H10" s="23">
        <v>29</v>
      </c>
      <c r="I10" s="22">
        <v>17</v>
      </c>
      <c r="J10" s="23">
        <v>23</v>
      </c>
    </row>
    <row r="11" spans="1:10">
      <c r="A11" s="15" t="s">
        <v>12</v>
      </c>
      <c r="B11" s="15">
        <v>58</v>
      </c>
      <c r="C11" s="15">
        <f>VLOOKUP(A11,Data!$A$2:$C$8135,2,FALSE)</f>
        <v>33.707022000000002</v>
      </c>
      <c r="D11" s="17">
        <f>VLOOKUP(A11,Data!$A$2:$C$8135,3,FALSE)</f>
        <v>-117.867957</v>
      </c>
      <c r="E11" s="22">
        <v>31</v>
      </c>
      <c r="F11" s="23">
        <v>14</v>
      </c>
      <c r="G11" s="22">
        <v>8</v>
      </c>
      <c r="H11" s="23">
        <v>22</v>
      </c>
      <c r="I11" s="22">
        <v>16</v>
      </c>
      <c r="J11" s="23">
        <v>11</v>
      </c>
    </row>
    <row r="12" spans="1:10">
      <c r="A12" s="15" t="s">
        <v>13</v>
      </c>
      <c r="B12" s="15">
        <v>59</v>
      </c>
      <c r="C12" s="15">
        <f>VLOOKUP(A12,Data!$A$2:$C$8135,2,FALSE)</f>
        <v>33.707509000000002</v>
      </c>
      <c r="D12" s="17">
        <f>VLOOKUP(A12,Data!$A$2:$C$8135,3,FALSE)</f>
        <v>-117.86792</v>
      </c>
      <c r="E12" s="22">
        <v>32</v>
      </c>
      <c r="F12" s="23">
        <v>13</v>
      </c>
      <c r="G12" s="22">
        <v>4</v>
      </c>
      <c r="H12" s="23">
        <v>26</v>
      </c>
      <c r="I12" s="22">
        <v>19</v>
      </c>
      <c r="J12" s="23">
        <v>9</v>
      </c>
    </row>
    <row r="13" spans="1:10">
      <c r="A13" s="15" t="s">
        <v>14</v>
      </c>
      <c r="B13" s="15">
        <v>60</v>
      </c>
      <c r="C13" s="15">
        <f>VLOOKUP(A13,Data!$A$2:$C$8135,2,FALSE)</f>
        <v>33.706511999999996</v>
      </c>
      <c r="D13" s="17">
        <f>VLOOKUP(A13,Data!$A$2:$C$8135,3,FALSE)</f>
        <v>-117.866608</v>
      </c>
      <c r="E13" s="22">
        <v>30</v>
      </c>
      <c r="F13" s="23">
        <v>15</v>
      </c>
      <c r="G13" s="22">
        <v>4</v>
      </c>
      <c r="H13" s="23">
        <v>26</v>
      </c>
      <c r="I13" s="22">
        <v>22</v>
      </c>
      <c r="J13" s="23">
        <v>18</v>
      </c>
    </row>
    <row r="14" spans="1:10">
      <c r="A14" s="15" t="s">
        <v>194</v>
      </c>
      <c r="B14" s="15">
        <v>61</v>
      </c>
      <c r="C14" s="15" t="e">
        <f>VLOOKUP(A14,Data!$A$2:$C$8135,2,FALSE)</f>
        <v>#N/A</v>
      </c>
      <c r="D14" s="17" t="e">
        <f>VLOOKUP(A14,Data!$A$2:$C$8135,3,FALSE)</f>
        <v>#N/A</v>
      </c>
      <c r="E14" s="22"/>
      <c r="F14" s="23"/>
      <c r="G14" s="22"/>
      <c r="H14" s="23"/>
      <c r="I14" s="22"/>
      <c r="J14" s="23"/>
    </row>
    <row r="15" spans="1:10">
      <c r="A15" s="15" t="s">
        <v>15</v>
      </c>
      <c r="B15" s="15">
        <v>62</v>
      </c>
      <c r="C15" s="15">
        <f>VLOOKUP(A15,Data!$A$2:$C$8135,2,FALSE)</f>
        <v>33.705415000000002</v>
      </c>
      <c r="D15" s="17">
        <f>VLOOKUP(A15,Data!$A$2:$C$8135,3,FALSE)</f>
        <v>-117.86213499999999</v>
      </c>
      <c r="E15" s="22">
        <v>28</v>
      </c>
      <c r="F15" s="23">
        <v>17</v>
      </c>
      <c r="G15" s="22">
        <v>18</v>
      </c>
      <c r="H15" s="23">
        <v>12</v>
      </c>
      <c r="I15" s="22">
        <v>11</v>
      </c>
      <c r="J15" s="23">
        <v>29</v>
      </c>
    </row>
    <row r="16" spans="1:10">
      <c r="A16" s="15" t="s">
        <v>195</v>
      </c>
      <c r="B16" s="15">
        <v>63</v>
      </c>
      <c r="C16" s="15" t="e">
        <f>VLOOKUP(A16,Data!$A$2:$C$8135,2,FALSE)</f>
        <v>#N/A</v>
      </c>
      <c r="D16" s="17" t="e">
        <f>VLOOKUP(A16,Data!$A$2:$C$8135,3,FALSE)</f>
        <v>#N/A</v>
      </c>
      <c r="E16" s="22"/>
      <c r="F16" s="23"/>
      <c r="G16" s="22"/>
      <c r="H16" s="23"/>
      <c r="I16" s="22"/>
      <c r="J16" s="23"/>
    </row>
    <row r="17" spans="1:10">
      <c r="A17" s="15" t="s">
        <v>16</v>
      </c>
      <c r="B17" s="15">
        <v>64</v>
      </c>
      <c r="C17" s="15">
        <f>VLOOKUP(A17,Data!$A$2:$C$8135,2,FALSE)</f>
        <v>33.704889999999999</v>
      </c>
      <c r="D17" s="17">
        <f>VLOOKUP(A17,Data!$A$2:$C$8135,3,FALSE)</f>
        <v>-117.861451</v>
      </c>
      <c r="E17" s="22">
        <v>34</v>
      </c>
      <c r="F17" s="23">
        <v>11</v>
      </c>
      <c r="G17" s="22">
        <v>18</v>
      </c>
      <c r="H17" s="23">
        <v>12</v>
      </c>
      <c r="I17" s="22">
        <v>2</v>
      </c>
      <c r="J17" s="23">
        <v>7</v>
      </c>
    </row>
    <row r="18" spans="1:10">
      <c r="A18" s="15" t="s">
        <v>17</v>
      </c>
      <c r="B18" s="15">
        <v>65</v>
      </c>
      <c r="C18" s="15">
        <f>VLOOKUP(A18,Data!$A$2:$C$8135,2,FALSE)</f>
        <v>33.704813000000001</v>
      </c>
      <c r="D18" s="17">
        <f>VLOOKUP(A18,Data!$A$2:$C$8135,3,FALSE)</f>
        <v>-117.860034</v>
      </c>
      <c r="E18" s="22">
        <v>35</v>
      </c>
      <c r="F18" s="23">
        <v>10</v>
      </c>
      <c r="G18" s="22">
        <v>0</v>
      </c>
      <c r="H18" s="23">
        <v>30</v>
      </c>
      <c r="I18" s="22">
        <v>4</v>
      </c>
      <c r="J18" s="23">
        <v>28</v>
      </c>
    </row>
    <row r="19" spans="1:10">
      <c r="A19" s="15" t="s">
        <v>18</v>
      </c>
      <c r="B19" s="15">
        <v>66</v>
      </c>
      <c r="C19" s="15">
        <f>VLOOKUP(A19,Data!$A$2:$C$8135,2,FALSE)</f>
        <v>33.703176999999997</v>
      </c>
      <c r="D19" s="17">
        <f>VLOOKUP(A19,Data!$A$2:$C$8135,3,FALSE)</f>
        <v>-117.862573</v>
      </c>
      <c r="E19" s="22">
        <v>20</v>
      </c>
      <c r="F19" s="23">
        <v>25</v>
      </c>
      <c r="G19" s="22">
        <v>16</v>
      </c>
      <c r="H19" s="23">
        <v>14</v>
      </c>
      <c r="I19" s="22">
        <v>13</v>
      </c>
      <c r="J19" s="23">
        <v>16</v>
      </c>
    </row>
    <row r="20" spans="1:10">
      <c r="A20" s="15" t="s">
        <v>19</v>
      </c>
      <c r="B20" s="15">
        <v>67</v>
      </c>
      <c r="C20" s="15">
        <f>VLOOKUP(A20,Data!$A$2:$C$8135,2,FALSE)</f>
        <v>33.706218</v>
      </c>
      <c r="D20" s="17">
        <f>VLOOKUP(A20,Data!$A$2:$C$8135,3,FALSE)</f>
        <v>-117.859843</v>
      </c>
      <c r="E20" s="22">
        <v>32</v>
      </c>
      <c r="F20" s="23">
        <v>13</v>
      </c>
      <c r="G20" s="22">
        <v>18</v>
      </c>
      <c r="H20" s="23">
        <v>12</v>
      </c>
      <c r="I20" s="22">
        <v>19</v>
      </c>
      <c r="J20" s="23">
        <v>14</v>
      </c>
    </row>
    <row r="21" spans="1:10">
      <c r="A21" s="15" t="s">
        <v>196</v>
      </c>
      <c r="B21" s="15">
        <v>68</v>
      </c>
      <c r="C21" s="15" t="e">
        <f>VLOOKUP(A21,Data!$A$2:$C$8135,2,FALSE)</f>
        <v>#N/A</v>
      </c>
      <c r="D21" s="17" t="e">
        <f>VLOOKUP(A21,Data!$A$2:$C$8135,3,FALSE)</f>
        <v>#N/A</v>
      </c>
      <c r="E21" s="22"/>
      <c r="F21" s="23"/>
      <c r="G21" s="22"/>
      <c r="H21" s="23"/>
      <c r="I21" s="22"/>
      <c r="J21" s="23"/>
    </row>
    <row r="22" spans="1:10">
      <c r="A22" s="15" t="s">
        <v>197</v>
      </c>
      <c r="B22" s="15">
        <v>69</v>
      </c>
      <c r="C22" s="15" t="e">
        <f>VLOOKUP(A22,Data!$A$2:$C$8135,2,FALSE)</f>
        <v>#N/A</v>
      </c>
      <c r="D22" s="17" t="e">
        <f>VLOOKUP(A22,Data!$A$2:$C$8135,3,FALSE)</f>
        <v>#N/A</v>
      </c>
      <c r="E22" s="22"/>
      <c r="F22" s="23"/>
      <c r="G22" s="22"/>
      <c r="H22" s="23"/>
      <c r="I22" s="22"/>
      <c r="J22" s="23"/>
    </row>
    <row r="23" spans="1:10">
      <c r="A23" s="15" t="s">
        <v>198</v>
      </c>
      <c r="B23" s="15">
        <v>70</v>
      </c>
      <c r="C23" s="15" t="e">
        <f>VLOOKUP(A23,Data!$A$2:$C$8135,2,FALSE)</f>
        <v>#N/A</v>
      </c>
      <c r="D23" s="17" t="e">
        <f>VLOOKUP(A23,Data!$A$2:$C$8135,3,FALSE)</f>
        <v>#N/A</v>
      </c>
      <c r="E23" s="22"/>
      <c r="F23" s="23"/>
      <c r="G23" s="22"/>
      <c r="H23" s="23"/>
      <c r="I23" s="22"/>
      <c r="J23" s="23"/>
    </row>
    <row r="24" spans="1:10">
      <c r="A24" s="15" t="s">
        <v>199</v>
      </c>
      <c r="B24" s="15">
        <v>71</v>
      </c>
      <c r="C24" s="15" t="e">
        <f>VLOOKUP(A24,Data!$A$2:$C$8135,2,FALSE)</f>
        <v>#N/A</v>
      </c>
      <c r="D24" s="17" t="e">
        <f>VLOOKUP(A24,Data!$A$2:$C$8135,3,FALSE)</f>
        <v>#N/A</v>
      </c>
      <c r="E24" s="22"/>
      <c r="F24" s="23"/>
      <c r="G24" s="22"/>
      <c r="H24" s="23"/>
      <c r="I24" s="22"/>
      <c r="J24" s="23"/>
    </row>
    <row r="25" spans="1:10">
      <c r="A25" s="15" t="s">
        <v>200</v>
      </c>
      <c r="B25" s="15">
        <v>72</v>
      </c>
      <c r="C25" s="15" t="e">
        <f>VLOOKUP(A25,Data!$A$2:$C$8135,2,FALSE)</f>
        <v>#N/A</v>
      </c>
      <c r="D25" s="17" t="e">
        <f>VLOOKUP(A25,Data!$A$2:$C$8135,3,FALSE)</f>
        <v>#N/A</v>
      </c>
      <c r="E25" s="22"/>
      <c r="F25" s="23"/>
      <c r="G25" s="22"/>
      <c r="H25" s="23"/>
      <c r="I25" s="22"/>
      <c r="J25" s="23"/>
    </row>
    <row r="26" spans="1:10">
      <c r="A26" s="15" t="s">
        <v>211</v>
      </c>
      <c r="B26" s="15">
        <v>73</v>
      </c>
      <c r="C26" s="15" t="e">
        <f>VLOOKUP(A26,Data!$A$2:$C$8135,2,FALSE)</f>
        <v>#N/A</v>
      </c>
      <c r="D26" s="17" t="e">
        <f>VLOOKUP(A26,Data!$A$2:$C$8135,3,FALSE)</f>
        <v>#N/A</v>
      </c>
      <c r="E26" s="22"/>
      <c r="F26" s="23"/>
      <c r="G26" s="22"/>
      <c r="H26" s="23"/>
      <c r="I26" s="22"/>
      <c r="J26" s="23"/>
    </row>
    <row r="27" spans="1:10">
      <c r="A27" s="15" t="s">
        <v>20</v>
      </c>
      <c r="B27" s="15">
        <v>74</v>
      </c>
      <c r="C27" s="15" t="e">
        <f>VLOOKUP(A27,Data!$A$2:$C$8135,2,FALSE)</f>
        <v>#N/A</v>
      </c>
      <c r="D27" s="17" t="e">
        <f>VLOOKUP(A27,Data!$A$2:$C$8135,3,FALSE)</f>
        <v>#N/A</v>
      </c>
      <c r="E27" s="22">
        <v>32</v>
      </c>
      <c r="F27" s="23">
        <v>13</v>
      </c>
      <c r="G27" s="22">
        <v>0</v>
      </c>
      <c r="H27" s="23">
        <v>10</v>
      </c>
      <c r="I27" s="22"/>
      <c r="J27" s="23"/>
    </row>
    <row r="28" spans="1:10">
      <c r="A28" s="15" t="s">
        <v>21</v>
      </c>
      <c r="B28" s="15" t="s">
        <v>267</v>
      </c>
      <c r="C28" s="15">
        <f>VLOOKUP(A28,Data!$A$2:$C$8135,2,FALSE)</f>
        <v>33.710220999999997</v>
      </c>
      <c r="D28" s="17">
        <f>VLOOKUP(A28,Data!$A$2:$C$8135,3,FALSE)</f>
        <v>-117.859495</v>
      </c>
      <c r="E28" s="22">
        <v>32</v>
      </c>
      <c r="F28" s="23">
        <v>13</v>
      </c>
      <c r="G28" s="22">
        <v>0</v>
      </c>
      <c r="H28" s="23">
        <v>11</v>
      </c>
      <c r="I28" s="22"/>
      <c r="J28" s="23"/>
    </row>
    <row r="29" spans="1:10">
      <c r="A29" s="15" t="s">
        <v>22</v>
      </c>
      <c r="B29" s="15">
        <v>75</v>
      </c>
      <c r="C29" s="15">
        <f>VLOOKUP(A29,Data!$A$2:$C$8135,2,FALSE)</f>
        <v>33.711596</v>
      </c>
      <c r="D29" s="17">
        <f>VLOOKUP(A29,Data!$A$2:$C$8135,3,FALSE)</f>
        <v>-117.859452</v>
      </c>
      <c r="E29" s="22">
        <v>30</v>
      </c>
      <c r="F29" s="23">
        <v>15</v>
      </c>
      <c r="G29" s="22">
        <v>21</v>
      </c>
      <c r="H29" s="23">
        <v>9</v>
      </c>
      <c r="I29" s="22">
        <v>25</v>
      </c>
      <c r="J29" s="23">
        <v>14</v>
      </c>
    </row>
    <row r="30" spans="1:10">
      <c r="A30" s="15" t="s">
        <v>174</v>
      </c>
      <c r="B30" s="15">
        <v>76</v>
      </c>
      <c r="C30" s="15" t="e">
        <f>VLOOKUP(A30,Data!$A$2:$C$8135,2,FALSE)</f>
        <v>#N/A</v>
      </c>
      <c r="D30" s="17" t="e">
        <f>VLOOKUP(A30,Data!$A$2:$C$8135,3,FALSE)</f>
        <v>#N/A</v>
      </c>
      <c r="E30" s="22"/>
      <c r="F30" s="23"/>
      <c r="G30" s="22"/>
      <c r="H30" s="23"/>
      <c r="I30" s="22"/>
      <c r="J30" s="23"/>
    </row>
    <row r="31" spans="1:10">
      <c r="A31" s="15" t="s">
        <v>175</v>
      </c>
      <c r="B31" s="15">
        <v>77</v>
      </c>
      <c r="C31" s="15" t="e">
        <f>VLOOKUP(A31,Data!$A$2:$C$8135,2,FALSE)</f>
        <v>#N/A</v>
      </c>
      <c r="D31" s="17" t="e">
        <f>VLOOKUP(A31,Data!$A$2:$C$8135,3,FALSE)</f>
        <v>#N/A</v>
      </c>
      <c r="E31" s="22"/>
      <c r="F31" s="23"/>
      <c r="G31" s="22"/>
      <c r="H31" s="23"/>
      <c r="I31" s="22"/>
      <c r="J31" s="23"/>
    </row>
    <row r="32" spans="1:10">
      <c r="A32" s="15" t="s">
        <v>176</v>
      </c>
      <c r="B32" s="15">
        <v>78</v>
      </c>
      <c r="C32" s="15" t="e">
        <f>VLOOKUP(A32,Data!$A$2:$C$8135,2,FALSE)</f>
        <v>#N/A</v>
      </c>
      <c r="D32" s="17" t="e">
        <f>VLOOKUP(A32,Data!$A$2:$C$8135,3,FALSE)</f>
        <v>#N/A</v>
      </c>
      <c r="E32" s="22"/>
      <c r="F32" s="23"/>
      <c r="G32" s="22"/>
      <c r="H32" s="23"/>
      <c r="I32" s="22"/>
      <c r="J32" s="23"/>
    </row>
    <row r="33" spans="1:10">
      <c r="A33" s="15" t="s">
        <v>177</v>
      </c>
      <c r="B33" s="15">
        <v>79</v>
      </c>
      <c r="C33" s="15">
        <f>VLOOKUP(A33,Data!$A$2:$C$8135,2,FALSE)</f>
        <v>33.712969000000001</v>
      </c>
      <c r="D33" s="17">
        <f>VLOOKUP(A33,Data!$A$2:$C$8135,3,FALSE)</f>
        <v>-117.85730700000001</v>
      </c>
      <c r="E33" s="22">
        <v>41</v>
      </c>
      <c r="F33" s="23">
        <v>4</v>
      </c>
      <c r="G33" s="22">
        <v>13</v>
      </c>
      <c r="H33" s="23">
        <v>17</v>
      </c>
      <c r="I33" s="22">
        <v>3</v>
      </c>
      <c r="J33" s="23">
        <v>9</v>
      </c>
    </row>
    <row r="34" spans="1:10">
      <c r="A34" s="15" t="s">
        <v>23</v>
      </c>
      <c r="B34" s="15">
        <v>80</v>
      </c>
      <c r="C34" s="15">
        <f>VLOOKUP(A34,Data!$A$2:$C$8135,2,FALSE)</f>
        <v>33.714486999999998</v>
      </c>
      <c r="D34" s="17">
        <f>VLOOKUP(A34,Data!$A$2:$C$8135,3,FALSE)</f>
        <v>-117.85727799999999</v>
      </c>
      <c r="E34" s="22">
        <v>43</v>
      </c>
      <c r="F34" s="23">
        <v>2</v>
      </c>
      <c r="G34" s="22">
        <v>11</v>
      </c>
      <c r="H34" s="23">
        <v>19</v>
      </c>
      <c r="I34" s="22">
        <v>28</v>
      </c>
      <c r="J34" s="23">
        <v>12</v>
      </c>
    </row>
    <row r="35" spans="1:10">
      <c r="A35" s="15" t="s">
        <v>162</v>
      </c>
      <c r="B35" s="15">
        <v>81</v>
      </c>
      <c r="C35" s="15" t="e">
        <f>VLOOKUP(A35,Data!$A$2:$C$8135,2,FALSE)</f>
        <v>#N/A</v>
      </c>
      <c r="D35" s="17" t="e">
        <f>VLOOKUP(A35,Data!$A$2:$C$8135,3,FALSE)</f>
        <v>#N/A</v>
      </c>
      <c r="E35" s="22"/>
      <c r="F35" s="23"/>
      <c r="G35" s="22"/>
      <c r="H35" s="23"/>
      <c r="I35" s="22"/>
      <c r="J35" s="23"/>
    </row>
    <row r="36" spans="1:10">
      <c r="A36" s="15" t="s">
        <v>24</v>
      </c>
      <c r="B36" s="15">
        <v>82</v>
      </c>
      <c r="C36" s="15">
        <f>VLOOKUP(A36,Data!$A$2:$C$8135,2,FALSE)</f>
        <v>33.715797000000002</v>
      </c>
      <c r="D36" s="17">
        <f>VLOOKUP(A36,Data!$A$2:$C$8135,3,FALSE)</f>
        <v>-117.85481299999999</v>
      </c>
      <c r="E36" s="22">
        <v>39</v>
      </c>
      <c r="F36" s="23">
        <v>6</v>
      </c>
      <c r="G36" s="22">
        <v>12</v>
      </c>
      <c r="H36" s="23">
        <v>18</v>
      </c>
      <c r="I36" s="22">
        <v>31</v>
      </c>
      <c r="J36" s="23">
        <v>9</v>
      </c>
    </row>
    <row r="37" spans="1:10">
      <c r="A37" s="15" t="s">
        <v>163</v>
      </c>
      <c r="B37" s="15">
        <v>83</v>
      </c>
      <c r="C37" s="15" t="e">
        <f>VLOOKUP(A37,Data!$A$2:$C$8135,2,FALSE)</f>
        <v>#N/A</v>
      </c>
      <c r="D37" s="17" t="e">
        <f>VLOOKUP(A37,Data!$A$2:$C$8135,3,FALSE)</f>
        <v>#N/A</v>
      </c>
      <c r="E37" s="22"/>
      <c r="F37" s="23"/>
      <c r="G37" s="22"/>
      <c r="H37" s="23"/>
      <c r="I37" s="22"/>
      <c r="J37" s="23"/>
    </row>
    <row r="38" spans="1:10">
      <c r="A38" s="15" t="s">
        <v>25</v>
      </c>
      <c r="B38" s="15">
        <v>84</v>
      </c>
      <c r="C38" s="15">
        <f>VLOOKUP(A38,Data!$A$2:$C$8135,2,FALSE)</f>
        <v>33.716495999999999</v>
      </c>
      <c r="D38" s="17">
        <f>VLOOKUP(A38,Data!$A$2:$C$8135,3,FALSE)</f>
        <v>-117.85615</v>
      </c>
      <c r="E38" s="22">
        <v>37</v>
      </c>
      <c r="F38" s="23">
        <v>8</v>
      </c>
      <c r="G38" s="22">
        <v>15</v>
      </c>
      <c r="H38" s="23">
        <v>15</v>
      </c>
      <c r="I38" s="22">
        <v>27</v>
      </c>
      <c r="J38" s="23">
        <v>8</v>
      </c>
    </row>
    <row r="39" spans="1:10">
      <c r="A39" s="15" t="s">
        <v>26</v>
      </c>
      <c r="B39" s="15">
        <v>85</v>
      </c>
      <c r="C39" s="15">
        <f>VLOOKUP(A39,Data!$A$2:$C$8135,2,FALSE)</f>
        <v>33.716650000000001</v>
      </c>
      <c r="D39" s="17">
        <f>VLOOKUP(A39,Data!$A$2:$C$8135,3,FALSE)</f>
        <v>-117.855251</v>
      </c>
      <c r="E39" s="22">
        <v>41</v>
      </c>
      <c r="F39" s="23">
        <v>4</v>
      </c>
      <c r="G39" s="22">
        <v>19</v>
      </c>
      <c r="H39" s="23">
        <v>11</v>
      </c>
      <c r="I39" s="22">
        <v>23</v>
      </c>
      <c r="J39" s="23">
        <v>11</v>
      </c>
    </row>
    <row r="40" spans="1:10">
      <c r="A40" s="15" t="s">
        <v>164</v>
      </c>
      <c r="B40" s="15">
        <v>86</v>
      </c>
      <c r="C40" s="15" t="e">
        <f>VLOOKUP(A40,Data!$A$2:$C$8135,2,FALSE)</f>
        <v>#N/A</v>
      </c>
      <c r="D40" s="17" t="e">
        <f>VLOOKUP(A40,Data!$A$2:$C$8135,3,FALSE)</f>
        <v>#N/A</v>
      </c>
      <c r="E40" s="22"/>
      <c r="F40" s="23"/>
      <c r="G40" s="22"/>
      <c r="H40" s="23"/>
      <c r="I40" s="22"/>
      <c r="J40" s="23"/>
    </row>
    <row r="41" spans="1:10">
      <c r="A41" s="15" t="s">
        <v>165</v>
      </c>
      <c r="B41" s="15">
        <v>87</v>
      </c>
      <c r="C41" s="15" t="e">
        <f>VLOOKUP(A41,Data!$A$2:$C$8135,2,FALSE)</f>
        <v>#N/A</v>
      </c>
      <c r="D41" s="17" t="e">
        <f>VLOOKUP(A41,Data!$A$2:$C$8135,3,FALSE)</f>
        <v>#N/A</v>
      </c>
      <c r="E41" s="22"/>
      <c r="F41" s="23"/>
      <c r="G41" s="22"/>
      <c r="H41" s="23"/>
      <c r="I41" s="22"/>
      <c r="J41" s="23"/>
    </row>
    <row r="42" spans="1:10">
      <c r="A42" s="15" t="s">
        <v>166</v>
      </c>
      <c r="B42" s="15">
        <v>88</v>
      </c>
      <c r="C42" s="15" t="e">
        <f>VLOOKUP(A42,Data!$A$2:$C$8135,2,FALSE)</f>
        <v>#N/A</v>
      </c>
      <c r="D42" s="17" t="e">
        <f>VLOOKUP(A42,Data!$A$2:$C$8135,3,FALSE)</f>
        <v>#N/A</v>
      </c>
      <c r="E42" s="22"/>
      <c r="F42" s="23"/>
      <c r="G42" s="22"/>
      <c r="H42" s="23"/>
      <c r="I42" s="22"/>
      <c r="J42" s="23"/>
    </row>
    <row r="43" spans="1:10">
      <c r="A43" s="15" t="s">
        <v>167</v>
      </c>
      <c r="B43" s="15">
        <v>89</v>
      </c>
      <c r="C43" s="15" t="e">
        <f>VLOOKUP(A43,Data!$A$2:$C$8135,2,FALSE)</f>
        <v>#N/A</v>
      </c>
      <c r="D43" s="17" t="e">
        <f>VLOOKUP(A43,Data!$A$2:$C$8135,3,FALSE)</f>
        <v>#N/A</v>
      </c>
      <c r="E43" s="22"/>
      <c r="F43" s="23"/>
      <c r="G43" s="22"/>
      <c r="H43" s="23"/>
      <c r="I43" s="22"/>
      <c r="J43" s="23"/>
    </row>
    <row r="44" spans="1:10">
      <c r="A44" s="15" t="s">
        <v>161</v>
      </c>
      <c r="B44" s="15">
        <v>90</v>
      </c>
      <c r="C44" s="15" t="e">
        <f>VLOOKUP(A44,Data!$A$2:$C$8135,2,FALSE)</f>
        <v>#N/A</v>
      </c>
      <c r="D44" s="17" t="e">
        <f>VLOOKUP(A44,Data!$A$2:$C$8135,3,FALSE)</f>
        <v>#N/A</v>
      </c>
      <c r="E44" s="22"/>
      <c r="F44" s="23"/>
      <c r="G44" s="22"/>
      <c r="H44" s="23"/>
      <c r="I44" s="22"/>
      <c r="J44" s="23"/>
    </row>
    <row r="45" spans="1:10">
      <c r="A45" s="15" t="s">
        <v>192</v>
      </c>
      <c r="B45" s="15">
        <v>91</v>
      </c>
      <c r="C45" s="15" t="e">
        <f>VLOOKUP(A45,Data!$A$2:$C$8135,2,FALSE)</f>
        <v>#N/A</v>
      </c>
      <c r="D45" s="17" t="e">
        <f>VLOOKUP(A45,Data!$A$2:$C$8135,3,FALSE)</f>
        <v>#N/A</v>
      </c>
      <c r="E45" s="22"/>
      <c r="F45" s="23"/>
      <c r="G45" s="22"/>
      <c r="H45" s="23"/>
      <c r="I45" s="22"/>
      <c r="J45" s="23"/>
    </row>
    <row r="46" spans="1:10">
      <c r="A46" s="15" t="s">
        <v>156</v>
      </c>
      <c r="B46" s="15">
        <v>92</v>
      </c>
      <c r="C46" s="15" t="e">
        <f>VLOOKUP(A46,Data!$A$2:$C$8135,2,FALSE)</f>
        <v>#N/A</v>
      </c>
      <c r="D46" s="17" t="e">
        <f>VLOOKUP(A46,Data!$A$2:$C$8135,3,FALSE)</f>
        <v>#N/A</v>
      </c>
      <c r="E46" s="22"/>
      <c r="F46" s="23"/>
      <c r="G46" s="22"/>
      <c r="H46" s="23"/>
      <c r="I46" s="22"/>
      <c r="J46" s="23"/>
    </row>
    <row r="47" spans="1:10">
      <c r="A47" s="15" t="s">
        <v>27</v>
      </c>
      <c r="B47" s="15">
        <v>93</v>
      </c>
      <c r="C47" s="15">
        <f>VLOOKUP(A47,Data!$A$2:$C$8135,2,FALSE)</f>
        <v>33.718347999999999</v>
      </c>
      <c r="D47" s="17">
        <f>VLOOKUP(A47,Data!$A$2:$C$8135,3,FALSE)</f>
        <v>-117.853889</v>
      </c>
      <c r="E47" s="22">
        <v>43</v>
      </c>
      <c r="F47" s="23">
        <v>2</v>
      </c>
      <c r="G47" s="22">
        <v>20</v>
      </c>
      <c r="H47" s="23">
        <v>10</v>
      </c>
      <c r="I47" s="22">
        <v>31</v>
      </c>
      <c r="J47" s="23">
        <v>9</v>
      </c>
    </row>
    <row r="48" spans="1:10">
      <c r="A48" s="15" t="s">
        <v>29</v>
      </c>
      <c r="B48" s="15">
        <v>94</v>
      </c>
      <c r="C48" s="15" t="e">
        <f>VLOOKUP(A48,Data!$A$2:$C$8135,2,FALSE)</f>
        <v>#N/A</v>
      </c>
      <c r="D48" s="17" t="e">
        <f>VLOOKUP(A48,Data!$A$2:$C$8135,3,FALSE)</f>
        <v>#N/A</v>
      </c>
      <c r="E48" s="22">
        <v>36</v>
      </c>
      <c r="F48" s="23">
        <v>9</v>
      </c>
      <c r="G48" s="22">
        <v>8</v>
      </c>
      <c r="H48" s="23">
        <v>7</v>
      </c>
      <c r="I48" s="22"/>
      <c r="J48" s="23"/>
    </row>
    <row r="49" spans="1:10">
      <c r="A49" s="15" t="s">
        <v>28</v>
      </c>
      <c r="B49" s="15" t="s">
        <v>269</v>
      </c>
      <c r="C49" s="15">
        <f>VLOOKUP(A49,Data!$A$2:$C$8135,2,FALSE)</f>
        <v>33.718353</v>
      </c>
      <c r="D49" s="17">
        <f>VLOOKUP(A49,Data!$A$2:$C$8135,3,FALSE)</f>
        <v>-117.85274699999999</v>
      </c>
      <c r="E49" s="22">
        <v>34</v>
      </c>
      <c r="F49" s="23">
        <v>11</v>
      </c>
      <c r="G49" s="22">
        <v>13</v>
      </c>
      <c r="H49" s="23">
        <v>17</v>
      </c>
      <c r="I49" s="22">
        <v>22</v>
      </c>
      <c r="J49" s="23">
        <v>18</v>
      </c>
    </row>
    <row r="50" spans="1:10">
      <c r="A50" s="15" t="s">
        <v>31</v>
      </c>
      <c r="B50" s="15">
        <v>95</v>
      </c>
      <c r="C50" s="15" t="e">
        <f>VLOOKUP(A50,Data!$A$2:$C$8135,2,FALSE)</f>
        <v>#N/A</v>
      </c>
      <c r="D50" s="17" t="e">
        <f>VLOOKUP(A50,Data!$A$2:$C$8135,3,FALSE)</f>
        <v>#N/A</v>
      </c>
      <c r="E50" s="22">
        <v>40</v>
      </c>
      <c r="F50" s="23">
        <v>5</v>
      </c>
      <c r="G50" s="22">
        <v>2</v>
      </c>
      <c r="H50" s="23">
        <v>2</v>
      </c>
      <c r="I50" s="22"/>
      <c r="J50" s="23"/>
    </row>
    <row r="51" spans="1:10">
      <c r="A51" s="15" t="s">
        <v>30</v>
      </c>
      <c r="B51" s="15" t="s">
        <v>268</v>
      </c>
      <c r="C51" s="15">
        <f>VLOOKUP(A51,Data!$A$2:$C$8135,2,FALSE)</f>
        <v>33.719078000000003</v>
      </c>
      <c r="D51" s="17">
        <f>VLOOKUP(A51,Data!$A$2:$C$8135,3,FALSE)</f>
        <v>-117.852715</v>
      </c>
      <c r="E51" s="22">
        <v>38</v>
      </c>
      <c r="F51" s="23">
        <v>7</v>
      </c>
      <c r="G51" s="22">
        <v>12</v>
      </c>
      <c r="H51" s="23">
        <v>18</v>
      </c>
      <c r="I51" s="22">
        <v>21</v>
      </c>
      <c r="J51" s="23">
        <v>19</v>
      </c>
    </row>
    <row r="52" spans="1:10">
      <c r="A52" s="15" t="s">
        <v>157</v>
      </c>
      <c r="B52" s="15">
        <v>96</v>
      </c>
      <c r="C52" s="15" t="e">
        <f>VLOOKUP(A52,Data!$A$2:$C$8135,2,FALSE)</f>
        <v>#N/A</v>
      </c>
      <c r="D52" s="17" t="e">
        <f>VLOOKUP(A52,Data!$A$2:$C$8135,3,FALSE)</f>
        <v>#N/A</v>
      </c>
      <c r="E52" s="22"/>
      <c r="F52" s="23"/>
      <c r="G52" s="22"/>
      <c r="H52" s="23"/>
      <c r="I52" s="22"/>
      <c r="J52" s="23"/>
    </row>
    <row r="53" spans="1:10">
      <c r="A53" s="15" t="s">
        <v>32</v>
      </c>
      <c r="B53" s="15">
        <v>97</v>
      </c>
      <c r="C53" s="15">
        <f>VLOOKUP(A53,Data!$A$2:$C$8135,2,FALSE)</f>
        <v>33.718404999999997</v>
      </c>
      <c r="D53" s="17">
        <f>VLOOKUP(A53,Data!$A$2:$C$8135,3,FALSE)</f>
        <v>-117.851675</v>
      </c>
      <c r="E53" s="22">
        <v>38</v>
      </c>
      <c r="F53" s="23">
        <v>7</v>
      </c>
      <c r="G53" s="22">
        <v>13</v>
      </c>
      <c r="H53" s="23">
        <v>17</v>
      </c>
      <c r="I53" s="22">
        <v>28</v>
      </c>
      <c r="J53" s="23">
        <v>12</v>
      </c>
    </row>
    <row r="54" spans="1:10">
      <c r="A54" s="15" t="s">
        <v>158</v>
      </c>
      <c r="B54" s="15">
        <v>98</v>
      </c>
      <c r="C54" s="15" t="e">
        <f>VLOOKUP(A54,Data!$A$2:$C$8135,2,FALSE)</f>
        <v>#N/A</v>
      </c>
      <c r="D54" s="17" t="e">
        <f>VLOOKUP(A54,Data!$A$2:$C$8135,3,FALSE)</f>
        <v>#N/A</v>
      </c>
      <c r="E54" s="22"/>
      <c r="F54" s="23"/>
      <c r="G54" s="22"/>
      <c r="H54" s="23"/>
      <c r="I54" s="22"/>
      <c r="J54" s="23"/>
    </row>
    <row r="55" spans="1:10">
      <c r="A55" s="15" t="s">
        <v>159</v>
      </c>
      <c r="B55" s="15">
        <v>99</v>
      </c>
      <c r="C55" s="15" t="e">
        <f>VLOOKUP(A55,Data!$A$2:$C$8135,2,FALSE)</f>
        <v>#N/A</v>
      </c>
      <c r="D55" s="17" t="e">
        <f>VLOOKUP(A55,Data!$A$2:$C$8135,3,FALSE)</f>
        <v>#N/A</v>
      </c>
      <c r="E55" s="22"/>
      <c r="F55" s="23"/>
      <c r="G55" s="22"/>
      <c r="H55" s="23"/>
      <c r="I55" s="22"/>
      <c r="J55" s="23"/>
    </row>
    <row r="56" spans="1:10">
      <c r="A56" s="15" t="s">
        <v>160</v>
      </c>
      <c r="B56" s="15">
        <v>100</v>
      </c>
      <c r="C56" s="15" t="e">
        <f>VLOOKUP(A56,Data!$A$2:$C$8135,2,FALSE)</f>
        <v>#N/A</v>
      </c>
      <c r="D56" s="17" t="e">
        <f>VLOOKUP(A56,Data!$A$2:$C$8135,3,FALSE)</f>
        <v>#N/A</v>
      </c>
      <c r="E56" s="22"/>
      <c r="F56" s="23"/>
      <c r="G56" s="22"/>
      <c r="H56" s="23"/>
      <c r="I56" s="22"/>
      <c r="J56" s="23"/>
    </row>
    <row r="57" spans="1:10">
      <c r="A57" s="15" t="s">
        <v>33</v>
      </c>
      <c r="B57" s="15">
        <v>101</v>
      </c>
      <c r="C57" s="15">
        <f>VLOOKUP(A57,Data!$A$2:$C$8135,2,FALSE)</f>
        <v>33.715702999999998</v>
      </c>
      <c r="D57" s="17">
        <f>VLOOKUP(A57,Data!$A$2:$C$8135,3,FALSE)</f>
        <v>-117.85176199999999</v>
      </c>
      <c r="E57" s="22">
        <v>41</v>
      </c>
      <c r="F57" s="23">
        <v>4</v>
      </c>
      <c r="G57" s="22">
        <v>15</v>
      </c>
      <c r="H57" s="23">
        <v>15</v>
      </c>
      <c r="I57" s="22">
        <v>29</v>
      </c>
      <c r="J57" s="23">
        <v>11</v>
      </c>
    </row>
    <row r="58" spans="1:10">
      <c r="A58" s="15" t="s">
        <v>34</v>
      </c>
      <c r="B58" s="15">
        <v>102</v>
      </c>
      <c r="C58" s="15">
        <f>VLOOKUP(A58,Data!$A$2:$C$8135,2,FALSE)</f>
        <v>33.718296000000002</v>
      </c>
      <c r="D58" s="17">
        <f>VLOOKUP(A58,Data!$A$2:$C$8135,3,FALSE)</f>
        <v>-117.85047400000001</v>
      </c>
      <c r="E58" s="22">
        <v>39</v>
      </c>
      <c r="F58" s="23">
        <v>6</v>
      </c>
      <c r="G58" s="22">
        <v>6</v>
      </c>
      <c r="H58" s="23">
        <v>14</v>
      </c>
      <c r="I58" s="22"/>
      <c r="J58" s="23"/>
    </row>
    <row r="59" spans="1:10">
      <c r="A59" s="15" t="s">
        <v>35</v>
      </c>
      <c r="B59" s="15">
        <v>103</v>
      </c>
      <c r="C59" s="15">
        <f>VLOOKUP(A59,Data!$A$2:$C$8135,2,FALSE)</f>
        <v>33.717300999999999</v>
      </c>
      <c r="D59" s="17">
        <f>VLOOKUP(A59,Data!$A$2:$C$8135,3,FALSE)</f>
        <v>-117.85065</v>
      </c>
      <c r="E59" s="22">
        <v>36</v>
      </c>
      <c r="F59" s="23">
        <v>9</v>
      </c>
      <c r="G59" s="22">
        <v>13</v>
      </c>
      <c r="H59" s="23">
        <v>17</v>
      </c>
      <c r="I59" s="22">
        <v>30</v>
      </c>
      <c r="J59" s="23">
        <v>10</v>
      </c>
    </row>
    <row r="60" spans="1:10">
      <c r="A60" s="15" t="s">
        <v>168</v>
      </c>
      <c r="B60" s="15">
        <v>104</v>
      </c>
      <c r="C60" s="15" t="e">
        <f>VLOOKUP(A60,Data!$A$2:$C$8135,2,FALSE)</f>
        <v>#N/A</v>
      </c>
      <c r="D60" s="17" t="e">
        <f>VLOOKUP(A60,Data!$A$2:$C$8135,3,FALSE)</f>
        <v>#N/A</v>
      </c>
      <c r="E60" s="22"/>
      <c r="F60" s="23"/>
      <c r="G60" s="22"/>
      <c r="H60" s="23"/>
      <c r="I60" s="22"/>
      <c r="J60" s="23"/>
    </row>
    <row r="61" spans="1:10">
      <c r="A61" s="15" t="s">
        <v>169</v>
      </c>
      <c r="B61" s="15">
        <v>105</v>
      </c>
      <c r="C61" s="15" t="e">
        <f>VLOOKUP(A61,Data!$A$2:$C$8135,2,FALSE)</f>
        <v>#N/A</v>
      </c>
      <c r="D61" s="17" t="e">
        <f>VLOOKUP(A61,Data!$A$2:$C$8135,3,FALSE)</f>
        <v>#N/A</v>
      </c>
      <c r="E61" s="22"/>
      <c r="F61" s="23"/>
      <c r="G61" s="22"/>
      <c r="H61" s="23"/>
      <c r="I61" s="22"/>
      <c r="J61" s="23"/>
    </row>
    <row r="62" spans="1:10">
      <c r="A62" s="15" t="s">
        <v>36</v>
      </c>
      <c r="B62" s="15">
        <v>106</v>
      </c>
      <c r="C62" s="15">
        <f>VLOOKUP(A62,Data!$A$2:$C$8135,2,FALSE)</f>
        <v>33.718167999999999</v>
      </c>
      <c r="D62" s="17">
        <f>VLOOKUP(A62,Data!$A$2:$C$8135,3,FALSE)</f>
        <v>-117.84703</v>
      </c>
      <c r="E62" s="22">
        <v>31</v>
      </c>
      <c r="F62" s="23">
        <v>14</v>
      </c>
      <c r="G62" s="22">
        <v>27</v>
      </c>
      <c r="H62" s="23">
        <v>3</v>
      </c>
      <c r="I62" s="22">
        <v>32</v>
      </c>
      <c r="J62" s="23">
        <v>8</v>
      </c>
    </row>
    <row r="63" spans="1:10">
      <c r="A63" s="15" t="s">
        <v>37</v>
      </c>
      <c r="B63" s="15">
        <v>107</v>
      </c>
      <c r="C63" s="15">
        <f>VLOOKUP(A63,Data!$A$2:$C$8135,2,FALSE)</f>
        <v>33.716335999999998</v>
      </c>
      <c r="D63" s="17">
        <f>VLOOKUP(A63,Data!$A$2:$C$8135,3,FALSE)</f>
        <v>-117.84705</v>
      </c>
      <c r="E63" s="22">
        <v>10</v>
      </c>
      <c r="F63" s="23">
        <v>13</v>
      </c>
      <c r="G63" s="22"/>
      <c r="H63" s="23"/>
      <c r="I63" s="22"/>
      <c r="J63" s="23"/>
    </row>
    <row r="64" spans="1:10">
      <c r="A64" s="15" t="s">
        <v>38</v>
      </c>
      <c r="B64" s="15">
        <v>108</v>
      </c>
      <c r="C64" s="15">
        <f>VLOOKUP(A64,Data!$A$2:$C$8135,2,FALSE)</f>
        <v>33.717367000000003</v>
      </c>
      <c r="D64" s="17">
        <f>VLOOKUP(A64,Data!$A$2:$C$8135,3,FALSE)</f>
        <v>-117.847031</v>
      </c>
      <c r="E64" s="22">
        <v>36</v>
      </c>
      <c r="F64" s="23">
        <v>9</v>
      </c>
      <c r="G64" s="22">
        <v>8</v>
      </c>
      <c r="H64" s="23">
        <v>22</v>
      </c>
      <c r="I64" s="22">
        <v>7</v>
      </c>
      <c r="J64" s="23">
        <v>33</v>
      </c>
    </row>
    <row r="65" spans="1:10">
      <c r="A65" s="15" t="s">
        <v>39</v>
      </c>
      <c r="B65" s="15">
        <v>109</v>
      </c>
      <c r="C65" s="15">
        <f>VLOOKUP(A65,Data!$A$2:$C$8135,2,FALSE)</f>
        <v>33.718240999999999</v>
      </c>
      <c r="D65" s="17">
        <f>VLOOKUP(A65,Data!$A$2:$C$8135,3,FALSE)</f>
        <v>-117.84579100000001</v>
      </c>
      <c r="E65" s="22">
        <v>39</v>
      </c>
      <c r="F65" s="23">
        <v>6</v>
      </c>
      <c r="G65" s="22">
        <v>23</v>
      </c>
      <c r="H65" s="23">
        <v>7</v>
      </c>
      <c r="I65" s="22">
        <v>9</v>
      </c>
      <c r="J65" s="23">
        <v>9</v>
      </c>
    </row>
    <row r="66" spans="1:10">
      <c r="A66" s="15" t="s">
        <v>40</v>
      </c>
      <c r="B66" s="15">
        <v>110</v>
      </c>
      <c r="C66" s="15">
        <f>VLOOKUP(A66,Data!$A$2:$C$8135,2,FALSE)</f>
        <v>33.718850000000003</v>
      </c>
      <c r="D66" s="17">
        <f>VLOOKUP(A66,Data!$A$2:$C$8135,3,FALSE)</f>
        <v>-117.843943</v>
      </c>
      <c r="E66" s="22">
        <v>36</v>
      </c>
      <c r="F66" s="23">
        <v>9</v>
      </c>
      <c r="G66" s="22">
        <v>21</v>
      </c>
      <c r="H66" s="23">
        <v>9</v>
      </c>
      <c r="I66" s="22">
        <v>17</v>
      </c>
      <c r="J66" s="23">
        <v>23</v>
      </c>
    </row>
    <row r="67" spans="1:10">
      <c r="A67" s="15" t="s">
        <v>41</v>
      </c>
      <c r="B67" s="15">
        <v>111</v>
      </c>
      <c r="C67" s="15">
        <f>VLOOKUP(A67,Data!$A$2:$C$8135,2,FALSE)</f>
        <v>33.716616999999999</v>
      </c>
      <c r="D67" s="17">
        <f>VLOOKUP(A67,Data!$A$2:$C$8135,3,FALSE)</f>
        <v>-117.844373</v>
      </c>
      <c r="E67" s="22">
        <v>34</v>
      </c>
      <c r="F67" s="23">
        <v>11</v>
      </c>
      <c r="G67" s="22">
        <v>18</v>
      </c>
      <c r="H67" s="23">
        <v>12</v>
      </c>
      <c r="I67" s="22">
        <v>16</v>
      </c>
      <c r="J67" s="23">
        <v>24</v>
      </c>
    </row>
    <row r="68" spans="1:10">
      <c r="A68" s="15" t="s">
        <v>42</v>
      </c>
      <c r="B68" s="15">
        <v>112</v>
      </c>
      <c r="C68" s="15">
        <f>VLOOKUP(A68,Data!$A$2:$C$8135,2,FALSE)</f>
        <v>33.722360999999999</v>
      </c>
      <c r="D68" s="17">
        <f>VLOOKUP(A68,Data!$A$2:$C$8135,3,FALSE)</f>
        <v>-117.841475</v>
      </c>
      <c r="E68" s="22">
        <v>41</v>
      </c>
      <c r="F68" s="23">
        <v>4</v>
      </c>
      <c r="G68" s="22">
        <v>19</v>
      </c>
      <c r="H68" s="23">
        <v>11</v>
      </c>
      <c r="I68" s="22">
        <v>13</v>
      </c>
      <c r="J68" s="23">
        <v>27</v>
      </c>
    </row>
    <row r="69" spans="1:10">
      <c r="A69" s="15" t="s">
        <v>43</v>
      </c>
      <c r="B69" s="15">
        <v>113</v>
      </c>
      <c r="C69" s="15">
        <f>VLOOKUP(A69,Data!$A$2:$C$8135,2,FALSE)</f>
        <v>33.723101</v>
      </c>
      <c r="D69" s="17">
        <f>VLOOKUP(A69,Data!$A$2:$C$8135,3,FALSE)</f>
        <v>-117.839581</v>
      </c>
      <c r="E69" s="22">
        <v>43</v>
      </c>
      <c r="F69" s="23">
        <v>2</v>
      </c>
      <c r="G69" s="22">
        <v>26</v>
      </c>
      <c r="H69" s="23">
        <v>4</v>
      </c>
      <c r="I69" s="22">
        <v>31</v>
      </c>
      <c r="J69" s="23">
        <v>9</v>
      </c>
    </row>
    <row r="70" spans="1:10">
      <c r="A70" s="15" t="s">
        <v>222</v>
      </c>
      <c r="B70" s="15">
        <v>114</v>
      </c>
      <c r="C70" s="15" t="e">
        <f>VLOOKUP(A70,Data!$A$2:$C$8135,2,FALSE)</f>
        <v>#N/A</v>
      </c>
      <c r="D70" s="17" t="e">
        <f>VLOOKUP(A70,Data!$A$2:$C$8135,3,FALSE)</f>
        <v>#N/A</v>
      </c>
      <c r="E70" s="22"/>
      <c r="F70" s="23"/>
      <c r="G70" s="22"/>
      <c r="H70" s="23"/>
      <c r="I70" s="22"/>
      <c r="J70" s="23"/>
    </row>
    <row r="71" spans="1:10">
      <c r="A71" s="15" t="s">
        <v>178</v>
      </c>
      <c r="B71" s="15">
        <v>115</v>
      </c>
      <c r="C71" s="15" t="e">
        <f>VLOOKUP(A71,Data!$A$2:$C$8135,2,FALSE)</f>
        <v>#N/A</v>
      </c>
      <c r="D71" s="17" t="e">
        <f>VLOOKUP(A71,Data!$A$2:$C$8135,3,FALSE)</f>
        <v>#N/A</v>
      </c>
      <c r="E71" s="22"/>
      <c r="F71" s="23"/>
      <c r="G71" s="22"/>
      <c r="H71" s="23"/>
      <c r="I71" s="22"/>
      <c r="J71" s="23"/>
    </row>
    <row r="72" spans="1:10">
      <c r="A72" s="15" t="s">
        <v>179</v>
      </c>
      <c r="B72" s="15">
        <v>116</v>
      </c>
      <c r="C72" s="15" t="e">
        <f>VLOOKUP(A72,Data!$A$2:$C$8135,2,FALSE)</f>
        <v>#N/A</v>
      </c>
      <c r="D72" s="17" t="e">
        <f>VLOOKUP(A72,Data!$A$2:$C$8135,3,FALSE)</f>
        <v>#N/A</v>
      </c>
      <c r="E72" s="22"/>
      <c r="F72" s="23"/>
      <c r="G72" s="22"/>
      <c r="H72" s="23"/>
      <c r="I72" s="22"/>
      <c r="J72" s="23"/>
    </row>
    <row r="73" spans="1:10">
      <c r="A73" s="15" t="s">
        <v>180</v>
      </c>
      <c r="B73" s="15">
        <v>117</v>
      </c>
      <c r="C73" s="15" t="e">
        <f>VLOOKUP(A73,Data!$A$2:$C$8135,2,FALSE)</f>
        <v>#N/A</v>
      </c>
      <c r="D73" s="17" t="e">
        <f>VLOOKUP(A73,Data!$A$2:$C$8135,3,FALSE)</f>
        <v>#N/A</v>
      </c>
      <c r="E73" s="22"/>
      <c r="F73" s="23"/>
      <c r="G73" s="22"/>
      <c r="H73" s="23"/>
      <c r="I73" s="22"/>
      <c r="J73" s="23"/>
    </row>
    <row r="74" spans="1:10">
      <c r="A74" s="15" t="s">
        <v>181</v>
      </c>
      <c r="B74" s="15">
        <v>118</v>
      </c>
      <c r="C74" s="15" t="e">
        <f>VLOOKUP(A74,Data!$A$2:$C$8135,2,FALSE)</f>
        <v>#N/A</v>
      </c>
      <c r="D74" s="17" t="e">
        <f>VLOOKUP(A74,Data!$A$2:$C$8135,3,FALSE)</f>
        <v>#N/A</v>
      </c>
      <c r="E74" s="22"/>
      <c r="F74" s="23"/>
      <c r="G74" s="22"/>
      <c r="H74" s="23"/>
      <c r="I74" s="22"/>
      <c r="J74" s="23"/>
    </row>
    <row r="75" spans="1:10">
      <c r="A75" s="15" t="s">
        <v>182</v>
      </c>
      <c r="B75" s="15">
        <v>119</v>
      </c>
      <c r="C75" s="15" t="e">
        <f>VLOOKUP(A75,Data!$A$2:$C$8135,2,FALSE)</f>
        <v>#N/A</v>
      </c>
      <c r="D75" s="17" t="e">
        <f>VLOOKUP(A75,Data!$A$2:$C$8135,3,FALSE)</f>
        <v>#N/A</v>
      </c>
      <c r="E75" s="22"/>
      <c r="F75" s="23"/>
      <c r="G75" s="22"/>
      <c r="H75" s="23"/>
      <c r="I75" s="22"/>
      <c r="J75" s="23"/>
    </row>
    <row r="76" spans="1:10">
      <c r="A76" s="15" t="s">
        <v>183</v>
      </c>
      <c r="B76" s="15">
        <v>120</v>
      </c>
      <c r="C76" s="15" t="e">
        <f>VLOOKUP(A76,Data!$A$2:$C$8135,2,FALSE)</f>
        <v>#N/A</v>
      </c>
      <c r="D76" s="17" t="e">
        <f>VLOOKUP(A76,Data!$A$2:$C$8135,3,FALSE)</f>
        <v>#N/A</v>
      </c>
      <c r="E76" s="22"/>
      <c r="F76" s="23"/>
      <c r="G76" s="22"/>
      <c r="H76" s="23"/>
      <c r="I76" s="22"/>
      <c r="J76" s="23"/>
    </row>
    <row r="77" spans="1:10">
      <c r="A77" s="15" t="s">
        <v>184</v>
      </c>
      <c r="B77" s="15">
        <v>121</v>
      </c>
      <c r="C77" s="15" t="e">
        <f>VLOOKUP(A77,Data!$A$2:$C$8135,2,FALSE)</f>
        <v>#N/A</v>
      </c>
      <c r="D77" s="17" t="e">
        <f>VLOOKUP(A77,Data!$A$2:$C$8135,3,FALSE)</f>
        <v>#N/A</v>
      </c>
      <c r="E77" s="22"/>
      <c r="F77" s="23"/>
      <c r="G77" s="22"/>
      <c r="H77" s="23"/>
      <c r="I77" s="22"/>
      <c r="J77" s="23"/>
    </row>
    <row r="78" spans="1:10">
      <c r="A78" s="15" t="s">
        <v>185</v>
      </c>
      <c r="B78" s="15">
        <v>122</v>
      </c>
      <c r="C78" s="15" t="e">
        <f>VLOOKUP(A78,Data!$A$2:$C$8135,2,FALSE)</f>
        <v>#N/A</v>
      </c>
      <c r="D78" s="17" t="e">
        <f>VLOOKUP(A78,Data!$A$2:$C$8135,3,FALSE)</f>
        <v>#N/A</v>
      </c>
      <c r="E78" s="22"/>
      <c r="F78" s="23"/>
      <c r="G78" s="22"/>
      <c r="H78" s="23"/>
      <c r="I78" s="22"/>
      <c r="J78" s="23"/>
    </row>
    <row r="79" spans="1:10">
      <c r="A79" s="15" t="s">
        <v>44</v>
      </c>
      <c r="B79" s="15">
        <v>123</v>
      </c>
      <c r="C79" s="15">
        <f>VLOOKUP(A79,Data!$A$2:$C$8135,2,FALSE)</f>
        <v>33.709552000000002</v>
      </c>
      <c r="D79" s="17">
        <f>VLOOKUP(A79,Data!$A$2:$C$8135,3,FALSE)</f>
        <v>-117.85288199999999</v>
      </c>
      <c r="E79" s="22">
        <v>27</v>
      </c>
      <c r="F79" s="23">
        <v>18</v>
      </c>
      <c r="G79" s="22">
        <v>9</v>
      </c>
      <c r="H79" s="23">
        <v>21</v>
      </c>
      <c r="I79" s="22">
        <v>13</v>
      </c>
      <c r="J79" s="23">
        <v>8</v>
      </c>
    </row>
    <row r="80" spans="1:10">
      <c r="A80" s="15" t="s">
        <v>186</v>
      </c>
      <c r="B80" s="15">
        <v>124</v>
      </c>
      <c r="C80" s="15" t="e">
        <f>VLOOKUP(A80,Data!$A$2:$C$8135,2,FALSE)</f>
        <v>#N/A</v>
      </c>
      <c r="D80" s="17" t="e">
        <f>VLOOKUP(A80,Data!$A$2:$C$8135,3,FALSE)</f>
        <v>#N/A</v>
      </c>
      <c r="E80" s="22"/>
      <c r="F80" s="23"/>
      <c r="G80" s="22"/>
      <c r="H80" s="23"/>
      <c r="I80" s="22"/>
      <c r="J80" s="23"/>
    </row>
    <row r="81" spans="1:10">
      <c r="A81" s="15" t="s">
        <v>187</v>
      </c>
      <c r="B81" s="15">
        <v>125</v>
      </c>
      <c r="C81" s="15" t="e">
        <f>VLOOKUP(A81,Data!$A$2:$C$8135,2,FALSE)</f>
        <v>#N/A</v>
      </c>
      <c r="D81" s="17" t="e">
        <f>VLOOKUP(A81,Data!$A$2:$C$8135,3,FALSE)</f>
        <v>#N/A</v>
      </c>
      <c r="E81" s="22"/>
      <c r="F81" s="23"/>
      <c r="G81" s="22"/>
      <c r="H81" s="23"/>
      <c r="I81" s="22"/>
      <c r="J81" s="23"/>
    </row>
    <row r="82" spans="1:10">
      <c r="A82" s="15" t="s">
        <v>45</v>
      </c>
      <c r="B82" s="15">
        <v>126</v>
      </c>
      <c r="C82" s="15">
        <f>VLOOKUP(A82,Data!$A$2:$C$8135,2,FALSE)</f>
        <v>33.712358000000002</v>
      </c>
      <c r="D82" s="17">
        <f>VLOOKUP(A82,Data!$A$2:$C$8135,3,FALSE)</f>
        <v>-117.844087</v>
      </c>
      <c r="E82" s="22">
        <v>39</v>
      </c>
      <c r="F82" s="23">
        <v>6</v>
      </c>
      <c r="G82" s="22">
        <v>15</v>
      </c>
      <c r="H82" s="23">
        <v>15</v>
      </c>
      <c r="I82" s="22">
        <v>32</v>
      </c>
      <c r="J82" s="23">
        <v>8</v>
      </c>
    </row>
    <row r="83" spans="1:10">
      <c r="A83" s="15" t="s">
        <v>46</v>
      </c>
      <c r="B83" s="15">
        <v>127</v>
      </c>
      <c r="C83" s="15">
        <f>VLOOKUP(A83,Data!$A$2:$C$8135,2,FALSE)</f>
        <v>33.717903</v>
      </c>
      <c r="D83" s="17">
        <f>VLOOKUP(A83,Data!$A$2:$C$8135,3,FALSE)</f>
        <v>-117.844086</v>
      </c>
      <c r="E83" s="22">
        <v>39</v>
      </c>
      <c r="F83" s="23">
        <v>6</v>
      </c>
      <c r="G83" s="22">
        <v>25</v>
      </c>
      <c r="H83" s="23">
        <v>5</v>
      </c>
      <c r="I83" s="22">
        <v>19</v>
      </c>
      <c r="J83" s="23">
        <v>21</v>
      </c>
    </row>
    <row r="84" spans="1:10">
      <c r="A84" s="15" t="s">
        <v>224</v>
      </c>
      <c r="B84" s="15">
        <v>128</v>
      </c>
      <c r="C84" s="15" t="e">
        <f>VLOOKUP(A84,Data!$A$2:$C$8135,2,FALSE)</f>
        <v>#N/A</v>
      </c>
      <c r="D84" s="17" t="e">
        <f>VLOOKUP(A84,Data!$A$2:$C$8135,3,FALSE)</f>
        <v>#N/A</v>
      </c>
      <c r="E84" s="22"/>
      <c r="F84" s="23"/>
      <c r="G84" s="22"/>
      <c r="H84" s="23"/>
      <c r="I84" s="22"/>
      <c r="J84" s="23"/>
    </row>
    <row r="85" spans="1:10">
      <c r="A85" s="15" t="s">
        <v>47</v>
      </c>
      <c r="B85" s="15">
        <v>129</v>
      </c>
      <c r="C85" s="15">
        <f>VLOOKUP(A85,Data!$A$2:$C$8135,2,FALSE)</f>
        <v>33.713436000000002</v>
      </c>
      <c r="D85" s="17">
        <f>VLOOKUP(A85,Data!$A$2:$C$8135,3,FALSE)</f>
        <v>-117.843433</v>
      </c>
      <c r="E85" s="22">
        <v>38</v>
      </c>
      <c r="F85" s="23">
        <v>7</v>
      </c>
      <c r="G85" s="22">
        <v>16</v>
      </c>
      <c r="H85" s="23">
        <v>14</v>
      </c>
      <c r="I85" s="22">
        <v>18</v>
      </c>
      <c r="J85" s="23">
        <v>15</v>
      </c>
    </row>
    <row r="86" spans="1:10">
      <c r="A86" s="15" t="s">
        <v>48</v>
      </c>
      <c r="B86" s="15">
        <v>130</v>
      </c>
      <c r="C86" s="15">
        <f>VLOOKUP(A86,Data!$A$2:$C$8135,2,FALSE)</f>
        <v>33.712007999999997</v>
      </c>
      <c r="D86" s="17">
        <f>VLOOKUP(A86,Data!$A$2:$C$8135,3,FALSE)</f>
        <v>-117.84311</v>
      </c>
      <c r="E86" s="22">
        <v>42</v>
      </c>
      <c r="F86" s="23">
        <v>3</v>
      </c>
      <c r="G86" s="22">
        <v>7</v>
      </c>
      <c r="H86" s="23">
        <v>23</v>
      </c>
      <c r="I86" s="22">
        <v>25</v>
      </c>
      <c r="J86" s="23">
        <v>15</v>
      </c>
    </row>
    <row r="87" spans="1:10">
      <c r="A87" s="15" t="s">
        <v>49</v>
      </c>
      <c r="B87" s="15">
        <v>131</v>
      </c>
      <c r="C87" s="15">
        <f>VLOOKUP(A87,Data!$A$2:$C$8135,2,FALSE)</f>
        <v>33.704600999999997</v>
      </c>
      <c r="D87" s="17">
        <f>VLOOKUP(A87,Data!$A$2:$C$8135,3,FALSE)</f>
        <v>-117.84863799999999</v>
      </c>
      <c r="E87" s="22">
        <v>38</v>
      </c>
      <c r="F87" s="23">
        <v>7</v>
      </c>
      <c r="G87" s="22">
        <v>21</v>
      </c>
      <c r="H87" s="23">
        <v>9</v>
      </c>
      <c r="I87" s="22">
        <v>10</v>
      </c>
      <c r="J87" s="23">
        <v>20</v>
      </c>
    </row>
    <row r="88" spans="1:10">
      <c r="A88" s="15" t="s">
        <v>50</v>
      </c>
      <c r="B88" s="15">
        <v>132</v>
      </c>
      <c r="C88" s="15">
        <f>VLOOKUP(A88,Data!$A$2:$C$8135,2,FALSE)</f>
        <v>33.705243000000003</v>
      </c>
      <c r="D88" s="17">
        <f>VLOOKUP(A88,Data!$A$2:$C$8135,3,FALSE)</f>
        <v>-117.84956</v>
      </c>
      <c r="E88" s="22">
        <v>38</v>
      </c>
      <c r="F88" s="23">
        <v>7</v>
      </c>
      <c r="G88" s="22">
        <v>21</v>
      </c>
      <c r="H88" s="23">
        <v>9</v>
      </c>
      <c r="I88" s="22">
        <v>14</v>
      </c>
      <c r="J88" s="23">
        <v>12</v>
      </c>
    </row>
    <row r="89" spans="1:10">
      <c r="A89" s="15" t="s">
        <v>51</v>
      </c>
      <c r="B89" s="15">
        <v>133</v>
      </c>
      <c r="C89" s="15">
        <f>VLOOKUP(A89,Data!$A$2:$C$8135,2,FALSE)</f>
        <v>33.704048</v>
      </c>
      <c r="D89" s="17">
        <f>VLOOKUP(A89,Data!$A$2:$C$8135,3,FALSE)</f>
        <v>-117.84785100000001</v>
      </c>
      <c r="E89" s="22">
        <v>32</v>
      </c>
      <c r="F89" s="23">
        <v>13</v>
      </c>
      <c r="G89" s="22">
        <v>20</v>
      </c>
      <c r="H89" s="23">
        <v>10</v>
      </c>
      <c r="I89" s="22">
        <v>8</v>
      </c>
      <c r="J89" s="23">
        <v>27</v>
      </c>
    </row>
    <row r="90" spans="1:10">
      <c r="A90" s="15" t="s">
        <v>203</v>
      </c>
      <c r="B90" s="15">
        <v>134</v>
      </c>
      <c r="C90" s="15" t="e">
        <f>VLOOKUP(A90,Data!$A$2:$C$8135,2,FALSE)</f>
        <v>#N/A</v>
      </c>
      <c r="D90" s="17" t="e">
        <f>VLOOKUP(A90,Data!$A$2:$C$8135,3,FALSE)</f>
        <v>#N/A</v>
      </c>
      <c r="E90" s="22"/>
      <c r="F90" s="23"/>
      <c r="G90" s="22"/>
      <c r="H90" s="23"/>
      <c r="I90" s="22"/>
      <c r="J90" s="23"/>
    </row>
    <row r="91" spans="1:10">
      <c r="A91" s="15" t="s">
        <v>52</v>
      </c>
      <c r="B91" s="15" t="s">
        <v>270</v>
      </c>
      <c r="C91" s="15">
        <f>VLOOKUP(A91,Data!$A$2:$C$8135,2,FALSE)</f>
        <v>33.703310000000002</v>
      </c>
      <c r="D91" s="17">
        <f>VLOOKUP(A91,Data!$A$2:$C$8135,3,FALSE)</f>
        <v>-117.84699000000001</v>
      </c>
      <c r="E91" s="22">
        <v>37</v>
      </c>
      <c r="F91" s="23">
        <v>8</v>
      </c>
      <c r="G91" s="22">
        <v>17</v>
      </c>
      <c r="H91" s="23">
        <v>13</v>
      </c>
      <c r="I91" s="22">
        <v>22</v>
      </c>
      <c r="J91" s="23">
        <v>18</v>
      </c>
    </row>
    <row r="92" spans="1:10">
      <c r="A92" s="15" t="s">
        <v>204</v>
      </c>
      <c r="B92" s="15">
        <v>135</v>
      </c>
      <c r="C92" s="15" t="e">
        <f>VLOOKUP(A92,Data!$A$2:$C$8135,2,FALSE)</f>
        <v>#N/A</v>
      </c>
      <c r="D92" s="17" t="e">
        <f>VLOOKUP(A92,Data!$A$2:$C$8135,3,FALSE)</f>
        <v>#N/A</v>
      </c>
      <c r="E92" s="22"/>
      <c r="F92" s="23"/>
      <c r="G92" s="22"/>
      <c r="H92" s="23"/>
      <c r="I92" s="22"/>
      <c r="J92" s="23"/>
    </row>
    <row r="93" spans="1:10">
      <c r="A93" s="15" t="s">
        <v>53</v>
      </c>
      <c r="B93" s="15">
        <v>136</v>
      </c>
      <c r="C93" s="15">
        <f>VLOOKUP(A93,Data!$A$2:$C$8135,2,FALSE)</f>
        <v>33.703409999999998</v>
      </c>
      <c r="D93" s="17">
        <f>VLOOKUP(A93,Data!$A$2:$C$8135,3,FALSE)</f>
        <v>-117.845176</v>
      </c>
      <c r="E93" s="22">
        <v>36</v>
      </c>
      <c r="F93" s="23">
        <v>9</v>
      </c>
      <c r="G93" s="22">
        <v>14</v>
      </c>
      <c r="H93" s="23">
        <v>16</v>
      </c>
      <c r="I93" s="22">
        <v>6</v>
      </c>
      <c r="J93" s="23">
        <v>15</v>
      </c>
    </row>
    <row r="94" spans="1:10">
      <c r="A94" s="15" t="s">
        <v>54</v>
      </c>
      <c r="B94" s="15">
        <v>137</v>
      </c>
      <c r="C94" s="15">
        <f>VLOOKUP(A94,Data!$A$2:$C$8135,2,FALSE)</f>
        <v>33.701095000000002</v>
      </c>
      <c r="D94" s="17">
        <f>VLOOKUP(A94,Data!$A$2:$C$8135,3,FALSE)</f>
        <v>-117.847463</v>
      </c>
      <c r="E94" s="22">
        <v>35</v>
      </c>
      <c r="F94" s="23">
        <v>10</v>
      </c>
      <c r="G94" s="22">
        <v>18</v>
      </c>
      <c r="H94" s="23">
        <v>12</v>
      </c>
      <c r="I94" s="22">
        <v>11</v>
      </c>
      <c r="J94" s="23">
        <v>13</v>
      </c>
    </row>
    <row r="95" spans="1:10">
      <c r="A95" s="15" t="s">
        <v>55</v>
      </c>
      <c r="B95" s="15">
        <v>138</v>
      </c>
      <c r="C95" s="15">
        <f>VLOOKUP(A95,Data!$A$2:$C$8135,2,FALSE)</f>
        <v>33.702441</v>
      </c>
      <c r="D95" s="17">
        <f>VLOOKUP(A95,Data!$A$2:$C$8135,3,FALSE)</f>
        <v>-117.846166</v>
      </c>
      <c r="E95" s="22">
        <v>36</v>
      </c>
      <c r="F95" s="23">
        <v>9</v>
      </c>
      <c r="G95" s="22">
        <v>17</v>
      </c>
      <c r="H95" s="23">
        <v>13</v>
      </c>
      <c r="I95" s="22">
        <v>2</v>
      </c>
      <c r="J95" s="23">
        <v>4</v>
      </c>
    </row>
    <row r="96" spans="1:10">
      <c r="A96" s="15" t="s">
        <v>56</v>
      </c>
      <c r="B96" s="15">
        <v>139</v>
      </c>
      <c r="C96" s="15">
        <f>VLOOKUP(A96,Data!$A$2:$C$8135,2,FALSE)</f>
        <v>33.699644999999997</v>
      </c>
      <c r="D96" s="17">
        <f>VLOOKUP(A96,Data!$A$2:$C$8135,3,FALSE)</f>
        <v>-117.848384</v>
      </c>
      <c r="E96" s="22">
        <v>34</v>
      </c>
      <c r="F96" s="23">
        <v>11</v>
      </c>
      <c r="G96" s="22">
        <v>20</v>
      </c>
      <c r="H96" s="23">
        <v>10</v>
      </c>
      <c r="I96" s="22">
        <v>9</v>
      </c>
      <c r="J96" s="23">
        <v>31</v>
      </c>
    </row>
    <row r="97" spans="1:10">
      <c r="A97" s="15" t="s">
        <v>57</v>
      </c>
      <c r="B97" s="15">
        <v>140</v>
      </c>
      <c r="C97" s="15">
        <f>VLOOKUP(A97,Data!$A$2:$C$8135,2,FALSE)</f>
        <v>33.698672999999999</v>
      </c>
      <c r="D97" s="17">
        <f>VLOOKUP(A97,Data!$A$2:$C$8135,3,FALSE)</f>
        <v>-117.849908</v>
      </c>
      <c r="E97" s="22">
        <v>21</v>
      </c>
      <c r="F97" s="23">
        <v>24</v>
      </c>
      <c r="G97" s="22">
        <v>22</v>
      </c>
      <c r="H97" s="23">
        <v>8</v>
      </c>
      <c r="I97" s="22">
        <v>5</v>
      </c>
      <c r="J97" s="23">
        <v>24</v>
      </c>
    </row>
    <row r="98" spans="1:10">
      <c r="A98" s="15" t="s">
        <v>58</v>
      </c>
      <c r="B98" s="15">
        <v>141</v>
      </c>
      <c r="C98" s="15">
        <f>VLOOKUP(A98,Data!$A$2:$C$8135,2,FALSE)</f>
        <v>33.700488999999997</v>
      </c>
      <c r="D98" s="17">
        <f>VLOOKUP(A98,Data!$A$2:$C$8135,3,FALSE)</f>
        <v>-117.849701</v>
      </c>
      <c r="E98" s="22">
        <v>20</v>
      </c>
      <c r="F98" s="23">
        <v>25</v>
      </c>
      <c r="G98" s="22">
        <v>3</v>
      </c>
      <c r="H98" s="23">
        <v>27</v>
      </c>
      <c r="I98" s="22">
        <v>4</v>
      </c>
      <c r="J98" s="23">
        <v>7</v>
      </c>
    </row>
    <row r="99" spans="1:10">
      <c r="A99" s="15" t="s">
        <v>59</v>
      </c>
      <c r="B99" s="15">
        <v>142</v>
      </c>
      <c r="C99" s="15">
        <f>VLOOKUP(A99,Data!$A$2:$C$8135,2,FALSE)</f>
        <v>33.697482000000001</v>
      </c>
      <c r="D99" s="17">
        <f>VLOOKUP(A99,Data!$A$2:$C$8135,3,FALSE)</f>
        <v>-117.851108</v>
      </c>
      <c r="E99" s="22">
        <v>26</v>
      </c>
      <c r="F99" s="23">
        <v>19</v>
      </c>
      <c r="G99" s="22">
        <v>22</v>
      </c>
      <c r="H99" s="23">
        <v>8</v>
      </c>
      <c r="I99" s="22">
        <v>14</v>
      </c>
      <c r="J99" s="23">
        <v>26</v>
      </c>
    </row>
    <row r="100" spans="1:10">
      <c r="A100" s="15" t="s">
        <v>60</v>
      </c>
      <c r="B100" s="15">
        <v>143</v>
      </c>
      <c r="C100" s="15">
        <f>VLOOKUP(A100,Data!$A$2:$C$8135,2,FALSE)</f>
        <v>33.700105000000001</v>
      </c>
      <c r="D100" s="17">
        <f>VLOOKUP(A100,Data!$A$2:$C$8135,3,FALSE)</f>
        <v>-117.849158</v>
      </c>
      <c r="E100" s="22">
        <v>24</v>
      </c>
      <c r="F100" s="23">
        <v>21</v>
      </c>
      <c r="G100" s="22">
        <v>18</v>
      </c>
      <c r="H100" s="23">
        <v>12</v>
      </c>
      <c r="I100" s="22">
        <v>7</v>
      </c>
      <c r="J100" s="23">
        <v>5</v>
      </c>
    </row>
    <row r="101" spans="1:10">
      <c r="A101" s="15" t="s">
        <v>61</v>
      </c>
      <c r="B101" s="15">
        <v>144</v>
      </c>
      <c r="C101" s="15">
        <f>VLOOKUP(A101,Data!$A$2:$C$8135,2,FALSE)</f>
        <v>33.698276999999997</v>
      </c>
      <c r="D101" s="17">
        <f>VLOOKUP(A101,Data!$A$2:$C$8135,3,FALSE)</f>
        <v>-117.859948</v>
      </c>
      <c r="E101" s="22">
        <v>34</v>
      </c>
      <c r="F101" s="23">
        <v>11</v>
      </c>
      <c r="G101" s="22">
        <v>22</v>
      </c>
      <c r="H101" s="23">
        <v>8</v>
      </c>
      <c r="I101" s="22">
        <v>14</v>
      </c>
      <c r="J101" s="23">
        <v>26</v>
      </c>
    </row>
    <row r="102" spans="1:10">
      <c r="A102" s="15" t="s">
        <v>62</v>
      </c>
      <c r="B102" s="15">
        <v>145</v>
      </c>
      <c r="C102" s="15">
        <f>VLOOKUP(A102,Data!$A$2:$C$8135,2,FALSE)</f>
        <v>33.698998000000003</v>
      </c>
      <c r="D102" s="17">
        <f>VLOOKUP(A102,Data!$A$2:$C$8135,3,FALSE)</f>
        <v>-117.858819</v>
      </c>
      <c r="E102" s="22">
        <v>29</v>
      </c>
      <c r="F102" s="23">
        <v>16</v>
      </c>
      <c r="G102" s="22">
        <v>17</v>
      </c>
      <c r="H102" s="23">
        <v>13</v>
      </c>
      <c r="I102" s="22">
        <v>12</v>
      </c>
      <c r="J102" s="23">
        <v>28</v>
      </c>
    </row>
    <row r="103" spans="1:10">
      <c r="A103" s="15" t="s">
        <v>63</v>
      </c>
      <c r="B103" s="15">
        <v>146</v>
      </c>
      <c r="C103" s="15">
        <f>VLOOKUP(A103,Data!$A$2:$C$8135,2,FALSE)</f>
        <v>33.699714</v>
      </c>
      <c r="D103" s="17">
        <f>VLOOKUP(A103,Data!$A$2:$C$8135,3,FALSE)</f>
        <v>-117.85802200000001</v>
      </c>
      <c r="E103" s="22">
        <v>23</v>
      </c>
      <c r="F103" s="23">
        <v>22</v>
      </c>
      <c r="G103" s="22">
        <v>11</v>
      </c>
      <c r="H103" s="23">
        <v>19</v>
      </c>
      <c r="I103" s="22">
        <v>3</v>
      </c>
      <c r="J103" s="23">
        <v>8</v>
      </c>
    </row>
    <row r="104" spans="1:10">
      <c r="A104" s="15" t="s">
        <v>64</v>
      </c>
      <c r="B104" s="15">
        <v>147</v>
      </c>
      <c r="C104" s="15">
        <f>VLOOKUP(A104,Data!$A$2:$C$8135,2,FALSE)</f>
        <v>33.695891000000003</v>
      </c>
      <c r="D104" s="17">
        <f>VLOOKUP(A104,Data!$A$2:$C$8135,3,FALSE)</f>
        <v>-117.861468</v>
      </c>
      <c r="E104" s="22">
        <v>36</v>
      </c>
      <c r="F104" s="23">
        <v>9</v>
      </c>
      <c r="G104" s="22">
        <v>14</v>
      </c>
      <c r="H104" s="23">
        <v>16</v>
      </c>
      <c r="I104" s="22">
        <v>20</v>
      </c>
      <c r="J104" s="23">
        <v>20</v>
      </c>
    </row>
    <row r="105" spans="1:10">
      <c r="A105" s="15" t="s">
        <v>65</v>
      </c>
      <c r="B105" s="15">
        <v>148</v>
      </c>
      <c r="C105" s="15">
        <f>VLOOKUP(A105,Data!$A$2:$C$8135,2,FALSE)</f>
        <v>33.695872999999999</v>
      </c>
      <c r="D105" s="17">
        <f>VLOOKUP(A105,Data!$A$2:$C$8135,3,FALSE)</f>
        <v>-117.859835</v>
      </c>
      <c r="E105" s="22">
        <v>38</v>
      </c>
      <c r="F105" s="23">
        <v>7</v>
      </c>
      <c r="G105" s="22">
        <v>13</v>
      </c>
      <c r="H105" s="23">
        <v>17</v>
      </c>
      <c r="I105" s="22">
        <v>7</v>
      </c>
      <c r="J105" s="23">
        <v>6</v>
      </c>
    </row>
    <row r="106" spans="1:10">
      <c r="A106" s="15" t="s">
        <v>66</v>
      </c>
      <c r="B106" s="15">
        <v>149</v>
      </c>
      <c r="C106" s="15">
        <f>VLOOKUP(A106,Data!$A$2:$C$8135,2,FALSE)</f>
        <v>33.697358000000001</v>
      </c>
      <c r="D106" s="17">
        <f>VLOOKUP(A106,Data!$A$2:$C$8135,3,FALSE)</f>
        <v>-117.858698</v>
      </c>
      <c r="E106" s="22">
        <v>25</v>
      </c>
      <c r="F106" s="23">
        <v>20</v>
      </c>
      <c r="G106" s="22">
        <v>21</v>
      </c>
      <c r="H106" s="23">
        <v>9</v>
      </c>
      <c r="I106" s="22">
        <v>10</v>
      </c>
      <c r="J106" s="23">
        <v>15</v>
      </c>
    </row>
    <row r="107" spans="1:10">
      <c r="A107" s="15" t="s">
        <v>67</v>
      </c>
      <c r="B107" s="15">
        <v>150</v>
      </c>
      <c r="C107" s="15">
        <f>VLOOKUP(A107,Data!$A$2:$C$8135,2,FALSE)</f>
        <v>33.699857000000002</v>
      </c>
      <c r="D107" s="17">
        <f>VLOOKUP(A107,Data!$A$2:$C$8135,3,FALSE)</f>
        <v>-117.856517</v>
      </c>
      <c r="E107" s="22">
        <v>27</v>
      </c>
      <c r="F107" s="23">
        <v>18</v>
      </c>
      <c r="G107" s="22">
        <v>15</v>
      </c>
      <c r="H107" s="23">
        <v>15</v>
      </c>
      <c r="I107" s="22">
        <v>13</v>
      </c>
      <c r="J107" s="23">
        <v>27</v>
      </c>
    </row>
    <row r="108" spans="1:10">
      <c r="A108" s="15" t="s">
        <v>68</v>
      </c>
      <c r="B108" s="15">
        <v>151</v>
      </c>
      <c r="C108" s="15">
        <f>VLOOKUP(A108,Data!$A$2:$C$8135,2,FALSE)</f>
        <v>33.699297000000001</v>
      </c>
      <c r="D108" s="17">
        <f>VLOOKUP(A108,Data!$A$2:$C$8135,3,FALSE)</f>
        <v>-117.854817</v>
      </c>
      <c r="E108" s="22">
        <v>34</v>
      </c>
      <c r="F108" s="23">
        <v>11</v>
      </c>
      <c r="G108" s="22">
        <v>7</v>
      </c>
      <c r="H108" s="23">
        <v>23</v>
      </c>
      <c r="I108" s="22">
        <v>6</v>
      </c>
      <c r="J108" s="23">
        <v>13</v>
      </c>
    </row>
    <row r="109" spans="1:10">
      <c r="A109" s="15" t="s">
        <v>69</v>
      </c>
      <c r="B109" s="15">
        <v>152</v>
      </c>
      <c r="C109" s="15">
        <f>VLOOKUP(A109,Data!$A$2:$C$8135,2,FALSE)</f>
        <v>33.697446999999997</v>
      </c>
      <c r="D109" s="17">
        <f>VLOOKUP(A109,Data!$A$2:$C$8135,3,FALSE)</f>
        <v>-117.85691799999999</v>
      </c>
      <c r="E109" s="22">
        <v>21</v>
      </c>
      <c r="F109" s="23">
        <v>24</v>
      </c>
      <c r="G109" s="22">
        <v>6</v>
      </c>
      <c r="H109" s="23">
        <v>24</v>
      </c>
      <c r="I109" s="22">
        <v>6</v>
      </c>
      <c r="J109" s="23">
        <v>17</v>
      </c>
    </row>
    <row r="110" spans="1:10">
      <c r="A110" s="15" t="s">
        <v>70</v>
      </c>
      <c r="B110" s="15">
        <v>153</v>
      </c>
      <c r="C110" s="15">
        <f>VLOOKUP(A110,Data!$A$2:$C$8135,2,FALSE)</f>
        <v>33.696694000000001</v>
      </c>
      <c r="D110" s="17">
        <f>VLOOKUP(A110,Data!$A$2:$C$8135,3,FALSE)</f>
        <v>-117.857658</v>
      </c>
      <c r="E110" s="22">
        <v>24</v>
      </c>
      <c r="F110" s="23">
        <v>21</v>
      </c>
      <c r="G110" s="22">
        <v>22</v>
      </c>
      <c r="H110" s="23">
        <v>8</v>
      </c>
      <c r="I110" s="22">
        <v>0</v>
      </c>
      <c r="J110" s="23">
        <v>8</v>
      </c>
    </row>
    <row r="111" spans="1:10">
      <c r="A111" s="15" t="s">
        <v>210</v>
      </c>
      <c r="B111" s="15">
        <v>154</v>
      </c>
      <c r="C111" s="15" t="e">
        <f>VLOOKUP(A111,Data!$A$2:$C$8135,2,FALSE)</f>
        <v>#N/A</v>
      </c>
      <c r="D111" s="17" t="e">
        <f>VLOOKUP(A111,Data!$A$2:$C$8135,3,FALSE)</f>
        <v>#N/A</v>
      </c>
      <c r="E111" s="22"/>
      <c r="F111" s="23"/>
      <c r="G111" s="22"/>
      <c r="H111" s="23"/>
      <c r="I111" s="22"/>
      <c r="J111" s="23"/>
    </row>
    <row r="112" spans="1:10">
      <c r="A112" s="15" t="s">
        <v>71</v>
      </c>
      <c r="B112" s="15">
        <v>155</v>
      </c>
      <c r="C112" s="15">
        <f>VLOOKUP(A112,Data!$A$2:$C$8135,2,FALSE)</f>
        <v>33.696989000000002</v>
      </c>
      <c r="D112" s="17">
        <f>VLOOKUP(A112,Data!$A$2:$C$8135,3,FALSE)</f>
        <v>-117.85549399999999</v>
      </c>
      <c r="E112" s="22">
        <v>31</v>
      </c>
      <c r="F112" s="23">
        <v>14</v>
      </c>
      <c r="G112" s="22">
        <v>16</v>
      </c>
      <c r="H112" s="23">
        <v>14</v>
      </c>
      <c r="I112" s="22">
        <v>19</v>
      </c>
      <c r="J112" s="23">
        <v>21</v>
      </c>
    </row>
    <row r="113" spans="1:10">
      <c r="A113" s="15" t="s">
        <v>72</v>
      </c>
      <c r="B113" s="15">
        <v>156</v>
      </c>
      <c r="C113" s="15">
        <f>VLOOKUP(A113,Data!$A$2:$C$8135,2,FALSE)</f>
        <v>33.692416000000001</v>
      </c>
      <c r="D113" s="17">
        <f>VLOOKUP(A113,Data!$A$2:$C$8135,3,FALSE)</f>
        <v>-117.85335499999999</v>
      </c>
      <c r="E113" s="22">
        <v>19</v>
      </c>
      <c r="F113" s="23">
        <v>26</v>
      </c>
      <c r="G113" s="22">
        <v>14</v>
      </c>
      <c r="H113" s="23">
        <v>16</v>
      </c>
      <c r="I113" s="22">
        <v>29</v>
      </c>
      <c r="J113" s="23">
        <v>11</v>
      </c>
    </row>
    <row r="114" spans="1:10">
      <c r="A114" s="15" t="s">
        <v>212</v>
      </c>
      <c r="B114" s="15">
        <v>157</v>
      </c>
      <c r="C114" s="15">
        <f>VLOOKUP(A114,Data!$A$2:$C$8135,2,FALSE)</f>
        <v>33.693134000000001</v>
      </c>
      <c r="D114" s="17">
        <f>VLOOKUP(A114,Data!$A$2:$C$8135,3,FALSE)</f>
        <v>-117.855469</v>
      </c>
      <c r="E114" s="22">
        <v>17</v>
      </c>
      <c r="F114" s="23">
        <v>28</v>
      </c>
      <c r="G114" s="22">
        <v>18</v>
      </c>
      <c r="H114" s="23">
        <v>12</v>
      </c>
      <c r="I114" s="22">
        <v>29</v>
      </c>
      <c r="J114" s="23">
        <v>11</v>
      </c>
    </row>
    <row r="115" spans="1:10">
      <c r="A115" s="15" t="s">
        <v>213</v>
      </c>
      <c r="B115" s="15">
        <v>158</v>
      </c>
      <c r="C115" s="15" t="e">
        <f>VLOOKUP(A115,Data!$A$2:$C$8135,2,FALSE)</f>
        <v>#N/A</v>
      </c>
      <c r="D115" s="17" t="e">
        <f>VLOOKUP(A115,Data!$A$2:$C$8135,3,FALSE)</f>
        <v>#N/A</v>
      </c>
      <c r="E115" s="22"/>
      <c r="F115" s="23"/>
      <c r="G115" s="22"/>
      <c r="H115" s="23"/>
      <c r="I115" s="22"/>
      <c r="J115" s="23"/>
    </row>
    <row r="116" spans="1:10">
      <c r="A116" s="15" t="s">
        <v>214</v>
      </c>
      <c r="B116" s="15">
        <v>159</v>
      </c>
      <c r="C116" s="15" t="e">
        <f>VLOOKUP(A116,Data!$A$2:$C$8135,2,FALSE)</f>
        <v>#N/A</v>
      </c>
      <c r="D116" s="17" t="e">
        <f>VLOOKUP(A116,Data!$A$2:$C$8135,3,FALSE)</f>
        <v>#N/A</v>
      </c>
      <c r="E116" s="22"/>
      <c r="F116" s="23"/>
      <c r="G116" s="22"/>
      <c r="H116" s="23"/>
      <c r="I116" s="22"/>
      <c r="J116" s="23"/>
    </row>
    <row r="117" spans="1:10">
      <c r="A117" s="15" t="s">
        <v>73</v>
      </c>
      <c r="B117" s="15">
        <v>160</v>
      </c>
      <c r="C117" s="15">
        <f>VLOOKUP(A117,Data!$A$2:$C$8135,2,FALSE)</f>
        <v>33.695031999999998</v>
      </c>
      <c r="D117" s="17">
        <f>VLOOKUP(A117,Data!$A$2:$C$8135,3,FALSE)</f>
        <v>-117.85844899999999</v>
      </c>
      <c r="E117" s="22">
        <v>28</v>
      </c>
      <c r="F117" s="23">
        <v>17</v>
      </c>
      <c r="G117" s="22">
        <v>19</v>
      </c>
      <c r="H117" s="23">
        <v>11</v>
      </c>
      <c r="I117" s="22">
        <v>8</v>
      </c>
      <c r="J117" s="23">
        <v>8</v>
      </c>
    </row>
    <row r="118" spans="1:10">
      <c r="A118" s="15" t="s">
        <v>74</v>
      </c>
      <c r="B118" s="15">
        <v>161</v>
      </c>
      <c r="C118" s="15">
        <f>VLOOKUP(A118,Data!$A$2:$C$8135,2,FALSE)</f>
        <v>33.695875000000001</v>
      </c>
      <c r="D118" s="17">
        <f>VLOOKUP(A118,Data!$A$2:$C$8135,3,FALSE)</f>
        <v>-117.85823600000001</v>
      </c>
      <c r="E118" s="22">
        <v>36</v>
      </c>
      <c r="F118" s="23">
        <v>9</v>
      </c>
      <c r="G118" s="22">
        <v>15</v>
      </c>
      <c r="H118" s="23">
        <v>15</v>
      </c>
      <c r="I118" s="22">
        <v>6</v>
      </c>
      <c r="J118" s="23">
        <v>7</v>
      </c>
    </row>
    <row r="119" spans="1:10">
      <c r="A119" s="15" t="s">
        <v>223</v>
      </c>
      <c r="B119" s="15">
        <v>162</v>
      </c>
      <c r="C119" s="15" t="e">
        <f>VLOOKUP(A119,Data!$A$2:$C$8135,2,FALSE)</f>
        <v>#N/A</v>
      </c>
      <c r="D119" s="17" t="e">
        <f>VLOOKUP(A119,Data!$A$2:$C$8135,3,FALSE)</f>
        <v>#N/A</v>
      </c>
      <c r="E119" s="22"/>
      <c r="F119" s="23"/>
      <c r="G119" s="22"/>
      <c r="H119" s="23"/>
      <c r="I119" s="22"/>
      <c r="J119" s="23"/>
    </row>
    <row r="120" spans="1:10">
      <c r="A120" s="15" t="s">
        <v>225</v>
      </c>
      <c r="B120" s="15">
        <v>163</v>
      </c>
      <c r="C120" s="15" t="e">
        <f>VLOOKUP(A120,Data!$A$2:$C$8135,2,FALSE)</f>
        <v>#N/A</v>
      </c>
      <c r="D120" s="17" t="e">
        <f>VLOOKUP(A120,Data!$A$2:$C$8135,3,FALSE)</f>
        <v>#N/A</v>
      </c>
      <c r="E120" s="22"/>
      <c r="F120" s="23"/>
      <c r="G120" s="22"/>
      <c r="H120" s="23"/>
      <c r="I120" s="22"/>
      <c r="J120" s="23"/>
    </row>
    <row r="121" spans="1:10">
      <c r="A121" s="15" t="s">
        <v>75</v>
      </c>
      <c r="B121" s="15">
        <v>164</v>
      </c>
      <c r="C121" s="15">
        <f>VLOOKUP(A121,Data!$A$2:$C$8135,2,FALSE)</f>
        <v>33.720722000000002</v>
      </c>
      <c r="D121" s="17">
        <f>VLOOKUP(A121,Data!$A$2:$C$8135,3,FALSE)</f>
        <v>-117.84142900000001</v>
      </c>
      <c r="E121" s="22">
        <v>39</v>
      </c>
      <c r="F121" s="23">
        <v>6</v>
      </c>
      <c r="G121" s="22">
        <v>25</v>
      </c>
      <c r="H121" s="23">
        <v>5</v>
      </c>
      <c r="I121" s="22">
        <v>16</v>
      </c>
      <c r="J121" s="23">
        <v>9</v>
      </c>
    </row>
    <row r="122" spans="1:10">
      <c r="A122" s="15" t="s">
        <v>76</v>
      </c>
      <c r="B122" s="15">
        <v>165</v>
      </c>
      <c r="C122" s="15">
        <f>VLOOKUP(A122,Data!$A$2:$C$8135,2,FALSE)</f>
        <v>33.720314999999999</v>
      </c>
      <c r="D122" s="17">
        <f>VLOOKUP(A122,Data!$A$2:$C$8135,3,FALSE)</f>
        <v>-117.845797</v>
      </c>
      <c r="E122" s="22">
        <v>39</v>
      </c>
      <c r="F122" s="23">
        <v>6</v>
      </c>
      <c r="G122" s="22">
        <v>24</v>
      </c>
      <c r="H122" s="23">
        <v>6</v>
      </c>
      <c r="I122" s="22">
        <v>31</v>
      </c>
      <c r="J122" s="23">
        <v>9</v>
      </c>
    </row>
    <row r="123" spans="1:10">
      <c r="A123" s="15" t="s">
        <v>77</v>
      </c>
      <c r="B123" s="15">
        <v>166</v>
      </c>
      <c r="C123" s="15">
        <f>VLOOKUP(A123,Data!$A$2:$C$8135,2,FALSE)</f>
        <v>33.710514000000003</v>
      </c>
      <c r="D123" s="17">
        <f>VLOOKUP(A123,Data!$A$2:$C$8135,3,FALSE)</f>
        <v>-117.845444</v>
      </c>
      <c r="E123" s="22">
        <v>38</v>
      </c>
      <c r="F123" s="23">
        <v>7</v>
      </c>
      <c r="G123" s="22">
        <v>3</v>
      </c>
      <c r="H123" s="23">
        <v>27</v>
      </c>
      <c r="I123" s="22">
        <v>3</v>
      </c>
      <c r="J123" s="23">
        <v>24</v>
      </c>
    </row>
    <row r="124" spans="1:10">
      <c r="A124" s="15" t="s">
        <v>226</v>
      </c>
      <c r="B124" s="15">
        <v>167</v>
      </c>
      <c r="C124" s="15" t="e">
        <f>VLOOKUP(A124,Data!$A$2:$C$8135,2,FALSE)</f>
        <v>#N/A</v>
      </c>
      <c r="D124" s="17" t="e">
        <f>VLOOKUP(A124,Data!$A$2:$C$8135,3,FALSE)</f>
        <v>#N/A</v>
      </c>
      <c r="E124" s="22"/>
      <c r="F124" s="23"/>
      <c r="G124" s="22"/>
      <c r="H124" s="23"/>
      <c r="I124" s="22"/>
      <c r="J124" s="23"/>
    </row>
    <row r="125" spans="1:10">
      <c r="A125" s="15" t="s">
        <v>205</v>
      </c>
      <c r="B125" s="15">
        <v>168</v>
      </c>
      <c r="C125" s="15" t="e">
        <f>VLOOKUP(A125,Data!$A$2:$C$8135,2,FALSE)</f>
        <v>#N/A</v>
      </c>
      <c r="D125" s="17" t="e">
        <f>VLOOKUP(A125,Data!$A$2:$C$8135,3,FALSE)</f>
        <v>#N/A</v>
      </c>
      <c r="E125" s="22"/>
      <c r="F125" s="23"/>
      <c r="G125" s="22"/>
      <c r="H125" s="23"/>
      <c r="I125" s="22"/>
      <c r="J125" s="23"/>
    </row>
    <row r="126" spans="1:10">
      <c r="A126" s="15" t="s">
        <v>207</v>
      </c>
      <c r="B126" s="15">
        <v>169</v>
      </c>
      <c r="C126" s="15" t="e">
        <f>VLOOKUP(A126,Data!$A$2:$C$8135,2,FALSE)</f>
        <v>#N/A</v>
      </c>
      <c r="D126" s="17" t="e">
        <f>VLOOKUP(A126,Data!$A$2:$C$8135,3,FALSE)</f>
        <v>#N/A</v>
      </c>
      <c r="E126" s="22"/>
      <c r="F126" s="23"/>
      <c r="G126" s="22"/>
      <c r="H126" s="23"/>
      <c r="I126" s="22"/>
      <c r="J126" s="23"/>
    </row>
    <row r="127" spans="1:10">
      <c r="A127" s="15" t="s">
        <v>208</v>
      </c>
      <c r="B127" s="15">
        <v>170</v>
      </c>
      <c r="C127" s="15" t="e">
        <f>VLOOKUP(A127,Data!$A$2:$C$8135,2,FALSE)</f>
        <v>#N/A</v>
      </c>
      <c r="D127" s="17" t="e">
        <f>VLOOKUP(A127,Data!$A$2:$C$8135,3,FALSE)</f>
        <v>#N/A</v>
      </c>
      <c r="E127" s="22"/>
      <c r="F127" s="23"/>
      <c r="G127" s="22"/>
      <c r="H127" s="23"/>
      <c r="I127" s="22"/>
      <c r="J127" s="23"/>
    </row>
    <row r="128" spans="1:10">
      <c r="A128" s="15" t="s">
        <v>206</v>
      </c>
      <c r="B128" s="15">
        <v>171</v>
      </c>
      <c r="C128" s="15" t="e">
        <f>VLOOKUP(A128,Data!$A$2:$C$8135,2,FALSE)</f>
        <v>#N/A</v>
      </c>
      <c r="D128" s="17" t="e">
        <f>VLOOKUP(A128,Data!$A$2:$C$8135,3,FALSE)</f>
        <v>#N/A</v>
      </c>
      <c r="E128" s="22"/>
      <c r="F128" s="23"/>
      <c r="G128" s="22"/>
      <c r="H128" s="23"/>
      <c r="I128" s="22"/>
      <c r="J128" s="23"/>
    </row>
    <row r="129" spans="1:10">
      <c r="A129" s="15" t="s">
        <v>221</v>
      </c>
      <c r="B129" s="15">
        <v>172</v>
      </c>
      <c r="C129" s="15" t="e">
        <f>VLOOKUP(A129,Data!$A$2:$C$8135,2,FALSE)</f>
        <v>#N/A</v>
      </c>
      <c r="D129" s="17" t="e">
        <f>VLOOKUP(A129,Data!$A$2:$C$8135,3,FALSE)</f>
        <v>#N/A</v>
      </c>
      <c r="E129" s="22"/>
      <c r="F129" s="23"/>
      <c r="G129" s="22"/>
      <c r="H129" s="23"/>
      <c r="I129" s="22"/>
      <c r="J129" s="23"/>
    </row>
    <row r="130" spans="1:10">
      <c r="A130" s="15" t="s">
        <v>215</v>
      </c>
      <c r="B130" s="15">
        <v>173</v>
      </c>
      <c r="C130" s="15" t="e">
        <f>VLOOKUP(A130,Data!$A$2:$C$8135,2,FALSE)</f>
        <v>#N/A</v>
      </c>
      <c r="D130" s="17" t="e">
        <f>VLOOKUP(A130,Data!$A$2:$C$8135,3,FALSE)</f>
        <v>#N/A</v>
      </c>
      <c r="E130" s="22"/>
      <c r="F130" s="23"/>
      <c r="G130" s="22"/>
      <c r="H130" s="23"/>
      <c r="I130" s="22"/>
      <c r="J130" s="23"/>
    </row>
    <row r="131" spans="1:10">
      <c r="A131" s="15" t="s">
        <v>216</v>
      </c>
      <c r="B131" s="15">
        <v>174</v>
      </c>
      <c r="C131" s="15" t="e">
        <f>VLOOKUP(A131,Data!$A$2:$C$8135,2,FALSE)</f>
        <v>#N/A</v>
      </c>
      <c r="D131" s="17" t="e">
        <f>VLOOKUP(A131,Data!$A$2:$C$8135,3,FALSE)</f>
        <v>#N/A</v>
      </c>
      <c r="E131" s="22"/>
      <c r="F131" s="23"/>
      <c r="G131" s="22"/>
      <c r="H131" s="23"/>
      <c r="I131" s="22"/>
      <c r="J131" s="23"/>
    </row>
    <row r="132" spans="1:10">
      <c r="A132" s="15" t="s">
        <v>230</v>
      </c>
      <c r="B132" s="15">
        <v>175</v>
      </c>
      <c r="C132" s="15" t="e">
        <f>VLOOKUP(A132,Data!$A$2:$C$8135,2,FALSE)</f>
        <v>#N/A</v>
      </c>
      <c r="D132" s="17" t="e">
        <f>VLOOKUP(A132,Data!$A$2:$C$8135,3,FALSE)</f>
        <v>#N/A</v>
      </c>
      <c r="E132" s="22"/>
      <c r="F132" s="23"/>
      <c r="G132" s="22"/>
      <c r="H132" s="23"/>
      <c r="I132" s="22"/>
      <c r="J132" s="23"/>
    </row>
    <row r="133" spans="1:10">
      <c r="A133" s="15" t="s">
        <v>78</v>
      </c>
      <c r="B133" s="15">
        <v>176</v>
      </c>
      <c r="C133" s="15">
        <f>VLOOKUP(A133,Data!$A$2:$C$8135,2,FALSE)</f>
        <v>33.695017999999997</v>
      </c>
      <c r="D133" s="17">
        <f>VLOOKUP(A133,Data!$A$2:$C$8135,3,FALSE)</f>
        <v>-117.853117</v>
      </c>
      <c r="E133" s="22">
        <v>29</v>
      </c>
      <c r="F133" s="23">
        <v>16</v>
      </c>
      <c r="G133" s="22">
        <v>12</v>
      </c>
      <c r="H133" s="23">
        <v>18</v>
      </c>
      <c r="I133" s="22"/>
      <c r="J133" s="23"/>
    </row>
    <row r="134" spans="1:10">
      <c r="A134" s="15" t="s">
        <v>227</v>
      </c>
      <c r="B134" s="15">
        <v>177</v>
      </c>
      <c r="C134" s="15" t="e">
        <f>VLOOKUP(A134,Data!$A$2:$C$8135,2,FALSE)</f>
        <v>#N/A</v>
      </c>
      <c r="D134" s="17" t="e">
        <f>VLOOKUP(A134,Data!$A$2:$C$8135,3,FALSE)</f>
        <v>#N/A</v>
      </c>
      <c r="E134" s="22"/>
      <c r="F134" s="23"/>
      <c r="G134" s="22"/>
      <c r="H134" s="23"/>
      <c r="I134" s="22"/>
      <c r="J134" s="23"/>
    </row>
    <row r="135" spans="1:10">
      <c r="A135" s="15" t="s">
        <v>228</v>
      </c>
      <c r="B135" s="15">
        <v>178</v>
      </c>
      <c r="C135" s="15" t="e">
        <f>VLOOKUP(A135,Data!$A$2:$C$8135,2,FALSE)</f>
        <v>#N/A</v>
      </c>
      <c r="D135" s="17" t="e">
        <f>VLOOKUP(A135,Data!$A$2:$C$8135,3,FALSE)</f>
        <v>#N/A</v>
      </c>
      <c r="E135" s="22"/>
      <c r="F135" s="23"/>
      <c r="G135" s="22"/>
      <c r="H135" s="23"/>
      <c r="I135" s="22"/>
      <c r="J135" s="23"/>
    </row>
    <row r="136" spans="1:10">
      <c r="A136" s="15" t="s">
        <v>229</v>
      </c>
      <c r="B136" s="15">
        <v>179</v>
      </c>
      <c r="C136" s="15" t="e">
        <f>VLOOKUP(A136,Data!$A$2:$C$8135,2,FALSE)</f>
        <v>#N/A</v>
      </c>
      <c r="D136" s="17" t="e">
        <f>VLOOKUP(A136,Data!$A$2:$C$8135,3,FALSE)</f>
        <v>#N/A</v>
      </c>
      <c r="E136" s="22"/>
      <c r="F136" s="23"/>
      <c r="G136" s="22"/>
      <c r="H136" s="23"/>
      <c r="I136" s="22"/>
      <c r="J136" s="23"/>
    </row>
    <row r="137" spans="1:10">
      <c r="A137" s="15" t="s">
        <v>218</v>
      </c>
      <c r="B137" s="15">
        <v>180</v>
      </c>
      <c r="C137" s="15" t="e">
        <f>VLOOKUP(A137,Data!$A$2:$C$8135,2,FALSE)</f>
        <v>#N/A</v>
      </c>
      <c r="D137" s="17" t="e">
        <f>VLOOKUP(A137,Data!$A$2:$C$8135,3,FALSE)</f>
        <v>#N/A</v>
      </c>
      <c r="E137" s="22"/>
      <c r="F137" s="23"/>
      <c r="G137" s="22"/>
      <c r="H137" s="23"/>
      <c r="I137" s="22"/>
      <c r="J137" s="23"/>
    </row>
    <row r="138" spans="1:10">
      <c r="A138" s="15" t="s">
        <v>219</v>
      </c>
      <c r="B138" s="15">
        <v>181</v>
      </c>
      <c r="C138" s="15" t="e">
        <f>VLOOKUP(A138,Data!$A$2:$C$8135,2,FALSE)</f>
        <v>#N/A</v>
      </c>
      <c r="D138" s="17" t="e">
        <f>VLOOKUP(A138,Data!$A$2:$C$8135,3,FALSE)</f>
        <v>#N/A</v>
      </c>
      <c r="E138" s="22"/>
      <c r="F138" s="23"/>
      <c r="G138" s="22"/>
      <c r="H138" s="23"/>
      <c r="I138" s="22"/>
      <c r="J138" s="23"/>
    </row>
    <row r="139" spans="1:10">
      <c r="A139" s="15" t="s">
        <v>220</v>
      </c>
      <c r="B139" s="15">
        <v>182</v>
      </c>
      <c r="C139" s="15" t="e">
        <f>VLOOKUP(A139,Data!$A$2:$C$8135,2,FALSE)</f>
        <v>#N/A</v>
      </c>
      <c r="D139" s="17" t="e">
        <f>VLOOKUP(A139,Data!$A$2:$C$8135,3,FALSE)</f>
        <v>#N/A</v>
      </c>
      <c r="E139" s="22"/>
      <c r="F139" s="23"/>
      <c r="G139" s="22"/>
      <c r="H139" s="23"/>
      <c r="I139" s="22"/>
      <c r="J139" s="23"/>
    </row>
    <row r="140" spans="1:10">
      <c r="A140" s="15" t="s">
        <v>233</v>
      </c>
      <c r="B140" s="15">
        <v>183</v>
      </c>
      <c r="C140" s="15" t="e">
        <f>VLOOKUP(A140,Data!$A$2:$C$8135,2,FALSE)</f>
        <v>#N/A</v>
      </c>
      <c r="D140" s="17" t="e">
        <f>VLOOKUP(A140,Data!$A$2:$C$8135,3,FALSE)</f>
        <v>#N/A</v>
      </c>
      <c r="E140" s="22"/>
      <c r="F140" s="23"/>
      <c r="G140" s="22"/>
      <c r="H140" s="23"/>
      <c r="I140" s="22"/>
      <c r="J140" s="23"/>
    </row>
    <row r="141" spans="1:10">
      <c r="A141" s="15" t="s">
        <v>231</v>
      </c>
      <c r="B141" s="15">
        <v>184</v>
      </c>
      <c r="C141" s="15" t="e">
        <f>VLOOKUP(A141,Data!$A$2:$C$8135,2,FALSE)</f>
        <v>#N/A</v>
      </c>
      <c r="D141" s="17" t="e">
        <f>VLOOKUP(A141,Data!$A$2:$C$8135,3,FALSE)</f>
        <v>#N/A</v>
      </c>
      <c r="E141" s="22"/>
      <c r="F141" s="23"/>
      <c r="G141" s="22"/>
      <c r="H141" s="23"/>
      <c r="I141" s="22"/>
      <c r="J141" s="23"/>
    </row>
    <row r="142" spans="1:10">
      <c r="A142" s="15" t="s">
        <v>232</v>
      </c>
      <c r="B142" s="15">
        <v>185</v>
      </c>
      <c r="C142" s="15" t="e">
        <f>VLOOKUP(A142,Data!$A$2:$C$8135,2,FALSE)</f>
        <v>#N/A</v>
      </c>
      <c r="D142" s="17" t="e">
        <f>VLOOKUP(A142,Data!$A$2:$C$8135,3,FALSE)</f>
        <v>#N/A</v>
      </c>
      <c r="E142" s="22"/>
      <c r="F142" s="23"/>
      <c r="G142" s="22"/>
      <c r="H142" s="23"/>
      <c r="I142" s="22"/>
      <c r="J142" s="23"/>
    </row>
    <row r="143" spans="1:10">
      <c r="A143" s="15" t="s">
        <v>201</v>
      </c>
      <c r="B143" s="15">
        <v>186</v>
      </c>
      <c r="C143" s="15" t="e">
        <f>VLOOKUP(A143,Data!$A$2:$C$8135,2,FALSE)</f>
        <v>#N/A</v>
      </c>
      <c r="D143" s="17" t="e">
        <f>VLOOKUP(A143,Data!$A$2:$C$8135,3,FALSE)</f>
        <v>#N/A</v>
      </c>
      <c r="E143" s="22"/>
      <c r="F143" s="23"/>
      <c r="G143" s="22"/>
      <c r="H143" s="23"/>
      <c r="I143" s="22"/>
      <c r="J143" s="23"/>
    </row>
    <row r="144" spans="1:10">
      <c r="A144" s="15" t="s">
        <v>202</v>
      </c>
      <c r="B144" s="15">
        <v>187</v>
      </c>
      <c r="C144" s="15" t="e">
        <f>VLOOKUP(A144,Data!$A$2:$C$8135,2,FALSE)</f>
        <v>#N/A</v>
      </c>
      <c r="D144" s="17" t="e">
        <f>VLOOKUP(A144,Data!$A$2:$C$8135,3,FALSE)</f>
        <v>#N/A</v>
      </c>
      <c r="E144" s="22"/>
      <c r="F144" s="23"/>
      <c r="G144" s="22"/>
      <c r="H144" s="23"/>
      <c r="I144" s="22"/>
      <c r="J144" s="23"/>
    </row>
    <row r="145" spans="1:10">
      <c r="A145" s="15" t="s">
        <v>188</v>
      </c>
      <c r="B145" s="15">
        <v>188</v>
      </c>
      <c r="C145" s="15" t="e">
        <f>VLOOKUP(A145,Data!$A$2:$C$8135,2,FALSE)</f>
        <v>#N/A</v>
      </c>
      <c r="D145" s="17" t="e">
        <f>VLOOKUP(A145,Data!$A$2:$C$8135,3,FALSE)</f>
        <v>#N/A</v>
      </c>
      <c r="E145" s="22"/>
      <c r="F145" s="23"/>
      <c r="G145" s="22"/>
      <c r="H145" s="23"/>
      <c r="I145" s="22"/>
      <c r="J145" s="23"/>
    </row>
    <row r="146" spans="1:10">
      <c r="A146" s="15" t="s">
        <v>189</v>
      </c>
      <c r="B146" s="15">
        <v>189</v>
      </c>
      <c r="C146" s="15" t="e">
        <f>VLOOKUP(A146,Data!$A$2:$C$8135,2,FALSE)</f>
        <v>#N/A</v>
      </c>
      <c r="D146" s="17" t="e">
        <f>VLOOKUP(A146,Data!$A$2:$C$8135,3,FALSE)</f>
        <v>#N/A</v>
      </c>
      <c r="E146" s="22"/>
      <c r="F146" s="23"/>
      <c r="G146" s="22"/>
      <c r="H146" s="23"/>
      <c r="I146" s="22"/>
      <c r="J146" s="23"/>
    </row>
    <row r="147" spans="1:10">
      <c r="A147" s="15" t="s">
        <v>190</v>
      </c>
      <c r="B147" s="15">
        <v>190</v>
      </c>
      <c r="C147" s="15" t="e">
        <f>VLOOKUP(A147,Data!$A$2:$C$8135,2,FALSE)</f>
        <v>#N/A</v>
      </c>
      <c r="D147" s="17" t="e">
        <f>VLOOKUP(A147,Data!$A$2:$C$8135,3,FALSE)</f>
        <v>#N/A</v>
      </c>
      <c r="E147" s="22"/>
      <c r="F147" s="23"/>
      <c r="G147" s="22"/>
      <c r="H147" s="23"/>
      <c r="I147" s="22"/>
      <c r="J147" s="23"/>
    </row>
    <row r="148" spans="1:10">
      <c r="A148" s="15" t="s">
        <v>191</v>
      </c>
      <c r="B148" s="15">
        <v>191</v>
      </c>
      <c r="C148" s="15" t="e">
        <f>VLOOKUP(A148,Data!$A$2:$C$8135,2,FALSE)</f>
        <v>#N/A</v>
      </c>
      <c r="D148" s="17" t="e">
        <f>VLOOKUP(A148,Data!$A$2:$C$8135,3,FALSE)</f>
        <v>#N/A</v>
      </c>
      <c r="E148" s="22"/>
      <c r="F148" s="23"/>
      <c r="G148" s="22"/>
      <c r="H148" s="23"/>
      <c r="I148" s="22"/>
      <c r="J148" s="23"/>
    </row>
    <row r="149" spans="1:10">
      <c r="A149" s="15" t="s">
        <v>170</v>
      </c>
      <c r="B149" s="15">
        <v>192</v>
      </c>
      <c r="C149" s="15" t="e">
        <f>VLOOKUP(A149,Data!$A$2:$C$8135,2,FALSE)</f>
        <v>#N/A</v>
      </c>
      <c r="D149" s="17" t="e">
        <f>VLOOKUP(A149,Data!$A$2:$C$8135,3,FALSE)</f>
        <v>#N/A</v>
      </c>
      <c r="E149" s="22"/>
      <c r="F149" s="23"/>
      <c r="G149" s="22"/>
      <c r="H149" s="23"/>
      <c r="I149" s="22"/>
      <c r="J149" s="23"/>
    </row>
    <row r="150" spans="1:10">
      <c r="A150" s="15" t="s">
        <v>171</v>
      </c>
      <c r="B150" s="15">
        <v>193</v>
      </c>
      <c r="C150" s="15" t="e">
        <f>VLOOKUP(A150,Data!$A$2:$C$8135,2,FALSE)</f>
        <v>#N/A</v>
      </c>
      <c r="D150" s="17" t="e">
        <f>VLOOKUP(A150,Data!$A$2:$C$8135,3,FALSE)</f>
        <v>#N/A</v>
      </c>
      <c r="E150" s="22"/>
      <c r="F150" s="23"/>
      <c r="G150" s="22"/>
      <c r="H150" s="23"/>
      <c r="I150" s="22"/>
      <c r="J150" s="23"/>
    </row>
    <row r="151" spans="1:10">
      <c r="A151" s="15" t="s">
        <v>172</v>
      </c>
      <c r="B151" s="15">
        <v>194</v>
      </c>
      <c r="C151" s="15" t="e">
        <f>VLOOKUP(A151,Data!$A$2:$C$8135,2,FALSE)</f>
        <v>#N/A</v>
      </c>
      <c r="D151" s="17" t="e">
        <f>VLOOKUP(A151,Data!$A$2:$C$8135,3,FALSE)</f>
        <v>#N/A</v>
      </c>
      <c r="E151" s="22"/>
      <c r="F151" s="23"/>
      <c r="G151" s="22"/>
      <c r="H151" s="23"/>
      <c r="I151" s="22"/>
      <c r="J151" s="23"/>
    </row>
    <row r="152" spans="1:10">
      <c r="A152" s="15" t="s">
        <v>173</v>
      </c>
      <c r="B152" s="15">
        <v>195</v>
      </c>
      <c r="C152" s="15" t="e">
        <f>VLOOKUP(A152,Data!$A$2:$C$8135,2,FALSE)</f>
        <v>#N/A</v>
      </c>
      <c r="D152" s="17" t="e">
        <f>VLOOKUP(A152,Data!$A$2:$C$8135,3,FALSE)</f>
        <v>#N/A</v>
      </c>
      <c r="E152" s="22"/>
      <c r="F152" s="23"/>
      <c r="G152" s="22"/>
      <c r="H152" s="23"/>
      <c r="I152" s="22"/>
      <c r="J152" s="23"/>
    </row>
    <row r="153" spans="1:10">
      <c r="A153" s="15" t="s">
        <v>193</v>
      </c>
      <c r="B153" s="15">
        <v>196</v>
      </c>
      <c r="C153" s="15" t="e">
        <f>VLOOKUP(A153,Data!$A$2:$C$8135,2,FALSE)</f>
        <v>#N/A</v>
      </c>
      <c r="D153" s="17" t="e">
        <f>VLOOKUP(A153,Data!$A$2:$C$8135,3,FALSE)</f>
        <v>#N/A</v>
      </c>
      <c r="E153" s="22"/>
      <c r="F153" s="23"/>
      <c r="G153" s="22"/>
      <c r="H153" s="23"/>
      <c r="I153" s="22"/>
      <c r="J153" s="23"/>
    </row>
    <row r="154" spans="1:10">
      <c r="A154" s="15" t="s">
        <v>236</v>
      </c>
      <c r="B154" s="15">
        <v>197</v>
      </c>
      <c r="C154" s="15" t="e">
        <f>VLOOKUP(A154,Data!$A$2:$C$8135,2,FALSE)</f>
        <v>#N/A</v>
      </c>
      <c r="D154" s="17" t="e">
        <f>VLOOKUP(A154,Data!$A$2:$C$8135,3,FALSE)</f>
        <v>#N/A</v>
      </c>
      <c r="E154" s="22"/>
      <c r="F154" s="23"/>
      <c r="G154" s="22"/>
      <c r="H154" s="23"/>
      <c r="I154" s="22"/>
      <c r="J154" s="23"/>
    </row>
    <row r="155" spans="1:10">
      <c r="A155" s="15" t="s">
        <v>237</v>
      </c>
      <c r="B155" s="15">
        <v>198</v>
      </c>
      <c r="C155" s="15" t="e">
        <f>VLOOKUP(A155,Data!$A$2:$C$8135,2,FALSE)</f>
        <v>#N/A</v>
      </c>
      <c r="D155" s="17" t="e">
        <f>VLOOKUP(A155,Data!$A$2:$C$8135,3,FALSE)</f>
        <v>#N/A</v>
      </c>
      <c r="E155" s="22"/>
      <c r="F155" s="23"/>
      <c r="G155" s="22"/>
      <c r="H155" s="23"/>
      <c r="I155" s="22"/>
      <c r="J155" s="23"/>
    </row>
    <row r="156" spans="1:10">
      <c r="A156" s="15" t="s">
        <v>79</v>
      </c>
      <c r="B156" s="15">
        <v>199</v>
      </c>
      <c r="C156" s="15">
        <f>VLOOKUP(A156,Data!$A$2:$C$8135,2,FALSE)</f>
        <v>33.716439000000001</v>
      </c>
      <c r="D156" s="17">
        <f>VLOOKUP(A156,Data!$A$2:$C$8135,3,FALSE)</f>
        <v>-117.84585199999999</v>
      </c>
      <c r="E156" s="22">
        <v>36</v>
      </c>
      <c r="F156" s="23">
        <v>9</v>
      </c>
      <c r="G156" s="22">
        <v>16</v>
      </c>
      <c r="H156" s="23">
        <v>14</v>
      </c>
      <c r="I156" s="22">
        <v>31</v>
      </c>
      <c r="J156" s="23">
        <v>9</v>
      </c>
    </row>
    <row r="157" spans="1:10">
      <c r="A157" s="15" t="s">
        <v>209</v>
      </c>
      <c r="B157" s="15">
        <v>200</v>
      </c>
      <c r="C157" s="15" t="e">
        <f>VLOOKUP(A157,Data!$A$2:$C$8135,2,FALSE)</f>
        <v>#N/A</v>
      </c>
      <c r="D157" s="17" t="e">
        <f>VLOOKUP(A157,Data!$A$2:$C$8135,3,FALSE)</f>
        <v>#N/A</v>
      </c>
      <c r="E157" s="22"/>
      <c r="F157" s="23"/>
      <c r="G157" s="22"/>
      <c r="H157" s="23"/>
      <c r="I157" s="22"/>
      <c r="J157" s="23"/>
    </row>
    <row r="158" spans="1:10">
      <c r="A158" s="15" t="s">
        <v>217</v>
      </c>
      <c r="B158" s="15">
        <v>201</v>
      </c>
      <c r="C158" s="15" t="e">
        <f>VLOOKUP(A158,Data!$A$2:$C$8135,2,FALSE)</f>
        <v>#N/A</v>
      </c>
      <c r="D158" s="17" t="e">
        <f>VLOOKUP(A158,Data!$A$2:$C$8135,3,FALSE)</f>
        <v>#N/A</v>
      </c>
      <c r="E158" s="22"/>
      <c r="F158" s="23"/>
      <c r="G158" s="22"/>
      <c r="H158" s="23"/>
      <c r="I158" s="22"/>
      <c r="J158" s="23"/>
    </row>
    <row r="159" spans="1:10">
      <c r="A159" s="15" t="s">
        <v>80</v>
      </c>
      <c r="B159" s="15">
        <v>202</v>
      </c>
      <c r="C159" s="15">
        <f>VLOOKUP(A159,Data!$A$2:$C$8135,2,FALSE)</f>
        <v>33.706468000000001</v>
      </c>
      <c r="D159" s="17">
        <f>VLOOKUP(A159,Data!$A$2:$C$8135,3,FALSE)</f>
        <v>-117.86742</v>
      </c>
      <c r="E159" s="22">
        <v>30</v>
      </c>
      <c r="F159" s="23">
        <v>15</v>
      </c>
      <c r="G159" s="22">
        <v>11</v>
      </c>
      <c r="H159" s="23">
        <v>19</v>
      </c>
      <c r="I159" s="22">
        <v>21</v>
      </c>
      <c r="J159" s="23">
        <v>13</v>
      </c>
    </row>
    <row r="160" spans="1:10">
      <c r="A160" s="15" t="s">
        <v>82</v>
      </c>
      <c r="B160" s="15">
        <v>203</v>
      </c>
      <c r="C160" s="15" t="e">
        <f>VLOOKUP(A160,Data!$A$2:$C$8135,2,FALSE)</f>
        <v>#N/A</v>
      </c>
      <c r="D160" s="17" t="e">
        <f>VLOOKUP(A160,Data!$A$2:$C$8135,3,FALSE)</f>
        <v>#N/A</v>
      </c>
      <c r="E160" s="22">
        <v>35</v>
      </c>
      <c r="F160" s="23">
        <v>10</v>
      </c>
      <c r="G160" s="22">
        <v>4</v>
      </c>
      <c r="H160" s="23">
        <v>0</v>
      </c>
      <c r="I160" s="22"/>
      <c r="J160" s="23"/>
    </row>
    <row r="161" spans="1:10">
      <c r="A161" s="15" t="s">
        <v>81</v>
      </c>
      <c r="B161" s="15" t="s">
        <v>264</v>
      </c>
      <c r="C161" s="15" t="e">
        <f>VLOOKUP(A161,Data!$A$2:$C$8135,2,FALSE)</f>
        <v>#N/A</v>
      </c>
      <c r="D161" s="17" t="e">
        <f>VLOOKUP(A161,Data!$A$2:$C$8135,3,FALSE)</f>
        <v>#N/A</v>
      </c>
      <c r="E161" s="22">
        <v>37</v>
      </c>
      <c r="F161" s="23">
        <v>8</v>
      </c>
      <c r="G161" s="22">
        <v>4</v>
      </c>
      <c r="H161" s="23">
        <v>1</v>
      </c>
      <c r="I161" s="22"/>
      <c r="J161" s="23"/>
    </row>
    <row r="162" spans="1:10" ht="15" thickBot="1">
      <c r="A162" s="15" t="s">
        <v>255</v>
      </c>
      <c r="B162" s="15" t="s">
        <v>263</v>
      </c>
      <c r="C162" s="15">
        <f>VLOOKUP(A162,Data!$A$2:$C$8135,2,FALSE)</f>
        <v>33.718846999999997</v>
      </c>
      <c r="D162" s="17">
        <f>VLOOKUP(A162,Data!$A$2:$C$8135,3,FALSE)</f>
        <v>-117.847033</v>
      </c>
      <c r="E162" s="24">
        <v>32</v>
      </c>
      <c r="F162" s="25">
        <v>13</v>
      </c>
      <c r="G162" s="24">
        <v>18</v>
      </c>
      <c r="H162" s="25">
        <v>12</v>
      </c>
      <c r="I162" s="24">
        <v>22</v>
      </c>
      <c r="J162" s="25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CallZone1">
                <anchor moveWithCells="1" sizeWithCells="1">
                  <from>
                    <xdr:col>4</xdr:col>
                    <xdr:colOff>266700</xdr:colOff>
                    <xdr:row>3</xdr:row>
                    <xdr:rowOff>139700</xdr:rowOff>
                  </from>
                  <to>
                    <xdr:col>5</xdr:col>
                    <xdr:colOff>711200</xdr:colOff>
                    <xdr:row>3</xdr:row>
                    <xdr:rowOff>482600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CallZone2">
                <anchor moveWithCells="1" sizeWithCells="1">
                  <from>
                    <xdr:col>6</xdr:col>
                    <xdr:colOff>266700</xdr:colOff>
                    <xdr:row>3</xdr:row>
                    <xdr:rowOff>139700</xdr:rowOff>
                  </from>
                  <to>
                    <xdr:col>7</xdr:col>
                    <xdr:colOff>711200</xdr:colOff>
                    <xdr:row>3</xdr:row>
                    <xdr:rowOff>482600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CallZone3">
                <anchor moveWithCells="1" sizeWithCells="1">
                  <from>
                    <xdr:col>8</xdr:col>
                    <xdr:colOff>266700</xdr:colOff>
                    <xdr:row>3</xdr:row>
                    <xdr:rowOff>139700</xdr:rowOff>
                  </from>
                  <to>
                    <xdr:col>9</xdr:col>
                    <xdr:colOff>711200</xdr:colOff>
                    <xdr:row>3</xdr:row>
                    <xdr:rowOff>482600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8135"/>
  <sheetViews>
    <sheetView workbookViewId="0">
      <pane ySplit="1" topLeftCell="A856" activePane="bottomLeft" state="frozen"/>
      <selection pane="bottomLeft" activeCell="E877" sqref="E869:J877"/>
    </sheetView>
  </sheetViews>
  <sheetFormatPr baseColWidth="10" defaultColWidth="8.83203125" defaultRowHeight="14" x14ac:dyDescent="0"/>
  <cols>
    <col min="1" max="4" width="15.33203125" customWidth="1"/>
    <col min="5" max="5" width="8.83203125" bestFit="1" customWidth="1"/>
    <col min="6" max="6" width="10.33203125" bestFit="1" customWidth="1"/>
    <col min="7" max="7" width="10.5" bestFit="1" customWidth="1"/>
    <col min="8" max="8" width="10.1640625" bestFit="1" customWidth="1"/>
    <col min="9" max="9" width="10.6640625" bestFit="1" customWidth="1"/>
    <col min="10" max="10" width="8.5" bestFit="1" customWidth="1"/>
    <col min="11" max="11" width="13.1640625" bestFit="1" customWidth="1"/>
    <col min="12" max="12" width="14.1640625" bestFit="1" customWidth="1"/>
    <col min="13" max="13" width="8.5" bestFit="1" customWidth="1"/>
    <col min="14" max="14" width="15" bestFit="1" customWidth="1"/>
  </cols>
  <sheetData>
    <row r="1" spans="1:13" ht="43.5" customHeight="1">
      <c r="A1" s="9" t="s">
        <v>1</v>
      </c>
      <c r="B1" s="9" t="s">
        <v>97</v>
      </c>
      <c r="C1" s="9" t="s">
        <v>98</v>
      </c>
      <c r="D1" s="9" t="s">
        <v>96</v>
      </c>
      <c r="E1" s="9" t="s">
        <v>2</v>
      </c>
      <c r="F1" s="9" t="s">
        <v>239</v>
      </c>
      <c r="G1" s="9" t="s">
        <v>3</v>
      </c>
      <c r="H1" s="9" t="s">
        <v>4</v>
      </c>
      <c r="I1" s="9" t="s">
        <v>5</v>
      </c>
      <c r="J1" s="9" t="s">
        <v>6</v>
      </c>
      <c r="K1" s="9" t="s">
        <v>7</v>
      </c>
      <c r="L1" s="9" t="s">
        <v>8</v>
      </c>
      <c r="M1" s="9" t="s">
        <v>9</v>
      </c>
    </row>
    <row r="2" spans="1:13" ht="15" customHeight="1">
      <c r="A2" t="s">
        <v>0</v>
      </c>
      <c r="B2">
        <f t="shared" ref="B2:B65" si="0">VLOOKUP(A2,XYdata,3,FALSE)</f>
        <v>33.710053000000002</v>
      </c>
      <c r="C2">
        <f t="shared" ref="C2:C65" si="1">VLOOKUP(A2,XYdata,2,FALSE)</f>
        <v>-117.87410800000001</v>
      </c>
      <c r="D2">
        <f t="shared" ref="D2:D65" si="2">VLOOKUP(A2,Elevation,2,FALSE)</f>
        <v>41</v>
      </c>
      <c r="E2">
        <v>0.5</v>
      </c>
      <c r="F2">
        <f>D2-E2</f>
        <v>40.5</v>
      </c>
      <c r="G2">
        <v>4.0830000000000002</v>
      </c>
      <c r="H2">
        <v>1.2E-2</v>
      </c>
      <c r="I2">
        <v>0.28599999999999998</v>
      </c>
      <c r="J2">
        <v>1</v>
      </c>
      <c r="K2">
        <v>2</v>
      </c>
      <c r="L2">
        <v>3</v>
      </c>
      <c r="M2">
        <v>0.27100000000000002</v>
      </c>
    </row>
    <row r="3" spans="1:13" ht="15" customHeight="1">
      <c r="A3" t="s">
        <v>0</v>
      </c>
      <c r="B3">
        <f t="shared" si="0"/>
        <v>33.710053000000002</v>
      </c>
      <c r="C3">
        <f t="shared" si="1"/>
        <v>-117.87410800000001</v>
      </c>
      <c r="D3">
        <f t="shared" si="2"/>
        <v>41</v>
      </c>
      <c r="E3">
        <v>1.5</v>
      </c>
      <c r="F3">
        <f t="shared" ref="F3:F66" si="3">D3-E3</f>
        <v>39.5</v>
      </c>
      <c r="G3">
        <v>15.967000000000001</v>
      </c>
      <c r="H3">
        <v>0.54800000000000004</v>
      </c>
      <c r="I3">
        <v>3.3740000000000001</v>
      </c>
      <c r="J3">
        <v>4</v>
      </c>
      <c r="K3">
        <v>10</v>
      </c>
      <c r="L3">
        <v>15</v>
      </c>
      <c r="M3">
        <v>1.0780000000000001</v>
      </c>
    </row>
    <row r="4" spans="1:13" ht="15" customHeight="1">
      <c r="A4" t="s">
        <v>0</v>
      </c>
      <c r="B4">
        <f t="shared" si="0"/>
        <v>33.710053000000002</v>
      </c>
      <c r="C4">
        <f t="shared" si="1"/>
        <v>-117.87410800000001</v>
      </c>
      <c r="D4">
        <f t="shared" si="2"/>
        <v>41</v>
      </c>
      <c r="E4">
        <v>2.5</v>
      </c>
      <c r="F4">
        <f t="shared" si="3"/>
        <v>38.5</v>
      </c>
      <c r="G4">
        <v>14.05</v>
      </c>
      <c r="H4">
        <v>0.69799999999999995</v>
      </c>
      <c r="I4">
        <v>4.7720000000000002</v>
      </c>
      <c r="J4">
        <v>3</v>
      </c>
      <c r="K4">
        <v>14</v>
      </c>
      <c r="L4">
        <v>21</v>
      </c>
      <c r="M4">
        <v>0.96599999999999997</v>
      </c>
    </row>
    <row r="5" spans="1:13" ht="15" customHeight="1">
      <c r="A5" t="s">
        <v>0</v>
      </c>
      <c r="B5">
        <f t="shared" si="0"/>
        <v>33.710053000000002</v>
      </c>
      <c r="C5">
        <f t="shared" si="1"/>
        <v>-117.87410800000001</v>
      </c>
      <c r="D5">
        <f t="shared" si="2"/>
        <v>41</v>
      </c>
      <c r="E5">
        <v>3.5</v>
      </c>
      <c r="F5">
        <f t="shared" si="3"/>
        <v>37.5</v>
      </c>
      <c r="G5">
        <v>12.983000000000001</v>
      </c>
      <c r="H5">
        <v>0.68500000000000005</v>
      </c>
      <c r="I5">
        <v>5.157</v>
      </c>
      <c r="J5">
        <v>3</v>
      </c>
      <c r="K5">
        <v>13</v>
      </c>
      <c r="L5">
        <v>20</v>
      </c>
      <c r="M5">
        <v>0.872</v>
      </c>
    </row>
    <row r="6" spans="1:13" ht="15" customHeight="1">
      <c r="A6" t="s">
        <v>0</v>
      </c>
      <c r="B6">
        <f t="shared" si="0"/>
        <v>33.710053000000002</v>
      </c>
      <c r="C6">
        <f t="shared" si="1"/>
        <v>-117.87410800000001</v>
      </c>
      <c r="D6">
        <f>VLOOKUP(A6,Elevation,2,FALSE)</f>
        <v>41</v>
      </c>
      <c r="E6">
        <v>4.5</v>
      </c>
      <c r="F6">
        <f t="shared" si="3"/>
        <v>36.5</v>
      </c>
      <c r="G6">
        <v>9.1999999999999993</v>
      </c>
      <c r="H6">
        <v>0.51200000000000001</v>
      </c>
      <c r="I6">
        <v>5.492</v>
      </c>
      <c r="J6">
        <v>3</v>
      </c>
      <c r="K6">
        <v>9</v>
      </c>
      <c r="L6">
        <v>14</v>
      </c>
      <c r="M6">
        <v>0.60299999999999998</v>
      </c>
    </row>
    <row r="7" spans="1:13" ht="15" customHeight="1">
      <c r="A7" t="s">
        <v>0</v>
      </c>
      <c r="B7">
        <f t="shared" si="0"/>
        <v>33.710053000000002</v>
      </c>
      <c r="C7">
        <f t="shared" si="1"/>
        <v>-117.87410800000001</v>
      </c>
      <c r="D7">
        <f t="shared" si="2"/>
        <v>41</v>
      </c>
      <c r="E7">
        <v>5.5</v>
      </c>
      <c r="F7">
        <f t="shared" si="3"/>
        <v>35.5</v>
      </c>
      <c r="G7">
        <v>8.6329999999999991</v>
      </c>
      <c r="H7">
        <v>0.38800000000000001</v>
      </c>
      <c r="I7">
        <v>4.38</v>
      </c>
      <c r="J7">
        <v>3</v>
      </c>
      <c r="K7">
        <v>8</v>
      </c>
      <c r="L7">
        <v>12</v>
      </c>
      <c r="M7">
        <v>0.56899999999999995</v>
      </c>
    </row>
    <row r="8" spans="1:13" ht="15" customHeight="1">
      <c r="A8" t="s">
        <v>0</v>
      </c>
      <c r="B8">
        <f t="shared" si="0"/>
        <v>33.710053000000002</v>
      </c>
      <c r="C8">
        <f t="shared" si="1"/>
        <v>-117.87410800000001</v>
      </c>
      <c r="D8">
        <f t="shared" si="2"/>
        <v>41</v>
      </c>
      <c r="E8">
        <v>6.5</v>
      </c>
      <c r="F8">
        <f t="shared" si="3"/>
        <v>34.5</v>
      </c>
      <c r="G8">
        <v>2.6669999999999998</v>
      </c>
      <c r="H8">
        <v>9.1999999999999998E-2</v>
      </c>
      <c r="I8">
        <v>3.3540000000000001</v>
      </c>
      <c r="J8">
        <v>3</v>
      </c>
      <c r="K8">
        <v>3</v>
      </c>
      <c r="L8">
        <v>5</v>
      </c>
      <c r="M8">
        <v>0.157</v>
      </c>
    </row>
    <row r="9" spans="1:13" ht="15" customHeight="1">
      <c r="A9" t="s">
        <v>0</v>
      </c>
      <c r="B9">
        <f t="shared" si="0"/>
        <v>33.710053000000002</v>
      </c>
      <c r="C9">
        <f t="shared" si="1"/>
        <v>-117.87410800000001</v>
      </c>
      <c r="D9">
        <f t="shared" si="2"/>
        <v>41</v>
      </c>
      <c r="E9">
        <v>7.5</v>
      </c>
      <c r="F9">
        <f t="shared" si="3"/>
        <v>33.5</v>
      </c>
      <c r="G9">
        <v>2.4169999999999998</v>
      </c>
      <c r="H9">
        <v>4.7E-2</v>
      </c>
      <c r="I9">
        <v>1.9179999999999999</v>
      </c>
      <c r="J9">
        <v>1</v>
      </c>
      <c r="K9">
        <v>1</v>
      </c>
      <c r="L9">
        <v>2</v>
      </c>
      <c r="M9">
        <v>0.13300000000000001</v>
      </c>
    </row>
    <row r="10" spans="1:13" ht="15" customHeight="1">
      <c r="A10" t="s">
        <v>0</v>
      </c>
      <c r="B10">
        <f t="shared" si="0"/>
        <v>33.710053000000002</v>
      </c>
      <c r="C10">
        <f t="shared" si="1"/>
        <v>-117.87410800000001</v>
      </c>
      <c r="D10">
        <f t="shared" si="2"/>
        <v>41</v>
      </c>
      <c r="E10">
        <v>8.5</v>
      </c>
      <c r="F10">
        <f t="shared" si="3"/>
        <v>32.5</v>
      </c>
      <c r="G10">
        <v>5.3330000000000002</v>
      </c>
      <c r="H10">
        <v>0.22</v>
      </c>
      <c r="I10">
        <v>4.0490000000000004</v>
      </c>
      <c r="J10">
        <v>3</v>
      </c>
      <c r="K10">
        <v>5</v>
      </c>
      <c r="L10">
        <v>8</v>
      </c>
      <c r="M10">
        <v>0.32900000000000001</v>
      </c>
    </row>
    <row r="11" spans="1:13" ht="15" customHeight="1">
      <c r="A11" t="s">
        <v>0</v>
      </c>
      <c r="B11">
        <f t="shared" si="0"/>
        <v>33.710053000000002</v>
      </c>
      <c r="C11">
        <f t="shared" si="1"/>
        <v>-117.87410800000001</v>
      </c>
      <c r="D11">
        <f t="shared" si="2"/>
        <v>41</v>
      </c>
      <c r="E11">
        <v>9.5</v>
      </c>
      <c r="F11">
        <f t="shared" si="3"/>
        <v>31.5</v>
      </c>
      <c r="G11">
        <v>54.65</v>
      </c>
      <c r="H11">
        <v>0.85799999999999998</v>
      </c>
      <c r="I11">
        <v>1.569</v>
      </c>
      <c r="J11">
        <v>7</v>
      </c>
      <c r="K11">
        <v>17</v>
      </c>
      <c r="L11">
        <v>26</v>
      </c>
      <c r="M11" s="1">
        <v>9000000000</v>
      </c>
    </row>
    <row r="12" spans="1:13" ht="15" customHeight="1">
      <c r="A12" t="s">
        <v>0</v>
      </c>
      <c r="B12">
        <f t="shared" si="0"/>
        <v>33.710053000000002</v>
      </c>
      <c r="C12">
        <f t="shared" si="1"/>
        <v>-117.87410800000001</v>
      </c>
      <c r="D12">
        <f t="shared" si="2"/>
        <v>41</v>
      </c>
      <c r="E12">
        <v>10.5</v>
      </c>
      <c r="F12">
        <f t="shared" si="3"/>
        <v>30.5</v>
      </c>
      <c r="G12">
        <v>93.129000000000005</v>
      </c>
      <c r="H12">
        <v>0.56399999999999995</v>
      </c>
      <c r="I12">
        <v>0.60599999999999998</v>
      </c>
      <c r="J12">
        <v>8</v>
      </c>
      <c r="K12">
        <v>22</v>
      </c>
      <c r="L12">
        <v>32</v>
      </c>
      <c r="M12" s="1">
        <v>9000000000</v>
      </c>
    </row>
    <row r="13" spans="1:13" ht="15" customHeight="1">
      <c r="A13" t="s">
        <v>0</v>
      </c>
      <c r="B13">
        <f t="shared" si="0"/>
        <v>33.710053000000002</v>
      </c>
      <c r="C13">
        <f t="shared" si="1"/>
        <v>-117.87410800000001</v>
      </c>
      <c r="D13">
        <f t="shared" si="2"/>
        <v>41</v>
      </c>
      <c r="E13">
        <v>11.5</v>
      </c>
      <c r="F13">
        <f t="shared" si="3"/>
        <v>29.5</v>
      </c>
      <c r="G13">
        <v>101.283</v>
      </c>
      <c r="H13">
        <v>0.41</v>
      </c>
      <c r="I13">
        <v>0.40500000000000003</v>
      </c>
      <c r="J13">
        <v>9</v>
      </c>
      <c r="K13">
        <v>19</v>
      </c>
      <c r="L13">
        <v>26</v>
      </c>
      <c r="M13" s="1">
        <v>9000000000</v>
      </c>
    </row>
    <row r="14" spans="1:13" ht="15" customHeight="1">
      <c r="A14" t="s">
        <v>0</v>
      </c>
      <c r="B14">
        <f t="shared" si="0"/>
        <v>33.710053000000002</v>
      </c>
      <c r="C14">
        <f t="shared" si="1"/>
        <v>-117.87410800000001</v>
      </c>
      <c r="D14">
        <f t="shared" si="2"/>
        <v>41</v>
      </c>
      <c r="E14">
        <v>12.5</v>
      </c>
      <c r="F14">
        <f t="shared" si="3"/>
        <v>28.5</v>
      </c>
      <c r="G14">
        <v>82.8</v>
      </c>
      <c r="H14">
        <v>0.34200000000000003</v>
      </c>
      <c r="I14">
        <v>0.41299999999999998</v>
      </c>
      <c r="J14">
        <v>8</v>
      </c>
      <c r="K14">
        <v>20</v>
      </c>
      <c r="L14">
        <v>25</v>
      </c>
      <c r="M14" s="1">
        <v>9000000000</v>
      </c>
    </row>
    <row r="15" spans="1:13" ht="15" customHeight="1">
      <c r="A15" t="s">
        <v>0</v>
      </c>
      <c r="B15">
        <f t="shared" si="0"/>
        <v>33.710053000000002</v>
      </c>
      <c r="C15">
        <f t="shared" si="1"/>
        <v>-117.87410800000001</v>
      </c>
      <c r="D15">
        <f t="shared" si="2"/>
        <v>41</v>
      </c>
      <c r="E15">
        <v>13.5</v>
      </c>
      <c r="F15">
        <f t="shared" si="3"/>
        <v>27.5</v>
      </c>
      <c r="G15">
        <v>14.117000000000001</v>
      </c>
      <c r="H15">
        <v>0.3</v>
      </c>
      <c r="I15">
        <v>2.1030000000000002</v>
      </c>
      <c r="J15">
        <v>5</v>
      </c>
      <c r="K15">
        <v>7</v>
      </c>
      <c r="L15">
        <v>8</v>
      </c>
      <c r="M15">
        <v>0.89800000000000002</v>
      </c>
    </row>
    <row r="16" spans="1:13" ht="15" customHeight="1">
      <c r="A16" t="s">
        <v>0</v>
      </c>
      <c r="B16">
        <f t="shared" si="0"/>
        <v>33.710053000000002</v>
      </c>
      <c r="C16">
        <f t="shared" si="1"/>
        <v>-117.87410800000001</v>
      </c>
      <c r="D16">
        <f t="shared" si="2"/>
        <v>41</v>
      </c>
      <c r="E16">
        <v>14.5</v>
      </c>
      <c r="F16">
        <f t="shared" si="3"/>
        <v>26.5</v>
      </c>
      <c r="G16">
        <v>6.617</v>
      </c>
      <c r="H16">
        <v>0.192</v>
      </c>
      <c r="I16">
        <v>2.7709999999999999</v>
      </c>
      <c r="J16">
        <v>4</v>
      </c>
      <c r="K16">
        <v>4</v>
      </c>
      <c r="L16">
        <v>4</v>
      </c>
      <c r="M16">
        <v>0.40400000000000003</v>
      </c>
    </row>
    <row r="17" spans="1:13" ht="15" customHeight="1">
      <c r="A17" t="s">
        <v>0</v>
      </c>
      <c r="B17">
        <f t="shared" si="0"/>
        <v>33.710053000000002</v>
      </c>
      <c r="C17">
        <f t="shared" si="1"/>
        <v>-117.87410800000001</v>
      </c>
      <c r="D17">
        <f t="shared" si="2"/>
        <v>41</v>
      </c>
      <c r="E17">
        <v>15.5</v>
      </c>
      <c r="F17">
        <f t="shared" si="3"/>
        <v>25.5</v>
      </c>
      <c r="G17">
        <v>7.883</v>
      </c>
      <c r="H17">
        <v>0.22700000000000001</v>
      </c>
      <c r="I17">
        <v>2.77</v>
      </c>
      <c r="J17">
        <v>4</v>
      </c>
      <c r="K17">
        <v>5</v>
      </c>
      <c r="L17">
        <v>5</v>
      </c>
      <c r="M17">
        <v>0.48399999999999999</v>
      </c>
    </row>
    <row r="18" spans="1:13" ht="15" customHeight="1">
      <c r="A18" t="s">
        <v>0</v>
      </c>
      <c r="B18">
        <f t="shared" si="0"/>
        <v>33.710053000000002</v>
      </c>
      <c r="C18">
        <f t="shared" si="1"/>
        <v>-117.87410800000001</v>
      </c>
      <c r="D18">
        <f t="shared" si="2"/>
        <v>41</v>
      </c>
      <c r="E18">
        <v>16.5</v>
      </c>
      <c r="F18">
        <f t="shared" si="3"/>
        <v>24.5</v>
      </c>
      <c r="G18">
        <v>19.483000000000001</v>
      </c>
      <c r="H18">
        <v>0.69699999999999995</v>
      </c>
      <c r="I18">
        <v>3.5270000000000001</v>
      </c>
      <c r="J18">
        <v>4</v>
      </c>
      <c r="K18">
        <v>13</v>
      </c>
      <c r="L18">
        <v>13</v>
      </c>
      <c r="M18">
        <v>1.2509999999999999</v>
      </c>
    </row>
    <row r="19" spans="1:13" ht="15" customHeight="1">
      <c r="A19" t="s">
        <v>0</v>
      </c>
      <c r="B19">
        <f t="shared" si="0"/>
        <v>33.710053000000002</v>
      </c>
      <c r="C19">
        <f t="shared" si="1"/>
        <v>-117.87410800000001</v>
      </c>
      <c r="D19">
        <f t="shared" si="2"/>
        <v>41</v>
      </c>
      <c r="E19">
        <v>17.5</v>
      </c>
      <c r="F19">
        <f t="shared" si="3"/>
        <v>23.5</v>
      </c>
      <c r="G19">
        <v>47.033000000000001</v>
      </c>
      <c r="H19">
        <v>0.95499999999999996</v>
      </c>
      <c r="I19">
        <v>2.0310000000000001</v>
      </c>
      <c r="J19">
        <v>6</v>
      </c>
      <c r="K19">
        <v>18</v>
      </c>
      <c r="L19">
        <v>17</v>
      </c>
      <c r="M19">
        <v>3.0649999999999999</v>
      </c>
    </row>
    <row r="20" spans="1:13" ht="15" customHeight="1">
      <c r="A20" t="s">
        <v>0</v>
      </c>
      <c r="B20">
        <f t="shared" si="0"/>
        <v>33.710053000000002</v>
      </c>
      <c r="C20">
        <f t="shared" si="1"/>
        <v>-117.87410800000001</v>
      </c>
      <c r="D20">
        <f t="shared" si="2"/>
        <v>41</v>
      </c>
      <c r="E20">
        <v>18.5</v>
      </c>
      <c r="F20">
        <f t="shared" si="3"/>
        <v>22.5</v>
      </c>
      <c r="G20">
        <v>39.466999999999999</v>
      </c>
      <c r="H20">
        <v>0.622</v>
      </c>
      <c r="I20">
        <v>1.575</v>
      </c>
      <c r="J20">
        <v>7</v>
      </c>
      <c r="K20">
        <v>13</v>
      </c>
      <c r="L20">
        <v>12</v>
      </c>
      <c r="M20" s="1">
        <v>9000000000</v>
      </c>
    </row>
    <row r="21" spans="1:13" ht="15" customHeight="1">
      <c r="A21" t="s">
        <v>0</v>
      </c>
      <c r="B21">
        <f t="shared" si="0"/>
        <v>33.710053000000002</v>
      </c>
      <c r="C21">
        <f t="shared" si="1"/>
        <v>-117.87410800000001</v>
      </c>
      <c r="D21">
        <f t="shared" si="2"/>
        <v>41</v>
      </c>
      <c r="E21">
        <v>19.5</v>
      </c>
      <c r="F21">
        <f t="shared" si="3"/>
        <v>21.5</v>
      </c>
      <c r="G21">
        <v>9.3829999999999991</v>
      </c>
      <c r="H21">
        <v>0.33700000000000002</v>
      </c>
      <c r="I21">
        <v>3.4529999999999998</v>
      </c>
      <c r="J21">
        <v>3</v>
      </c>
      <c r="K21">
        <v>9</v>
      </c>
      <c r="L21">
        <v>8</v>
      </c>
      <c r="M21">
        <v>0.57199999999999995</v>
      </c>
    </row>
    <row r="22" spans="1:13" ht="15" customHeight="1">
      <c r="A22" t="s">
        <v>0</v>
      </c>
      <c r="B22">
        <f t="shared" si="0"/>
        <v>33.710053000000002</v>
      </c>
      <c r="C22">
        <f t="shared" si="1"/>
        <v>-117.87410800000001</v>
      </c>
      <c r="D22">
        <f t="shared" si="2"/>
        <v>41</v>
      </c>
      <c r="E22">
        <v>20.5</v>
      </c>
      <c r="F22">
        <f t="shared" si="3"/>
        <v>20.5</v>
      </c>
      <c r="G22">
        <v>9.7710000000000008</v>
      </c>
      <c r="H22">
        <v>0.371</v>
      </c>
      <c r="I22">
        <v>3.657</v>
      </c>
      <c r="J22">
        <v>3</v>
      </c>
      <c r="K22">
        <v>10</v>
      </c>
      <c r="L22">
        <v>9</v>
      </c>
      <c r="M22">
        <v>0.59499999999999997</v>
      </c>
    </row>
    <row r="23" spans="1:13" ht="15" customHeight="1">
      <c r="A23" t="s">
        <v>0</v>
      </c>
      <c r="B23">
        <f t="shared" si="0"/>
        <v>33.710053000000002</v>
      </c>
      <c r="C23">
        <f t="shared" si="1"/>
        <v>-117.87410800000001</v>
      </c>
      <c r="D23">
        <f t="shared" si="2"/>
        <v>41</v>
      </c>
      <c r="E23">
        <v>21.5</v>
      </c>
      <c r="F23">
        <f t="shared" si="3"/>
        <v>19.5</v>
      </c>
      <c r="G23">
        <v>7.7670000000000003</v>
      </c>
      <c r="H23">
        <v>0.28499999999999998</v>
      </c>
      <c r="I23">
        <v>3.49</v>
      </c>
      <c r="J23">
        <v>3</v>
      </c>
      <c r="K23">
        <v>8</v>
      </c>
      <c r="L23">
        <v>7</v>
      </c>
      <c r="M23">
        <v>0.45900000000000002</v>
      </c>
    </row>
    <row r="24" spans="1:13" ht="15" customHeight="1">
      <c r="A24" t="s">
        <v>0</v>
      </c>
      <c r="B24">
        <f t="shared" si="0"/>
        <v>33.710053000000002</v>
      </c>
      <c r="C24">
        <f t="shared" si="1"/>
        <v>-117.87410800000001</v>
      </c>
      <c r="D24">
        <f t="shared" si="2"/>
        <v>41</v>
      </c>
      <c r="E24">
        <v>22.5</v>
      </c>
      <c r="F24">
        <f t="shared" si="3"/>
        <v>18.5</v>
      </c>
      <c r="G24">
        <v>9.6329999999999991</v>
      </c>
      <c r="H24">
        <v>0.34799999999999998</v>
      </c>
      <c r="I24">
        <v>3.4209999999999998</v>
      </c>
      <c r="J24">
        <v>3</v>
      </c>
      <c r="K24">
        <v>10</v>
      </c>
      <c r="L24">
        <v>8</v>
      </c>
      <c r="M24">
        <v>0.58899999999999997</v>
      </c>
    </row>
    <row r="25" spans="1:13" ht="15" customHeight="1">
      <c r="A25" t="s">
        <v>0</v>
      </c>
      <c r="B25">
        <f t="shared" si="0"/>
        <v>33.710053000000002</v>
      </c>
      <c r="C25">
        <f t="shared" si="1"/>
        <v>-117.87410800000001</v>
      </c>
      <c r="D25">
        <f t="shared" si="2"/>
        <v>41</v>
      </c>
      <c r="E25">
        <v>23.5</v>
      </c>
      <c r="F25">
        <f t="shared" si="3"/>
        <v>17.5</v>
      </c>
      <c r="G25">
        <v>10.65</v>
      </c>
      <c r="H25">
        <v>0.38800000000000001</v>
      </c>
      <c r="I25">
        <v>3.488</v>
      </c>
      <c r="J25">
        <v>4</v>
      </c>
      <c r="K25">
        <v>7</v>
      </c>
      <c r="L25">
        <v>5</v>
      </c>
      <c r="M25">
        <v>0.64900000000000002</v>
      </c>
    </row>
    <row r="26" spans="1:13" ht="15" customHeight="1">
      <c r="A26" t="s">
        <v>0</v>
      </c>
      <c r="B26">
        <f t="shared" si="0"/>
        <v>33.710053000000002</v>
      </c>
      <c r="C26">
        <f t="shared" si="1"/>
        <v>-117.87410800000001</v>
      </c>
      <c r="D26">
        <f t="shared" si="2"/>
        <v>41</v>
      </c>
      <c r="E26">
        <v>24.5</v>
      </c>
      <c r="F26">
        <f t="shared" si="3"/>
        <v>16.5</v>
      </c>
      <c r="G26">
        <v>10.833</v>
      </c>
      <c r="H26">
        <v>0.36799999999999999</v>
      </c>
      <c r="I26">
        <v>3.222</v>
      </c>
      <c r="J26">
        <v>4</v>
      </c>
      <c r="K26">
        <v>7</v>
      </c>
      <c r="L26">
        <v>5</v>
      </c>
      <c r="M26">
        <v>0.66500000000000004</v>
      </c>
    </row>
    <row r="27" spans="1:13" ht="15" customHeight="1">
      <c r="A27" t="s">
        <v>0</v>
      </c>
      <c r="B27">
        <f t="shared" si="0"/>
        <v>33.710053000000002</v>
      </c>
      <c r="C27">
        <f t="shared" si="1"/>
        <v>-117.87410800000001</v>
      </c>
      <c r="D27">
        <f t="shared" si="2"/>
        <v>41</v>
      </c>
      <c r="E27">
        <v>25.5</v>
      </c>
      <c r="F27">
        <f t="shared" si="3"/>
        <v>15.5</v>
      </c>
      <c r="G27">
        <v>12.15</v>
      </c>
      <c r="H27">
        <v>0.31</v>
      </c>
      <c r="I27">
        <v>2.4089999999999998</v>
      </c>
      <c r="J27">
        <v>5</v>
      </c>
      <c r="K27">
        <v>6</v>
      </c>
      <c r="L27">
        <v>4</v>
      </c>
      <c r="M27">
        <v>0.75600000000000001</v>
      </c>
    </row>
    <row r="28" spans="1:13" ht="15" customHeight="1">
      <c r="A28" t="s">
        <v>0</v>
      </c>
      <c r="B28">
        <f t="shared" si="0"/>
        <v>33.710053000000002</v>
      </c>
      <c r="C28">
        <f t="shared" si="1"/>
        <v>-117.87410800000001</v>
      </c>
      <c r="D28">
        <f t="shared" si="2"/>
        <v>41</v>
      </c>
      <c r="E28">
        <v>26.5</v>
      </c>
      <c r="F28">
        <f>D28-E28</f>
        <v>14.5</v>
      </c>
      <c r="G28">
        <v>71.533000000000001</v>
      </c>
      <c r="H28">
        <v>1.7749999999999999</v>
      </c>
      <c r="I28">
        <v>2.468</v>
      </c>
      <c r="J28">
        <v>6</v>
      </c>
      <c r="K28">
        <v>28</v>
      </c>
      <c r="L28">
        <v>20</v>
      </c>
      <c r="M28">
        <v>4.6900000000000004</v>
      </c>
    </row>
    <row r="29" spans="1:13" ht="15" customHeight="1">
      <c r="A29" t="s">
        <v>0</v>
      </c>
      <c r="B29">
        <f t="shared" si="0"/>
        <v>33.710053000000002</v>
      </c>
      <c r="C29">
        <f t="shared" si="1"/>
        <v>-117.87410800000001</v>
      </c>
      <c r="D29">
        <f t="shared" si="2"/>
        <v>41</v>
      </c>
      <c r="E29">
        <v>27.5</v>
      </c>
      <c r="F29">
        <f t="shared" si="3"/>
        <v>13.5</v>
      </c>
      <c r="G29">
        <v>50.067</v>
      </c>
      <c r="H29">
        <v>1.1679999999999999</v>
      </c>
      <c r="I29">
        <v>2.3239999999999998</v>
      </c>
      <c r="J29">
        <v>6</v>
      </c>
      <c r="K29">
        <v>19</v>
      </c>
      <c r="L29">
        <v>13</v>
      </c>
      <c r="M29">
        <v>3.2410000000000001</v>
      </c>
    </row>
    <row r="30" spans="1:13" ht="15" customHeight="1">
      <c r="A30" t="s">
        <v>0</v>
      </c>
      <c r="B30">
        <f t="shared" si="0"/>
        <v>33.710053000000002</v>
      </c>
      <c r="C30">
        <f t="shared" si="1"/>
        <v>-117.87410800000001</v>
      </c>
      <c r="D30">
        <f t="shared" si="2"/>
        <v>41</v>
      </c>
      <c r="E30">
        <v>28.5</v>
      </c>
      <c r="F30">
        <f t="shared" si="3"/>
        <v>12.5</v>
      </c>
      <c r="G30">
        <v>46.6</v>
      </c>
      <c r="H30">
        <v>1.855</v>
      </c>
      <c r="I30">
        <v>3.94</v>
      </c>
      <c r="J30">
        <v>5</v>
      </c>
      <c r="K30">
        <v>23</v>
      </c>
      <c r="L30">
        <v>16</v>
      </c>
      <c r="M30">
        <v>3.0249999999999999</v>
      </c>
    </row>
    <row r="31" spans="1:13" ht="15" customHeight="1">
      <c r="A31" t="s">
        <v>0</v>
      </c>
      <c r="B31">
        <f t="shared" si="0"/>
        <v>33.710053000000002</v>
      </c>
      <c r="C31">
        <f t="shared" si="1"/>
        <v>-117.87410800000001</v>
      </c>
      <c r="D31">
        <f t="shared" si="2"/>
        <v>41</v>
      </c>
      <c r="E31">
        <v>29.5</v>
      </c>
      <c r="F31">
        <f t="shared" si="3"/>
        <v>11.5</v>
      </c>
      <c r="G31">
        <v>206.917</v>
      </c>
      <c r="H31">
        <v>1.593</v>
      </c>
      <c r="I31">
        <v>0.77</v>
      </c>
      <c r="J31">
        <v>9</v>
      </c>
      <c r="K31">
        <v>40</v>
      </c>
      <c r="L31">
        <v>27</v>
      </c>
      <c r="M31" s="1">
        <v>9000000000</v>
      </c>
    </row>
    <row r="32" spans="1:13" ht="15" customHeight="1">
      <c r="A32" t="s">
        <v>0</v>
      </c>
      <c r="B32">
        <f t="shared" si="0"/>
        <v>33.710053000000002</v>
      </c>
      <c r="C32">
        <f t="shared" si="1"/>
        <v>-117.87410800000001</v>
      </c>
      <c r="D32">
        <f t="shared" si="2"/>
        <v>41</v>
      </c>
      <c r="E32">
        <v>30.5</v>
      </c>
      <c r="F32">
        <f t="shared" si="3"/>
        <v>10.5</v>
      </c>
      <c r="G32">
        <v>55.75</v>
      </c>
      <c r="H32">
        <v>0.83299999999999996</v>
      </c>
      <c r="I32">
        <v>1.4910000000000001</v>
      </c>
      <c r="J32">
        <v>7</v>
      </c>
      <c r="K32">
        <v>18</v>
      </c>
      <c r="L32">
        <v>12</v>
      </c>
      <c r="M32" s="1">
        <v>9000000000</v>
      </c>
    </row>
    <row r="33" spans="1:13" ht="15" customHeight="1">
      <c r="A33" t="s">
        <v>0</v>
      </c>
      <c r="B33">
        <f t="shared" si="0"/>
        <v>33.710053000000002</v>
      </c>
      <c r="C33">
        <f t="shared" si="1"/>
        <v>-117.87410800000001</v>
      </c>
      <c r="D33">
        <f t="shared" si="2"/>
        <v>41</v>
      </c>
      <c r="E33">
        <v>31.5</v>
      </c>
      <c r="F33">
        <f t="shared" si="3"/>
        <v>9.5</v>
      </c>
      <c r="G33">
        <v>12.714</v>
      </c>
      <c r="H33">
        <v>0.313</v>
      </c>
      <c r="I33">
        <v>2.335</v>
      </c>
      <c r="J33">
        <v>5</v>
      </c>
      <c r="K33">
        <v>6</v>
      </c>
      <c r="L33">
        <v>4</v>
      </c>
      <c r="M33">
        <v>0.76700000000000002</v>
      </c>
    </row>
    <row r="34" spans="1:13" ht="15" customHeight="1">
      <c r="A34" t="s">
        <v>0</v>
      </c>
      <c r="B34">
        <f t="shared" si="0"/>
        <v>33.710053000000002</v>
      </c>
      <c r="C34">
        <f t="shared" si="1"/>
        <v>-117.87410800000001</v>
      </c>
      <c r="D34">
        <f t="shared" si="2"/>
        <v>41</v>
      </c>
      <c r="E34">
        <v>32.5</v>
      </c>
      <c r="F34">
        <f t="shared" si="3"/>
        <v>8.5</v>
      </c>
      <c r="G34">
        <v>13.683</v>
      </c>
      <c r="H34">
        <v>0.28999999999999998</v>
      </c>
      <c r="I34">
        <v>1.9950000000000001</v>
      </c>
      <c r="J34">
        <v>5</v>
      </c>
      <c r="K34">
        <v>7</v>
      </c>
      <c r="L34">
        <v>5</v>
      </c>
      <c r="M34">
        <v>0.83899999999999997</v>
      </c>
    </row>
    <row r="35" spans="1:13" ht="15" customHeight="1">
      <c r="A35" t="s">
        <v>0</v>
      </c>
      <c r="B35">
        <f t="shared" si="0"/>
        <v>33.710053000000002</v>
      </c>
      <c r="C35">
        <f t="shared" si="1"/>
        <v>-117.87410800000001</v>
      </c>
      <c r="D35">
        <f t="shared" si="2"/>
        <v>41</v>
      </c>
      <c r="E35">
        <v>33.5</v>
      </c>
      <c r="F35">
        <f t="shared" si="3"/>
        <v>7.5</v>
      </c>
      <c r="G35">
        <v>25.332999999999998</v>
      </c>
      <c r="H35">
        <v>0.627</v>
      </c>
      <c r="I35">
        <v>2.423</v>
      </c>
      <c r="J35">
        <v>6</v>
      </c>
      <c r="K35">
        <v>10</v>
      </c>
      <c r="L35">
        <v>6</v>
      </c>
      <c r="M35">
        <v>1.59</v>
      </c>
    </row>
    <row r="36" spans="1:13" ht="15" customHeight="1">
      <c r="A36" t="s">
        <v>0</v>
      </c>
      <c r="B36">
        <f t="shared" si="0"/>
        <v>33.710053000000002</v>
      </c>
      <c r="C36">
        <f t="shared" si="1"/>
        <v>-117.87410800000001</v>
      </c>
      <c r="D36">
        <f t="shared" si="2"/>
        <v>41</v>
      </c>
      <c r="E36">
        <v>34.5</v>
      </c>
      <c r="F36">
        <f t="shared" si="3"/>
        <v>6.5</v>
      </c>
      <c r="G36">
        <v>53.5</v>
      </c>
      <c r="H36">
        <v>1.5149999999999999</v>
      </c>
      <c r="I36">
        <v>2.8119999999999998</v>
      </c>
      <c r="J36">
        <v>6</v>
      </c>
      <c r="K36">
        <v>21</v>
      </c>
      <c r="L36">
        <v>13</v>
      </c>
      <c r="M36">
        <v>3.452</v>
      </c>
    </row>
    <row r="37" spans="1:13" ht="15" customHeight="1">
      <c r="A37" t="s">
        <v>0</v>
      </c>
      <c r="B37">
        <f t="shared" si="0"/>
        <v>33.710053000000002</v>
      </c>
      <c r="C37">
        <f t="shared" si="1"/>
        <v>-117.87410800000001</v>
      </c>
      <c r="D37">
        <f t="shared" si="2"/>
        <v>41</v>
      </c>
      <c r="E37">
        <v>35.5</v>
      </c>
      <c r="F37">
        <f t="shared" si="3"/>
        <v>5.5</v>
      </c>
      <c r="G37">
        <v>160.417</v>
      </c>
      <c r="H37">
        <v>1.4970000000000001</v>
      </c>
      <c r="I37">
        <v>0.93300000000000005</v>
      </c>
      <c r="J37">
        <v>9</v>
      </c>
      <c r="K37">
        <v>31</v>
      </c>
      <c r="L37">
        <v>20</v>
      </c>
      <c r="M37" s="1">
        <v>9000000000</v>
      </c>
    </row>
    <row r="38" spans="1:13" ht="15" customHeight="1">
      <c r="A38" t="s">
        <v>0</v>
      </c>
      <c r="B38">
        <f t="shared" si="0"/>
        <v>33.710053000000002</v>
      </c>
      <c r="C38">
        <f t="shared" si="1"/>
        <v>-117.87410800000001</v>
      </c>
      <c r="D38">
        <f t="shared" si="2"/>
        <v>41</v>
      </c>
      <c r="E38">
        <v>36.5</v>
      </c>
      <c r="F38">
        <f t="shared" si="3"/>
        <v>4.5</v>
      </c>
      <c r="G38">
        <v>194.71700000000001</v>
      </c>
      <c r="H38">
        <v>0.42699999999999999</v>
      </c>
      <c r="I38">
        <v>0.219</v>
      </c>
      <c r="J38">
        <v>9</v>
      </c>
      <c r="K38">
        <v>37</v>
      </c>
      <c r="L38">
        <v>23</v>
      </c>
      <c r="M38" s="1">
        <v>9000000000</v>
      </c>
    </row>
    <row r="39" spans="1:13" ht="15" customHeight="1">
      <c r="A39" t="s">
        <v>0</v>
      </c>
      <c r="B39">
        <f t="shared" si="0"/>
        <v>33.710053000000002</v>
      </c>
      <c r="C39">
        <f t="shared" si="1"/>
        <v>-117.87410800000001</v>
      </c>
      <c r="D39">
        <f t="shared" si="2"/>
        <v>41</v>
      </c>
      <c r="E39">
        <v>37.5</v>
      </c>
      <c r="F39">
        <f t="shared" si="3"/>
        <v>3.5</v>
      </c>
      <c r="G39">
        <v>30.283000000000001</v>
      </c>
      <c r="H39">
        <v>0.86699999999999999</v>
      </c>
      <c r="I39">
        <v>2.8149999999999999</v>
      </c>
      <c r="J39">
        <v>6</v>
      </c>
      <c r="K39">
        <v>12</v>
      </c>
      <c r="L39">
        <v>7</v>
      </c>
      <c r="M39">
        <v>1.901</v>
      </c>
    </row>
    <row r="40" spans="1:13" ht="15" customHeight="1">
      <c r="A40" t="s">
        <v>0</v>
      </c>
      <c r="B40">
        <f t="shared" si="0"/>
        <v>33.710053000000002</v>
      </c>
      <c r="C40">
        <f t="shared" si="1"/>
        <v>-117.87410800000001</v>
      </c>
      <c r="D40">
        <f t="shared" si="2"/>
        <v>41</v>
      </c>
      <c r="E40">
        <v>38.5</v>
      </c>
      <c r="F40">
        <f t="shared" si="3"/>
        <v>2.5</v>
      </c>
      <c r="G40">
        <v>71.099999999999994</v>
      </c>
      <c r="H40">
        <v>1.64</v>
      </c>
      <c r="I40">
        <v>2.3029999999999999</v>
      </c>
      <c r="J40">
        <v>6</v>
      </c>
      <c r="K40">
        <v>27</v>
      </c>
      <c r="L40">
        <v>16</v>
      </c>
      <c r="M40">
        <v>4.5919999999999996</v>
      </c>
    </row>
    <row r="41" spans="1:13" ht="15" customHeight="1">
      <c r="A41" t="s">
        <v>0</v>
      </c>
      <c r="B41">
        <f t="shared" si="0"/>
        <v>33.710053000000002</v>
      </c>
      <c r="C41">
        <f t="shared" si="1"/>
        <v>-117.87410800000001</v>
      </c>
      <c r="D41">
        <f t="shared" si="2"/>
        <v>41</v>
      </c>
      <c r="E41">
        <v>39.5</v>
      </c>
      <c r="F41">
        <f t="shared" si="3"/>
        <v>1.5</v>
      </c>
      <c r="G41">
        <v>181.233</v>
      </c>
      <c r="H41">
        <v>0.91</v>
      </c>
      <c r="I41">
        <v>0.501</v>
      </c>
      <c r="J41">
        <v>9</v>
      </c>
      <c r="K41">
        <v>35</v>
      </c>
      <c r="L41">
        <v>21</v>
      </c>
      <c r="M41" s="1">
        <v>9000000000</v>
      </c>
    </row>
    <row r="42" spans="1:13" ht="15" customHeight="1">
      <c r="A42" t="s">
        <v>0</v>
      </c>
      <c r="B42">
        <f t="shared" si="0"/>
        <v>33.710053000000002</v>
      </c>
      <c r="C42">
        <f t="shared" si="1"/>
        <v>-117.87410800000001</v>
      </c>
      <c r="D42">
        <f t="shared" si="2"/>
        <v>41</v>
      </c>
      <c r="E42">
        <v>40.5</v>
      </c>
      <c r="F42">
        <f t="shared" si="3"/>
        <v>0.5</v>
      </c>
      <c r="G42">
        <v>276.14999999999998</v>
      </c>
      <c r="H42">
        <v>0.77300000000000002</v>
      </c>
      <c r="I42">
        <v>0.28000000000000003</v>
      </c>
      <c r="J42">
        <v>10</v>
      </c>
      <c r="K42">
        <v>44</v>
      </c>
      <c r="L42">
        <v>26</v>
      </c>
      <c r="M42" s="1">
        <v>9000000000</v>
      </c>
    </row>
    <row r="43" spans="1:13" ht="15" customHeight="1">
      <c r="A43" t="s">
        <v>0</v>
      </c>
      <c r="B43">
        <f t="shared" si="0"/>
        <v>33.710053000000002</v>
      </c>
      <c r="C43">
        <f t="shared" si="1"/>
        <v>-117.87410800000001</v>
      </c>
      <c r="D43">
        <f t="shared" si="2"/>
        <v>41</v>
      </c>
      <c r="E43">
        <v>41.499000000000002</v>
      </c>
      <c r="F43">
        <f t="shared" si="3"/>
        <v>-0.49900000000000233</v>
      </c>
      <c r="G43">
        <v>377.82900000000001</v>
      </c>
      <c r="H43">
        <v>3.016</v>
      </c>
      <c r="I43">
        <v>0.79800000000000004</v>
      </c>
      <c r="J43">
        <v>10</v>
      </c>
      <c r="K43">
        <v>60</v>
      </c>
      <c r="L43">
        <v>35</v>
      </c>
      <c r="M43" s="1">
        <v>9000000000</v>
      </c>
    </row>
    <row r="44" spans="1:13" ht="15" customHeight="1">
      <c r="A44" t="s">
        <v>0</v>
      </c>
      <c r="B44">
        <f t="shared" si="0"/>
        <v>33.710053000000002</v>
      </c>
      <c r="C44">
        <f t="shared" si="1"/>
        <v>-117.87410800000001</v>
      </c>
      <c r="D44">
        <f t="shared" si="2"/>
        <v>41</v>
      </c>
      <c r="E44">
        <v>42.499000000000002</v>
      </c>
      <c r="F44">
        <f t="shared" si="3"/>
        <v>-1.4990000000000023</v>
      </c>
      <c r="G44">
        <v>452.68299999999999</v>
      </c>
      <c r="H44">
        <v>1.74</v>
      </c>
      <c r="I44">
        <v>0.38400000000000001</v>
      </c>
      <c r="J44">
        <v>10</v>
      </c>
      <c r="K44">
        <v>72</v>
      </c>
      <c r="L44">
        <v>42</v>
      </c>
      <c r="M44" s="1">
        <v>9000000000</v>
      </c>
    </row>
    <row r="45" spans="1:13" ht="15" customHeight="1">
      <c r="A45" t="s">
        <v>0</v>
      </c>
      <c r="B45">
        <f t="shared" si="0"/>
        <v>33.710053000000002</v>
      </c>
      <c r="C45">
        <f t="shared" si="1"/>
        <v>-117.87410800000001</v>
      </c>
      <c r="D45">
        <f t="shared" si="2"/>
        <v>41</v>
      </c>
      <c r="E45">
        <v>43.499000000000002</v>
      </c>
      <c r="F45">
        <f t="shared" si="3"/>
        <v>-2.4990000000000023</v>
      </c>
      <c r="G45">
        <v>453.28300000000002</v>
      </c>
      <c r="H45">
        <v>3.0129999999999999</v>
      </c>
      <c r="I45">
        <v>0.66500000000000004</v>
      </c>
      <c r="J45">
        <v>10</v>
      </c>
      <c r="K45">
        <v>72</v>
      </c>
      <c r="L45">
        <v>41</v>
      </c>
      <c r="M45" s="1">
        <v>9000000000</v>
      </c>
    </row>
    <row r="46" spans="1:13" ht="15" customHeight="1">
      <c r="A46" t="s">
        <v>0</v>
      </c>
      <c r="B46">
        <f t="shared" si="0"/>
        <v>33.710053000000002</v>
      </c>
      <c r="C46">
        <f t="shared" si="1"/>
        <v>-117.87410800000001</v>
      </c>
      <c r="D46">
        <f t="shared" si="2"/>
        <v>41</v>
      </c>
      <c r="E46">
        <v>44.499000000000002</v>
      </c>
      <c r="F46">
        <f t="shared" si="3"/>
        <v>-3.4990000000000023</v>
      </c>
      <c r="G46">
        <v>109.35</v>
      </c>
      <c r="H46">
        <v>4.4020000000000001</v>
      </c>
      <c r="I46">
        <v>4.0220000000000002</v>
      </c>
      <c r="J46">
        <v>5</v>
      </c>
      <c r="K46">
        <v>52</v>
      </c>
      <c r="L46">
        <v>29</v>
      </c>
      <c r="M46">
        <v>7.1150000000000002</v>
      </c>
    </row>
    <row r="47" spans="1:13" ht="15" customHeight="1">
      <c r="A47" t="s">
        <v>0</v>
      </c>
      <c r="B47">
        <f t="shared" si="0"/>
        <v>33.710053000000002</v>
      </c>
      <c r="C47">
        <f t="shared" si="1"/>
        <v>-117.87410800000001</v>
      </c>
      <c r="D47">
        <f t="shared" si="2"/>
        <v>41</v>
      </c>
      <c r="E47">
        <v>45.499000000000002</v>
      </c>
      <c r="F47">
        <f t="shared" si="3"/>
        <v>-4.4990000000000023</v>
      </c>
      <c r="G47">
        <v>76.2</v>
      </c>
      <c r="H47">
        <v>1.788</v>
      </c>
      <c r="I47">
        <v>2.343</v>
      </c>
      <c r="J47">
        <v>6</v>
      </c>
      <c r="K47">
        <v>29</v>
      </c>
      <c r="L47">
        <v>16</v>
      </c>
      <c r="M47">
        <v>4.9029999999999996</v>
      </c>
    </row>
    <row r="48" spans="1:13" ht="15" customHeight="1">
      <c r="A48" t="s">
        <v>0</v>
      </c>
      <c r="B48">
        <f t="shared" si="0"/>
        <v>33.710053000000002</v>
      </c>
      <c r="C48">
        <f t="shared" si="1"/>
        <v>-117.87410800000001</v>
      </c>
      <c r="D48">
        <f t="shared" si="2"/>
        <v>41</v>
      </c>
      <c r="E48">
        <v>46.499000000000002</v>
      </c>
      <c r="F48">
        <f t="shared" si="3"/>
        <v>-5.4990000000000023</v>
      </c>
      <c r="G48">
        <v>146.61699999999999</v>
      </c>
      <c r="H48">
        <v>2.1920000000000002</v>
      </c>
      <c r="I48">
        <v>1.494</v>
      </c>
      <c r="J48">
        <v>8</v>
      </c>
      <c r="K48">
        <v>35</v>
      </c>
      <c r="L48">
        <v>19</v>
      </c>
      <c r="M48" s="1">
        <v>9000000000</v>
      </c>
    </row>
    <row r="49" spans="1:13" ht="15" customHeight="1">
      <c r="A49" t="s">
        <v>0</v>
      </c>
      <c r="B49">
        <f t="shared" si="0"/>
        <v>33.710053000000002</v>
      </c>
      <c r="C49">
        <f t="shared" si="1"/>
        <v>-117.87410800000001</v>
      </c>
      <c r="D49">
        <f t="shared" si="2"/>
        <v>41</v>
      </c>
      <c r="E49">
        <v>47.499000000000002</v>
      </c>
      <c r="F49">
        <f t="shared" si="3"/>
        <v>-6.4990000000000023</v>
      </c>
      <c r="G49">
        <v>100.167</v>
      </c>
      <c r="H49">
        <v>3.048</v>
      </c>
      <c r="I49">
        <v>3.0430000000000001</v>
      </c>
      <c r="J49">
        <v>6</v>
      </c>
      <c r="K49">
        <v>38</v>
      </c>
      <c r="L49">
        <v>21</v>
      </c>
      <c r="M49">
        <v>6.484</v>
      </c>
    </row>
    <row r="50" spans="1:13" ht="15" customHeight="1">
      <c r="A50" t="s">
        <v>0</v>
      </c>
      <c r="B50">
        <f t="shared" si="0"/>
        <v>33.710053000000002</v>
      </c>
      <c r="C50">
        <f t="shared" si="1"/>
        <v>-117.87410800000001</v>
      </c>
      <c r="D50">
        <f t="shared" si="2"/>
        <v>41</v>
      </c>
      <c r="E50">
        <v>48.499000000000002</v>
      </c>
      <c r="F50">
        <f t="shared" si="3"/>
        <v>-7.4990000000000023</v>
      </c>
      <c r="G50">
        <v>147.88300000000001</v>
      </c>
      <c r="H50">
        <v>1.625</v>
      </c>
      <c r="I50">
        <v>1.0980000000000001</v>
      </c>
      <c r="J50">
        <v>8</v>
      </c>
      <c r="K50">
        <v>35</v>
      </c>
      <c r="L50">
        <v>19</v>
      </c>
      <c r="M50" s="1">
        <v>9000000000</v>
      </c>
    </row>
    <row r="51" spans="1:13" ht="15" customHeight="1">
      <c r="A51" t="s">
        <v>0</v>
      </c>
      <c r="B51">
        <f t="shared" si="0"/>
        <v>33.710053000000002</v>
      </c>
      <c r="C51">
        <f t="shared" si="1"/>
        <v>-117.87410800000001</v>
      </c>
      <c r="D51">
        <f t="shared" si="2"/>
        <v>41</v>
      </c>
      <c r="E51">
        <v>49.499000000000002</v>
      </c>
      <c r="F51">
        <f t="shared" si="3"/>
        <v>-8.4990000000000023</v>
      </c>
      <c r="G51">
        <v>170.18299999999999</v>
      </c>
      <c r="H51">
        <v>1.613</v>
      </c>
      <c r="I51">
        <v>0.94699999999999995</v>
      </c>
      <c r="J51">
        <v>9</v>
      </c>
      <c r="K51">
        <v>33</v>
      </c>
      <c r="L51">
        <v>18</v>
      </c>
      <c r="M51" s="1">
        <v>9000000000</v>
      </c>
    </row>
    <row r="52" spans="1:13" ht="15" customHeight="1">
      <c r="A52" t="s">
        <v>0</v>
      </c>
      <c r="B52">
        <f t="shared" si="0"/>
        <v>33.710053000000002</v>
      </c>
      <c r="C52">
        <f t="shared" si="1"/>
        <v>-117.87410800000001</v>
      </c>
      <c r="D52">
        <f t="shared" si="2"/>
        <v>41</v>
      </c>
      <c r="E52">
        <v>50.499000000000002</v>
      </c>
      <c r="F52">
        <f t="shared" si="3"/>
        <v>-9.4990000000000023</v>
      </c>
      <c r="G52">
        <v>105.6</v>
      </c>
      <c r="H52">
        <v>1.4570000000000001</v>
      </c>
      <c r="I52">
        <v>1.3779999999999999</v>
      </c>
      <c r="J52">
        <v>8</v>
      </c>
      <c r="K52">
        <v>25</v>
      </c>
      <c r="L52">
        <v>13</v>
      </c>
      <c r="M52" s="1">
        <v>9000000000</v>
      </c>
    </row>
    <row r="53" spans="1:13" ht="15" customHeight="1">
      <c r="A53" t="s">
        <v>0</v>
      </c>
      <c r="B53">
        <f t="shared" si="0"/>
        <v>33.710053000000002</v>
      </c>
      <c r="C53">
        <f t="shared" si="1"/>
        <v>-117.87410800000001</v>
      </c>
      <c r="D53">
        <f t="shared" si="2"/>
        <v>41</v>
      </c>
      <c r="E53">
        <v>51.499000000000002</v>
      </c>
      <c r="F53">
        <f t="shared" si="3"/>
        <v>-10.499000000000002</v>
      </c>
      <c r="G53">
        <v>54.366999999999997</v>
      </c>
      <c r="H53">
        <v>1.3420000000000001</v>
      </c>
      <c r="I53">
        <v>2.4649999999999999</v>
      </c>
      <c r="J53">
        <v>6</v>
      </c>
      <c r="K53">
        <v>21</v>
      </c>
      <c r="L53">
        <v>11</v>
      </c>
      <c r="M53">
        <v>3.419</v>
      </c>
    </row>
    <row r="54" spans="1:13" ht="15" customHeight="1">
      <c r="A54" t="s">
        <v>0</v>
      </c>
      <c r="B54">
        <f t="shared" si="0"/>
        <v>33.710053000000002</v>
      </c>
      <c r="C54">
        <f t="shared" si="1"/>
        <v>-117.87410800000001</v>
      </c>
      <c r="D54">
        <f t="shared" si="2"/>
        <v>41</v>
      </c>
      <c r="E54">
        <v>52.499000000000002</v>
      </c>
      <c r="F54">
        <f t="shared" si="3"/>
        <v>-11.499000000000002</v>
      </c>
      <c r="G54">
        <v>112.586</v>
      </c>
      <c r="H54">
        <v>1.7090000000000001</v>
      </c>
      <c r="I54">
        <v>1.514</v>
      </c>
      <c r="J54">
        <v>8</v>
      </c>
      <c r="K54">
        <v>27</v>
      </c>
      <c r="L54">
        <v>14</v>
      </c>
      <c r="M54" s="1">
        <v>9000000000</v>
      </c>
    </row>
    <row r="55" spans="1:13" ht="15" customHeight="1">
      <c r="A55" t="s">
        <v>0</v>
      </c>
      <c r="B55">
        <f t="shared" si="0"/>
        <v>33.710053000000002</v>
      </c>
      <c r="C55">
        <f t="shared" si="1"/>
        <v>-117.87410800000001</v>
      </c>
      <c r="D55">
        <f t="shared" si="2"/>
        <v>41</v>
      </c>
      <c r="E55">
        <v>53.499000000000002</v>
      </c>
      <c r="F55">
        <f t="shared" si="3"/>
        <v>-12.499000000000002</v>
      </c>
      <c r="G55">
        <v>118.083</v>
      </c>
      <c r="H55">
        <v>2.7229999999999999</v>
      </c>
      <c r="I55">
        <v>2.3050000000000002</v>
      </c>
      <c r="J55">
        <v>7</v>
      </c>
      <c r="K55">
        <v>38</v>
      </c>
      <c r="L55">
        <v>19</v>
      </c>
      <c r="M55" s="1">
        <v>9000000000</v>
      </c>
    </row>
    <row r="56" spans="1:13" ht="15" customHeight="1">
      <c r="A56" t="s">
        <v>0</v>
      </c>
      <c r="B56">
        <f t="shared" si="0"/>
        <v>33.710053000000002</v>
      </c>
      <c r="C56">
        <f t="shared" si="1"/>
        <v>-117.87410800000001</v>
      </c>
      <c r="D56">
        <f t="shared" si="2"/>
        <v>41</v>
      </c>
      <c r="E56">
        <v>54.499000000000002</v>
      </c>
      <c r="F56">
        <f t="shared" si="3"/>
        <v>-13.499000000000002</v>
      </c>
      <c r="G56">
        <v>394.88299999999998</v>
      </c>
      <c r="H56">
        <v>2.915</v>
      </c>
      <c r="I56">
        <v>0.73799999999999999</v>
      </c>
      <c r="J56">
        <v>10</v>
      </c>
      <c r="K56">
        <v>63</v>
      </c>
      <c r="L56">
        <v>32</v>
      </c>
      <c r="M56" s="1">
        <v>9000000000</v>
      </c>
    </row>
    <row r="57" spans="1:13" ht="15" customHeight="1">
      <c r="A57" t="s">
        <v>0</v>
      </c>
      <c r="B57">
        <f t="shared" si="0"/>
        <v>33.710053000000002</v>
      </c>
      <c r="C57">
        <f t="shared" si="1"/>
        <v>-117.87410800000001</v>
      </c>
      <c r="D57">
        <f t="shared" si="2"/>
        <v>41</v>
      </c>
      <c r="E57">
        <v>55.499000000000002</v>
      </c>
      <c r="F57">
        <f t="shared" si="3"/>
        <v>-14.499000000000002</v>
      </c>
      <c r="G57">
        <v>291.36700000000002</v>
      </c>
      <c r="H57">
        <v>1.7230000000000001</v>
      </c>
      <c r="I57">
        <v>0.59099999999999997</v>
      </c>
      <c r="J57">
        <v>10</v>
      </c>
      <c r="K57">
        <v>47</v>
      </c>
      <c r="L57">
        <v>24</v>
      </c>
      <c r="M57" s="1">
        <v>9000000000</v>
      </c>
    </row>
    <row r="58" spans="1:13" ht="15" customHeight="1">
      <c r="A58" t="s">
        <v>0</v>
      </c>
      <c r="B58">
        <f t="shared" si="0"/>
        <v>33.710053000000002</v>
      </c>
      <c r="C58">
        <f t="shared" si="1"/>
        <v>-117.87410800000001</v>
      </c>
      <c r="D58">
        <f t="shared" si="2"/>
        <v>41</v>
      </c>
      <c r="E58">
        <v>56.499000000000002</v>
      </c>
      <c r="F58">
        <f t="shared" si="3"/>
        <v>-15.499000000000002</v>
      </c>
      <c r="G58">
        <v>164.13300000000001</v>
      </c>
      <c r="H58">
        <v>2.6120000000000001</v>
      </c>
      <c r="I58">
        <v>1.591</v>
      </c>
      <c r="J58">
        <v>8</v>
      </c>
      <c r="K58">
        <v>39</v>
      </c>
      <c r="L58">
        <v>20</v>
      </c>
      <c r="M58" s="1">
        <v>9000000000</v>
      </c>
    </row>
    <row r="59" spans="1:13" ht="15" customHeight="1">
      <c r="A59" t="s">
        <v>0</v>
      </c>
      <c r="B59">
        <f t="shared" si="0"/>
        <v>33.710053000000002</v>
      </c>
      <c r="C59">
        <f t="shared" si="1"/>
        <v>-117.87410800000001</v>
      </c>
      <c r="D59">
        <f t="shared" si="2"/>
        <v>41</v>
      </c>
      <c r="E59">
        <v>57.499000000000002</v>
      </c>
      <c r="F59">
        <f t="shared" si="3"/>
        <v>-16.499000000000002</v>
      </c>
      <c r="G59">
        <v>181.78299999999999</v>
      </c>
      <c r="H59">
        <v>2.15</v>
      </c>
      <c r="I59">
        <v>1.1819999999999999</v>
      </c>
      <c r="J59">
        <v>9</v>
      </c>
      <c r="K59">
        <v>35</v>
      </c>
      <c r="L59">
        <v>18</v>
      </c>
      <c r="M59" s="1">
        <v>9000000000</v>
      </c>
    </row>
    <row r="60" spans="1:13" ht="15" customHeight="1">
      <c r="A60" t="s">
        <v>0</v>
      </c>
      <c r="B60">
        <f t="shared" si="0"/>
        <v>33.710053000000002</v>
      </c>
      <c r="C60">
        <f t="shared" si="1"/>
        <v>-117.87410800000001</v>
      </c>
      <c r="D60">
        <f t="shared" si="2"/>
        <v>41</v>
      </c>
      <c r="E60">
        <v>58.499000000000002</v>
      </c>
      <c r="F60">
        <f t="shared" si="3"/>
        <v>-17.499000000000002</v>
      </c>
      <c r="G60">
        <v>311.13299999999998</v>
      </c>
      <c r="H60">
        <v>1.448</v>
      </c>
      <c r="I60">
        <v>0.46500000000000002</v>
      </c>
      <c r="J60">
        <v>10</v>
      </c>
      <c r="K60">
        <v>50</v>
      </c>
      <c r="L60">
        <v>25</v>
      </c>
      <c r="M60" s="1">
        <v>9000000000</v>
      </c>
    </row>
    <row r="61" spans="1:13" ht="15" customHeight="1">
      <c r="A61" t="s">
        <v>0</v>
      </c>
      <c r="B61">
        <f t="shared" si="0"/>
        <v>33.710053000000002</v>
      </c>
      <c r="C61">
        <f t="shared" si="1"/>
        <v>-117.87410800000001</v>
      </c>
      <c r="D61">
        <f t="shared" si="2"/>
        <v>41</v>
      </c>
      <c r="E61">
        <v>59.499000000000002</v>
      </c>
      <c r="F61">
        <f t="shared" si="3"/>
        <v>-18.499000000000002</v>
      </c>
      <c r="G61">
        <v>184.78299999999999</v>
      </c>
      <c r="H61">
        <v>2.86</v>
      </c>
      <c r="I61">
        <v>1.546</v>
      </c>
      <c r="J61">
        <v>8</v>
      </c>
      <c r="K61">
        <v>44</v>
      </c>
      <c r="L61">
        <v>22</v>
      </c>
      <c r="M61" s="1">
        <v>9000000000</v>
      </c>
    </row>
    <row r="62" spans="1:13" ht="15" customHeight="1">
      <c r="A62" t="s">
        <v>0</v>
      </c>
      <c r="B62">
        <f t="shared" si="0"/>
        <v>33.710053000000002</v>
      </c>
      <c r="C62">
        <f t="shared" si="1"/>
        <v>-117.87410800000001</v>
      </c>
      <c r="D62">
        <f t="shared" si="2"/>
        <v>41</v>
      </c>
      <c r="E62">
        <v>60.499000000000002</v>
      </c>
      <c r="F62">
        <f t="shared" si="3"/>
        <v>-19.499000000000002</v>
      </c>
      <c r="G62">
        <v>90.7</v>
      </c>
      <c r="H62">
        <v>3.3420000000000001</v>
      </c>
      <c r="I62">
        <v>3.677</v>
      </c>
      <c r="J62">
        <v>5</v>
      </c>
      <c r="K62">
        <v>44</v>
      </c>
      <c r="L62">
        <v>22</v>
      </c>
      <c r="M62">
        <v>5.8109999999999999</v>
      </c>
    </row>
    <row r="63" spans="1:13" ht="15" customHeight="1">
      <c r="A63" t="s">
        <v>0</v>
      </c>
      <c r="B63">
        <f t="shared" si="0"/>
        <v>33.710053000000002</v>
      </c>
      <c r="C63">
        <f t="shared" si="1"/>
        <v>-117.87410800000001</v>
      </c>
      <c r="D63">
        <f t="shared" si="2"/>
        <v>41</v>
      </c>
      <c r="E63">
        <v>61.499000000000002</v>
      </c>
      <c r="F63">
        <f t="shared" si="3"/>
        <v>-20.499000000000002</v>
      </c>
      <c r="G63">
        <v>31.4</v>
      </c>
      <c r="H63">
        <v>1.1599999999999999</v>
      </c>
      <c r="I63">
        <v>3.6339999999999999</v>
      </c>
      <c r="J63">
        <v>5</v>
      </c>
      <c r="K63">
        <v>15</v>
      </c>
      <c r="L63">
        <v>8</v>
      </c>
      <c r="M63">
        <v>1.8759999999999999</v>
      </c>
    </row>
    <row r="64" spans="1:13" ht="15" customHeight="1">
      <c r="A64" t="s">
        <v>0</v>
      </c>
      <c r="B64">
        <f t="shared" si="0"/>
        <v>33.710053000000002</v>
      </c>
      <c r="C64">
        <f t="shared" si="1"/>
        <v>-117.87410800000001</v>
      </c>
      <c r="D64">
        <f t="shared" si="2"/>
        <v>41</v>
      </c>
      <c r="E64">
        <v>62.499000000000002</v>
      </c>
      <c r="F64">
        <f t="shared" si="3"/>
        <v>-21.499000000000002</v>
      </c>
      <c r="G64">
        <v>61.957000000000001</v>
      </c>
      <c r="H64">
        <v>2.2389999999999999</v>
      </c>
      <c r="I64">
        <v>3.581</v>
      </c>
      <c r="J64">
        <v>5</v>
      </c>
      <c r="K64">
        <v>30</v>
      </c>
      <c r="L64">
        <v>15</v>
      </c>
      <c r="M64">
        <v>3.911</v>
      </c>
    </row>
    <row r="65" spans="1:13" ht="15" customHeight="1">
      <c r="A65" t="s">
        <v>0</v>
      </c>
      <c r="B65">
        <f t="shared" si="0"/>
        <v>33.710053000000002</v>
      </c>
      <c r="C65">
        <f t="shared" si="1"/>
        <v>-117.87410800000001</v>
      </c>
      <c r="D65">
        <f t="shared" si="2"/>
        <v>41</v>
      </c>
      <c r="E65">
        <v>63.499000000000002</v>
      </c>
      <c r="F65">
        <f t="shared" si="3"/>
        <v>-22.499000000000002</v>
      </c>
      <c r="G65">
        <v>125.717</v>
      </c>
      <c r="H65">
        <v>2.6320000000000001</v>
      </c>
      <c r="I65">
        <v>2.09</v>
      </c>
      <c r="J65">
        <v>7</v>
      </c>
      <c r="K65">
        <v>40</v>
      </c>
      <c r="L65">
        <v>20</v>
      </c>
      <c r="M65" s="1">
        <v>9000000000</v>
      </c>
    </row>
    <row r="66" spans="1:13" ht="15" customHeight="1">
      <c r="A66" t="s">
        <v>0</v>
      </c>
      <c r="B66">
        <f t="shared" ref="B66:B129" si="4">VLOOKUP(A66,XYdata,3,FALSE)</f>
        <v>33.710053000000002</v>
      </c>
      <c r="C66">
        <f t="shared" ref="C66:C129" si="5">VLOOKUP(A66,XYdata,2,FALSE)</f>
        <v>-117.87410800000001</v>
      </c>
      <c r="D66">
        <f t="shared" ref="D66:D129" si="6">VLOOKUP(A66,Elevation,2,FALSE)</f>
        <v>41</v>
      </c>
      <c r="E66">
        <v>64.498999999999995</v>
      </c>
      <c r="F66">
        <f t="shared" si="3"/>
        <v>-23.498999999999995</v>
      </c>
      <c r="G66">
        <v>148.15</v>
      </c>
      <c r="H66">
        <v>1.96</v>
      </c>
      <c r="I66">
        <v>1.321</v>
      </c>
      <c r="J66">
        <v>8</v>
      </c>
      <c r="K66">
        <v>36</v>
      </c>
      <c r="L66">
        <v>18</v>
      </c>
      <c r="M66" s="1">
        <v>9000000000</v>
      </c>
    </row>
    <row r="67" spans="1:13" ht="15" customHeight="1">
      <c r="A67" t="s">
        <v>0</v>
      </c>
      <c r="B67">
        <f t="shared" si="4"/>
        <v>33.710053000000002</v>
      </c>
      <c r="C67">
        <f t="shared" si="5"/>
        <v>-117.87410800000001</v>
      </c>
      <c r="D67">
        <f t="shared" si="6"/>
        <v>41</v>
      </c>
      <c r="E67">
        <v>65.498999999999995</v>
      </c>
      <c r="F67">
        <f t="shared" ref="F67:F130" si="7">D67-E67</f>
        <v>-24.498999999999995</v>
      </c>
      <c r="G67">
        <v>28.55</v>
      </c>
      <c r="H67">
        <v>0.97299999999999998</v>
      </c>
      <c r="I67">
        <v>3.2879999999999998</v>
      </c>
      <c r="J67">
        <v>5</v>
      </c>
      <c r="K67">
        <v>14</v>
      </c>
      <c r="L67">
        <v>7</v>
      </c>
      <c r="M67">
        <v>1.7050000000000001</v>
      </c>
    </row>
    <row r="68" spans="1:13" ht="15" customHeight="1">
      <c r="A68" t="s">
        <v>0</v>
      </c>
      <c r="B68">
        <f t="shared" si="4"/>
        <v>33.710053000000002</v>
      </c>
      <c r="C68">
        <f t="shared" si="5"/>
        <v>-117.87410800000001</v>
      </c>
      <c r="D68">
        <f t="shared" si="6"/>
        <v>41</v>
      </c>
      <c r="E68">
        <v>66.498999999999995</v>
      </c>
      <c r="F68">
        <f t="shared" si="7"/>
        <v>-25.498999999999995</v>
      </c>
      <c r="G68">
        <v>30.632999999999999</v>
      </c>
      <c r="H68">
        <v>1.232</v>
      </c>
      <c r="I68">
        <v>3.8410000000000002</v>
      </c>
      <c r="J68">
        <v>5</v>
      </c>
      <c r="K68">
        <v>15</v>
      </c>
      <c r="L68">
        <v>8</v>
      </c>
      <c r="M68">
        <v>1.865</v>
      </c>
    </row>
    <row r="69" spans="1:13" ht="15" customHeight="1">
      <c r="A69" t="s">
        <v>0</v>
      </c>
      <c r="B69">
        <f t="shared" si="4"/>
        <v>33.710053000000002</v>
      </c>
      <c r="C69">
        <f t="shared" si="5"/>
        <v>-117.87410800000001</v>
      </c>
      <c r="D69">
        <f t="shared" si="6"/>
        <v>41</v>
      </c>
      <c r="E69">
        <v>67.498999999999995</v>
      </c>
      <c r="F69">
        <f t="shared" si="7"/>
        <v>-26.498999999999995</v>
      </c>
      <c r="G69">
        <v>34.332999999999998</v>
      </c>
      <c r="H69">
        <v>1.31</v>
      </c>
      <c r="I69">
        <v>3.681</v>
      </c>
      <c r="J69">
        <v>5</v>
      </c>
      <c r="K69">
        <v>17</v>
      </c>
      <c r="L69">
        <v>9</v>
      </c>
      <c r="M69">
        <v>2.0950000000000002</v>
      </c>
    </row>
    <row r="70" spans="1:13" ht="15" customHeight="1">
      <c r="A70" t="s">
        <v>0</v>
      </c>
      <c r="B70">
        <f t="shared" si="4"/>
        <v>33.710053000000002</v>
      </c>
      <c r="C70">
        <f t="shared" si="5"/>
        <v>-117.87410800000001</v>
      </c>
      <c r="D70">
        <f t="shared" si="6"/>
        <v>41</v>
      </c>
      <c r="E70">
        <v>68.498999999999995</v>
      </c>
      <c r="F70">
        <f t="shared" si="7"/>
        <v>-27.498999999999995</v>
      </c>
      <c r="G70">
        <v>108.68300000000001</v>
      </c>
      <c r="H70">
        <v>2.4849999999999999</v>
      </c>
      <c r="I70">
        <v>2.2789999999999999</v>
      </c>
      <c r="J70">
        <v>7</v>
      </c>
      <c r="K70">
        <v>35</v>
      </c>
      <c r="L70">
        <v>18</v>
      </c>
      <c r="M70" s="1">
        <v>9000000000</v>
      </c>
    </row>
    <row r="71" spans="1:13" ht="15" customHeight="1">
      <c r="A71" t="s">
        <v>0</v>
      </c>
      <c r="B71">
        <f t="shared" si="4"/>
        <v>33.710053000000002</v>
      </c>
      <c r="C71">
        <f t="shared" si="5"/>
        <v>-117.87410800000001</v>
      </c>
      <c r="D71">
        <f t="shared" si="6"/>
        <v>41</v>
      </c>
      <c r="E71">
        <v>69.498999999999995</v>
      </c>
      <c r="F71">
        <f t="shared" si="7"/>
        <v>-28.498999999999995</v>
      </c>
      <c r="G71">
        <v>34.982999999999997</v>
      </c>
      <c r="H71">
        <v>1.252</v>
      </c>
      <c r="I71">
        <v>3.4820000000000002</v>
      </c>
      <c r="J71">
        <v>5</v>
      </c>
      <c r="K71">
        <v>17</v>
      </c>
      <c r="L71">
        <v>9</v>
      </c>
      <c r="M71">
        <v>2.1110000000000002</v>
      </c>
    </row>
    <row r="72" spans="1:13" ht="15" customHeight="1">
      <c r="A72" t="s">
        <v>0</v>
      </c>
      <c r="B72">
        <f t="shared" si="4"/>
        <v>33.710053000000002</v>
      </c>
      <c r="C72">
        <f t="shared" si="5"/>
        <v>-117.87410800000001</v>
      </c>
      <c r="D72">
        <f t="shared" si="6"/>
        <v>41</v>
      </c>
      <c r="E72">
        <v>70.498999999999995</v>
      </c>
      <c r="F72">
        <f t="shared" si="7"/>
        <v>-29.498999999999995</v>
      </c>
      <c r="G72">
        <v>26.933</v>
      </c>
      <c r="H72">
        <v>0.90800000000000003</v>
      </c>
      <c r="I72">
        <v>3.09</v>
      </c>
      <c r="J72">
        <v>5</v>
      </c>
      <c r="K72">
        <v>14</v>
      </c>
      <c r="L72">
        <v>7</v>
      </c>
      <c r="M72">
        <v>1.671</v>
      </c>
    </row>
    <row r="73" spans="1:13" ht="15" customHeight="1">
      <c r="A73" t="s">
        <v>0</v>
      </c>
      <c r="B73">
        <f t="shared" si="4"/>
        <v>33.710053000000002</v>
      </c>
      <c r="C73">
        <f t="shared" si="5"/>
        <v>-117.87410800000001</v>
      </c>
      <c r="D73">
        <f t="shared" si="6"/>
        <v>41</v>
      </c>
      <c r="E73">
        <v>71.498999999999995</v>
      </c>
      <c r="F73">
        <f t="shared" si="7"/>
        <v>-30.498999999999995</v>
      </c>
      <c r="G73">
        <v>38.683</v>
      </c>
      <c r="H73">
        <v>1.4330000000000001</v>
      </c>
      <c r="I73">
        <v>3.5150000000000001</v>
      </c>
      <c r="J73">
        <v>5</v>
      </c>
      <c r="K73">
        <v>20</v>
      </c>
      <c r="L73">
        <v>10</v>
      </c>
      <c r="M73">
        <v>2.4249999999999998</v>
      </c>
    </row>
    <row r="74" spans="1:13" ht="15" customHeight="1">
      <c r="A74" t="s">
        <v>0</v>
      </c>
      <c r="B74">
        <f t="shared" si="4"/>
        <v>33.710053000000002</v>
      </c>
      <c r="C74">
        <f t="shared" si="5"/>
        <v>-117.87410800000001</v>
      </c>
      <c r="D74">
        <f t="shared" si="6"/>
        <v>41</v>
      </c>
      <c r="E74">
        <v>72.498999999999995</v>
      </c>
      <c r="F74">
        <f t="shared" si="7"/>
        <v>-31.498999999999995</v>
      </c>
      <c r="G74">
        <v>52.929000000000002</v>
      </c>
      <c r="H74">
        <v>2.016</v>
      </c>
      <c r="I74">
        <v>3.7679999999999998</v>
      </c>
      <c r="J74">
        <v>5</v>
      </c>
      <c r="K74">
        <v>26</v>
      </c>
      <c r="L74">
        <v>13</v>
      </c>
      <c r="M74">
        <v>3.2690000000000001</v>
      </c>
    </row>
    <row r="75" spans="1:13" ht="15" customHeight="1">
      <c r="A75" t="s">
        <v>0</v>
      </c>
      <c r="B75">
        <f t="shared" si="4"/>
        <v>33.710053000000002</v>
      </c>
      <c r="C75">
        <f t="shared" si="5"/>
        <v>-117.87410800000001</v>
      </c>
      <c r="D75">
        <f t="shared" si="6"/>
        <v>41</v>
      </c>
      <c r="E75">
        <v>73.498999999999995</v>
      </c>
      <c r="F75">
        <f t="shared" si="7"/>
        <v>-32.498999999999995</v>
      </c>
      <c r="G75">
        <v>32.966999999999999</v>
      </c>
      <c r="H75">
        <v>1.0269999999999999</v>
      </c>
      <c r="I75">
        <v>2.9830000000000001</v>
      </c>
      <c r="J75">
        <v>5</v>
      </c>
      <c r="K75">
        <v>16</v>
      </c>
      <c r="L75">
        <v>8</v>
      </c>
      <c r="M75">
        <v>1.9930000000000001</v>
      </c>
    </row>
    <row r="76" spans="1:13" ht="15" customHeight="1">
      <c r="A76" t="s">
        <v>0</v>
      </c>
      <c r="B76">
        <f t="shared" si="4"/>
        <v>33.710053000000002</v>
      </c>
      <c r="C76">
        <f t="shared" si="5"/>
        <v>-117.87410800000001</v>
      </c>
      <c r="D76">
        <f t="shared" si="6"/>
        <v>41</v>
      </c>
      <c r="E76">
        <v>74.498999999999995</v>
      </c>
      <c r="F76">
        <f t="shared" si="7"/>
        <v>-33.498999999999995</v>
      </c>
      <c r="G76">
        <v>57.783000000000001</v>
      </c>
      <c r="H76">
        <v>1.8680000000000001</v>
      </c>
      <c r="I76">
        <v>3.177</v>
      </c>
      <c r="J76">
        <v>6</v>
      </c>
      <c r="K76">
        <v>23</v>
      </c>
      <c r="L76">
        <v>12</v>
      </c>
      <c r="M76">
        <v>3.6139999999999999</v>
      </c>
    </row>
    <row r="77" spans="1:13" ht="15" customHeight="1">
      <c r="A77" t="s">
        <v>0</v>
      </c>
      <c r="B77">
        <f t="shared" si="4"/>
        <v>33.710053000000002</v>
      </c>
      <c r="C77">
        <f t="shared" si="5"/>
        <v>-117.87410800000001</v>
      </c>
      <c r="D77">
        <f t="shared" si="6"/>
        <v>41</v>
      </c>
      <c r="E77">
        <v>75.498999999999995</v>
      </c>
      <c r="F77">
        <f t="shared" si="7"/>
        <v>-34.498999999999995</v>
      </c>
      <c r="G77">
        <v>62</v>
      </c>
      <c r="H77">
        <v>2.113</v>
      </c>
      <c r="I77">
        <v>3.3980000000000001</v>
      </c>
      <c r="J77">
        <v>5</v>
      </c>
      <c r="K77">
        <v>30</v>
      </c>
      <c r="L77">
        <v>15</v>
      </c>
      <c r="M77">
        <v>3.8359999999999999</v>
      </c>
    </row>
    <row r="78" spans="1:13" ht="15" customHeight="1">
      <c r="A78" t="s">
        <v>0</v>
      </c>
      <c r="B78">
        <f t="shared" si="4"/>
        <v>33.710053000000002</v>
      </c>
      <c r="C78">
        <f t="shared" si="5"/>
        <v>-117.87410800000001</v>
      </c>
      <c r="D78">
        <f t="shared" si="6"/>
        <v>41</v>
      </c>
      <c r="E78">
        <v>76.498999999999995</v>
      </c>
      <c r="F78">
        <f t="shared" si="7"/>
        <v>-35.498999999999995</v>
      </c>
      <c r="G78">
        <v>55.732999999999997</v>
      </c>
      <c r="H78">
        <v>2.0499999999999998</v>
      </c>
      <c r="I78">
        <v>3.62</v>
      </c>
      <c r="J78">
        <v>5</v>
      </c>
      <c r="K78">
        <v>27</v>
      </c>
      <c r="L78">
        <v>14</v>
      </c>
      <c r="M78">
        <v>3.4609999999999999</v>
      </c>
    </row>
    <row r="79" spans="1:13" ht="15" customHeight="1">
      <c r="A79" t="s">
        <v>0</v>
      </c>
      <c r="B79">
        <f t="shared" si="4"/>
        <v>33.710053000000002</v>
      </c>
      <c r="C79">
        <f t="shared" si="5"/>
        <v>-117.87410800000001</v>
      </c>
      <c r="D79">
        <f t="shared" si="6"/>
        <v>41</v>
      </c>
      <c r="E79">
        <v>77.498999999999995</v>
      </c>
      <c r="F79">
        <f t="shared" si="7"/>
        <v>-36.498999999999995</v>
      </c>
      <c r="G79">
        <v>66.332999999999998</v>
      </c>
      <c r="H79">
        <v>1.8480000000000001</v>
      </c>
      <c r="I79">
        <v>2.774</v>
      </c>
      <c r="J79">
        <v>6</v>
      </c>
      <c r="K79">
        <v>26</v>
      </c>
      <c r="L79">
        <v>13</v>
      </c>
      <c r="M79">
        <v>4.1239999999999997</v>
      </c>
    </row>
    <row r="80" spans="1:13" ht="15" customHeight="1">
      <c r="A80" t="s">
        <v>0</v>
      </c>
      <c r="B80">
        <f t="shared" si="4"/>
        <v>33.710053000000002</v>
      </c>
      <c r="C80">
        <f t="shared" si="5"/>
        <v>-117.87410800000001</v>
      </c>
      <c r="D80">
        <f t="shared" si="6"/>
        <v>41</v>
      </c>
      <c r="E80">
        <v>78.498999999999995</v>
      </c>
      <c r="F80">
        <f t="shared" si="7"/>
        <v>-37.498999999999995</v>
      </c>
      <c r="G80">
        <v>49.05</v>
      </c>
      <c r="H80">
        <v>1.5980000000000001</v>
      </c>
      <c r="I80">
        <v>3.234</v>
      </c>
      <c r="J80">
        <v>5</v>
      </c>
      <c r="K80">
        <v>24</v>
      </c>
      <c r="L80">
        <v>12</v>
      </c>
      <c r="M80">
        <v>2.972</v>
      </c>
    </row>
    <row r="81" spans="1:13" ht="15" customHeight="1">
      <c r="A81" t="s">
        <v>0</v>
      </c>
      <c r="B81">
        <f t="shared" si="4"/>
        <v>33.710053000000002</v>
      </c>
      <c r="C81">
        <f t="shared" si="5"/>
        <v>-117.87410800000001</v>
      </c>
      <c r="D81">
        <f t="shared" si="6"/>
        <v>41</v>
      </c>
      <c r="E81">
        <v>79.498999999999995</v>
      </c>
      <c r="F81">
        <f t="shared" si="7"/>
        <v>-38.498999999999995</v>
      </c>
      <c r="G81">
        <v>35.700000000000003</v>
      </c>
      <c r="H81">
        <v>1.2869999999999999</v>
      </c>
      <c r="I81">
        <v>3.5009999999999999</v>
      </c>
      <c r="J81">
        <v>5</v>
      </c>
      <c r="K81">
        <v>18</v>
      </c>
      <c r="L81">
        <v>9</v>
      </c>
      <c r="M81">
        <v>2.1230000000000002</v>
      </c>
    </row>
    <row r="82" spans="1:13" ht="15" customHeight="1">
      <c r="A82" t="s">
        <v>0</v>
      </c>
      <c r="B82">
        <f t="shared" si="4"/>
        <v>33.710053000000002</v>
      </c>
      <c r="C82">
        <f t="shared" si="5"/>
        <v>-117.87410800000001</v>
      </c>
      <c r="D82">
        <f t="shared" si="6"/>
        <v>41</v>
      </c>
      <c r="E82">
        <v>80.498999999999995</v>
      </c>
      <c r="F82">
        <f t="shared" si="7"/>
        <v>-39.498999999999995</v>
      </c>
      <c r="G82">
        <v>27.466999999999999</v>
      </c>
      <c r="H82">
        <v>0.82799999999999996</v>
      </c>
      <c r="I82">
        <v>2.8250000000000002</v>
      </c>
      <c r="J82">
        <v>5</v>
      </c>
      <c r="K82">
        <v>14</v>
      </c>
      <c r="L82">
        <v>7</v>
      </c>
      <c r="M82">
        <v>1.623</v>
      </c>
    </row>
    <row r="83" spans="1:13" ht="15" customHeight="1">
      <c r="A83" t="s">
        <v>0</v>
      </c>
      <c r="B83">
        <f t="shared" si="4"/>
        <v>33.710053000000002</v>
      </c>
      <c r="C83">
        <f t="shared" si="5"/>
        <v>-117.87410800000001</v>
      </c>
      <c r="D83">
        <f t="shared" si="6"/>
        <v>41</v>
      </c>
      <c r="E83">
        <v>81.498999999999995</v>
      </c>
      <c r="F83">
        <f t="shared" si="7"/>
        <v>-40.498999999999995</v>
      </c>
      <c r="G83">
        <v>35.299999999999997</v>
      </c>
      <c r="H83">
        <v>1.633</v>
      </c>
      <c r="I83">
        <v>4.327</v>
      </c>
      <c r="J83">
        <v>4</v>
      </c>
      <c r="K83">
        <v>24</v>
      </c>
      <c r="L83">
        <v>12</v>
      </c>
      <c r="M83">
        <v>2.181</v>
      </c>
    </row>
    <row r="84" spans="1:13" ht="15" customHeight="1">
      <c r="A84" t="s">
        <v>0</v>
      </c>
      <c r="B84">
        <f t="shared" si="4"/>
        <v>33.710053000000002</v>
      </c>
      <c r="C84">
        <f t="shared" si="5"/>
        <v>-117.87410800000001</v>
      </c>
      <c r="D84">
        <f t="shared" si="6"/>
        <v>41</v>
      </c>
      <c r="E84">
        <v>82.498999999999995</v>
      </c>
      <c r="F84">
        <f t="shared" si="7"/>
        <v>-41.498999999999995</v>
      </c>
      <c r="G84">
        <v>82.433000000000007</v>
      </c>
      <c r="H84">
        <v>3.5049999999999999</v>
      </c>
      <c r="I84">
        <v>4.2119999999999997</v>
      </c>
      <c r="J84">
        <v>5</v>
      </c>
      <c r="K84">
        <v>40</v>
      </c>
      <c r="L84">
        <v>20</v>
      </c>
      <c r="M84">
        <v>5.2080000000000002</v>
      </c>
    </row>
    <row r="85" spans="1:13" ht="15" customHeight="1">
      <c r="A85" t="s">
        <v>0</v>
      </c>
      <c r="B85">
        <f t="shared" si="4"/>
        <v>33.710053000000002</v>
      </c>
      <c r="C85">
        <f t="shared" si="5"/>
        <v>-117.87410800000001</v>
      </c>
      <c r="D85">
        <f t="shared" si="6"/>
        <v>41</v>
      </c>
      <c r="E85">
        <v>83.498999999999995</v>
      </c>
      <c r="F85">
        <f t="shared" si="7"/>
        <v>-42.498999999999995</v>
      </c>
      <c r="G85">
        <v>226.571</v>
      </c>
      <c r="H85">
        <v>2.9729999999999999</v>
      </c>
      <c r="I85">
        <v>1.3120000000000001</v>
      </c>
      <c r="J85">
        <v>8</v>
      </c>
      <c r="K85">
        <v>54</v>
      </c>
      <c r="L85">
        <v>27</v>
      </c>
      <c r="M85" s="1">
        <v>9000000000</v>
      </c>
    </row>
    <row r="86" spans="1:13" ht="15" customHeight="1">
      <c r="A86" t="s">
        <v>0</v>
      </c>
      <c r="B86">
        <f t="shared" si="4"/>
        <v>33.710053000000002</v>
      </c>
      <c r="C86">
        <f t="shared" si="5"/>
        <v>-117.87410800000001</v>
      </c>
      <c r="D86">
        <f t="shared" si="6"/>
        <v>41</v>
      </c>
      <c r="E86">
        <v>84.498999999999995</v>
      </c>
      <c r="F86">
        <f t="shared" si="7"/>
        <v>-43.498999999999995</v>
      </c>
      <c r="G86">
        <v>287.8</v>
      </c>
      <c r="H86">
        <v>2.7749999999999999</v>
      </c>
      <c r="I86">
        <v>0.96299999999999997</v>
      </c>
      <c r="J86">
        <v>9</v>
      </c>
      <c r="K86">
        <v>55</v>
      </c>
      <c r="L86">
        <v>28</v>
      </c>
      <c r="M86" s="1">
        <v>9000000000</v>
      </c>
    </row>
    <row r="87" spans="1:13" ht="15" customHeight="1">
      <c r="A87" t="s">
        <v>0</v>
      </c>
      <c r="B87">
        <f t="shared" si="4"/>
        <v>33.710053000000002</v>
      </c>
      <c r="C87">
        <f t="shared" si="5"/>
        <v>-117.87410800000001</v>
      </c>
      <c r="D87">
        <f t="shared" si="6"/>
        <v>41</v>
      </c>
      <c r="E87">
        <v>85.498999999999995</v>
      </c>
      <c r="F87">
        <f t="shared" si="7"/>
        <v>-44.498999999999995</v>
      </c>
      <c r="G87">
        <v>304.53300000000002</v>
      </c>
      <c r="H87">
        <v>2.3450000000000002</v>
      </c>
      <c r="I87">
        <v>0.76900000000000002</v>
      </c>
      <c r="J87">
        <v>9</v>
      </c>
      <c r="K87">
        <v>58</v>
      </c>
      <c r="L87">
        <v>29</v>
      </c>
      <c r="M87" s="1">
        <v>9000000000</v>
      </c>
    </row>
    <row r="88" spans="1:13" ht="15" customHeight="1">
      <c r="A88" t="s">
        <v>0</v>
      </c>
      <c r="B88">
        <f t="shared" si="4"/>
        <v>33.710053000000002</v>
      </c>
      <c r="C88">
        <f t="shared" si="5"/>
        <v>-117.87410800000001</v>
      </c>
      <c r="D88">
        <f t="shared" si="6"/>
        <v>41</v>
      </c>
      <c r="E88">
        <v>86.498999999999995</v>
      </c>
      <c r="F88">
        <f t="shared" si="7"/>
        <v>-45.498999999999995</v>
      </c>
      <c r="G88">
        <v>107.967</v>
      </c>
      <c r="H88">
        <v>2.34</v>
      </c>
      <c r="I88">
        <v>2.145</v>
      </c>
      <c r="J88">
        <v>7</v>
      </c>
      <c r="K88">
        <v>35</v>
      </c>
      <c r="L88">
        <v>18</v>
      </c>
      <c r="M88" s="1">
        <v>9000000000</v>
      </c>
    </row>
    <row r="89" spans="1:13" ht="15" customHeight="1">
      <c r="A89" t="s">
        <v>0</v>
      </c>
      <c r="B89">
        <f t="shared" si="4"/>
        <v>33.710053000000002</v>
      </c>
      <c r="C89">
        <f t="shared" si="5"/>
        <v>-117.87410800000001</v>
      </c>
      <c r="D89">
        <f t="shared" si="6"/>
        <v>41</v>
      </c>
      <c r="E89">
        <v>87.498999999999995</v>
      </c>
      <c r="F89">
        <f t="shared" si="7"/>
        <v>-46.498999999999995</v>
      </c>
      <c r="G89">
        <v>58.7</v>
      </c>
      <c r="H89">
        <v>2.0819999999999999</v>
      </c>
      <c r="I89">
        <v>3.4289999999999998</v>
      </c>
      <c r="J89">
        <v>5</v>
      </c>
      <c r="K89">
        <v>29</v>
      </c>
      <c r="L89">
        <v>15</v>
      </c>
      <c r="M89">
        <v>3.6869999999999998</v>
      </c>
    </row>
    <row r="90" spans="1:13" ht="15" customHeight="1">
      <c r="A90" t="s">
        <v>0</v>
      </c>
      <c r="B90">
        <f t="shared" si="4"/>
        <v>33.710053000000002</v>
      </c>
      <c r="C90">
        <f t="shared" si="5"/>
        <v>-117.87410800000001</v>
      </c>
      <c r="D90">
        <f t="shared" si="6"/>
        <v>41</v>
      </c>
      <c r="E90">
        <v>88.498999999999995</v>
      </c>
      <c r="F90">
        <f t="shared" si="7"/>
        <v>-47.498999999999995</v>
      </c>
      <c r="G90">
        <v>63.2</v>
      </c>
      <c r="H90">
        <v>2.5870000000000002</v>
      </c>
      <c r="I90">
        <v>4.0439999999999996</v>
      </c>
      <c r="J90">
        <v>5</v>
      </c>
      <c r="K90">
        <v>31</v>
      </c>
      <c r="L90">
        <v>16</v>
      </c>
      <c r="M90">
        <v>3.9</v>
      </c>
    </row>
    <row r="91" spans="1:13" ht="15" customHeight="1">
      <c r="A91" t="s">
        <v>0</v>
      </c>
      <c r="B91">
        <f t="shared" si="4"/>
        <v>33.710053000000002</v>
      </c>
      <c r="C91">
        <f t="shared" si="5"/>
        <v>-117.87410800000001</v>
      </c>
      <c r="D91">
        <f t="shared" si="6"/>
        <v>41</v>
      </c>
      <c r="E91">
        <v>89.498999999999995</v>
      </c>
      <c r="F91">
        <f t="shared" si="7"/>
        <v>-48.498999999999995</v>
      </c>
      <c r="G91">
        <v>208.53299999999999</v>
      </c>
      <c r="H91">
        <v>4.3600000000000003</v>
      </c>
      <c r="I91">
        <v>2.09</v>
      </c>
      <c r="J91">
        <v>7</v>
      </c>
      <c r="K91">
        <v>67</v>
      </c>
      <c r="L91">
        <v>34</v>
      </c>
      <c r="M91" s="1">
        <v>9000000000</v>
      </c>
    </row>
    <row r="92" spans="1:13" ht="15" customHeight="1">
      <c r="A92" t="s">
        <v>0</v>
      </c>
      <c r="B92">
        <f t="shared" si="4"/>
        <v>33.710053000000002</v>
      </c>
      <c r="C92">
        <f t="shared" si="5"/>
        <v>-117.87410800000001</v>
      </c>
      <c r="D92">
        <f t="shared" si="6"/>
        <v>41</v>
      </c>
      <c r="E92">
        <v>90.498999999999995</v>
      </c>
      <c r="F92">
        <f t="shared" si="7"/>
        <v>-49.498999999999995</v>
      </c>
      <c r="G92">
        <v>328.56700000000001</v>
      </c>
      <c r="H92">
        <v>2.3980000000000001</v>
      </c>
      <c r="I92">
        <v>0.73</v>
      </c>
      <c r="J92">
        <v>10</v>
      </c>
      <c r="K92">
        <v>52</v>
      </c>
      <c r="L92">
        <v>26</v>
      </c>
      <c r="M92" s="1">
        <v>9000000000</v>
      </c>
    </row>
    <row r="93" spans="1:13" ht="15" customHeight="1">
      <c r="A93" t="s">
        <v>0</v>
      </c>
      <c r="B93">
        <f t="shared" si="4"/>
        <v>33.710053000000002</v>
      </c>
      <c r="C93">
        <f t="shared" si="5"/>
        <v>-117.87410800000001</v>
      </c>
      <c r="D93">
        <f t="shared" si="6"/>
        <v>41</v>
      </c>
      <c r="E93">
        <v>91.498999999999995</v>
      </c>
      <c r="F93">
        <f t="shared" si="7"/>
        <v>-50.498999999999995</v>
      </c>
      <c r="G93">
        <v>469.61700000000002</v>
      </c>
      <c r="H93">
        <v>2.512</v>
      </c>
      <c r="I93">
        <v>0.53500000000000003</v>
      </c>
      <c r="J93">
        <v>10</v>
      </c>
      <c r="K93">
        <v>75</v>
      </c>
      <c r="L93">
        <v>38</v>
      </c>
      <c r="M93" s="1">
        <v>9000000000</v>
      </c>
    </row>
    <row r="94" spans="1:13" ht="15" customHeight="1">
      <c r="A94" t="s">
        <v>0</v>
      </c>
      <c r="B94">
        <f t="shared" si="4"/>
        <v>33.710053000000002</v>
      </c>
      <c r="C94">
        <f t="shared" si="5"/>
        <v>-117.87410800000001</v>
      </c>
      <c r="D94">
        <f t="shared" si="6"/>
        <v>41</v>
      </c>
      <c r="E94">
        <v>92.498999999999995</v>
      </c>
      <c r="F94">
        <f t="shared" si="7"/>
        <v>-51.498999999999995</v>
      </c>
      <c r="G94">
        <v>577.6</v>
      </c>
      <c r="H94">
        <v>2.13</v>
      </c>
      <c r="I94">
        <v>0.36799999999999999</v>
      </c>
      <c r="J94">
        <v>10</v>
      </c>
      <c r="K94">
        <v>92</v>
      </c>
      <c r="L94">
        <v>46</v>
      </c>
      <c r="M94" s="1">
        <v>9000000000</v>
      </c>
    </row>
    <row r="95" spans="1:13" ht="15" customHeight="1">
      <c r="A95" t="s">
        <v>10</v>
      </c>
      <c r="B95">
        <f t="shared" si="4"/>
        <v>33.711578000000003</v>
      </c>
      <c r="C95">
        <f t="shared" si="5"/>
        <v>-117.87132699999999</v>
      </c>
      <c r="D95">
        <f t="shared" si="6"/>
        <v>45</v>
      </c>
      <c r="E95">
        <v>0.5</v>
      </c>
      <c r="F95">
        <f t="shared" si="7"/>
        <v>44.5</v>
      </c>
      <c r="G95">
        <v>0.98299999999999998</v>
      </c>
      <c r="H95">
        <v>1.2999999999999999E-2</v>
      </c>
      <c r="I95">
        <v>1.333</v>
      </c>
      <c r="J95">
        <v>1</v>
      </c>
      <c r="K95">
        <v>0</v>
      </c>
      <c r="L95">
        <v>0</v>
      </c>
      <c r="M95">
        <v>6.5000000000000002E-2</v>
      </c>
    </row>
    <row r="96" spans="1:13" ht="15" customHeight="1">
      <c r="A96" t="s">
        <v>10</v>
      </c>
      <c r="B96">
        <f t="shared" si="4"/>
        <v>33.711578000000003</v>
      </c>
      <c r="C96">
        <f t="shared" si="5"/>
        <v>-117.87132699999999</v>
      </c>
      <c r="D96">
        <f t="shared" si="6"/>
        <v>45</v>
      </c>
      <c r="E96">
        <v>1.5</v>
      </c>
      <c r="F96">
        <f t="shared" si="7"/>
        <v>43.5</v>
      </c>
      <c r="G96">
        <v>9.3829999999999991</v>
      </c>
      <c r="H96">
        <v>0.32700000000000001</v>
      </c>
      <c r="I96">
        <v>3.4750000000000001</v>
      </c>
      <c r="J96">
        <v>3</v>
      </c>
      <c r="K96">
        <v>9</v>
      </c>
      <c r="L96">
        <v>14</v>
      </c>
      <c r="M96">
        <v>0.621</v>
      </c>
    </row>
    <row r="97" spans="1:13" ht="15" customHeight="1">
      <c r="A97" t="s">
        <v>10</v>
      </c>
      <c r="B97">
        <f t="shared" si="4"/>
        <v>33.711578000000003</v>
      </c>
      <c r="C97">
        <f t="shared" si="5"/>
        <v>-117.87132699999999</v>
      </c>
      <c r="D97">
        <f t="shared" si="6"/>
        <v>45</v>
      </c>
      <c r="E97">
        <v>2.5</v>
      </c>
      <c r="F97">
        <f t="shared" si="7"/>
        <v>42.5</v>
      </c>
      <c r="G97">
        <v>3.3330000000000002</v>
      </c>
      <c r="H97">
        <v>0.11700000000000001</v>
      </c>
      <c r="I97">
        <v>3.415</v>
      </c>
      <c r="J97">
        <v>3</v>
      </c>
      <c r="K97">
        <v>3</v>
      </c>
      <c r="L97">
        <v>5</v>
      </c>
      <c r="M97">
        <v>0.218</v>
      </c>
    </row>
    <row r="98" spans="1:13" ht="15" customHeight="1">
      <c r="A98" t="s">
        <v>10</v>
      </c>
      <c r="B98">
        <f t="shared" si="4"/>
        <v>33.711578000000003</v>
      </c>
      <c r="C98">
        <f t="shared" si="5"/>
        <v>-117.87132699999999</v>
      </c>
      <c r="D98">
        <f t="shared" si="6"/>
        <v>45</v>
      </c>
      <c r="E98">
        <v>3.5</v>
      </c>
      <c r="F98">
        <f t="shared" si="7"/>
        <v>41.5</v>
      </c>
      <c r="G98">
        <v>1.667</v>
      </c>
      <c r="H98">
        <v>1.7999999999999999E-2</v>
      </c>
      <c r="I98">
        <v>1.028</v>
      </c>
      <c r="J98">
        <v>1</v>
      </c>
      <c r="K98">
        <v>1</v>
      </c>
      <c r="L98">
        <v>2</v>
      </c>
      <c r="M98">
        <v>0.106</v>
      </c>
    </row>
    <row r="99" spans="1:13" ht="15" customHeight="1">
      <c r="A99" t="s">
        <v>10</v>
      </c>
      <c r="B99">
        <f t="shared" si="4"/>
        <v>33.711578000000003</v>
      </c>
      <c r="C99">
        <f t="shared" si="5"/>
        <v>-117.87132699999999</v>
      </c>
      <c r="D99">
        <f t="shared" si="6"/>
        <v>45</v>
      </c>
      <c r="E99">
        <v>4.5</v>
      </c>
      <c r="F99">
        <f t="shared" si="7"/>
        <v>40.5</v>
      </c>
      <c r="G99">
        <v>1.083</v>
      </c>
      <c r="H99">
        <v>1.2E-2</v>
      </c>
      <c r="I99">
        <v>0.92100000000000004</v>
      </c>
      <c r="J99">
        <v>1</v>
      </c>
      <c r="K99">
        <v>1</v>
      </c>
      <c r="L99">
        <v>2</v>
      </c>
      <c r="M99">
        <v>6.8000000000000005E-2</v>
      </c>
    </row>
    <row r="100" spans="1:13" ht="15" customHeight="1">
      <c r="A100" t="s">
        <v>10</v>
      </c>
      <c r="B100">
        <f t="shared" si="4"/>
        <v>33.711578000000003</v>
      </c>
      <c r="C100">
        <f t="shared" si="5"/>
        <v>-117.87132699999999</v>
      </c>
      <c r="D100">
        <f t="shared" si="6"/>
        <v>45</v>
      </c>
      <c r="E100">
        <v>5.5</v>
      </c>
      <c r="F100">
        <f t="shared" si="7"/>
        <v>39.5</v>
      </c>
      <c r="G100">
        <v>1.4</v>
      </c>
      <c r="H100">
        <v>1.7999999999999999E-2</v>
      </c>
      <c r="I100">
        <v>1.1459999999999999</v>
      </c>
      <c r="J100">
        <v>1</v>
      </c>
      <c r="K100">
        <v>1</v>
      </c>
      <c r="L100">
        <v>2</v>
      </c>
      <c r="M100">
        <v>8.6999999999999994E-2</v>
      </c>
    </row>
    <row r="101" spans="1:13" ht="15" customHeight="1">
      <c r="A101" t="s">
        <v>10</v>
      </c>
      <c r="B101">
        <f t="shared" si="4"/>
        <v>33.711578000000003</v>
      </c>
      <c r="C101">
        <f t="shared" si="5"/>
        <v>-117.87132699999999</v>
      </c>
      <c r="D101">
        <f t="shared" si="6"/>
        <v>45</v>
      </c>
      <c r="E101">
        <v>6.5</v>
      </c>
      <c r="F101">
        <f t="shared" si="7"/>
        <v>38.5</v>
      </c>
      <c r="G101">
        <v>3.1</v>
      </c>
      <c r="H101">
        <v>0.06</v>
      </c>
      <c r="I101">
        <v>1.837</v>
      </c>
      <c r="J101">
        <v>1</v>
      </c>
      <c r="K101">
        <v>2</v>
      </c>
      <c r="L101">
        <v>3</v>
      </c>
      <c r="M101">
        <v>0.19500000000000001</v>
      </c>
    </row>
    <row r="102" spans="1:13" ht="15" customHeight="1">
      <c r="A102" t="s">
        <v>10</v>
      </c>
      <c r="B102">
        <f t="shared" si="4"/>
        <v>33.711578000000003</v>
      </c>
      <c r="C102">
        <f t="shared" si="5"/>
        <v>-117.87132699999999</v>
      </c>
      <c r="D102">
        <f t="shared" si="6"/>
        <v>45</v>
      </c>
      <c r="E102">
        <v>7.5</v>
      </c>
      <c r="F102">
        <f t="shared" si="7"/>
        <v>37.5</v>
      </c>
      <c r="G102">
        <v>11.667</v>
      </c>
      <c r="H102">
        <v>0.27700000000000002</v>
      </c>
      <c r="I102">
        <v>2.355</v>
      </c>
      <c r="J102">
        <v>5</v>
      </c>
      <c r="K102">
        <v>6</v>
      </c>
      <c r="L102">
        <v>9</v>
      </c>
      <c r="M102">
        <v>0.75700000000000001</v>
      </c>
    </row>
    <row r="103" spans="1:13" ht="15" customHeight="1">
      <c r="A103" t="s">
        <v>10</v>
      </c>
      <c r="B103">
        <f t="shared" si="4"/>
        <v>33.711578000000003</v>
      </c>
      <c r="C103">
        <f t="shared" si="5"/>
        <v>-117.87132699999999</v>
      </c>
      <c r="D103">
        <f t="shared" si="6"/>
        <v>45</v>
      </c>
      <c r="E103">
        <v>8.5</v>
      </c>
      <c r="F103">
        <f t="shared" si="7"/>
        <v>36.5</v>
      </c>
      <c r="G103">
        <v>12.567</v>
      </c>
      <c r="H103">
        <v>0.44800000000000001</v>
      </c>
      <c r="I103">
        <v>3.5630000000000002</v>
      </c>
      <c r="J103">
        <v>4</v>
      </c>
      <c r="K103">
        <v>8</v>
      </c>
      <c r="L103">
        <v>12</v>
      </c>
      <c r="M103">
        <v>0.80800000000000005</v>
      </c>
    </row>
    <row r="104" spans="1:13" ht="15" customHeight="1">
      <c r="A104" t="s">
        <v>10</v>
      </c>
      <c r="B104">
        <f t="shared" si="4"/>
        <v>33.711578000000003</v>
      </c>
      <c r="C104">
        <f t="shared" si="5"/>
        <v>-117.87132699999999</v>
      </c>
      <c r="D104">
        <f t="shared" si="6"/>
        <v>45</v>
      </c>
      <c r="E104">
        <v>9.5</v>
      </c>
      <c r="F104">
        <f t="shared" si="7"/>
        <v>35.5</v>
      </c>
      <c r="G104">
        <v>11.95</v>
      </c>
      <c r="H104">
        <v>0.44700000000000001</v>
      </c>
      <c r="I104">
        <v>3.7429999999999999</v>
      </c>
      <c r="J104">
        <v>3</v>
      </c>
      <c r="K104">
        <v>11</v>
      </c>
      <c r="L104">
        <v>17</v>
      </c>
      <c r="M104">
        <v>0.76100000000000001</v>
      </c>
    </row>
    <row r="105" spans="1:13" ht="15" customHeight="1">
      <c r="A105" t="s">
        <v>10</v>
      </c>
      <c r="B105">
        <f t="shared" si="4"/>
        <v>33.711578000000003</v>
      </c>
      <c r="C105">
        <f t="shared" si="5"/>
        <v>-117.87132699999999</v>
      </c>
      <c r="D105">
        <f t="shared" si="6"/>
        <v>45</v>
      </c>
      <c r="E105">
        <v>10.5</v>
      </c>
      <c r="F105">
        <f t="shared" si="7"/>
        <v>34.5</v>
      </c>
      <c r="G105">
        <v>17.329000000000001</v>
      </c>
      <c r="H105">
        <v>0.39600000000000002</v>
      </c>
      <c r="I105">
        <v>2.2949999999999999</v>
      </c>
      <c r="J105">
        <v>5</v>
      </c>
      <c r="K105">
        <v>8</v>
      </c>
      <c r="L105">
        <v>12</v>
      </c>
      <c r="M105">
        <v>1.111</v>
      </c>
    </row>
    <row r="106" spans="1:13" ht="15" customHeight="1">
      <c r="A106" t="s">
        <v>10</v>
      </c>
      <c r="B106">
        <f t="shared" si="4"/>
        <v>33.711578000000003</v>
      </c>
      <c r="C106">
        <f t="shared" si="5"/>
        <v>-117.87132699999999</v>
      </c>
      <c r="D106">
        <f t="shared" si="6"/>
        <v>45</v>
      </c>
      <c r="E106">
        <v>11.5</v>
      </c>
      <c r="F106">
        <f t="shared" si="7"/>
        <v>33.5</v>
      </c>
      <c r="G106">
        <v>45.6</v>
      </c>
      <c r="H106">
        <v>0.46500000000000002</v>
      </c>
      <c r="I106">
        <v>1.0229999999999999</v>
      </c>
      <c r="J106">
        <v>7</v>
      </c>
      <c r="K106">
        <v>15</v>
      </c>
      <c r="L106">
        <v>21</v>
      </c>
      <c r="M106" s="1">
        <v>9000000000</v>
      </c>
    </row>
    <row r="107" spans="1:13" ht="15" customHeight="1">
      <c r="A107" t="s">
        <v>10</v>
      </c>
      <c r="B107">
        <f t="shared" si="4"/>
        <v>33.711578000000003</v>
      </c>
      <c r="C107">
        <f t="shared" si="5"/>
        <v>-117.87132699999999</v>
      </c>
      <c r="D107">
        <f t="shared" si="6"/>
        <v>45</v>
      </c>
      <c r="E107">
        <v>12.5</v>
      </c>
      <c r="F107">
        <f t="shared" si="7"/>
        <v>32.5</v>
      </c>
      <c r="G107">
        <v>34.15</v>
      </c>
      <c r="H107">
        <v>0.36799999999999999</v>
      </c>
      <c r="I107">
        <v>1.079</v>
      </c>
      <c r="J107">
        <v>7</v>
      </c>
      <c r="K107">
        <v>11</v>
      </c>
      <c r="L107">
        <v>14</v>
      </c>
      <c r="M107" s="1">
        <v>9000000000</v>
      </c>
    </row>
    <row r="108" spans="1:13" ht="15" customHeight="1">
      <c r="A108" t="s">
        <v>10</v>
      </c>
      <c r="B108">
        <f t="shared" si="4"/>
        <v>33.711578000000003</v>
      </c>
      <c r="C108">
        <f t="shared" si="5"/>
        <v>-117.87132699999999</v>
      </c>
      <c r="D108">
        <f t="shared" si="6"/>
        <v>45</v>
      </c>
      <c r="E108">
        <v>13.5</v>
      </c>
      <c r="F108">
        <f t="shared" si="7"/>
        <v>31.5</v>
      </c>
      <c r="G108">
        <v>7.867</v>
      </c>
      <c r="H108">
        <v>0.17499999999999999</v>
      </c>
      <c r="I108">
        <v>2.1560000000000001</v>
      </c>
      <c r="J108">
        <v>4</v>
      </c>
      <c r="K108">
        <v>5</v>
      </c>
      <c r="L108">
        <v>6</v>
      </c>
      <c r="M108">
        <v>0.49</v>
      </c>
    </row>
    <row r="109" spans="1:13" ht="15" customHeight="1">
      <c r="A109" t="s">
        <v>10</v>
      </c>
      <c r="B109">
        <f t="shared" si="4"/>
        <v>33.711578000000003</v>
      </c>
      <c r="C109">
        <f t="shared" si="5"/>
        <v>-117.87132699999999</v>
      </c>
      <c r="D109">
        <f t="shared" si="6"/>
        <v>45</v>
      </c>
      <c r="E109">
        <v>14.5</v>
      </c>
      <c r="F109">
        <f t="shared" si="7"/>
        <v>30.5</v>
      </c>
      <c r="G109">
        <v>9.9</v>
      </c>
      <c r="H109">
        <v>0.30199999999999999</v>
      </c>
      <c r="I109">
        <v>3.0070000000000001</v>
      </c>
      <c r="J109">
        <v>4</v>
      </c>
      <c r="K109">
        <v>6</v>
      </c>
      <c r="L109">
        <v>7</v>
      </c>
      <c r="M109">
        <v>0.61399999999999999</v>
      </c>
    </row>
    <row r="110" spans="1:13" ht="15" customHeight="1">
      <c r="A110" t="s">
        <v>10</v>
      </c>
      <c r="B110">
        <f t="shared" si="4"/>
        <v>33.711578000000003</v>
      </c>
      <c r="C110">
        <f t="shared" si="5"/>
        <v>-117.87132699999999</v>
      </c>
      <c r="D110">
        <f t="shared" si="6"/>
        <v>45</v>
      </c>
      <c r="E110">
        <v>15.5</v>
      </c>
      <c r="F110">
        <f t="shared" si="7"/>
        <v>29.5</v>
      </c>
      <c r="G110">
        <v>11.683</v>
      </c>
      <c r="H110">
        <v>0.38200000000000001</v>
      </c>
      <c r="I110">
        <v>3.2530000000000001</v>
      </c>
      <c r="J110">
        <v>4</v>
      </c>
      <c r="K110">
        <v>7</v>
      </c>
      <c r="L110">
        <v>8</v>
      </c>
      <c r="M110">
        <v>0.72299999999999998</v>
      </c>
    </row>
    <row r="111" spans="1:13" ht="15" customHeight="1">
      <c r="A111" t="s">
        <v>10</v>
      </c>
      <c r="B111">
        <f t="shared" si="4"/>
        <v>33.711578000000003</v>
      </c>
      <c r="C111">
        <f t="shared" si="5"/>
        <v>-117.87132699999999</v>
      </c>
      <c r="D111">
        <f t="shared" si="6"/>
        <v>45</v>
      </c>
      <c r="E111">
        <v>16.5</v>
      </c>
      <c r="F111">
        <f t="shared" si="7"/>
        <v>28.5</v>
      </c>
      <c r="G111">
        <v>16.516999999999999</v>
      </c>
      <c r="H111">
        <v>0.40799999999999997</v>
      </c>
      <c r="I111">
        <v>2.4649999999999999</v>
      </c>
      <c r="J111">
        <v>5</v>
      </c>
      <c r="K111">
        <v>8</v>
      </c>
      <c r="L111">
        <v>8</v>
      </c>
      <c r="M111">
        <v>1.042</v>
      </c>
    </row>
    <row r="112" spans="1:13" ht="15" customHeight="1">
      <c r="A112" t="s">
        <v>10</v>
      </c>
      <c r="B112">
        <f t="shared" si="4"/>
        <v>33.711578000000003</v>
      </c>
      <c r="C112">
        <f t="shared" si="5"/>
        <v>-117.87132699999999</v>
      </c>
      <c r="D112">
        <f t="shared" si="6"/>
        <v>45</v>
      </c>
      <c r="E112">
        <v>17.5</v>
      </c>
      <c r="F112">
        <f t="shared" si="7"/>
        <v>27.5</v>
      </c>
      <c r="G112">
        <v>55.366999999999997</v>
      </c>
      <c r="H112">
        <v>1.4279999999999999</v>
      </c>
      <c r="I112">
        <v>2.5840000000000001</v>
      </c>
      <c r="J112">
        <v>6</v>
      </c>
      <c r="K112">
        <v>21</v>
      </c>
      <c r="L112">
        <v>21</v>
      </c>
      <c r="M112">
        <v>3.6179999999999999</v>
      </c>
    </row>
    <row r="113" spans="1:13" ht="15" customHeight="1">
      <c r="A113" t="s">
        <v>10</v>
      </c>
      <c r="B113">
        <f t="shared" si="4"/>
        <v>33.711578000000003</v>
      </c>
      <c r="C113">
        <f t="shared" si="5"/>
        <v>-117.87132699999999</v>
      </c>
      <c r="D113">
        <f t="shared" si="6"/>
        <v>45</v>
      </c>
      <c r="E113">
        <v>18.5</v>
      </c>
      <c r="F113">
        <f t="shared" si="7"/>
        <v>26.5</v>
      </c>
      <c r="G113">
        <v>15.083</v>
      </c>
      <c r="H113">
        <v>0.54200000000000004</v>
      </c>
      <c r="I113">
        <v>3.6150000000000002</v>
      </c>
      <c r="J113">
        <v>4</v>
      </c>
      <c r="K113">
        <v>10</v>
      </c>
      <c r="L113">
        <v>10</v>
      </c>
      <c r="M113">
        <v>0.92800000000000005</v>
      </c>
    </row>
    <row r="114" spans="1:13" ht="15" customHeight="1">
      <c r="A114" t="s">
        <v>10</v>
      </c>
      <c r="B114">
        <f t="shared" si="4"/>
        <v>33.711578000000003</v>
      </c>
      <c r="C114">
        <f t="shared" si="5"/>
        <v>-117.87132699999999</v>
      </c>
      <c r="D114">
        <f t="shared" si="6"/>
        <v>45</v>
      </c>
      <c r="E114">
        <v>19.5</v>
      </c>
      <c r="F114">
        <f t="shared" si="7"/>
        <v>25.5</v>
      </c>
      <c r="G114">
        <v>8.3000000000000007</v>
      </c>
      <c r="H114">
        <v>0.252</v>
      </c>
      <c r="I114">
        <v>3.069</v>
      </c>
      <c r="J114">
        <v>3</v>
      </c>
      <c r="K114">
        <v>8</v>
      </c>
      <c r="L114">
        <v>7</v>
      </c>
      <c r="M114">
        <v>0.47199999999999998</v>
      </c>
    </row>
    <row r="115" spans="1:13" ht="15" customHeight="1">
      <c r="A115" t="s">
        <v>10</v>
      </c>
      <c r="B115">
        <f t="shared" si="4"/>
        <v>33.711578000000003</v>
      </c>
      <c r="C115">
        <f t="shared" si="5"/>
        <v>-117.87132699999999</v>
      </c>
      <c r="D115">
        <f t="shared" si="6"/>
        <v>45</v>
      </c>
      <c r="E115">
        <v>20.5</v>
      </c>
      <c r="F115">
        <f t="shared" si="7"/>
        <v>24.5</v>
      </c>
      <c r="G115">
        <v>8.9290000000000003</v>
      </c>
      <c r="H115">
        <v>0.214</v>
      </c>
      <c r="I115">
        <v>2.419</v>
      </c>
      <c r="J115">
        <v>4</v>
      </c>
      <c r="K115">
        <v>6</v>
      </c>
      <c r="L115">
        <v>5</v>
      </c>
      <c r="M115">
        <v>0.51100000000000001</v>
      </c>
    </row>
    <row r="116" spans="1:13" ht="15" customHeight="1">
      <c r="A116" t="s">
        <v>10</v>
      </c>
      <c r="B116">
        <f t="shared" si="4"/>
        <v>33.711578000000003</v>
      </c>
      <c r="C116">
        <f t="shared" si="5"/>
        <v>-117.87132699999999</v>
      </c>
      <c r="D116">
        <f t="shared" si="6"/>
        <v>45</v>
      </c>
      <c r="E116">
        <v>21.5</v>
      </c>
      <c r="F116">
        <f t="shared" si="7"/>
        <v>23.5</v>
      </c>
      <c r="G116">
        <v>9.6170000000000009</v>
      </c>
      <c r="H116">
        <v>0.23300000000000001</v>
      </c>
      <c r="I116">
        <v>2.4430000000000001</v>
      </c>
      <c r="J116">
        <v>4</v>
      </c>
      <c r="K116">
        <v>6</v>
      </c>
      <c r="L116">
        <v>5</v>
      </c>
      <c r="M116">
        <v>0.55400000000000005</v>
      </c>
    </row>
    <row r="117" spans="1:13" ht="15" customHeight="1">
      <c r="A117" t="s">
        <v>10</v>
      </c>
      <c r="B117">
        <f t="shared" si="4"/>
        <v>33.711578000000003</v>
      </c>
      <c r="C117">
        <f t="shared" si="5"/>
        <v>-117.87132699999999</v>
      </c>
      <c r="D117">
        <f t="shared" si="6"/>
        <v>45</v>
      </c>
      <c r="E117">
        <v>22.5</v>
      </c>
      <c r="F117">
        <f t="shared" si="7"/>
        <v>22.5</v>
      </c>
      <c r="G117">
        <v>11.6</v>
      </c>
      <c r="H117">
        <v>0.28199999999999997</v>
      </c>
      <c r="I117">
        <v>2.4249999999999998</v>
      </c>
      <c r="J117">
        <v>5</v>
      </c>
      <c r="K117">
        <v>6</v>
      </c>
      <c r="L117">
        <v>5</v>
      </c>
      <c r="M117">
        <v>0.68700000000000006</v>
      </c>
    </row>
    <row r="118" spans="1:13" ht="15" customHeight="1">
      <c r="A118" t="s">
        <v>10</v>
      </c>
      <c r="B118">
        <f t="shared" si="4"/>
        <v>33.711578000000003</v>
      </c>
      <c r="C118">
        <f t="shared" si="5"/>
        <v>-117.87132699999999</v>
      </c>
      <c r="D118">
        <f t="shared" si="6"/>
        <v>45</v>
      </c>
      <c r="E118">
        <v>23.5</v>
      </c>
      <c r="F118">
        <f t="shared" si="7"/>
        <v>21.5</v>
      </c>
      <c r="G118">
        <v>11.117000000000001</v>
      </c>
      <c r="H118">
        <v>0.26</v>
      </c>
      <c r="I118">
        <v>2.3210000000000002</v>
      </c>
      <c r="J118">
        <v>5</v>
      </c>
      <c r="K118">
        <v>5</v>
      </c>
      <c r="L118">
        <v>4</v>
      </c>
      <c r="M118">
        <v>0.65600000000000003</v>
      </c>
    </row>
    <row r="119" spans="1:13" ht="15" customHeight="1">
      <c r="A119" t="s">
        <v>10</v>
      </c>
      <c r="B119">
        <f t="shared" si="4"/>
        <v>33.711578000000003</v>
      </c>
      <c r="C119">
        <f t="shared" si="5"/>
        <v>-117.87132699999999</v>
      </c>
      <c r="D119">
        <f t="shared" si="6"/>
        <v>45</v>
      </c>
      <c r="E119">
        <v>24.5</v>
      </c>
      <c r="F119">
        <f t="shared" si="7"/>
        <v>20.5</v>
      </c>
      <c r="G119">
        <v>11.983000000000001</v>
      </c>
      <c r="H119">
        <v>0.313</v>
      </c>
      <c r="I119">
        <v>2.593</v>
      </c>
      <c r="J119">
        <v>5</v>
      </c>
      <c r="K119">
        <v>6</v>
      </c>
      <c r="L119">
        <v>5</v>
      </c>
      <c r="M119">
        <v>0.71099999999999997</v>
      </c>
    </row>
    <row r="120" spans="1:13" ht="15" customHeight="1">
      <c r="A120" t="s">
        <v>10</v>
      </c>
      <c r="B120">
        <f t="shared" si="4"/>
        <v>33.711578000000003</v>
      </c>
      <c r="C120">
        <f t="shared" si="5"/>
        <v>-117.87132699999999</v>
      </c>
      <c r="D120">
        <f t="shared" si="6"/>
        <v>45</v>
      </c>
      <c r="E120">
        <v>25.5</v>
      </c>
      <c r="F120">
        <f t="shared" si="7"/>
        <v>19.5</v>
      </c>
      <c r="G120">
        <v>13.117000000000001</v>
      </c>
      <c r="H120">
        <v>0.27200000000000002</v>
      </c>
      <c r="I120">
        <v>2.0449999999999999</v>
      </c>
      <c r="J120">
        <v>5</v>
      </c>
      <c r="K120">
        <v>6</v>
      </c>
      <c r="L120">
        <v>4</v>
      </c>
      <c r="M120">
        <v>0.78700000000000003</v>
      </c>
    </row>
    <row r="121" spans="1:13" ht="15" customHeight="1">
      <c r="A121" t="s">
        <v>10</v>
      </c>
      <c r="B121">
        <f t="shared" si="4"/>
        <v>33.711578000000003</v>
      </c>
      <c r="C121">
        <f t="shared" si="5"/>
        <v>-117.87132699999999</v>
      </c>
      <c r="D121">
        <f t="shared" si="6"/>
        <v>45</v>
      </c>
      <c r="E121">
        <v>26.5</v>
      </c>
      <c r="F121">
        <f t="shared" si="7"/>
        <v>18.5</v>
      </c>
      <c r="G121">
        <v>23.95</v>
      </c>
      <c r="H121">
        <v>0.76300000000000001</v>
      </c>
      <c r="I121">
        <v>3.1760000000000002</v>
      </c>
      <c r="J121">
        <v>5</v>
      </c>
      <c r="K121">
        <v>12</v>
      </c>
      <c r="L121">
        <v>9</v>
      </c>
      <c r="M121">
        <v>1.4990000000000001</v>
      </c>
    </row>
    <row r="122" spans="1:13" ht="15" customHeight="1">
      <c r="A122" t="s">
        <v>10</v>
      </c>
      <c r="B122">
        <f t="shared" si="4"/>
        <v>33.711578000000003</v>
      </c>
      <c r="C122">
        <f t="shared" si="5"/>
        <v>-117.87132699999999</v>
      </c>
      <c r="D122">
        <f t="shared" si="6"/>
        <v>45</v>
      </c>
      <c r="E122">
        <v>27.5</v>
      </c>
      <c r="F122">
        <f t="shared" si="7"/>
        <v>17.5</v>
      </c>
      <c r="G122">
        <v>29.783000000000001</v>
      </c>
      <c r="H122">
        <v>1.115</v>
      </c>
      <c r="I122">
        <v>3.74</v>
      </c>
      <c r="J122">
        <v>5</v>
      </c>
      <c r="K122">
        <v>14</v>
      </c>
      <c r="L122">
        <v>10</v>
      </c>
      <c r="M122">
        <v>1.881</v>
      </c>
    </row>
    <row r="123" spans="1:13" ht="15" customHeight="1">
      <c r="A123" t="s">
        <v>10</v>
      </c>
      <c r="B123">
        <f t="shared" si="4"/>
        <v>33.711578000000003</v>
      </c>
      <c r="C123">
        <f t="shared" si="5"/>
        <v>-117.87132699999999</v>
      </c>
      <c r="D123">
        <f t="shared" si="6"/>
        <v>45</v>
      </c>
      <c r="E123">
        <v>28.5</v>
      </c>
      <c r="F123">
        <f t="shared" si="7"/>
        <v>16.5</v>
      </c>
      <c r="G123">
        <v>70.667000000000002</v>
      </c>
      <c r="H123">
        <v>1.577</v>
      </c>
      <c r="I123">
        <v>2.2349999999999999</v>
      </c>
      <c r="J123">
        <v>7</v>
      </c>
      <c r="K123">
        <v>23</v>
      </c>
      <c r="L123">
        <v>16</v>
      </c>
      <c r="M123" s="1">
        <v>9000000000</v>
      </c>
    </row>
    <row r="124" spans="1:13" ht="15" customHeight="1">
      <c r="A124" t="s">
        <v>10</v>
      </c>
      <c r="B124">
        <f t="shared" si="4"/>
        <v>33.711578000000003</v>
      </c>
      <c r="C124">
        <f t="shared" si="5"/>
        <v>-117.87132699999999</v>
      </c>
      <c r="D124">
        <f t="shared" si="6"/>
        <v>45</v>
      </c>
      <c r="E124">
        <v>29.5</v>
      </c>
      <c r="F124">
        <f t="shared" si="7"/>
        <v>15.5</v>
      </c>
      <c r="G124">
        <v>145.86699999999999</v>
      </c>
      <c r="H124">
        <v>2.202</v>
      </c>
      <c r="I124">
        <v>1.5109999999999999</v>
      </c>
      <c r="J124">
        <v>8</v>
      </c>
      <c r="K124">
        <v>35</v>
      </c>
      <c r="L124">
        <v>24</v>
      </c>
      <c r="M124" s="1">
        <v>9000000000</v>
      </c>
    </row>
    <row r="125" spans="1:13" ht="15" customHeight="1">
      <c r="A125" t="s">
        <v>10</v>
      </c>
      <c r="B125">
        <f t="shared" si="4"/>
        <v>33.711578000000003</v>
      </c>
      <c r="C125">
        <f t="shared" si="5"/>
        <v>-117.87132699999999</v>
      </c>
      <c r="D125">
        <f t="shared" si="6"/>
        <v>45</v>
      </c>
      <c r="E125">
        <v>30.5</v>
      </c>
      <c r="F125">
        <f t="shared" si="7"/>
        <v>14.5</v>
      </c>
      <c r="G125">
        <v>180.083</v>
      </c>
      <c r="H125">
        <v>1.8280000000000001</v>
      </c>
      <c r="I125">
        <v>1.016</v>
      </c>
      <c r="J125">
        <v>9</v>
      </c>
      <c r="K125">
        <v>34</v>
      </c>
      <c r="L125">
        <v>23</v>
      </c>
      <c r="M125" s="1">
        <v>9000000000</v>
      </c>
    </row>
    <row r="126" spans="1:13" ht="15" customHeight="1">
      <c r="A126" t="s">
        <v>10</v>
      </c>
      <c r="B126">
        <f t="shared" si="4"/>
        <v>33.711578000000003</v>
      </c>
      <c r="C126">
        <f t="shared" si="5"/>
        <v>-117.87132699999999</v>
      </c>
      <c r="D126">
        <f t="shared" si="6"/>
        <v>45</v>
      </c>
      <c r="E126">
        <v>31.5</v>
      </c>
      <c r="F126">
        <f t="shared" si="7"/>
        <v>13.5</v>
      </c>
      <c r="G126">
        <v>152.44300000000001</v>
      </c>
      <c r="H126">
        <v>0.60299999999999998</v>
      </c>
      <c r="I126">
        <v>0.39600000000000002</v>
      </c>
      <c r="J126">
        <v>9</v>
      </c>
      <c r="K126">
        <v>29</v>
      </c>
      <c r="L126">
        <v>20</v>
      </c>
      <c r="M126" s="1">
        <v>9000000000</v>
      </c>
    </row>
    <row r="127" spans="1:13" ht="15" customHeight="1">
      <c r="A127" t="s">
        <v>10</v>
      </c>
      <c r="B127">
        <f t="shared" si="4"/>
        <v>33.711578000000003</v>
      </c>
      <c r="C127">
        <f t="shared" si="5"/>
        <v>-117.87132699999999</v>
      </c>
      <c r="D127">
        <f t="shared" si="6"/>
        <v>45</v>
      </c>
      <c r="E127">
        <v>32.5</v>
      </c>
      <c r="F127">
        <f t="shared" si="7"/>
        <v>12.5</v>
      </c>
      <c r="G127">
        <v>138.65</v>
      </c>
      <c r="H127">
        <v>0.72299999999999998</v>
      </c>
      <c r="I127">
        <v>0.52200000000000002</v>
      </c>
      <c r="J127">
        <v>9</v>
      </c>
      <c r="K127">
        <v>27</v>
      </c>
      <c r="L127">
        <v>18</v>
      </c>
      <c r="M127" s="1">
        <v>9000000000</v>
      </c>
    </row>
    <row r="128" spans="1:13" ht="15" customHeight="1">
      <c r="A128" t="s">
        <v>10</v>
      </c>
      <c r="B128">
        <f t="shared" si="4"/>
        <v>33.711578000000003</v>
      </c>
      <c r="C128">
        <f t="shared" si="5"/>
        <v>-117.87132699999999</v>
      </c>
      <c r="D128">
        <f t="shared" si="6"/>
        <v>45</v>
      </c>
      <c r="E128">
        <v>33.5</v>
      </c>
      <c r="F128">
        <f t="shared" si="7"/>
        <v>11.5</v>
      </c>
      <c r="G128">
        <v>167.517</v>
      </c>
      <c r="H128">
        <v>0.71199999999999997</v>
      </c>
      <c r="I128">
        <v>0.42499999999999999</v>
      </c>
      <c r="J128">
        <v>9</v>
      </c>
      <c r="K128">
        <v>32</v>
      </c>
      <c r="L128">
        <v>21</v>
      </c>
      <c r="M128" s="1">
        <v>9000000000</v>
      </c>
    </row>
    <row r="129" spans="1:13" ht="15" customHeight="1">
      <c r="A129" t="s">
        <v>10</v>
      </c>
      <c r="B129">
        <f t="shared" si="4"/>
        <v>33.711578000000003</v>
      </c>
      <c r="C129">
        <f t="shared" si="5"/>
        <v>-117.87132699999999</v>
      </c>
      <c r="D129">
        <f t="shared" si="6"/>
        <v>45</v>
      </c>
      <c r="E129">
        <v>34.5</v>
      </c>
      <c r="F129">
        <f t="shared" si="7"/>
        <v>10.5</v>
      </c>
      <c r="G129">
        <v>221.36699999999999</v>
      </c>
      <c r="H129">
        <v>1.64</v>
      </c>
      <c r="I129">
        <v>0.74099999999999999</v>
      </c>
      <c r="J129">
        <v>9</v>
      </c>
      <c r="K129">
        <v>42</v>
      </c>
      <c r="L129">
        <v>27</v>
      </c>
      <c r="M129" s="1">
        <v>9000000000</v>
      </c>
    </row>
    <row r="130" spans="1:13" ht="15" customHeight="1">
      <c r="A130" t="s">
        <v>10</v>
      </c>
      <c r="B130">
        <f t="shared" ref="B130:B193" si="8">VLOOKUP(A130,XYdata,3,FALSE)</f>
        <v>33.711578000000003</v>
      </c>
      <c r="C130">
        <f t="shared" ref="C130:C193" si="9">VLOOKUP(A130,XYdata,2,FALSE)</f>
        <v>-117.87132699999999</v>
      </c>
      <c r="D130">
        <f t="shared" ref="D130:D193" si="10">VLOOKUP(A130,Elevation,2,FALSE)</f>
        <v>45</v>
      </c>
      <c r="E130">
        <v>35.5</v>
      </c>
      <c r="F130">
        <f t="shared" si="7"/>
        <v>9.5</v>
      </c>
      <c r="G130">
        <v>352.35</v>
      </c>
      <c r="H130">
        <v>2.2200000000000002</v>
      </c>
      <c r="I130">
        <v>0.63</v>
      </c>
      <c r="J130">
        <v>10</v>
      </c>
      <c r="K130">
        <v>56</v>
      </c>
      <c r="L130">
        <v>36</v>
      </c>
      <c r="M130" s="1">
        <v>9000000000</v>
      </c>
    </row>
    <row r="131" spans="1:13" ht="15" customHeight="1">
      <c r="A131" t="s">
        <v>10</v>
      </c>
      <c r="B131">
        <f t="shared" si="8"/>
        <v>33.711578000000003</v>
      </c>
      <c r="C131">
        <f t="shared" si="9"/>
        <v>-117.87132699999999</v>
      </c>
      <c r="D131">
        <f t="shared" si="10"/>
        <v>45</v>
      </c>
      <c r="E131">
        <v>36.5</v>
      </c>
      <c r="F131">
        <f t="shared" ref="F131:F194" si="11">D131-E131</f>
        <v>8.5</v>
      </c>
      <c r="G131">
        <v>339.2</v>
      </c>
      <c r="H131">
        <v>3.24</v>
      </c>
      <c r="I131">
        <v>0.95599999999999996</v>
      </c>
      <c r="J131">
        <v>9</v>
      </c>
      <c r="K131">
        <v>65</v>
      </c>
      <c r="L131">
        <v>41</v>
      </c>
      <c r="M131" s="1">
        <v>9000000000</v>
      </c>
    </row>
    <row r="132" spans="1:13" ht="15" customHeight="1">
      <c r="A132" t="s">
        <v>10</v>
      </c>
      <c r="B132">
        <f t="shared" si="8"/>
        <v>33.711578000000003</v>
      </c>
      <c r="C132">
        <f t="shared" si="9"/>
        <v>-117.87132699999999</v>
      </c>
      <c r="D132">
        <f t="shared" si="10"/>
        <v>45</v>
      </c>
      <c r="E132">
        <v>37.5</v>
      </c>
      <c r="F132">
        <f t="shared" si="11"/>
        <v>7.5</v>
      </c>
      <c r="G132">
        <v>508.63299999999998</v>
      </c>
      <c r="H132">
        <v>3.6829999999999998</v>
      </c>
      <c r="I132">
        <v>0.72399999999999998</v>
      </c>
      <c r="J132">
        <v>10</v>
      </c>
      <c r="K132">
        <v>81</v>
      </c>
      <c r="L132">
        <v>51</v>
      </c>
      <c r="M132" s="1">
        <v>9000000000</v>
      </c>
    </row>
    <row r="133" spans="1:13" ht="15" customHeight="1">
      <c r="A133" t="s">
        <v>10</v>
      </c>
      <c r="B133">
        <f t="shared" si="8"/>
        <v>33.711578000000003</v>
      </c>
      <c r="C133">
        <f t="shared" si="9"/>
        <v>-117.87132699999999</v>
      </c>
      <c r="D133">
        <f t="shared" si="10"/>
        <v>45</v>
      </c>
      <c r="E133">
        <v>38.5</v>
      </c>
      <c r="F133">
        <f t="shared" si="11"/>
        <v>6.5</v>
      </c>
      <c r="G133">
        <v>406.78300000000002</v>
      </c>
      <c r="H133">
        <v>3.0129999999999999</v>
      </c>
      <c r="I133">
        <v>0.74099999999999999</v>
      </c>
      <c r="J133">
        <v>10</v>
      </c>
      <c r="K133">
        <v>65</v>
      </c>
      <c r="L133">
        <v>40</v>
      </c>
      <c r="M133" s="1">
        <v>9000000000</v>
      </c>
    </row>
    <row r="134" spans="1:13" ht="15" customHeight="1">
      <c r="A134" t="s">
        <v>10</v>
      </c>
      <c r="B134">
        <f t="shared" si="8"/>
        <v>33.711578000000003</v>
      </c>
      <c r="C134">
        <f t="shared" si="9"/>
        <v>-117.87132699999999</v>
      </c>
      <c r="D134">
        <f t="shared" si="10"/>
        <v>45</v>
      </c>
      <c r="E134">
        <v>39.5</v>
      </c>
      <c r="F134">
        <f t="shared" si="11"/>
        <v>5.5</v>
      </c>
      <c r="G134">
        <v>415.91699999999997</v>
      </c>
      <c r="H134">
        <v>2.3050000000000002</v>
      </c>
      <c r="I134">
        <v>0.55400000000000005</v>
      </c>
      <c r="J134">
        <v>10</v>
      </c>
      <c r="K134">
        <v>66</v>
      </c>
      <c r="L134">
        <v>40</v>
      </c>
      <c r="M134" s="1">
        <v>9000000000</v>
      </c>
    </row>
    <row r="135" spans="1:13" ht="15" customHeight="1">
      <c r="A135" t="s">
        <v>10</v>
      </c>
      <c r="B135">
        <f t="shared" si="8"/>
        <v>33.711578000000003</v>
      </c>
      <c r="C135">
        <f t="shared" si="9"/>
        <v>-117.87132699999999</v>
      </c>
      <c r="D135">
        <f t="shared" si="10"/>
        <v>45</v>
      </c>
      <c r="E135">
        <v>40.5</v>
      </c>
      <c r="F135">
        <f t="shared" si="11"/>
        <v>4.5</v>
      </c>
      <c r="G135">
        <v>454.58300000000003</v>
      </c>
      <c r="H135">
        <v>3.8130000000000002</v>
      </c>
      <c r="I135">
        <v>0.83899999999999997</v>
      </c>
      <c r="J135">
        <v>10</v>
      </c>
      <c r="K135">
        <v>73</v>
      </c>
      <c r="L135">
        <v>44</v>
      </c>
      <c r="M135" s="1">
        <v>9000000000</v>
      </c>
    </row>
    <row r="136" spans="1:13" ht="15" customHeight="1">
      <c r="A136" t="s">
        <v>10</v>
      </c>
      <c r="B136">
        <f t="shared" si="8"/>
        <v>33.711578000000003</v>
      </c>
      <c r="C136">
        <f t="shared" si="9"/>
        <v>-117.87132699999999</v>
      </c>
      <c r="D136">
        <f t="shared" si="10"/>
        <v>45</v>
      </c>
      <c r="E136">
        <v>41.499000000000002</v>
      </c>
      <c r="F136">
        <f t="shared" si="11"/>
        <v>3.5009999999999977</v>
      </c>
      <c r="G136">
        <v>401.41399999999999</v>
      </c>
      <c r="H136">
        <v>3.12</v>
      </c>
      <c r="I136">
        <v>0.77700000000000002</v>
      </c>
      <c r="J136">
        <v>10</v>
      </c>
      <c r="K136">
        <v>64</v>
      </c>
      <c r="L136">
        <v>38</v>
      </c>
      <c r="M136" s="1">
        <v>9000000000</v>
      </c>
    </row>
    <row r="137" spans="1:13" ht="15" customHeight="1">
      <c r="A137" t="s">
        <v>10</v>
      </c>
      <c r="B137">
        <f t="shared" si="8"/>
        <v>33.711578000000003</v>
      </c>
      <c r="C137">
        <f t="shared" si="9"/>
        <v>-117.87132699999999</v>
      </c>
      <c r="D137">
        <f t="shared" si="10"/>
        <v>45</v>
      </c>
      <c r="E137">
        <v>42.499000000000002</v>
      </c>
      <c r="F137">
        <f t="shared" si="11"/>
        <v>2.5009999999999977</v>
      </c>
      <c r="G137">
        <v>309.96699999999998</v>
      </c>
      <c r="H137">
        <v>1.7430000000000001</v>
      </c>
      <c r="I137">
        <v>0.56299999999999994</v>
      </c>
      <c r="J137">
        <v>10</v>
      </c>
      <c r="K137">
        <v>49</v>
      </c>
      <c r="L137">
        <v>29</v>
      </c>
      <c r="M137" s="1">
        <v>9000000000</v>
      </c>
    </row>
    <row r="138" spans="1:13" ht="15" customHeight="1">
      <c r="A138" t="s">
        <v>10</v>
      </c>
      <c r="B138">
        <f t="shared" si="8"/>
        <v>33.711578000000003</v>
      </c>
      <c r="C138">
        <f t="shared" si="9"/>
        <v>-117.87132699999999</v>
      </c>
      <c r="D138">
        <f t="shared" si="10"/>
        <v>45</v>
      </c>
      <c r="E138">
        <v>43.499000000000002</v>
      </c>
      <c r="F138">
        <f t="shared" si="11"/>
        <v>1.5009999999999977</v>
      </c>
      <c r="G138">
        <v>224.65</v>
      </c>
      <c r="H138">
        <v>2.625</v>
      </c>
      <c r="I138">
        <v>1.169</v>
      </c>
      <c r="J138">
        <v>9</v>
      </c>
      <c r="K138">
        <v>43</v>
      </c>
      <c r="L138">
        <v>25</v>
      </c>
      <c r="M138" s="1">
        <v>9000000000</v>
      </c>
    </row>
    <row r="139" spans="1:13" ht="15" customHeight="1">
      <c r="A139" t="s">
        <v>10</v>
      </c>
      <c r="B139">
        <f t="shared" si="8"/>
        <v>33.711578000000003</v>
      </c>
      <c r="C139">
        <f t="shared" si="9"/>
        <v>-117.87132699999999</v>
      </c>
      <c r="D139">
        <f t="shared" si="10"/>
        <v>45</v>
      </c>
      <c r="E139">
        <v>44.499000000000002</v>
      </c>
      <c r="F139">
        <f t="shared" si="11"/>
        <v>0.50099999999999767</v>
      </c>
      <c r="G139">
        <v>305.483</v>
      </c>
      <c r="H139">
        <v>1.633</v>
      </c>
      <c r="I139">
        <v>0.53500000000000003</v>
      </c>
      <c r="J139">
        <v>10</v>
      </c>
      <c r="K139">
        <v>49</v>
      </c>
      <c r="L139">
        <v>28</v>
      </c>
      <c r="M139" s="1">
        <v>9000000000</v>
      </c>
    </row>
    <row r="140" spans="1:13" ht="15" customHeight="1">
      <c r="A140" t="s">
        <v>10</v>
      </c>
      <c r="B140">
        <f t="shared" si="8"/>
        <v>33.711578000000003</v>
      </c>
      <c r="C140">
        <f t="shared" si="9"/>
        <v>-117.87132699999999</v>
      </c>
      <c r="D140">
        <f t="shared" si="10"/>
        <v>45</v>
      </c>
      <c r="E140">
        <v>45.499000000000002</v>
      </c>
      <c r="F140">
        <f t="shared" si="11"/>
        <v>-0.49900000000000233</v>
      </c>
      <c r="G140">
        <v>270.7</v>
      </c>
      <c r="H140">
        <v>1.327</v>
      </c>
      <c r="I140">
        <v>0.49</v>
      </c>
      <c r="J140">
        <v>10</v>
      </c>
      <c r="K140">
        <v>43</v>
      </c>
      <c r="L140">
        <v>24</v>
      </c>
      <c r="M140" s="1">
        <v>9000000000</v>
      </c>
    </row>
    <row r="141" spans="1:13" ht="15" customHeight="1">
      <c r="A141" t="s">
        <v>10</v>
      </c>
      <c r="B141">
        <f t="shared" si="8"/>
        <v>33.711578000000003</v>
      </c>
      <c r="C141">
        <f t="shared" si="9"/>
        <v>-117.87132699999999</v>
      </c>
      <c r="D141">
        <f t="shared" si="10"/>
        <v>45</v>
      </c>
      <c r="E141">
        <v>46.499000000000002</v>
      </c>
      <c r="F141">
        <f t="shared" si="11"/>
        <v>-1.4990000000000023</v>
      </c>
      <c r="G141">
        <v>258.96699999999998</v>
      </c>
      <c r="H141">
        <v>1.2470000000000001</v>
      </c>
      <c r="I141">
        <v>0.48099999999999998</v>
      </c>
      <c r="J141">
        <v>10</v>
      </c>
      <c r="K141">
        <v>41</v>
      </c>
      <c r="L141">
        <v>23</v>
      </c>
      <c r="M141" s="1">
        <v>9000000000</v>
      </c>
    </row>
    <row r="142" spans="1:13" ht="15" customHeight="1">
      <c r="A142" t="s">
        <v>10</v>
      </c>
      <c r="B142">
        <f t="shared" si="8"/>
        <v>33.711578000000003</v>
      </c>
      <c r="C142">
        <f t="shared" si="9"/>
        <v>-117.87132699999999</v>
      </c>
      <c r="D142">
        <f t="shared" si="10"/>
        <v>45</v>
      </c>
      <c r="E142">
        <v>47.499000000000002</v>
      </c>
      <c r="F142">
        <f t="shared" si="11"/>
        <v>-2.4990000000000023</v>
      </c>
      <c r="G142">
        <v>286.60000000000002</v>
      </c>
      <c r="H142">
        <v>1.073</v>
      </c>
      <c r="I142">
        <v>0.374</v>
      </c>
      <c r="J142">
        <v>10</v>
      </c>
      <c r="K142">
        <v>46</v>
      </c>
      <c r="L142">
        <v>25</v>
      </c>
      <c r="M142" s="1">
        <v>9000000000</v>
      </c>
    </row>
    <row r="143" spans="1:13" ht="15" customHeight="1">
      <c r="A143" t="s">
        <v>10</v>
      </c>
      <c r="B143">
        <f t="shared" si="8"/>
        <v>33.711578000000003</v>
      </c>
      <c r="C143">
        <f t="shared" si="9"/>
        <v>-117.87132699999999</v>
      </c>
      <c r="D143">
        <f t="shared" si="10"/>
        <v>45</v>
      </c>
      <c r="E143">
        <v>48.499000000000002</v>
      </c>
      <c r="F143">
        <f t="shared" si="11"/>
        <v>-3.4990000000000023</v>
      </c>
      <c r="G143">
        <v>287.89999999999998</v>
      </c>
      <c r="H143">
        <v>1.042</v>
      </c>
      <c r="I143">
        <v>0.36199999999999999</v>
      </c>
      <c r="J143">
        <v>10</v>
      </c>
      <c r="K143">
        <v>46</v>
      </c>
      <c r="L143">
        <v>25</v>
      </c>
      <c r="M143" s="1">
        <v>9000000000</v>
      </c>
    </row>
    <row r="144" spans="1:13" ht="15" customHeight="1">
      <c r="A144" t="s">
        <v>10</v>
      </c>
      <c r="B144">
        <f t="shared" si="8"/>
        <v>33.711578000000003</v>
      </c>
      <c r="C144">
        <f t="shared" si="9"/>
        <v>-117.87132699999999</v>
      </c>
      <c r="D144">
        <f t="shared" si="10"/>
        <v>45</v>
      </c>
      <c r="E144">
        <v>49.499000000000002</v>
      </c>
      <c r="F144">
        <f t="shared" si="11"/>
        <v>-4.4990000000000023</v>
      </c>
      <c r="G144">
        <v>259.95</v>
      </c>
      <c r="H144">
        <v>1.143</v>
      </c>
      <c r="I144">
        <v>0.44</v>
      </c>
      <c r="J144">
        <v>10</v>
      </c>
      <c r="K144">
        <v>42</v>
      </c>
      <c r="L144">
        <v>23</v>
      </c>
      <c r="M144" s="1">
        <v>9000000000</v>
      </c>
    </row>
    <row r="145" spans="1:13" ht="15" customHeight="1">
      <c r="A145" t="s">
        <v>10</v>
      </c>
      <c r="B145">
        <f t="shared" si="8"/>
        <v>33.711578000000003</v>
      </c>
      <c r="C145">
        <f t="shared" si="9"/>
        <v>-117.87132699999999</v>
      </c>
      <c r="D145">
        <f t="shared" si="10"/>
        <v>45</v>
      </c>
      <c r="E145">
        <v>50.499000000000002</v>
      </c>
      <c r="F145">
        <f t="shared" si="11"/>
        <v>-5.4990000000000023</v>
      </c>
      <c r="G145">
        <v>288.33300000000003</v>
      </c>
      <c r="H145">
        <v>1.3120000000000001</v>
      </c>
      <c r="I145">
        <v>0.45500000000000002</v>
      </c>
      <c r="J145">
        <v>10</v>
      </c>
      <c r="K145">
        <v>46</v>
      </c>
      <c r="L145">
        <v>24</v>
      </c>
      <c r="M145" s="1">
        <v>9000000000</v>
      </c>
    </row>
    <row r="146" spans="1:13" ht="15" customHeight="1">
      <c r="A146" t="s">
        <v>10</v>
      </c>
      <c r="B146">
        <f t="shared" si="8"/>
        <v>33.711578000000003</v>
      </c>
      <c r="C146">
        <f t="shared" si="9"/>
        <v>-117.87132699999999</v>
      </c>
      <c r="D146">
        <f t="shared" si="10"/>
        <v>45</v>
      </c>
      <c r="E146">
        <v>51.499000000000002</v>
      </c>
      <c r="F146">
        <f t="shared" si="11"/>
        <v>-6.4990000000000023</v>
      </c>
      <c r="G146">
        <v>320.96699999999998</v>
      </c>
      <c r="H146">
        <v>1.363</v>
      </c>
      <c r="I146">
        <v>0.42499999999999999</v>
      </c>
      <c r="J146">
        <v>10</v>
      </c>
      <c r="K146">
        <v>51</v>
      </c>
      <c r="L146">
        <v>27</v>
      </c>
      <c r="M146" s="1">
        <v>9000000000</v>
      </c>
    </row>
    <row r="147" spans="1:13" ht="15" customHeight="1">
      <c r="A147" t="s">
        <v>10</v>
      </c>
      <c r="B147">
        <f t="shared" si="8"/>
        <v>33.711578000000003</v>
      </c>
      <c r="C147">
        <f t="shared" si="9"/>
        <v>-117.87132699999999</v>
      </c>
      <c r="D147">
        <f t="shared" si="10"/>
        <v>45</v>
      </c>
      <c r="E147">
        <v>52.499000000000002</v>
      </c>
      <c r="F147">
        <f t="shared" si="11"/>
        <v>-7.4990000000000023</v>
      </c>
      <c r="G147">
        <v>309.57100000000003</v>
      </c>
      <c r="H147">
        <v>1.5429999999999999</v>
      </c>
      <c r="I147">
        <v>0.498</v>
      </c>
      <c r="J147">
        <v>10</v>
      </c>
      <c r="K147">
        <v>49</v>
      </c>
      <c r="L147">
        <v>25</v>
      </c>
      <c r="M147" s="1">
        <v>9000000000</v>
      </c>
    </row>
    <row r="148" spans="1:13" ht="15" customHeight="1">
      <c r="A148" t="s">
        <v>10</v>
      </c>
      <c r="B148">
        <f t="shared" si="8"/>
        <v>33.711578000000003</v>
      </c>
      <c r="C148">
        <f t="shared" si="9"/>
        <v>-117.87132699999999</v>
      </c>
      <c r="D148">
        <f t="shared" si="10"/>
        <v>45</v>
      </c>
      <c r="E148">
        <v>53.499000000000002</v>
      </c>
      <c r="F148">
        <f t="shared" si="11"/>
        <v>-8.4990000000000023</v>
      </c>
      <c r="G148">
        <v>317.233</v>
      </c>
      <c r="H148">
        <v>1.7869999999999999</v>
      </c>
      <c r="I148">
        <v>0.56299999999999994</v>
      </c>
      <c r="J148">
        <v>10</v>
      </c>
      <c r="K148">
        <v>51</v>
      </c>
      <c r="L148">
        <v>26</v>
      </c>
      <c r="M148" s="1">
        <v>9000000000</v>
      </c>
    </row>
    <row r="149" spans="1:13" ht="15" customHeight="1">
      <c r="A149" t="s">
        <v>10</v>
      </c>
      <c r="B149">
        <f t="shared" si="8"/>
        <v>33.711578000000003</v>
      </c>
      <c r="C149">
        <f t="shared" si="9"/>
        <v>-117.87132699999999</v>
      </c>
      <c r="D149">
        <f t="shared" si="10"/>
        <v>45</v>
      </c>
      <c r="E149">
        <v>54.499000000000002</v>
      </c>
      <c r="F149">
        <f t="shared" si="11"/>
        <v>-9.4990000000000023</v>
      </c>
      <c r="G149">
        <v>316.38299999999998</v>
      </c>
      <c r="H149">
        <v>1.988</v>
      </c>
      <c r="I149">
        <v>0.628</v>
      </c>
      <c r="J149">
        <v>10</v>
      </c>
      <c r="K149">
        <v>51</v>
      </c>
      <c r="L149">
        <v>26</v>
      </c>
      <c r="M149" s="1">
        <v>9000000000</v>
      </c>
    </row>
    <row r="150" spans="1:13" ht="15" customHeight="1">
      <c r="A150" t="s">
        <v>10</v>
      </c>
      <c r="B150">
        <f t="shared" si="8"/>
        <v>33.711578000000003</v>
      </c>
      <c r="C150">
        <f t="shared" si="9"/>
        <v>-117.87132699999999</v>
      </c>
      <c r="D150">
        <f t="shared" si="10"/>
        <v>45</v>
      </c>
      <c r="E150">
        <v>55.499000000000002</v>
      </c>
      <c r="F150">
        <f t="shared" si="11"/>
        <v>-10.499000000000002</v>
      </c>
      <c r="G150">
        <v>347.08300000000003</v>
      </c>
      <c r="H150">
        <v>2.0699999999999998</v>
      </c>
      <c r="I150">
        <v>0.59599999999999997</v>
      </c>
      <c r="J150">
        <v>10</v>
      </c>
      <c r="K150">
        <v>55</v>
      </c>
      <c r="L150">
        <v>28</v>
      </c>
      <c r="M150" s="1">
        <v>9000000000</v>
      </c>
    </row>
    <row r="151" spans="1:13" ht="15" customHeight="1">
      <c r="A151" t="s">
        <v>10</v>
      </c>
      <c r="B151">
        <f t="shared" si="8"/>
        <v>33.711578000000003</v>
      </c>
      <c r="C151">
        <f t="shared" si="9"/>
        <v>-117.87132699999999</v>
      </c>
      <c r="D151">
        <f t="shared" si="10"/>
        <v>45</v>
      </c>
      <c r="E151">
        <v>56.499000000000002</v>
      </c>
      <c r="F151">
        <f t="shared" si="11"/>
        <v>-11.499000000000002</v>
      </c>
      <c r="G151">
        <v>326.91699999999997</v>
      </c>
      <c r="H151">
        <v>1.552</v>
      </c>
      <c r="I151">
        <v>0.47499999999999998</v>
      </c>
      <c r="J151">
        <v>10</v>
      </c>
      <c r="K151">
        <v>52</v>
      </c>
      <c r="L151">
        <v>26</v>
      </c>
      <c r="M151" s="1">
        <v>9000000000</v>
      </c>
    </row>
    <row r="152" spans="1:13" ht="15" customHeight="1">
      <c r="A152" t="s">
        <v>10</v>
      </c>
      <c r="B152">
        <f t="shared" si="8"/>
        <v>33.711578000000003</v>
      </c>
      <c r="C152">
        <f t="shared" si="9"/>
        <v>-117.87132699999999</v>
      </c>
      <c r="D152">
        <f t="shared" si="10"/>
        <v>45</v>
      </c>
      <c r="E152">
        <v>57.499000000000002</v>
      </c>
      <c r="F152">
        <f t="shared" si="11"/>
        <v>-12.499000000000002</v>
      </c>
      <c r="G152">
        <v>372.55</v>
      </c>
      <c r="H152">
        <v>3</v>
      </c>
      <c r="I152">
        <v>0.80500000000000005</v>
      </c>
      <c r="J152">
        <v>10</v>
      </c>
      <c r="K152">
        <v>59</v>
      </c>
      <c r="L152">
        <v>30</v>
      </c>
      <c r="M152" s="1">
        <v>9000000000</v>
      </c>
    </row>
    <row r="153" spans="1:13" ht="15" customHeight="1">
      <c r="A153" t="s">
        <v>10</v>
      </c>
      <c r="B153">
        <f t="shared" si="8"/>
        <v>33.711578000000003</v>
      </c>
      <c r="C153">
        <f t="shared" si="9"/>
        <v>-117.87132699999999</v>
      </c>
      <c r="D153">
        <f t="shared" si="10"/>
        <v>45</v>
      </c>
      <c r="E153">
        <v>58.499000000000002</v>
      </c>
      <c r="F153">
        <f t="shared" si="11"/>
        <v>-13.499000000000002</v>
      </c>
      <c r="G153">
        <v>301.08300000000003</v>
      </c>
      <c r="H153">
        <v>2.96</v>
      </c>
      <c r="I153">
        <v>0.98299999999999998</v>
      </c>
      <c r="J153">
        <v>9</v>
      </c>
      <c r="K153">
        <v>58</v>
      </c>
      <c r="L153">
        <v>29</v>
      </c>
      <c r="M153" s="1">
        <v>9000000000</v>
      </c>
    </row>
    <row r="154" spans="1:13" ht="15" customHeight="1">
      <c r="A154" t="s">
        <v>10</v>
      </c>
      <c r="B154">
        <f t="shared" si="8"/>
        <v>33.711578000000003</v>
      </c>
      <c r="C154">
        <f t="shared" si="9"/>
        <v>-117.87132699999999</v>
      </c>
      <c r="D154">
        <f t="shared" si="10"/>
        <v>45</v>
      </c>
      <c r="E154">
        <v>59.499000000000002</v>
      </c>
      <c r="F154">
        <f t="shared" si="11"/>
        <v>-14.499000000000002</v>
      </c>
      <c r="G154">
        <v>81.266999999999996</v>
      </c>
      <c r="H154">
        <v>2.3719999999999999</v>
      </c>
      <c r="I154">
        <v>2.911</v>
      </c>
      <c r="J154">
        <v>6</v>
      </c>
      <c r="K154">
        <v>31</v>
      </c>
      <c r="L154">
        <v>16</v>
      </c>
      <c r="M154">
        <v>5.1879999999999997</v>
      </c>
    </row>
    <row r="155" spans="1:13" ht="15" customHeight="1">
      <c r="A155" t="s">
        <v>10</v>
      </c>
      <c r="B155">
        <f t="shared" si="8"/>
        <v>33.711578000000003</v>
      </c>
      <c r="C155">
        <f t="shared" si="9"/>
        <v>-117.87132699999999</v>
      </c>
      <c r="D155">
        <f t="shared" si="10"/>
        <v>45</v>
      </c>
      <c r="E155">
        <v>60.499000000000002</v>
      </c>
      <c r="F155">
        <f t="shared" si="11"/>
        <v>-15.499000000000002</v>
      </c>
      <c r="G155">
        <v>25.6</v>
      </c>
      <c r="H155">
        <v>0.997</v>
      </c>
      <c r="I155">
        <v>3.7280000000000002</v>
      </c>
      <c r="J155">
        <v>4</v>
      </c>
      <c r="K155">
        <v>17</v>
      </c>
      <c r="L155">
        <v>9</v>
      </c>
      <c r="M155">
        <v>1.534</v>
      </c>
    </row>
    <row r="156" spans="1:13" ht="15" customHeight="1">
      <c r="A156" t="s">
        <v>10</v>
      </c>
      <c r="B156">
        <f t="shared" si="8"/>
        <v>33.711578000000003</v>
      </c>
      <c r="C156">
        <f t="shared" si="9"/>
        <v>-117.87132699999999</v>
      </c>
      <c r="D156">
        <f t="shared" si="10"/>
        <v>45</v>
      </c>
      <c r="E156">
        <v>61.499000000000002</v>
      </c>
      <c r="F156">
        <f t="shared" si="11"/>
        <v>-16.499000000000002</v>
      </c>
      <c r="G156">
        <v>23.7</v>
      </c>
      <c r="H156">
        <v>0.8</v>
      </c>
      <c r="I156">
        <v>3.1389999999999998</v>
      </c>
      <c r="J156">
        <v>5</v>
      </c>
      <c r="K156">
        <v>12</v>
      </c>
      <c r="L156">
        <v>6</v>
      </c>
      <c r="M156">
        <v>1.4470000000000001</v>
      </c>
    </row>
    <row r="157" spans="1:13" ht="15" customHeight="1">
      <c r="A157" t="s">
        <v>10</v>
      </c>
      <c r="B157">
        <f t="shared" si="8"/>
        <v>33.711578000000003</v>
      </c>
      <c r="C157">
        <f t="shared" si="9"/>
        <v>-117.87132699999999</v>
      </c>
      <c r="D157">
        <f t="shared" si="10"/>
        <v>45</v>
      </c>
      <c r="E157">
        <v>62.499000000000002</v>
      </c>
      <c r="F157">
        <f t="shared" si="11"/>
        <v>-17.499000000000002</v>
      </c>
      <c r="G157">
        <v>215.82900000000001</v>
      </c>
      <c r="H157">
        <v>3.4889999999999999</v>
      </c>
      <c r="I157">
        <v>1.613</v>
      </c>
      <c r="J157">
        <v>8</v>
      </c>
      <c r="K157">
        <v>52</v>
      </c>
      <c r="L157">
        <v>26</v>
      </c>
      <c r="M157" s="1">
        <v>9000000000</v>
      </c>
    </row>
    <row r="158" spans="1:13" ht="15" customHeight="1">
      <c r="A158" t="s">
        <v>10</v>
      </c>
      <c r="B158">
        <f t="shared" si="8"/>
        <v>33.711578000000003</v>
      </c>
      <c r="C158">
        <f t="shared" si="9"/>
        <v>-117.87132699999999</v>
      </c>
      <c r="D158">
        <f t="shared" si="10"/>
        <v>45</v>
      </c>
      <c r="E158">
        <v>63.499000000000002</v>
      </c>
      <c r="F158">
        <f t="shared" si="11"/>
        <v>-18.499000000000002</v>
      </c>
      <c r="G158">
        <v>214.56700000000001</v>
      </c>
      <c r="H158">
        <v>3.0369999999999999</v>
      </c>
      <c r="I158">
        <v>1.415</v>
      </c>
      <c r="J158">
        <v>8</v>
      </c>
      <c r="K158">
        <v>51</v>
      </c>
      <c r="L158">
        <v>26</v>
      </c>
      <c r="M158" s="1">
        <v>9000000000</v>
      </c>
    </row>
    <row r="159" spans="1:13" ht="15" customHeight="1">
      <c r="A159" t="s">
        <v>10</v>
      </c>
      <c r="B159">
        <f t="shared" si="8"/>
        <v>33.711578000000003</v>
      </c>
      <c r="C159">
        <f t="shared" si="9"/>
        <v>-117.87132699999999</v>
      </c>
      <c r="D159">
        <f t="shared" si="10"/>
        <v>45</v>
      </c>
      <c r="E159">
        <v>64.498999999999995</v>
      </c>
      <c r="F159">
        <f t="shared" si="11"/>
        <v>-19.498999999999995</v>
      </c>
      <c r="G159">
        <v>78.132999999999996</v>
      </c>
      <c r="H159">
        <v>1.988</v>
      </c>
      <c r="I159">
        <v>2.5310000000000001</v>
      </c>
      <c r="J159">
        <v>6</v>
      </c>
      <c r="K159">
        <v>30</v>
      </c>
      <c r="L159">
        <v>15</v>
      </c>
      <c r="M159">
        <v>4.9729999999999999</v>
      </c>
    </row>
    <row r="160" spans="1:13" ht="15" customHeight="1">
      <c r="A160" t="s">
        <v>10</v>
      </c>
      <c r="B160">
        <f t="shared" si="8"/>
        <v>33.711578000000003</v>
      </c>
      <c r="C160">
        <f t="shared" si="9"/>
        <v>-117.87132699999999</v>
      </c>
      <c r="D160">
        <f t="shared" si="10"/>
        <v>45</v>
      </c>
      <c r="E160">
        <v>65.498999999999995</v>
      </c>
      <c r="F160">
        <f t="shared" si="11"/>
        <v>-20.498999999999995</v>
      </c>
      <c r="G160">
        <v>56.767000000000003</v>
      </c>
      <c r="H160">
        <v>1.4870000000000001</v>
      </c>
      <c r="I160">
        <v>2.569</v>
      </c>
      <c r="J160">
        <v>6</v>
      </c>
      <c r="K160">
        <v>22</v>
      </c>
      <c r="L160">
        <v>11</v>
      </c>
      <c r="M160">
        <v>3.589</v>
      </c>
    </row>
    <row r="161" spans="1:13" ht="15" customHeight="1">
      <c r="A161" t="s">
        <v>10</v>
      </c>
      <c r="B161">
        <f t="shared" si="8"/>
        <v>33.711578000000003</v>
      </c>
      <c r="C161">
        <f t="shared" si="9"/>
        <v>-117.87132699999999</v>
      </c>
      <c r="D161">
        <f t="shared" si="10"/>
        <v>45</v>
      </c>
      <c r="E161">
        <v>66.498999999999995</v>
      </c>
      <c r="F161">
        <f t="shared" si="11"/>
        <v>-21.498999999999995</v>
      </c>
      <c r="G161">
        <v>92.55</v>
      </c>
      <c r="H161">
        <v>1.5680000000000001</v>
      </c>
      <c r="I161">
        <v>1.66</v>
      </c>
      <c r="J161">
        <v>7</v>
      </c>
      <c r="K161">
        <v>30</v>
      </c>
      <c r="L161">
        <v>15</v>
      </c>
      <c r="M161" s="1">
        <v>9000000000</v>
      </c>
    </row>
    <row r="162" spans="1:13" ht="15" customHeight="1">
      <c r="A162" t="s">
        <v>10</v>
      </c>
      <c r="B162">
        <f t="shared" si="8"/>
        <v>33.711578000000003</v>
      </c>
      <c r="C162">
        <f t="shared" si="9"/>
        <v>-117.87132699999999</v>
      </c>
      <c r="D162">
        <f t="shared" si="10"/>
        <v>45</v>
      </c>
      <c r="E162">
        <v>67.498999999999995</v>
      </c>
      <c r="F162">
        <f t="shared" si="11"/>
        <v>-22.498999999999995</v>
      </c>
      <c r="G162">
        <v>313.96699999999998</v>
      </c>
      <c r="H162">
        <v>2.323</v>
      </c>
      <c r="I162">
        <v>0.74</v>
      </c>
      <c r="J162">
        <v>9</v>
      </c>
      <c r="K162">
        <v>60</v>
      </c>
      <c r="L162">
        <v>30</v>
      </c>
      <c r="M162" s="1">
        <v>9000000000</v>
      </c>
    </row>
    <row r="163" spans="1:13" ht="15" customHeight="1">
      <c r="A163" t="s">
        <v>10</v>
      </c>
      <c r="B163">
        <f t="shared" si="8"/>
        <v>33.711578000000003</v>
      </c>
      <c r="C163">
        <f t="shared" si="9"/>
        <v>-117.87132699999999</v>
      </c>
      <c r="D163">
        <f t="shared" si="10"/>
        <v>45</v>
      </c>
      <c r="E163">
        <v>68.498999999999995</v>
      </c>
      <c r="F163">
        <f t="shared" si="11"/>
        <v>-23.498999999999995</v>
      </c>
      <c r="G163">
        <v>318.08300000000003</v>
      </c>
      <c r="H163">
        <v>1.508</v>
      </c>
      <c r="I163">
        <v>0.47399999999999998</v>
      </c>
      <c r="J163">
        <v>10</v>
      </c>
      <c r="K163">
        <v>51</v>
      </c>
      <c r="L163">
        <v>26</v>
      </c>
      <c r="M163" s="1">
        <v>9000000000</v>
      </c>
    </row>
    <row r="164" spans="1:13" ht="15" customHeight="1">
      <c r="A164" t="s">
        <v>10</v>
      </c>
      <c r="B164">
        <f t="shared" si="8"/>
        <v>33.711578000000003</v>
      </c>
      <c r="C164">
        <f t="shared" si="9"/>
        <v>-117.87132699999999</v>
      </c>
      <c r="D164">
        <f t="shared" si="10"/>
        <v>45</v>
      </c>
      <c r="E164">
        <v>69.498999999999995</v>
      </c>
      <c r="F164">
        <f t="shared" si="11"/>
        <v>-24.498999999999995</v>
      </c>
      <c r="G164">
        <v>160.80000000000001</v>
      </c>
      <c r="H164">
        <v>1.617</v>
      </c>
      <c r="I164">
        <v>1.004</v>
      </c>
      <c r="J164">
        <v>9</v>
      </c>
      <c r="K164">
        <v>31</v>
      </c>
      <c r="L164">
        <v>16</v>
      </c>
      <c r="M164" s="1">
        <v>9000000000</v>
      </c>
    </row>
    <row r="165" spans="1:13" ht="15" customHeight="1">
      <c r="A165" t="s">
        <v>10</v>
      </c>
      <c r="B165">
        <f t="shared" si="8"/>
        <v>33.711578000000003</v>
      </c>
      <c r="C165">
        <f t="shared" si="9"/>
        <v>-117.87132699999999</v>
      </c>
      <c r="D165">
        <f t="shared" si="10"/>
        <v>45</v>
      </c>
      <c r="E165">
        <v>70.498999999999995</v>
      </c>
      <c r="F165">
        <f t="shared" si="11"/>
        <v>-25.498999999999995</v>
      </c>
      <c r="G165">
        <v>117.267</v>
      </c>
      <c r="H165">
        <v>1.883</v>
      </c>
      <c r="I165">
        <v>1.6</v>
      </c>
      <c r="J165">
        <v>8</v>
      </c>
      <c r="K165">
        <v>28</v>
      </c>
      <c r="L165">
        <v>14</v>
      </c>
      <c r="M165" s="1">
        <v>9000000000</v>
      </c>
    </row>
    <row r="166" spans="1:13" ht="15" customHeight="1">
      <c r="A166" t="s">
        <v>10</v>
      </c>
      <c r="B166">
        <f t="shared" si="8"/>
        <v>33.711578000000003</v>
      </c>
      <c r="C166">
        <f t="shared" si="9"/>
        <v>-117.87132699999999</v>
      </c>
      <c r="D166">
        <f t="shared" si="10"/>
        <v>45</v>
      </c>
      <c r="E166">
        <v>71.498999999999995</v>
      </c>
      <c r="F166">
        <f t="shared" si="11"/>
        <v>-26.498999999999995</v>
      </c>
      <c r="G166">
        <v>26.966999999999999</v>
      </c>
      <c r="H166">
        <v>0.63500000000000001</v>
      </c>
      <c r="I166">
        <v>2.2280000000000002</v>
      </c>
      <c r="J166">
        <v>6</v>
      </c>
      <c r="K166">
        <v>11</v>
      </c>
      <c r="L166">
        <v>6</v>
      </c>
      <c r="M166">
        <v>1.6060000000000001</v>
      </c>
    </row>
    <row r="167" spans="1:13" ht="15" customHeight="1">
      <c r="A167" t="s">
        <v>10</v>
      </c>
      <c r="B167">
        <f t="shared" si="8"/>
        <v>33.711578000000003</v>
      </c>
      <c r="C167">
        <f t="shared" si="9"/>
        <v>-117.87132699999999</v>
      </c>
      <c r="D167">
        <f t="shared" si="10"/>
        <v>45</v>
      </c>
      <c r="E167">
        <v>72.498999999999995</v>
      </c>
      <c r="F167">
        <f t="shared" si="11"/>
        <v>-27.498999999999995</v>
      </c>
      <c r="G167">
        <v>26.885999999999999</v>
      </c>
      <c r="H167">
        <v>0.72599999999999998</v>
      </c>
      <c r="I167">
        <v>2.5489999999999999</v>
      </c>
      <c r="J167">
        <v>6</v>
      </c>
      <c r="K167">
        <v>11</v>
      </c>
      <c r="L167">
        <v>6</v>
      </c>
      <c r="M167">
        <v>1.6</v>
      </c>
    </row>
    <row r="168" spans="1:13" ht="15" customHeight="1">
      <c r="A168" t="s">
        <v>10</v>
      </c>
      <c r="B168">
        <f t="shared" si="8"/>
        <v>33.711578000000003</v>
      </c>
      <c r="C168">
        <f t="shared" si="9"/>
        <v>-117.87132699999999</v>
      </c>
      <c r="D168">
        <f t="shared" si="10"/>
        <v>45</v>
      </c>
      <c r="E168">
        <v>73.498999999999995</v>
      </c>
      <c r="F168">
        <f t="shared" si="11"/>
        <v>-28.498999999999995</v>
      </c>
      <c r="G168">
        <v>32</v>
      </c>
      <c r="H168">
        <v>1.028</v>
      </c>
      <c r="I168">
        <v>3.0670000000000002</v>
      </c>
      <c r="J168">
        <v>5</v>
      </c>
      <c r="K168">
        <v>16</v>
      </c>
      <c r="L168">
        <v>8</v>
      </c>
      <c r="M168">
        <v>1.9330000000000001</v>
      </c>
    </row>
    <row r="169" spans="1:13" ht="15" customHeight="1">
      <c r="A169" t="s">
        <v>10</v>
      </c>
      <c r="B169">
        <f t="shared" si="8"/>
        <v>33.711578000000003</v>
      </c>
      <c r="C169">
        <f t="shared" si="9"/>
        <v>-117.87132699999999</v>
      </c>
      <c r="D169">
        <f t="shared" si="10"/>
        <v>45</v>
      </c>
      <c r="E169">
        <v>74.498999999999995</v>
      </c>
      <c r="F169">
        <f t="shared" si="11"/>
        <v>-29.498999999999995</v>
      </c>
      <c r="G169">
        <v>123.517</v>
      </c>
      <c r="H169">
        <v>2.58</v>
      </c>
      <c r="I169">
        <v>2.0920000000000001</v>
      </c>
      <c r="J169">
        <v>7</v>
      </c>
      <c r="K169">
        <v>39</v>
      </c>
      <c r="L169">
        <v>20</v>
      </c>
      <c r="M169" s="1">
        <v>9000000000</v>
      </c>
    </row>
    <row r="170" spans="1:13" ht="15" customHeight="1">
      <c r="A170" t="s">
        <v>10</v>
      </c>
      <c r="B170">
        <f t="shared" si="8"/>
        <v>33.711578000000003</v>
      </c>
      <c r="C170">
        <f t="shared" si="9"/>
        <v>-117.87132699999999</v>
      </c>
      <c r="D170">
        <f t="shared" si="10"/>
        <v>45</v>
      </c>
      <c r="E170">
        <v>75.498999999999995</v>
      </c>
      <c r="F170">
        <f t="shared" si="11"/>
        <v>-30.498999999999995</v>
      </c>
      <c r="G170">
        <v>85.55</v>
      </c>
      <c r="H170">
        <v>2.8620000000000001</v>
      </c>
      <c r="I170">
        <v>3.351</v>
      </c>
      <c r="J170">
        <v>6</v>
      </c>
      <c r="K170">
        <v>33</v>
      </c>
      <c r="L170">
        <v>17</v>
      </c>
      <c r="M170">
        <v>5.383</v>
      </c>
    </row>
    <row r="171" spans="1:13" ht="15" customHeight="1">
      <c r="A171" t="s">
        <v>10</v>
      </c>
      <c r="B171">
        <f t="shared" si="8"/>
        <v>33.711578000000003</v>
      </c>
      <c r="C171">
        <f t="shared" si="9"/>
        <v>-117.87132699999999</v>
      </c>
      <c r="D171">
        <f t="shared" si="10"/>
        <v>45</v>
      </c>
      <c r="E171">
        <v>76.498999999999995</v>
      </c>
      <c r="F171">
        <f t="shared" si="11"/>
        <v>-31.498999999999995</v>
      </c>
      <c r="G171">
        <v>36.35</v>
      </c>
      <c r="H171">
        <v>1.375</v>
      </c>
      <c r="I171">
        <v>3.7949999999999999</v>
      </c>
      <c r="J171">
        <v>5</v>
      </c>
      <c r="K171">
        <v>17</v>
      </c>
      <c r="L171">
        <v>9</v>
      </c>
      <c r="M171">
        <v>2.101</v>
      </c>
    </row>
    <row r="172" spans="1:13" ht="15" customHeight="1">
      <c r="A172" t="s">
        <v>10</v>
      </c>
      <c r="B172">
        <f t="shared" si="8"/>
        <v>33.711578000000003</v>
      </c>
      <c r="C172">
        <f t="shared" si="9"/>
        <v>-117.87132699999999</v>
      </c>
      <c r="D172">
        <f t="shared" si="10"/>
        <v>45</v>
      </c>
      <c r="E172">
        <v>77.498999999999995</v>
      </c>
      <c r="F172">
        <f t="shared" si="11"/>
        <v>-32.498999999999995</v>
      </c>
      <c r="G172">
        <v>54.05</v>
      </c>
      <c r="H172">
        <v>2.0979999999999999</v>
      </c>
      <c r="I172">
        <v>3.887</v>
      </c>
      <c r="J172">
        <v>5</v>
      </c>
      <c r="K172">
        <v>26</v>
      </c>
      <c r="L172">
        <v>13</v>
      </c>
      <c r="M172">
        <v>3.28</v>
      </c>
    </row>
    <row r="173" spans="1:13" ht="15" customHeight="1">
      <c r="A173" t="s">
        <v>10</v>
      </c>
      <c r="B173">
        <f t="shared" si="8"/>
        <v>33.711578000000003</v>
      </c>
      <c r="C173">
        <f t="shared" si="9"/>
        <v>-117.87132699999999</v>
      </c>
      <c r="D173">
        <f t="shared" si="10"/>
        <v>45</v>
      </c>
      <c r="E173">
        <v>78.498999999999995</v>
      </c>
      <c r="F173">
        <f t="shared" si="11"/>
        <v>-33.498999999999995</v>
      </c>
      <c r="G173">
        <v>59.966999999999999</v>
      </c>
      <c r="H173">
        <v>2.0350000000000001</v>
      </c>
      <c r="I173">
        <v>3.3959999999999999</v>
      </c>
      <c r="J173">
        <v>5</v>
      </c>
      <c r="K173">
        <v>29</v>
      </c>
      <c r="L173">
        <v>15</v>
      </c>
      <c r="M173">
        <v>3.6709999999999998</v>
      </c>
    </row>
    <row r="174" spans="1:13" ht="15" customHeight="1">
      <c r="A174" t="s">
        <v>10</v>
      </c>
      <c r="B174">
        <f t="shared" si="8"/>
        <v>33.711578000000003</v>
      </c>
      <c r="C174">
        <f t="shared" si="9"/>
        <v>-117.87132699999999</v>
      </c>
      <c r="D174">
        <f t="shared" si="10"/>
        <v>45</v>
      </c>
      <c r="E174">
        <v>79.498999999999995</v>
      </c>
      <c r="F174">
        <f t="shared" si="11"/>
        <v>-34.498999999999995</v>
      </c>
      <c r="G174">
        <v>38.6</v>
      </c>
      <c r="H174">
        <v>1.3979999999999999</v>
      </c>
      <c r="I174">
        <v>3.629</v>
      </c>
      <c r="J174">
        <v>5</v>
      </c>
      <c r="K174">
        <v>18</v>
      </c>
      <c r="L174">
        <v>9</v>
      </c>
      <c r="M174">
        <v>2.242</v>
      </c>
    </row>
    <row r="175" spans="1:13" ht="15" customHeight="1">
      <c r="A175" t="s">
        <v>10</v>
      </c>
      <c r="B175">
        <f t="shared" si="8"/>
        <v>33.711578000000003</v>
      </c>
      <c r="C175">
        <f t="shared" si="9"/>
        <v>-117.87132699999999</v>
      </c>
      <c r="D175">
        <f t="shared" si="10"/>
        <v>45</v>
      </c>
      <c r="E175">
        <v>80.498999999999995</v>
      </c>
      <c r="F175">
        <f t="shared" si="11"/>
        <v>-35.498999999999995</v>
      </c>
      <c r="G175">
        <v>135</v>
      </c>
      <c r="H175">
        <v>2.8719999999999999</v>
      </c>
      <c r="I175">
        <v>2.129</v>
      </c>
      <c r="J175">
        <v>7</v>
      </c>
      <c r="K175">
        <v>43</v>
      </c>
      <c r="L175">
        <v>22</v>
      </c>
      <c r="M175" s="1">
        <v>9000000000</v>
      </c>
    </row>
    <row r="176" spans="1:13" ht="15" customHeight="1">
      <c r="A176" t="s">
        <v>10</v>
      </c>
      <c r="B176">
        <f t="shared" si="8"/>
        <v>33.711578000000003</v>
      </c>
      <c r="C176">
        <f t="shared" si="9"/>
        <v>-117.87132699999999</v>
      </c>
      <c r="D176">
        <f t="shared" si="10"/>
        <v>45</v>
      </c>
      <c r="E176">
        <v>81.498999999999995</v>
      </c>
      <c r="F176">
        <f t="shared" si="11"/>
        <v>-36.498999999999995</v>
      </c>
      <c r="G176">
        <v>137.78299999999999</v>
      </c>
      <c r="H176">
        <v>2.0830000000000002</v>
      </c>
      <c r="I176">
        <v>1.514</v>
      </c>
      <c r="J176">
        <v>8</v>
      </c>
      <c r="K176">
        <v>33</v>
      </c>
      <c r="L176">
        <v>17</v>
      </c>
      <c r="M176" s="1">
        <v>9000000000</v>
      </c>
    </row>
    <row r="177" spans="1:13" ht="15" customHeight="1">
      <c r="A177" t="s">
        <v>10</v>
      </c>
      <c r="B177">
        <f t="shared" si="8"/>
        <v>33.711578000000003</v>
      </c>
      <c r="C177">
        <f t="shared" si="9"/>
        <v>-117.87132699999999</v>
      </c>
      <c r="D177">
        <f t="shared" si="10"/>
        <v>45</v>
      </c>
      <c r="E177">
        <v>82.498999999999995</v>
      </c>
      <c r="F177">
        <f t="shared" si="11"/>
        <v>-37.498999999999995</v>
      </c>
      <c r="G177">
        <v>32.917000000000002</v>
      </c>
      <c r="H177">
        <v>0.85799999999999998</v>
      </c>
      <c r="I177">
        <v>2.6179999999999999</v>
      </c>
      <c r="J177">
        <v>6</v>
      </c>
      <c r="K177">
        <v>13</v>
      </c>
      <c r="L177">
        <v>7</v>
      </c>
      <c r="M177">
        <v>1.8460000000000001</v>
      </c>
    </row>
    <row r="178" spans="1:13" ht="15" customHeight="1">
      <c r="A178" t="s">
        <v>10</v>
      </c>
      <c r="B178">
        <f t="shared" si="8"/>
        <v>33.711578000000003</v>
      </c>
      <c r="C178">
        <f t="shared" si="9"/>
        <v>-117.87132699999999</v>
      </c>
      <c r="D178">
        <f t="shared" si="10"/>
        <v>45</v>
      </c>
      <c r="E178">
        <v>83.498999999999995</v>
      </c>
      <c r="F178">
        <f t="shared" si="11"/>
        <v>-38.498999999999995</v>
      </c>
      <c r="G178">
        <v>29.486000000000001</v>
      </c>
      <c r="H178">
        <v>0.93700000000000006</v>
      </c>
      <c r="I178">
        <v>3.177</v>
      </c>
      <c r="J178">
        <v>5</v>
      </c>
      <c r="K178">
        <v>14</v>
      </c>
      <c r="L178">
        <v>7</v>
      </c>
      <c r="M178">
        <v>1.623</v>
      </c>
    </row>
    <row r="179" spans="1:13" ht="15" customHeight="1">
      <c r="A179" t="s">
        <v>10</v>
      </c>
      <c r="B179">
        <f t="shared" si="8"/>
        <v>33.711578000000003</v>
      </c>
      <c r="C179">
        <f t="shared" si="9"/>
        <v>-117.87132699999999</v>
      </c>
      <c r="D179">
        <f t="shared" si="10"/>
        <v>45</v>
      </c>
      <c r="E179">
        <v>84.498999999999995</v>
      </c>
      <c r="F179">
        <f t="shared" si="11"/>
        <v>-39.498999999999995</v>
      </c>
      <c r="G179">
        <v>33.616999999999997</v>
      </c>
      <c r="H179">
        <v>1.22</v>
      </c>
      <c r="I179">
        <v>3.617</v>
      </c>
      <c r="J179">
        <v>5</v>
      </c>
      <c r="K179">
        <v>16</v>
      </c>
      <c r="L179">
        <v>8</v>
      </c>
      <c r="M179">
        <v>1.901</v>
      </c>
    </row>
    <row r="180" spans="1:13" ht="15" customHeight="1">
      <c r="A180" t="s">
        <v>10</v>
      </c>
      <c r="B180">
        <f t="shared" si="8"/>
        <v>33.711578000000003</v>
      </c>
      <c r="C180">
        <f t="shared" si="9"/>
        <v>-117.87132699999999</v>
      </c>
      <c r="D180">
        <f t="shared" si="10"/>
        <v>45</v>
      </c>
      <c r="E180">
        <v>85.498999999999995</v>
      </c>
      <c r="F180">
        <f t="shared" si="11"/>
        <v>-40.498999999999995</v>
      </c>
      <c r="G180">
        <v>32.732999999999997</v>
      </c>
      <c r="H180">
        <v>1.1080000000000001</v>
      </c>
      <c r="I180">
        <v>3.3719999999999999</v>
      </c>
      <c r="J180">
        <v>5</v>
      </c>
      <c r="K180">
        <v>16</v>
      </c>
      <c r="L180">
        <v>8</v>
      </c>
      <c r="M180">
        <v>1.839</v>
      </c>
    </row>
    <row r="181" spans="1:13" ht="15" customHeight="1">
      <c r="A181" t="s">
        <v>10</v>
      </c>
      <c r="B181">
        <f t="shared" si="8"/>
        <v>33.711578000000003</v>
      </c>
      <c r="C181">
        <f t="shared" si="9"/>
        <v>-117.87132699999999</v>
      </c>
      <c r="D181">
        <f t="shared" si="10"/>
        <v>45</v>
      </c>
      <c r="E181">
        <v>86.498999999999995</v>
      </c>
      <c r="F181">
        <f t="shared" si="11"/>
        <v>-41.498999999999995</v>
      </c>
      <c r="G181">
        <v>105.45</v>
      </c>
      <c r="H181">
        <v>3.198</v>
      </c>
      <c r="I181">
        <v>3.03</v>
      </c>
      <c r="J181">
        <v>6</v>
      </c>
      <c r="K181">
        <v>40</v>
      </c>
      <c r="L181">
        <v>20</v>
      </c>
      <c r="M181">
        <v>6.6820000000000004</v>
      </c>
    </row>
    <row r="182" spans="1:13" ht="15" customHeight="1">
      <c r="A182" t="s">
        <v>10</v>
      </c>
      <c r="B182">
        <f t="shared" si="8"/>
        <v>33.711578000000003</v>
      </c>
      <c r="C182">
        <f t="shared" si="9"/>
        <v>-117.87132699999999</v>
      </c>
      <c r="D182">
        <f t="shared" si="10"/>
        <v>45</v>
      </c>
      <c r="E182">
        <v>87.498999999999995</v>
      </c>
      <c r="F182">
        <f t="shared" si="11"/>
        <v>-42.498999999999995</v>
      </c>
      <c r="G182">
        <v>228.233</v>
      </c>
      <c r="H182">
        <v>2.2229999999999999</v>
      </c>
      <c r="I182">
        <v>0.97499999999999998</v>
      </c>
      <c r="J182">
        <v>9</v>
      </c>
      <c r="K182">
        <v>44</v>
      </c>
      <c r="L182">
        <v>22</v>
      </c>
      <c r="M182" s="1">
        <v>9000000000</v>
      </c>
    </row>
    <row r="183" spans="1:13" ht="15" customHeight="1">
      <c r="A183" t="s">
        <v>10</v>
      </c>
      <c r="B183">
        <f t="shared" si="8"/>
        <v>33.711578000000003</v>
      </c>
      <c r="C183">
        <f t="shared" si="9"/>
        <v>-117.87132699999999</v>
      </c>
      <c r="D183">
        <f t="shared" si="10"/>
        <v>45</v>
      </c>
      <c r="E183">
        <v>88.498999999999995</v>
      </c>
      <c r="F183">
        <f t="shared" si="11"/>
        <v>-43.498999999999995</v>
      </c>
      <c r="G183">
        <v>193.88300000000001</v>
      </c>
      <c r="H183">
        <v>3.2669999999999999</v>
      </c>
      <c r="I183">
        <v>1.6859999999999999</v>
      </c>
      <c r="J183">
        <v>8</v>
      </c>
      <c r="K183">
        <v>46</v>
      </c>
      <c r="L183">
        <v>23</v>
      </c>
      <c r="M183" s="1">
        <v>9000000000</v>
      </c>
    </row>
    <row r="184" spans="1:13" ht="15" customHeight="1">
      <c r="A184" t="s">
        <v>10</v>
      </c>
      <c r="B184">
        <f t="shared" si="8"/>
        <v>33.711578000000003</v>
      </c>
      <c r="C184">
        <f t="shared" si="9"/>
        <v>-117.87132699999999</v>
      </c>
      <c r="D184">
        <f t="shared" si="10"/>
        <v>45</v>
      </c>
      <c r="E184">
        <v>89.498999999999995</v>
      </c>
      <c r="F184">
        <f t="shared" si="11"/>
        <v>-44.498999999999995</v>
      </c>
      <c r="G184">
        <v>57.8</v>
      </c>
      <c r="H184">
        <v>1.7949999999999999</v>
      </c>
      <c r="I184">
        <v>3.113</v>
      </c>
      <c r="J184">
        <v>6</v>
      </c>
      <c r="K184">
        <v>22</v>
      </c>
      <c r="L184">
        <v>11</v>
      </c>
      <c r="M184">
        <v>3.476</v>
      </c>
    </row>
    <row r="185" spans="1:13" ht="15" customHeight="1">
      <c r="A185" t="s">
        <v>10</v>
      </c>
      <c r="B185">
        <f t="shared" si="8"/>
        <v>33.711578000000003</v>
      </c>
      <c r="C185">
        <f t="shared" si="9"/>
        <v>-117.87132699999999</v>
      </c>
      <c r="D185">
        <f t="shared" si="10"/>
        <v>45</v>
      </c>
      <c r="E185">
        <v>90.498999999999995</v>
      </c>
      <c r="F185">
        <f t="shared" si="11"/>
        <v>-45.498999999999995</v>
      </c>
      <c r="G185">
        <v>125.333</v>
      </c>
      <c r="H185">
        <v>1.712</v>
      </c>
      <c r="I185">
        <v>1.3660000000000001</v>
      </c>
      <c r="J185">
        <v>8</v>
      </c>
      <c r="K185">
        <v>30</v>
      </c>
      <c r="L185">
        <v>15</v>
      </c>
      <c r="M185" s="1">
        <v>9000000000</v>
      </c>
    </row>
    <row r="186" spans="1:13" ht="15" customHeight="1">
      <c r="A186" t="s">
        <v>10</v>
      </c>
      <c r="B186">
        <f t="shared" si="8"/>
        <v>33.711578000000003</v>
      </c>
      <c r="C186">
        <f t="shared" si="9"/>
        <v>-117.87132699999999</v>
      </c>
      <c r="D186">
        <f t="shared" si="10"/>
        <v>45</v>
      </c>
      <c r="E186">
        <v>91.498999999999995</v>
      </c>
      <c r="F186">
        <f t="shared" si="11"/>
        <v>-46.498999999999995</v>
      </c>
      <c r="G186">
        <v>279.38299999999998</v>
      </c>
      <c r="H186">
        <v>2.1669999999999998</v>
      </c>
      <c r="I186">
        <v>0.77600000000000002</v>
      </c>
      <c r="J186">
        <v>9</v>
      </c>
      <c r="K186">
        <v>53</v>
      </c>
      <c r="L186">
        <v>27</v>
      </c>
      <c r="M186" s="1">
        <v>9000000000</v>
      </c>
    </row>
    <row r="187" spans="1:13" ht="15" customHeight="1">
      <c r="A187" t="s">
        <v>10</v>
      </c>
      <c r="B187">
        <f t="shared" si="8"/>
        <v>33.711578000000003</v>
      </c>
      <c r="C187">
        <f t="shared" si="9"/>
        <v>-117.87132699999999</v>
      </c>
      <c r="D187">
        <f t="shared" si="10"/>
        <v>45</v>
      </c>
      <c r="E187">
        <v>92.498999999999995</v>
      </c>
      <c r="F187">
        <f t="shared" si="11"/>
        <v>-47.498999999999995</v>
      </c>
      <c r="G187">
        <v>272.93299999999999</v>
      </c>
      <c r="H187">
        <v>1.7030000000000001</v>
      </c>
      <c r="I187">
        <v>0.625</v>
      </c>
      <c r="J187">
        <v>9</v>
      </c>
      <c r="K187">
        <v>52</v>
      </c>
      <c r="L187">
        <v>26</v>
      </c>
      <c r="M187" s="1">
        <v>9000000000</v>
      </c>
    </row>
    <row r="188" spans="1:13" ht="15" customHeight="1">
      <c r="A188" t="s">
        <v>10</v>
      </c>
      <c r="B188">
        <f t="shared" si="8"/>
        <v>33.711578000000003</v>
      </c>
      <c r="C188">
        <f t="shared" si="9"/>
        <v>-117.87132699999999</v>
      </c>
      <c r="D188">
        <f t="shared" si="10"/>
        <v>45</v>
      </c>
      <c r="E188">
        <v>93.498999999999995</v>
      </c>
      <c r="F188">
        <f t="shared" si="11"/>
        <v>-48.498999999999995</v>
      </c>
      <c r="G188">
        <v>335.25700000000001</v>
      </c>
      <c r="H188">
        <v>2.161</v>
      </c>
      <c r="I188">
        <v>0.64500000000000002</v>
      </c>
      <c r="J188">
        <v>10</v>
      </c>
      <c r="K188">
        <v>54</v>
      </c>
      <c r="L188">
        <v>27</v>
      </c>
      <c r="M188" s="1">
        <v>9000000000</v>
      </c>
    </row>
    <row r="189" spans="1:13" ht="15" customHeight="1">
      <c r="A189" t="s">
        <v>10</v>
      </c>
      <c r="B189">
        <f t="shared" si="8"/>
        <v>33.711578000000003</v>
      </c>
      <c r="C189">
        <f t="shared" si="9"/>
        <v>-117.87132699999999</v>
      </c>
      <c r="D189">
        <f t="shared" si="10"/>
        <v>45</v>
      </c>
      <c r="E189">
        <v>94.498999999999995</v>
      </c>
      <c r="F189">
        <f t="shared" si="11"/>
        <v>-49.498999999999995</v>
      </c>
      <c r="G189">
        <v>301.68299999999999</v>
      </c>
      <c r="H189">
        <v>2.0419999999999998</v>
      </c>
      <c r="I189">
        <v>0.67700000000000005</v>
      </c>
      <c r="J189">
        <v>9</v>
      </c>
      <c r="K189">
        <v>58</v>
      </c>
      <c r="L189">
        <v>29</v>
      </c>
      <c r="M189" s="1">
        <v>9000000000</v>
      </c>
    </row>
    <row r="190" spans="1:13" ht="15" customHeight="1">
      <c r="A190" t="s">
        <v>10</v>
      </c>
      <c r="B190">
        <f t="shared" si="8"/>
        <v>33.711578000000003</v>
      </c>
      <c r="C190">
        <f t="shared" si="9"/>
        <v>-117.87132699999999</v>
      </c>
      <c r="D190">
        <f t="shared" si="10"/>
        <v>45</v>
      </c>
      <c r="E190">
        <v>95.498999999999995</v>
      </c>
      <c r="F190">
        <f t="shared" si="11"/>
        <v>-50.498999999999995</v>
      </c>
      <c r="G190">
        <v>179.46700000000001</v>
      </c>
      <c r="H190">
        <v>3.2679999999999998</v>
      </c>
      <c r="I190">
        <v>1.82</v>
      </c>
      <c r="J190">
        <v>8</v>
      </c>
      <c r="K190">
        <v>43</v>
      </c>
      <c r="L190">
        <v>22</v>
      </c>
      <c r="M190" s="1">
        <v>9000000000</v>
      </c>
    </row>
    <row r="191" spans="1:13" ht="15" customHeight="1">
      <c r="A191" t="s">
        <v>10</v>
      </c>
      <c r="B191">
        <f t="shared" si="8"/>
        <v>33.711578000000003</v>
      </c>
      <c r="C191">
        <f t="shared" si="9"/>
        <v>-117.87132699999999</v>
      </c>
      <c r="D191">
        <f t="shared" si="10"/>
        <v>45</v>
      </c>
      <c r="E191">
        <v>96.498999999999995</v>
      </c>
      <c r="F191">
        <f t="shared" si="11"/>
        <v>-51.498999999999995</v>
      </c>
      <c r="G191">
        <v>277.56700000000001</v>
      </c>
      <c r="H191">
        <v>3.3279999999999998</v>
      </c>
      <c r="I191">
        <v>1.2</v>
      </c>
      <c r="J191">
        <v>9</v>
      </c>
      <c r="K191">
        <v>53</v>
      </c>
      <c r="L191">
        <v>27</v>
      </c>
      <c r="M191" s="1">
        <v>9000000000</v>
      </c>
    </row>
    <row r="192" spans="1:13" ht="15" customHeight="1">
      <c r="A192" t="s">
        <v>10</v>
      </c>
      <c r="B192">
        <f t="shared" si="8"/>
        <v>33.711578000000003</v>
      </c>
      <c r="C192">
        <f t="shared" si="9"/>
        <v>-117.87132699999999</v>
      </c>
      <c r="D192">
        <f t="shared" si="10"/>
        <v>45</v>
      </c>
      <c r="E192">
        <v>97.498999999999995</v>
      </c>
      <c r="F192">
        <f t="shared" si="11"/>
        <v>-52.498999999999995</v>
      </c>
      <c r="G192">
        <v>226.81700000000001</v>
      </c>
      <c r="H192">
        <v>5.3319999999999999</v>
      </c>
      <c r="I192">
        <v>2.3519999999999999</v>
      </c>
      <c r="J192">
        <v>7</v>
      </c>
      <c r="K192">
        <v>72</v>
      </c>
      <c r="L192">
        <v>36</v>
      </c>
      <c r="M192" s="1">
        <v>9000000000</v>
      </c>
    </row>
    <row r="193" spans="1:13" ht="15" customHeight="1">
      <c r="A193" t="s">
        <v>10</v>
      </c>
      <c r="B193">
        <f t="shared" si="8"/>
        <v>33.711578000000003</v>
      </c>
      <c r="C193">
        <f t="shared" si="9"/>
        <v>-117.87132699999999</v>
      </c>
      <c r="D193">
        <f t="shared" si="10"/>
        <v>45</v>
      </c>
      <c r="E193">
        <v>98.498999999999995</v>
      </c>
      <c r="F193">
        <f t="shared" si="11"/>
        <v>-53.498999999999995</v>
      </c>
      <c r="G193">
        <v>139.93299999999999</v>
      </c>
      <c r="H193">
        <v>7.5750000000000002</v>
      </c>
      <c r="I193">
        <v>5.42</v>
      </c>
      <c r="J193">
        <v>11</v>
      </c>
      <c r="K193">
        <v>134</v>
      </c>
      <c r="L193">
        <v>67</v>
      </c>
      <c r="M193" s="1">
        <v>9000000000</v>
      </c>
    </row>
    <row r="194" spans="1:13" ht="15" customHeight="1">
      <c r="A194" t="s">
        <v>10</v>
      </c>
      <c r="B194">
        <f t="shared" ref="B194:B257" si="12">VLOOKUP(A194,XYdata,3,FALSE)</f>
        <v>33.711578000000003</v>
      </c>
      <c r="C194">
        <f t="shared" ref="C194:C257" si="13">VLOOKUP(A194,XYdata,2,FALSE)</f>
        <v>-117.87132699999999</v>
      </c>
      <c r="D194">
        <f t="shared" ref="D194:D257" si="14">VLOOKUP(A194,Elevation,2,FALSE)</f>
        <v>45</v>
      </c>
      <c r="E194">
        <v>99.498999999999995</v>
      </c>
      <c r="F194">
        <f t="shared" si="11"/>
        <v>-54.498999999999995</v>
      </c>
      <c r="G194">
        <v>252.35</v>
      </c>
      <c r="H194">
        <v>4.032</v>
      </c>
      <c r="I194">
        <v>1.599</v>
      </c>
      <c r="J194">
        <v>8</v>
      </c>
      <c r="K194">
        <v>60</v>
      </c>
      <c r="L194">
        <v>30</v>
      </c>
      <c r="M194" s="1">
        <v>9000000000</v>
      </c>
    </row>
    <row r="195" spans="1:13" ht="15" customHeight="1">
      <c r="A195" t="s">
        <v>10</v>
      </c>
      <c r="B195">
        <f t="shared" si="12"/>
        <v>33.711578000000003</v>
      </c>
      <c r="C195">
        <f t="shared" si="13"/>
        <v>-117.87132699999999</v>
      </c>
      <c r="D195">
        <f t="shared" si="14"/>
        <v>45</v>
      </c>
      <c r="E195">
        <v>100.499</v>
      </c>
      <c r="F195">
        <f t="shared" ref="F195:F258" si="15">D195-E195</f>
        <v>-55.498999999999995</v>
      </c>
      <c r="G195">
        <v>374.08300000000003</v>
      </c>
      <c r="H195">
        <v>2.3980000000000001</v>
      </c>
      <c r="I195">
        <v>0.64100000000000001</v>
      </c>
      <c r="J195">
        <v>10</v>
      </c>
      <c r="K195">
        <v>60</v>
      </c>
      <c r="L195">
        <v>30</v>
      </c>
      <c r="M195" s="1">
        <v>9000000000</v>
      </c>
    </row>
    <row r="196" spans="1:13" ht="15" customHeight="1">
      <c r="A196" t="s">
        <v>10</v>
      </c>
      <c r="B196">
        <f t="shared" si="12"/>
        <v>33.711578000000003</v>
      </c>
      <c r="C196">
        <f t="shared" si="13"/>
        <v>-117.87132699999999</v>
      </c>
      <c r="D196">
        <f t="shared" si="14"/>
        <v>45</v>
      </c>
      <c r="E196">
        <v>101.499</v>
      </c>
      <c r="F196">
        <f t="shared" si="15"/>
        <v>-56.498999999999995</v>
      </c>
      <c r="G196">
        <v>397.71699999999998</v>
      </c>
      <c r="H196">
        <v>1.883</v>
      </c>
      <c r="I196">
        <v>0.47399999999999998</v>
      </c>
      <c r="J196">
        <v>10</v>
      </c>
      <c r="K196">
        <v>63</v>
      </c>
      <c r="L196">
        <v>32</v>
      </c>
      <c r="M196" s="1">
        <v>9000000000</v>
      </c>
    </row>
    <row r="197" spans="1:13" ht="15" customHeight="1">
      <c r="A197" t="s">
        <v>10</v>
      </c>
      <c r="B197">
        <f t="shared" si="12"/>
        <v>33.711578000000003</v>
      </c>
      <c r="C197">
        <f t="shared" si="13"/>
        <v>-117.87132699999999</v>
      </c>
      <c r="D197">
        <f t="shared" si="14"/>
        <v>45</v>
      </c>
      <c r="E197">
        <v>102.499</v>
      </c>
      <c r="F197">
        <f t="shared" si="15"/>
        <v>-57.498999999999995</v>
      </c>
      <c r="G197">
        <v>320.36700000000002</v>
      </c>
      <c r="H197">
        <v>2.0630000000000002</v>
      </c>
      <c r="I197">
        <v>0.64400000000000002</v>
      </c>
      <c r="J197">
        <v>10</v>
      </c>
      <c r="K197">
        <v>51</v>
      </c>
      <c r="L197">
        <v>26</v>
      </c>
      <c r="M197" s="1">
        <v>9000000000</v>
      </c>
    </row>
    <row r="198" spans="1:13" ht="15" customHeight="1">
      <c r="A198" t="s">
        <v>10</v>
      </c>
      <c r="B198">
        <f t="shared" si="12"/>
        <v>33.711578000000003</v>
      </c>
      <c r="C198">
        <f t="shared" si="13"/>
        <v>-117.87132699999999</v>
      </c>
      <c r="D198">
        <f t="shared" si="14"/>
        <v>45</v>
      </c>
      <c r="E198">
        <v>103.499</v>
      </c>
      <c r="F198">
        <f t="shared" si="15"/>
        <v>-58.498999999999995</v>
      </c>
      <c r="G198">
        <v>198.95</v>
      </c>
      <c r="H198">
        <v>3.3820000000000001</v>
      </c>
      <c r="I198">
        <v>1.7010000000000001</v>
      </c>
      <c r="J198">
        <v>8</v>
      </c>
      <c r="K198">
        <v>48</v>
      </c>
      <c r="L198">
        <v>24</v>
      </c>
      <c r="M198" s="1">
        <v>9000000000</v>
      </c>
    </row>
    <row r="199" spans="1:13" ht="15" customHeight="1">
      <c r="A199" t="s">
        <v>10</v>
      </c>
      <c r="B199">
        <f t="shared" si="12"/>
        <v>33.711578000000003</v>
      </c>
      <c r="C199">
        <f t="shared" si="13"/>
        <v>-117.87132699999999</v>
      </c>
      <c r="D199">
        <f t="shared" si="14"/>
        <v>45</v>
      </c>
      <c r="E199">
        <v>104.499</v>
      </c>
      <c r="F199">
        <f t="shared" si="15"/>
        <v>-59.498999999999995</v>
      </c>
      <c r="G199">
        <v>196.75700000000001</v>
      </c>
      <c r="H199">
        <v>3.9</v>
      </c>
      <c r="I199">
        <v>1.984</v>
      </c>
      <c r="J199">
        <v>7</v>
      </c>
      <c r="K199">
        <v>63</v>
      </c>
      <c r="L199">
        <v>32</v>
      </c>
      <c r="M199" s="1">
        <v>9000000000</v>
      </c>
    </row>
    <row r="200" spans="1:13" ht="15" customHeight="1">
      <c r="A200" t="s">
        <v>10</v>
      </c>
      <c r="B200">
        <f t="shared" si="12"/>
        <v>33.711578000000003</v>
      </c>
      <c r="C200">
        <f t="shared" si="13"/>
        <v>-117.87132699999999</v>
      </c>
      <c r="D200">
        <f t="shared" si="14"/>
        <v>45</v>
      </c>
      <c r="E200">
        <v>105.499</v>
      </c>
      <c r="F200">
        <f t="shared" si="15"/>
        <v>-60.498999999999995</v>
      </c>
      <c r="G200">
        <v>272.10000000000002</v>
      </c>
      <c r="H200">
        <v>1.8620000000000001</v>
      </c>
      <c r="I200">
        <v>0.68500000000000005</v>
      </c>
      <c r="J200">
        <v>9</v>
      </c>
      <c r="K200">
        <v>52</v>
      </c>
      <c r="L200">
        <v>26</v>
      </c>
      <c r="M200" s="1">
        <v>9000000000</v>
      </c>
    </row>
    <row r="201" spans="1:13" ht="15" customHeight="1">
      <c r="A201" t="s">
        <v>10</v>
      </c>
      <c r="B201">
        <f t="shared" si="12"/>
        <v>33.711578000000003</v>
      </c>
      <c r="C201">
        <f t="shared" si="13"/>
        <v>-117.87132699999999</v>
      </c>
      <c r="D201">
        <f t="shared" si="14"/>
        <v>45</v>
      </c>
      <c r="E201">
        <v>106.499</v>
      </c>
      <c r="F201">
        <f t="shared" si="15"/>
        <v>-61.498999999999995</v>
      </c>
      <c r="G201">
        <v>175.15</v>
      </c>
      <c r="H201">
        <v>2.5680000000000001</v>
      </c>
      <c r="I201">
        <v>1.468</v>
      </c>
      <c r="J201">
        <v>8</v>
      </c>
      <c r="K201">
        <v>42</v>
      </c>
      <c r="L201">
        <v>21</v>
      </c>
      <c r="M201" s="1">
        <v>9000000000</v>
      </c>
    </row>
    <row r="202" spans="1:13" ht="15" customHeight="1">
      <c r="A202" t="s">
        <v>10</v>
      </c>
      <c r="B202">
        <f t="shared" si="12"/>
        <v>33.711578000000003</v>
      </c>
      <c r="C202">
        <f t="shared" si="13"/>
        <v>-117.87132699999999</v>
      </c>
      <c r="D202">
        <f t="shared" si="14"/>
        <v>45</v>
      </c>
      <c r="E202">
        <v>107.499</v>
      </c>
      <c r="F202">
        <f t="shared" si="15"/>
        <v>-62.498999999999995</v>
      </c>
      <c r="G202">
        <v>107.333</v>
      </c>
      <c r="H202">
        <v>1.927</v>
      </c>
      <c r="I202">
        <v>1.7969999999999999</v>
      </c>
      <c r="J202">
        <v>7</v>
      </c>
      <c r="K202">
        <v>34</v>
      </c>
      <c r="L202">
        <v>17</v>
      </c>
      <c r="M202" s="1">
        <v>9000000000</v>
      </c>
    </row>
    <row r="203" spans="1:13" ht="15" customHeight="1">
      <c r="A203" t="s">
        <v>10</v>
      </c>
      <c r="B203">
        <f t="shared" si="12"/>
        <v>33.711578000000003</v>
      </c>
      <c r="C203">
        <f t="shared" si="13"/>
        <v>-117.87132699999999</v>
      </c>
      <c r="D203">
        <f t="shared" si="14"/>
        <v>45</v>
      </c>
      <c r="E203">
        <v>108.499</v>
      </c>
      <c r="F203">
        <f t="shared" si="15"/>
        <v>-63.498999999999995</v>
      </c>
      <c r="G203">
        <v>176.75</v>
      </c>
      <c r="H203">
        <v>2.7429999999999999</v>
      </c>
      <c r="I203">
        <v>1.554</v>
      </c>
      <c r="J203">
        <v>8</v>
      </c>
      <c r="K203">
        <v>42</v>
      </c>
      <c r="L203">
        <v>21</v>
      </c>
      <c r="M203" s="1">
        <v>9000000000</v>
      </c>
    </row>
    <row r="204" spans="1:13" ht="15" customHeight="1">
      <c r="A204" t="s">
        <v>10</v>
      </c>
      <c r="B204">
        <f t="shared" si="12"/>
        <v>33.711578000000003</v>
      </c>
      <c r="C204">
        <f t="shared" si="13"/>
        <v>-117.87132699999999</v>
      </c>
      <c r="D204">
        <f t="shared" si="14"/>
        <v>45</v>
      </c>
      <c r="E204">
        <v>109.499</v>
      </c>
      <c r="F204">
        <f t="shared" si="15"/>
        <v>-64.498999999999995</v>
      </c>
      <c r="G204">
        <v>153.28299999999999</v>
      </c>
      <c r="H204">
        <v>2.0129999999999999</v>
      </c>
      <c r="I204">
        <v>1.3149999999999999</v>
      </c>
      <c r="J204">
        <v>8</v>
      </c>
      <c r="K204">
        <v>37</v>
      </c>
      <c r="L204">
        <v>19</v>
      </c>
      <c r="M204" s="1">
        <v>9000000000</v>
      </c>
    </row>
    <row r="205" spans="1:13" ht="15" customHeight="1">
      <c r="A205" t="s">
        <v>10</v>
      </c>
      <c r="B205">
        <f t="shared" si="12"/>
        <v>33.711578000000003</v>
      </c>
      <c r="C205">
        <f t="shared" si="13"/>
        <v>-117.87132699999999</v>
      </c>
      <c r="D205">
        <f t="shared" si="14"/>
        <v>45</v>
      </c>
      <c r="E205">
        <v>110.499</v>
      </c>
      <c r="F205">
        <f t="shared" si="15"/>
        <v>-65.498999999999995</v>
      </c>
      <c r="G205">
        <v>54.917000000000002</v>
      </c>
      <c r="H205">
        <v>1.7969999999999999</v>
      </c>
      <c r="I205">
        <v>3.2749999999999999</v>
      </c>
      <c r="J205">
        <v>6</v>
      </c>
      <c r="K205">
        <v>21</v>
      </c>
      <c r="L205">
        <v>11</v>
      </c>
      <c r="M205">
        <v>3.2010000000000001</v>
      </c>
    </row>
    <row r="206" spans="1:13" ht="15" customHeight="1">
      <c r="A206" t="s">
        <v>10</v>
      </c>
      <c r="B206">
        <f t="shared" si="12"/>
        <v>33.711578000000003</v>
      </c>
      <c r="C206">
        <f t="shared" si="13"/>
        <v>-117.87132699999999</v>
      </c>
      <c r="D206">
        <f t="shared" si="14"/>
        <v>45</v>
      </c>
      <c r="E206">
        <v>111.499</v>
      </c>
      <c r="F206">
        <f t="shared" si="15"/>
        <v>-66.498999999999995</v>
      </c>
      <c r="G206">
        <v>42.232999999999997</v>
      </c>
      <c r="H206">
        <v>1.258</v>
      </c>
      <c r="I206">
        <v>2.9790000000000001</v>
      </c>
      <c r="J206">
        <v>6</v>
      </c>
      <c r="K206">
        <v>16</v>
      </c>
      <c r="L206">
        <v>8</v>
      </c>
      <c r="M206">
        <v>2.355</v>
      </c>
    </row>
    <row r="207" spans="1:13" ht="15" customHeight="1">
      <c r="A207" t="s">
        <v>10</v>
      </c>
      <c r="B207">
        <f t="shared" si="12"/>
        <v>33.711578000000003</v>
      </c>
      <c r="C207">
        <f t="shared" si="13"/>
        <v>-117.87132699999999</v>
      </c>
      <c r="D207">
        <f t="shared" si="14"/>
        <v>45</v>
      </c>
      <c r="E207">
        <v>112.499</v>
      </c>
      <c r="F207">
        <f t="shared" si="15"/>
        <v>-67.498999999999995</v>
      </c>
      <c r="G207">
        <v>76.233000000000004</v>
      </c>
      <c r="H207">
        <v>3.1480000000000001</v>
      </c>
      <c r="I207">
        <v>4.1280000000000001</v>
      </c>
      <c r="J207">
        <v>5</v>
      </c>
      <c r="K207">
        <v>37</v>
      </c>
      <c r="L207">
        <v>19</v>
      </c>
      <c r="M207">
        <v>4.6189999999999998</v>
      </c>
    </row>
    <row r="208" spans="1:13" ht="15" customHeight="1">
      <c r="A208" t="s">
        <v>10</v>
      </c>
      <c r="B208">
        <f t="shared" si="12"/>
        <v>33.711578000000003</v>
      </c>
      <c r="C208">
        <f t="shared" si="13"/>
        <v>-117.87132699999999</v>
      </c>
      <c r="D208">
        <f t="shared" si="14"/>
        <v>45</v>
      </c>
      <c r="E208">
        <v>113.499</v>
      </c>
      <c r="F208">
        <f t="shared" si="15"/>
        <v>-68.498999999999995</v>
      </c>
      <c r="G208">
        <v>135.05000000000001</v>
      </c>
      <c r="H208">
        <v>3.8919999999999999</v>
      </c>
      <c r="I208">
        <v>2.8849999999999998</v>
      </c>
      <c r="J208">
        <v>6</v>
      </c>
      <c r="K208">
        <v>52</v>
      </c>
      <c r="L208">
        <v>26</v>
      </c>
      <c r="M208">
        <v>8.5239999999999991</v>
      </c>
    </row>
    <row r="209" spans="1:13" ht="15" customHeight="1">
      <c r="A209" t="s">
        <v>10</v>
      </c>
      <c r="B209">
        <f t="shared" si="12"/>
        <v>33.711578000000003</v>
      </c>
      <c r="C209">
        <f t="shared" si="13"/>
        <v>-117.87132699999999</v>
      </c>
      <c r="D209">
        <f t="shared" si="14"/>
        <v>45</v>
      </c>
      <c r="E209">
        <v>114.499</v>
      </c>
      <c r="F209">
        <f t="shared" si="15"/>
        <v>-69.498999999999995</v>
      </c>
      <c r="G209">
        <v>61.343000000000004</v>
      </c>
      <c r="H209">
        <v>2.677</v>
      </c>
      <c r="I209">
        <v>4.3730000000000002</v>
      </c>
      <c r="J209">
        <v>5</v>
      </c>
      <c r="K209">
        <v>29</v>
      </c>
      <c r="L209">
        <v>15</v>
      </c>
      <c r="M209">
        <v>3.6080000000000001</v>
      </c>
    </row>
    <row r="210" spans="1:13" ht="15" customHeight="1">
      <c r="A210" t="s">
        <v>10</v>
      </c>
      <c r="B210">
        <f t="shared" si="12"/>
        <v>33.711578000000003</v>
      </c>
      <c r="C210">
        <f t="shared" si="13"/>
        <v>-117.87132699999999</v>
      </c>
      <c r="D210">
        <f t="shared" si="14"/>
        <v>45</v>
      </c>
      <c r="E210">
        <v>115.499</v>
      </c>
      <c r="F210">
        <f t="shared" si="15"/>
        <v>-70.498999999999995</v>
      </c>
      <c r="G210">
        <v>138.46700000000001</v>
      </c>
      <c r="H210">
        <v>5.82</v>
      </c>
      <c r="I210">
        <v>4.2069999999999999</v>
      </c>
      <c r="J210">
        <v>11</v>
      </c>
      <c r="K210">
        <v>133</v>
      </c>
      <c r="L210">
        <v>67</v>
      </c>
      <c r="M210" s="1">
        <v>9000000000</v>
      </c>
    </row>
    <row r="211" spans="1:13" ht="15" customHeight="1">
      <c r="A211" t="s">
        <v>10</v>
      </c>
      <c r="B211">
        <f t="shared" si="12"/>
        <v>33.711578000000003</v>
      </c>
      <c r="C211">
        <f t="shared" si="13"/>
        <v>-117.87132699999999</v>
      </c>
      <c r="D211">
        <f t="shared" si="14"/>
        <v>45</v>
      </c>
      <c r="E211">
        <v>116.499</v>
      </c>
      <c r="F211">
        <f t="shared" si="15"/>
        <v>-71.498999999999995</v>
      </c>
      <c r="G211">
        <v>164.21700000000001</v>
      </c>
      <c r="H211">
        <v>3.7829999999999999</v>
      </c>
      <c r="I211">
        <v>2.306</v>
      </c>
      <c r="J211">
        <v>7</v>
      </c>
      <c r="K211">
        <v>52</v>
      </c>
      <c r="L211">
        <v>26</v>
      </c>
      <c r="M211" s="1">
        <v>9000000000</v>
      </c>
    </row>
    <row r="212" spans="1:13" ht="15" customHeight="1">
      <c r="A212" t="s">
        <v>10</v>
      </c>
      <c r="B212">
        <f t="shared" si="12"/>
        <v>33.711578000000003</v>
      </c>
      <c r="C212">
        <f t="shared" si="13"/>
        <v>-117.87132699999999</v>
      </c>
      <c r="D212">
        <f t="shared" si="14"/>
        <v>45</v>
      </c>
      <c r="E212">
        <v>117.498</v>
      </c>
      <c r="F212">
        <f t="shared" si="15"/>
        <v>-72.498000000000005</v>
      </c>
      <c r="G212">
        <v>395.03300000000002</v>
      </c>
      <c r="H212">
        <v>4.1449999999999996</v>
      </c>
      <c r="I212">
        <v>1.05</v>
      </c>
      <c r="J212">
        <v>9</v>
      </c>
      <c r="K212">
        <v>76</v>
      </c>
      <c r="L212">
        <v>38</v>
      </c>
      <c r="M212" s="1">
        <v>9000000000</v>
      </c>
    </row>
    <row r="213" spans="1:13" ht="15" customHeight="1">
      <c r="A213" t="s">
        <v>10</v>
      </c>
      <c r="B213">
        <f t="shared" si="12"/>
        <v>33.711578000000003</v>
      </c>
      <c r="C213">
        <f t="shared" si="13"/>
        <v>-117.87132699999999</v>
      </c>
      <c r="D213">
        <f t="shared" si="14"/>
        <v>45</v>
      </c>
      <c r="E213">
        <v>118.498</v>
      </c>
      <c r="F213">
        <f t="shared" si="15"/>
        <v>-73.498000000000005</v>
      </c>
      <c r="G213">
        <v>422.3</v>
      </c>
      <c r="H213">
        <v>0</v>
      </c>
      <c r="I213">
        <v>0</v>
      </c>
      <c r="J213">
        <v>10</v>
      </c>
      <c r="K213" s="1">
        <v>9000000000</v>
      </c>
      <c r="L213" s="1">
        <v>9000000000</v>
      </c>
      <c r="M213" s="1">
        <v>9000000000</v>
      </c>
    </row>
    <row r="214" spans="1:13" ht="15" customHeight="1">
      <c r="A214" t="s">
        <v>11</v>
      </c>
      <c r="B214">
        <f t="shared" si="12"/>
        <v>33.712265000000002</v>
      </c>
      <c r="C214">
        <f t="shared" si="13"/>
        <v>-117.87132800000001</v>
      </c>
      <c r="D214">
        <f t="shared" si="14"/>
        <v>46</v>
      </c>
      <c r="E214">
        <v>0.5</v>
      </c>
      <c r="F214">
        <f t="shared" si="15"/>
        <v>45.5</v>
      </c>
      <c r="G214">
        <v>0.93300000000000005</v>
      </c>
      <c r="H214">
        <v>8.2000000000000003E-2</v>
      </c>
      <c r="I214">
        <v>7.99</v>
      </c>
      <c r="J214">
        <v>2</v>
      </c>
      <c r="K214">
        <v>1</v>
      </c>
      <c r="L214">
        <v>2</v>
      </c>
      <c r="M214">
        <v>6.0999999999999999E-2</v>
      </c>
    </row>
    <row r="215" spans="1:13" ht="15" customHeight="1">
      <c r="A215" t="s">
        <v>11</v>
      </c>
      <c r="B215">
        <f t="shared" si="12"/>
        <v>33.712265000000002</v>
      </c>
      <c r="C215">
        <f t="shared" si="13"/>
        <v>-117.87132800000001</v>
      </c>
      <c r="D215">
        <f t="shared" si="14"/>
        <v>46</v>
      </c>
      <c r="E215">
        <v>1.5</v>
      </c>
      <c r="F215">
        <f t="shared" si="15"/>
        <v>44.5</v>
      </c>
      <c r="G215">
        <v>15.35</v>
      </c>
      <c r="H215">
        <v>0.68500000000000005</v>
      </c>
      <c r="I215">
        <v>4.4340000000000002</v>
      </c>
      <c r="J215">
        <v>3</v>
      </c>
      <c r="K215">
        <v>15</v>
      </c>
      <c r="L215">
        <v>23</v>
      </c>
      <c r="M215">
        <v>1.0249999999999999</v>
      </c>
    </row>
    <row r="216" spans="1:13" ht="15" customHeight="1">
      <c r="A216" t="s">
        <v>11</v>
      </c>
      <c r="B216">
        <f t="shared" si="12"/>
        <v>33.712265000000002</v>
      </c>
      <c r="C216">
        <f t="shared" si="13"/>
        <v>-117.87132800000001</v>
      </c>
      <c r="D216">
        <f t="shared" si="14"/>
        <v>46</v>
      </c>
      <c r="E216">
        <v>2.5</v>
      </c>
      <c r="F216">
        <f t="shared" si="15"/>
        <v>43.5</v>
      </c>
      <c r="G216">
        <v>14.617000000000001</v>
      </c>
      <c r="H216">
        <v>0.42299999999999999</v>
      </c>
      <c r="I216">
        <v>2.8929999999999998</v>
      </c>
      <c r="J216">
        <v>5</v>
      </c>
      <c r="K216">
        <v>7</v>
      </c>
      <c r="L216">
        <v>11</v>
      </c>
      <c r="M216">
        <v>0.96699999999999997</v>
      </c>
    </row>
    <row r="217" spans="1:13" ht="15" customHeight="1">
      <c r="A217" t="s">
        <v>11</v>
      </c>
      <c r="B217">
        <f t="shared" si="12"/>
        <v>33.712265000000002</v>
      </c>
      <c r="C217">
        <f t="shared" si="13"/>
        <v>-117.87132800000001</v>
      </c>
      <c r="D217">
        <f t="shared" si="14"/>
        <v>46</v>
      </c>
      <c r="E217">
        <v>3.5</v>
      </c>
      <c r="F217">
        <f t="shared" si="15"/>
        <v>42.5</v>
      </c>
      <c r="G217">
        <v>10.55</v>
      </c>
      <c r="H217">
        <v>0.378</v>
      </c>
      <c r="I217">
        <v>3.5859999999999999</v>
      </c>
      <c r="J217">
        <v>3</v>
      </c>
      <c r="K217">
        <v>10</v>
      </c>
      <c r="L217">
        <v>15</v>
      </c>
      <c r="M217">
        <v>0.69099999999999995</v>
      </c>
    </row>
    <row r="218" spans="1:13" ht="15" customHeight="1">
      <c r="A218" t="s">
        <v>11</v>
      </c>
      <c r="B218">
        <f t="shared" si="12"/>
        <v>33.712265000000002</v>
      </c>
      <c r="C218">
        <f t="shared" si="13"/>
        <v>-117.87132800000001</v>
      </c>
      <c r="D218">
        <f t="shared" si="14"/>
        <v>46</v>
      </c>
      <c r="E218">
        <v>4.5</v>
      </c>
      <c r="F218">
        <f t="shared" si="15"/>
        <v>41.5</v>
      </c>
      <c r="G218">
        <v>9.2170000000000005</v>
      </c>
      <c r="H218">
        <v>0.33700000000000002</v>
      </c>
      <c r="I218">
        <v>3.653</v>
      </c>
      <c r="J218">
        <v>3</v>
      </c>
      <c r="K218">
        <v>9</v>
      </c>
      <c r="L218">
        <v>14</v>
      </c>
      <c r="M218">
        <v>0.59799999999999998</v>
      </c>
    </row>
    <row r="219" spans="1:13" ht="15" customHeight="1">
      <c r="A219" t="s">
        <v>11</v>
      </c>
      <c r="B219">
        <f t="shared" si="12"/>
        <v>33.712265000000002</v>
      </c>
      <c r="C219">
        <f t="shared" si="13"/>
        <v>-117.87132800000001</v>
      </c>
      <c r="D219">
        <f t="shared" si="14"/>
        <v>46</v>
      </c>
      <c r="E219">
        <v>5.5</v>
      </c>
      <c r="F219">
        <f t="shared" si="15"/>
        <v>40.5</v>
      </c>
      <c r="G219">
        <v>8.4670000000000005</v>
      </c>
      <c r="H219">
        <v>0.22500000000000001</v>
      </c>
      <c r="I219">
        <v>2.6110000000000002</v>
      </c>
      <c r="J219">
        <v>4</v>
      </c>
      <c r="K219">
        <v>6</v>
      </c>
      <c r="L219">
        <v>9</v>
      </c>
      <c r="M219">
        <v>0.55400000000000005</v>
      </c>
    </row>
    <row r="220" spans="1:13" ht="15" customHeight="1">
      <c r="A220" t="s">
        <v>11</v>
      </c>
      <c r="B220">
        <f t="shared" si="12"/>
        <v>33.712265000000002</v>
      </c>
      <c r="C220">
        <f t="shared" si="13"/>
        <v>-117.87132800000001</v>
      </c>
      <c r="D220">
        <f t="shared" si="14"/>
        <v>46</v>
      </c>
      <c r="E220">
        <v>6.5</v>
      </c>
      <c r="F220">
        <f t="shared" si="15"/>
        <v>39.5</v>
      </c>
      <c r="G220">
        <v>7.5830000000000002</v>
      </c>
      <c r="H220">
        <v>0.19800000000000001</v>
      </c>
      <c r="I220">
        <v>2.5870000000000002</v>
      </c>
      <c r="J220">
        <v>4</v>
      </c>
      <c r="K220">
        <v>5</v>
      </c>
      <c r="L220">
        <v>8</v>
      </c>
      <c r="M220">
        <v>0.48599999999999999</v>
      </c>
    </row>
    <row r="221" spans="1:13" ht="15" customHeight="1">
      <c r="A221" t="s">
        <v>11</v>
      </c>
      <c r="B221">
        <f t="shared" si="12"/>
        <v>33.712265000000002</v>
      </c>
      <c r="C221">
        <f t="shared" si="13"/>
        <v>-117.87132800000001</v>
      </c>
      <c r="D221">
        <f t="shared" si="14"/>
        <v>46</v>
      </c>
      <c r="E221">
        <v>7.5</v>
      </c>
      <c r="F221">
        <f t="shared" si="15"/>
        <v>38.5</v>
      </c>
      <c r="G221">
        <v>13.45</v>
      </c>
      <c r="H221">
        <v>0.33700000000000002</v>
      </c>
      <c r="I221">
        <v>2.4910000000000001</v>
      </c>
      <c r="J221">
        <v>5</v>
      </c>
      <c r="K221">
        <v>6</v>
      </c>
      <c r="L221">
        <v>9</v>
      </c>
      <c r="M221">
        <v>0.872</v>
      </c>
    </row>
    <row r="222" spans="1:13" ht="15" customHeight="1">
      <c r="A222" t="s">
        <v>11</v>
      </c>
      <c r="B222">
        <f t="shared" si="12"/>
        <v>33.712265000000002</v>
      </c>
      <c r="C222">
        <f t="shared" si="13"/>
        <v>-117.87132800000001</v>
      </c>
      <c r="D222">
        <f t="shared" si="14"/>
        <v>46</v>
      </c>
      <c r="E222">
        <v>8.5</v>
      </c>
      <c r="F222">
        <f t="shared" si="15"/>
        <v>37.5</v>
      </c>
      <c r="G222">
        <v>16.233000000000001</v>
      </c>
      <c r="H222">
        <v>0.56200000000000006</v>
      </c>
      <c r="I222">
        <v>3.46</v>
      </c>
      <c r="J222">
        <v>4</v>
      </c>
      <c r="K222">
        <v>10</v>
      </c>
      <c r="L222">
        <v>15</v>
      </c>
      <c r="M222">
        <v>1.0489999999999999</v>
      </c>
    </row>
    <row r="223" spans="1:13" ht="15" customHeight="1">
      <c r="A223" t="s">
        <v>11</v>
      </c>
      <c r="B223">
        <f t="shared" si="12"/>
        <v>33.712265000000002</v>
      </c>
      <c r="C223">
        <f t="shared" si="13"/>
        <v>-117.87132800000001</v>
      </c>
      <c r="D223">
        <f t="shared" si="14"/>
        <v>46</v>
      </c>
      <c r="E223">
        <v>9.5</v>
      </c>
      <c r="F223">
        <f t="shared" si="15"/>
        <v>36.5</v>
      </c>
      <c r="G223">
        <v>15.933</v>
      </c>
      <c r="H223">
        <v>0.47499999999999998</v>
      </c>
      <c r="I223">
        <v>2.9940000000000002</v>
      </c>
      <c r="J223">
        <v>5</v>
      </c>
      <c r="K223">
        <v>8</v>
      </c>
      <c r="L223">
        <v>12</v>
      </c>
      <c r="M223">
        <v>1.0209999999999999</v>
      </c>
    </row>
    <row r="224" spans="1:13" ht="15" customHeight="1">
      <c r="A224" t="s">
        <v>11</v>
      </c>
      <c r="B224">
        <f t="shared" si="12"/>
        <v>33.712265000000002</v>
      </c>
      <c r="C224">
        <f t="shared" si="13"/>
        <v>-117.87132800000001</v>
      </c>
      <c r="D224">
        <f t="shared" si="14"/>
        <v>46</v>
      </c>
      <c r="E224">
        <v>10.5</v>
      </c>
      <c r="F224">
        <f t="shared" si="15"/>
        <v>35.5</v>
      </c>
      <c r="G224">
        <v>16.399999999999999</v>
      </c>
      <c r="H224">
        <v>0.51400000000000001</v>
      </c>
      <c r="I224">
        <v>3.15</v>
      </c>
      <c r="J224">
        <v>5</v>
      </c>
      <c r="K224">
        <v>8</v>
      </c>
      <c r="L224">
        <v>12</v>
      </c>
      <c r="M224">
        <v>1.048</v>
      </c>
    </row>
    <row r="225" spans="1:13" ht="15" customHeight="1">
      <c r="A225" t="s">
        <v>11</v>
      </c>
      <c r="B225">
        <f t="shared" si="12"/>
        <v>33.712265000000002</v>
      </c>
      <c r="C225">
        <f t="shared" si="13"/>
        <v>-117.87132800000001</v>
      </c>
      <c r="D225">
        <f t="shared" si="14"/>
        <v>46</v>
      </c>
      <c r="E225">
        <v>11.5</v>
      </c>
      <c r="F225">
        <f t="shared" si="15"/>
        <v>34.5</v>
      </c>
      <c r="G225">
        <v>31.183</v>
      </c>
      <c r="H225">
        <v>0.67300000000000004</v>
      </c>
      <c r="I225">
        <v>2.169</v>
      </c>
      <c r="J225">
        <v>6</v>
      </c>
      <c r="K225">
        <v>12</v>
      </c>
      <c r="L225">
        <v>16</v>
      </c>
      <c r="M225">
        <v>2.0249999999999999</v>
      </c>
    </row>
    <row r="226" spans="1:13" ht="15" customHeight="1">
      <c r="A226" t="s">
        <v>11</v>
      </c>
      <c r="B226">
        <f t="shared" si="12"/>
        <v>33.712265000000002</v>
      </c>
      <c r="C226">
        <f t="shared" si="13"/>
        <v>-117.87132800000001</v>
      </c>
      <c r="D226">
        <f t="shared" si="14"/>
        <v>46</v>
      </c>
      <c r="E226">
        <v>12.5</v>
      </c>
      <c r="F226">
        <f t="shared" si="15"/>
        <v>33.5</v>
      </c>
      <c r="G226">
        <v>52.283000000000001</v>
      </c>
      <c r="H226">
        <v>0.40500000000000003</v>
      </c>
      <c r="I226">
        <v>0.77700000000000002</v>
      </c>
      <c r="J226">
        <v>8</v>
      </c>
      <c r="K226">
        <v>12</v>
      </c>
      <c r="L226">
        <v>15</v>
      </c>
      <c r="M226" s="1">
        <v>9000000000</v>
      </c>
    </row>
    <row r="227" spans="1:13" ht="15" customHeight="1">
      <c r="A227" t="s">
        <v>11</v>
      </c>
      <c r="B227">
        <f t="shared" si="12"/>
        <v>33.712265000000002</v>
      </c>
      <c r="C227">
        <f t="shared" si="13"/>
        <v>-117.87132800000001</v>
      </c>
      <c r="D227">
        <f t="shared" si="14"/>
        <v>46</v>
      </c>
      <c r="E227">
        <v>13.5</v>
      </c>
      <c r="F227">
        <f t="shared" si="15"/>
        <v>32.5</v>
      </c>
      <c r="G227">
        <v>9.9670000000000005</v>
      </c>
      <c r="H227">
        <v>0.22700000000000001</v>
      </c>
      <c r="I227">
        <v>2.2970000000000002</v>
      </c>
      <c r="J227">
        <v>5</v>
      </c>
      <c r="K227">
        <v>5</v>
      </c>
      <c r="L227">
        <v>6</v>
      </c>
      <c r="M227">
        <v>0.60499999999999998</v>
      </c>
    </row>
    <row r="228" spans="1:13" ht="15" customHeight="1">
      <c r="A228" t="s">
        <v>11</v>
      </c>
      <c r="B228">
        <f t="shared" si="12"/>
        <v>33.712265000000002</v>
      </c>
      <c r="C228">
        <f t="shared" si="13"/>
        <v>-117.87132800000001</v>
      </c>
      <c r="D228">
        <f t="shared" si="14"/>
        <v>46</v>
      </c>
      <c r="E228">
        <v>14.5</v>
      </c>
      <c r="F228">
        <f t="shared" si="15"/>
        <v>31.5</v>
      </c>
      <c r="G228">
        <v>7.85</v>
      </c>
      <c r="H228">
        <v>0.122</v>
      </c>
      <c r="I228">
        <v>1.5669999999999999</v>
      </c>
      <c r="J228">
        <v>5</v>
      </c>
      <c r="K228">
        <v>4</v>
      </c>
      <c r="L228">
        <v>5</v>
      </c>
      <c r="M228">
        <v>0.46100000000000002</v>
      </c>
    </row>
    <row r="229" spans="1:13" ht="15" customHeight="1">
      <c r="A229" t="s">
        <v>11</v>
      </c>
      <c r="B229">
        <f t="shared" si="12"/>
        <v>33.712265000000002</v>
      </c>
      <c r="C229">
        <f t="shared" si="13"/>
        <v>-117.87132800000001</v>
      </c>
      <c r="D229">
        <f t="shared" si="14"/>
        <v>46</v>
      </c>
      <c r="E229">
        <v>15.5</v>
      </c>
      <c r="F229">
        <f t="shared" si="15"/>
        <v>30.5</v>
      </c>
      <c r="G229">
        <v>11.983000000000001</v>
      </c>
      <c r="H229">
        <v>0.40200000000000002</v>
      </c>
      <c r="I229">
        <v>3.3660000000000001</v>
      </c>
      <c r="J229">
        <v>4</v>
      </c>
      <c r="K229">
        <v>8</v>
      </c>
      <c r="L229">
        <v>9</v>
      </c>
      <c r="M229">
        <v>0.73399999999999999</v>
      </c>
    </row>
    <row r="230" spans="1:13" ht="15" customHeight="1">
      <c r="A230" t="s">
        <v>11</v>
      </c>
      <c r="B230">
        <f t="shared" si="12"/>
        <v>33.712265000000002</v>
      </c>
      <c r="C230">
        <f t="shared" si="13"/>
        <v>-117.87132800000001</v>
      </c>
      <c r="D230">
        <f t="shared" si="14"/>
        <v>46</v>
      </c>
      <c r="E230">
        <v>16.5</v>
      </c>
      <c r="F230">
        <f t="shared" si="15"/>
        <v>29.5</v>
      </c>
      <c r="G230">
        <v>10.867000000000001</v>
      </c>
      <c r="H230">
        <v>0.36799999999999999</v>
      </c>
      <c r="I230">
        <v>3.379</v>
      </c>
      <c r="J230">
        <v>4</v>
      </c>
      <c r="K230">
        <v>7</v>
      </c>
      <c r="L230">
        <v>7</v>
      </c>
      <c r="M230">
        <v>0.66100000000000003</v>
      </c>
    </row>
    <row r="231" spans="1:13" ht="15" customHeight="1">
      <c r="A231" t="s">
        <v>11</v>
      </c>
      <c r="B231">
        <f t="shared" si="12"/>
        <v>33.712265000000002</v>
      </c>
      <c r="C231">
        <f t="shared" si="13"/>
        <v>-117.87132800000001</v>
      </c>
      <c r="D231">
        <f t="shared" si="14"/>
        <v>46</v>
      </c>
      <c r="E231">
        <v>17.5</v>
      </c>
      <c r="F231">
        <f t="shared" si="15"/>
        <v>28.5</v>
      </c>
      <c r="G231">
        <v>15.417</v>
      </c>
      <c r="H231">
        <v>0.42699999999999999</v>
      </c>
      <c r="I231">
        <v>2.7559999999999998</v>
      </c>
      <c r="J231">
        <v>5</v>
      </c>
      <c r="K231">
        <v>7</v>
      </c>
      <c r="L231">
        <v>7</v>
      </c>
      <c r="M231">
        <v>0.96299999999999997</v>
      </c>
    </row>
    <row r="232" spans="1:13" ht="15" customHeight="1">
      <c r="A232" t="s">
        <v>11</v>
      </c>
      <c r="B232">
        <f t="shared" si="12"/>
        <v>33.712265000000002</v>
      </c>
      <c r="C232">
        <f t="shared" si="13"/>
        <v>-117.87132800000001</v>
      </c>
      <c r="D232">
        <f t="shared" si="14"/>
        <v>46</v>
      </c>
      <c r="E232">
        <v>18.5</v>
      </c>
      <c r="F232">
        <f t="shared" si="15"/>
        <v>27.5</v>
      </c>
      <c r="G232">
        <v>32.85</v>
      </c>
      <c r="H232">
        <v>0.80300000000000005</v>
      </c>
      <c r="I232">
        <v>2.4500000000000002</v>
      </c>
      <c r="J232">
        <v>6</v>
      </c>
      <c r="K232">
        <v>13</v>
      </c>
      <c r="L232">
        <v>12</v>
      </c>
      <c r="M232">
        <v>2.1120000000000001</v>
      </c>
    </row>
    <row r="233" spans="1:13" ht="15" customHeight="1">
      <c r="A233" t="s">
        <v>11</v>
      </c>
      <c r="B233">
        <f t="shared" si="12"/>
        <v>33.712265000000002</v>
      </c>
      <c r="C233">
        <f t="shared" si="13"/>
        <v>-117.87132800000001</v>
      </c>
      <c r="D233">
        <f t="shared" si="14"/>
        <v>46</v>
      </c>
      <c r="E233">
        <v>19.5</v>
      </c>
      <c r="F233">
        <f t="shared" si="15"/>
        <v>26.5</v>
      </c>
      <c r="G233">
        <v>21.917000000000002</v>
      </c>
      <c r="H233">
        <v>0.48199999999999998</v>
      </c>
      <c r="I233">
        <v>2.2040000000000002</v>
      </c>
      <c r="J233">
        <v>6</v>
      </c>
      <c r="K233">
        <v>8</v>
      </c>
      <c r="L233">
        <v>7</v>
      </c>
      <c r="M233">
        <v>1.379</v>
      </c>
    </row>
    <row r="234" spans="1:13" ht="15" customHeight="1">
      <c r="A234" t="s">
        <v>11</v>
      </c>
      <c r="B234">
        <f t="shared" si="12"/>
        <v>33.712265000000002</v>
      </c>
      <c r="C234">
        <f t="shared" si="13"/>
        <v>-117.87132800000001</v>
      </c>
      <c r="D234">
        <f t="shared" si="14"/>
        <v>46</v>
      </c>
      <c r="E234">
        <v>20.5</v>
      </c>
      <c r="F234">
        <f t="shared" si="15"/>
        <v>25.5</v>
      </c>
      <c r="G234">
        <v>9.8859999999999992</v>
      </c>
      <c r="H234">
        <v>0.31900000000000001</v>
      </c>
      <c r="I234">
        <v>3.2130000000000001</v>
      </c>
      <c r="J234">
        <v>4</v>
      </c>
      <c r="K234">
        <v>6</v>
      </c>
      <c r="L234">
        <v>5</v>
      </c>
      <c r="M234">
        <v>0.57899999999999996</v>
      </c>
    </row>
    <row r="235" spans="1:13" ht="15" customHeight="1">
      <c r="A235" t="s">
        <v>11</v>
      </c>
      <c r="B235">
        <f t="shared" si="12"/>
        <v>33.712265000000002</v>
      </c>
      <c r="C235">
        <f t="shared" si="13"/>
        <v>-117.87132800000001</v>
      </c>
      <c r="D235">
        <f t="shared" si="14"/>
        <v>46</v>
      </c>
      <c r="E235">
        <v>21.5</v>
      </c>
      <c r="F235">
        <f t="shared" si="15"/>
        <v>24.5</v>
      </c>
      <c r="G235">
        <v>9.7669999999999995</v>
      </c>
      <c r="H235">
        <v>0.31</v>
      </c>
      <c r="I235">
        <v>3.153</v>
      </c>
      <c r="J235">
        <v>4</v>
      </c>
      <c r="K235">
        <v>6</v>
      </c>
      <c r="L235">
        <v>5</v>
      </c>
      <c r="M235">
        <v>0.56999999999999995</v>
      </c>
    </row>
    <row r="236" spans="1:13" ht="15" customHeight="1">
      <c r="A236" t="s">
        <v>11</v>
      </c>
      <c r="B236">
        <f t="shared" si="12"/>
        <v>33.712265000000002</v>
      </c>
      <c r="C236">
        <f t="shared" si="13"/>
        <v>-117.87132800000001</v>
      </c>
      <c r="D236">
        <f t="shared" si="14"/>
        <v>46</v>
      </c>
      <c r="E236">
        <v>22.5</v>
      </c>
      <c r="F236">
        <f t="shared" si="15"/>
        <v>23.5</v>
      </c>
      <c r="G236">
        <v>12.8</v>
      </c>
      <c r="H236">
        <v>0.29799999999999999</v>
      </c>
      <c r="I236">
        <v>2.3039999999999998</v>
      </c>
      <c r="J236">
        <v>5</v>
      </c>
      <c r="K236">
        <v>6</v>
      </c>
      <c r="L236">
        <v>5</v>
      </c>
      <c r="M236">
        <v>0.77400000000000002</v>
      </c>
    </row>
    <row r="237" spans="1:13" ht="15" customHeight="1">
      <c r="A237" t="s">
        <v>11</v>
      </c>
      <c r="B237">
        <f t="shared" si="12"/>
        <v>33.712265000000002</v>
      </c>
      <c r="C237">
        <f t="shared" si="13"/>
        <v>-117.87132800000001</v>
      </c>
      <c r="D237">
        <f t="shared" si="14"/>
        <v>46</v>
      </c>
      <c r="E237">
        <v>23.5</v>
      </c>
      <c r="F237">
        <f t="shared" si="15"/>
        <v>22.5</v>
      </c>
      <c r="G237">
        <v>17.016999999999999</v>
      </c>
      <c r="H237">
        <v>0.58199999999999996</v>
      </c>
      <c r="I237">
        <v>3.395</v>
      </c>
      <c r="J237">
        <v>4</v>
      </c>
      <c r="K237">
        <v>11</v>
      </c>
      <c r="L237">
        <v>8</v>
      </c>
      <c r="M237">
        <v>1.0489999999999999</v>
      </c>
    </row>
    <row r="238" spans="1:13" ht="15" customHeight="1">
      <c r="A238" t="s">
        <v>11</v>
      </c>
      <c r="B238">
        <f t="shared" si="12"/>
        <v>33.712265000000002</v>
      </c>
      <c r="C238">
        <f t="shared" si="13"/>
        <v>-117.87132800000001</v>
      </c>
      <c r="D238">
        <f t="shared" si="14"/>
        <v>46</v>
      </c>
      <c r="E238">
        <v>24.5</v>
      </c>
      <c r="F238">
        <f t="shared" si="15"/>
        <v>21.5</v>
      </c>
      <c r="G238">
        <v>10.3</v>
      </c>
      <c r="H238">
        <v>0.27800000000000002</v>
      </c>
      <c r="I238">
        <v>2.6720000000000002</v>
      </c>
      <c r="J238">
        <v>4</v>
      </c>
      <c r="K238">
        <v>7</v>
      </c>
      <c r="L238">
        <v>5</v>
      </c>
      <c r="M238">
        <v>0.59699999999999998</v>
      </c>
    </row>
    <row r="239" spans="1:13" ht="15" customHeight="1">
      <c r="A239" t="s">
        <v>11</v>
      </c>
      <c r="B239">
        <f t="shared" si="12"/>
        <v>33.712265000000002</v>
      </c>
      <c r="C239">
        <f t="shared" si="13"/>
        <v>-117.87132800000001</v>
      </c>
      <c r="D239">
        <f t="shared" si="14"/>
        <v>46</v>
      </c>
      <c r="E239">
        <v>25.5</v>
      </c>
      <c r="F239">
        <f t="shared" si="15"/>
        <v>20.5</v>
      </c>
      <c r="G239">
        <v>9.5</v>
      </c>
      <c r="H239">
        <v>0.32500000000000001</v>
      </c>
      <c r="I239">
        <v>3.3740000000000001</v>
      </c>
      <c r="J239">
        <v>3</v>
      </c>
      <c r="K239">
        <v>9</v>
      </c>
      <c r="L239">
        <v>7</v>
      </c>
      <c r="M239">
        <v>0.54100000000000004</v>
      </c>
    </row>
    <row r="240" spans="1:13" ht="15" customHeight="1">
      <c r="A240" t="s">
        <v>11</v>
      </c>
      <c r="B240">
        <f t="shared" si="12"/>
        <v>33.712265000000002</v>
      </c>
      <c r="C240">
        <f t="shared" si="13"/>
        <v>-117.87132800000001</v>
      </c>
      <c r="D240">
        <f t="shared" si="14"/>
        <v>46</v>
      </c>
      <c r="E240">
        <v>26.5</v>
      </c>
      <c r="F240">
        <f t="shared" si="15"/>
        <v>19.5</v>
      </c>
      <c r="G240">
        <v>11.117000000000001</v>
      </c>
      <c r="H240">
        <v>0.39700000000000002</v>
      </c>
      <c r="I240">
        <v>3.5</v>
      </c>
      <c r="J240">
        <v>4</v>
      </c>
      <c r="K240">
        <v>7</v>
      </c>
      <c r="L240">
        <v>5</v>
      </c>
      <c r="M240">
        <v>0.65</v>
      </c>
    </row>
    <row r="241" spans="1:13" ht="15" customHeight="1">
      <c r="A241" t="s">
        <v>11</v>
      </c>
      <c r="B241">
        <f t="shared" si="12"/>
        <v>33.712265000000002</v>
      </c>
      <c r="C241">
        <f t="shared" si="13"/>
        <v>-117.87132800000001</v>
      </c>
      <c r="D241">
        <f t="shared" si="14"/>
        <v>46</v>
      </c>
      <c r="E241">
        <v>27.5</v>
      </c>
      <c r="F241">
        <f t="shared" si="15"/>
        <v>18.5</v>
      </c>
      <c r="G241">
        <v>11.282999999999999</v>
      </c>
      <c r="H241">
        <v>0.40500000000000003</v>
      </c>
      <c r="I241">
        <v>3.5369999999999999</v>
      </c>
      <c r="J241">
        <v>4</v>
      </c>
      <c r="K241">
        <v>7</v>
      </c>
      <c r="L241">
        <v>5</v>
      </c>
      <c r="M241">
        <v>0.65400000000000003</v>
      </c>
    </row>
    <row r="242" spans="1:13" ht="15" customHeight="1">
      <c r="A242" t="s">
        <v>11</v>
      </c>
      <c r="B242">
        <f t="shared" si="12"/>
        <v>33.712265000000002</v>
      </c>
      <c r="C242">
        <f t="shared" si="13"/>
        <v>-117.87132800000001</v>
      </c>
      <c r="D242">
        <f t="shared" si="14"/>
        <v>46</v>
      </c>
      <c r="E242">
        <v>28.5</v>
      </c>
      <c r="F242">
        <f t="shared" si="15"/>
        <v>17.5</v>
      </c>
      <c r="G242">
        <v>12.567</v>
      </c>
      <c r="H242">
        <v>0.46200000000000002</v>
      </c>
      <c r="I242">
        <v>3.6160000000000001</v>
      </c>
      <c r="J242">
        <v>4</v>
      </c>
      <c r="K242">
        <v>8</v>
      </c>
      <c r="L242">
        <v>6</v>
      </c>
      <c r="M242">
        <v>0.73799999999999999</v>
      </c>
    </row>
    <row r="243" spans="1:13" ht="15" customHeight="1">
      <c r="A243" t="s">
        <v>11</v>
      </c>
      <c r="B243">
        <f t="shared" si="12"/>
        <v>33.712265000000002</v>
      </c>
      <c r="C243">
        <f t="shared" si="13"/>
        <v>-117.87132800000001</v>
      </c>
      <c r="D243">
        <f t="shared" si="14"/>
        <v>46</v>
      </c>
      <c r="E243">
        <v>29.5</v>
      </c>
      <c r="F243">
        <f t="shared" si="15"/>
        <v>16.5</v>
      </c>
      <c r="G243">
        <v>14.05</v>
      </c>
      <c r="H243">
        <v>0.42299999999999999</v>
      </c>
      <c r="I243">
        <v>2.9529999999999998</v>
      </c>
      <c r="J243">
        <v>5</v>
      </c>
      <c r="K243">
        <v>7</v>
      </c>
      <c r="L243">
        <v>5</v>
      </c>
      <c r="M243">
        <v>0.83799999999999997</v>
      </c>
    </row>
    <row r="244" spans="1:13" ht="15" customHeight="1">
      <c r="A244" t="s">
        <v>11</v>
      </c>
      <c r="B244">
        <f t="shared" si="12"/>
        <v>33.712265000000002</v>
      </c>
      <c r="C244">
        <f t="shared" si="13"/>
        <v>-117.87132800000001</v>
      </c>
      <c r="D244">
        <f t="shared" si="14"/>
        <v>46</v>
      </c>
      <c r="E244">
        <v>30.5</v>
      </c>
      <c r="F244">
        <f t="shared" si="15"/>
        <v>15.5</v>
      </c>
      <c r="G244">
        <v>15.7</v>
      </c>
      <c r="H244">
        <v>0.38700000000000001</v>
      </c>
      <c r="I244">
        <v>2.4220000000000002</v>
      </c>
      <c r="J244">
        <v>5</v>
      </c>
      <c r="K244">
        <v>8</v>
      </c>
      <c r="L244">
        <v>5</v>
      </c>
      <c r="M244">
        <v>0.94299999999999995</v>
      </c>
    </row>
    <row r="245" spans="1:13" ht="15" customHeight="1">
      <c r="A245" t="s">
        <v>11</v>
      </c>
      <c r="B245">
        <f t="shared" si="12"/>
        <v>33.712265000000002</v>
      </c>
      <c r="C245">
        <f t="shared" si="13"/>
        <v>-117.87132800000001</v>
      </c>
      <c r="D245">
        <f t="shared" si="14"/>
        <v>46</v>
      </c>
      <c r="E245">
        <v>31.5</v>
      </c>
      <c r="F245">
        <f t="shared" si="15"/>
        <v>14.5</v>
      </c>
      <c r="G245">
        <v>35.286000000000001</v>
      </c>
      <c r="H245">
        <v>0.48399999999999999</v>
      </c>
      <c r="I245">
        <v>1.371</v>
      </c>
      <c r="J245">
        <v>7</v>
      </c>
      <c r="K245">
        <v>11</v>
      </c>
      <c r="L245">
        <v>7</v>
      </c>
      <c r="M245" s="1">
        <v>9000000000</v>
      </c>
    </row>
    <row r="246" spans="1:13" ht="15" customHeight="1">
      <c r="A246" t="s">
        <v>11</v>
      </c>
      <c r="B246">
        <f t="shared" si="12"/>
        <v>33.712265000000002</v>
      </c>
      <c r="C246">
        <f t="shared" si="13"/>
        <v>-117.87132800000001</v>
      </c>
      <c r="D246">
        <f t="shared" si="14"/>
        <v>46</v>
      </c>
      <c r="E246">
        <v>32.5</v>
      </c>
      <c r="F246">
        <f t="shared" si="15"/>
        <v>13.5</v>
      </c>
      <c r="G246">
        <v>40.716999999999999</v>
      </c>
      <c r="H246">
        <v>0.69</v>
      </c>
      <c r="I246">
        <v>1.6930000000000001</v>
      </c>
      <c r="J246">
        <v>7</v>
      </c>
      <c r="K246">
        <v>13</v>
      </c>
      <c r="L246">
        <v>9</v>
      </c>
      <c r="M246" s="1">
        <v>9000000000</v>
      </c>
    </row>
    <row r="247" spans="1:13" ht="15" customHeight="1">
      <c r="A247" t="s">
        <v>11</v>
      </c>
      <c r="B247">
        <f t="shared" si="12"/>
        <v>33.712265000000002</v>
      </c>
      <c r="C247">
        <f t="shared" si="13"/>
        <v>-117.87132800000001</v>
      </c>
      <c r="D247">
        <f t="shared" si="14"/>
        <v>46</v>
      </c>
      <c r="E247">
        <v>33.5</v>
      </c>
      <c r="F247">
        <f t="shared" si="15"/>
        <v>12.5</v>
      </c>
      <c r="G247">
        <v>31.6</v>
      </c>
      <c r="H247">
        <v>0.51700000000000002</v>
      </c>
      <c r="I247">
        <v>1.641</v>
      </c>
      <c r="J247">
        <v>6</v>
      </c>
      <c r="K247">
        <v>12</v>
      </c>
      <c r="L247">
        <v>8</v>
      </c>
      <c r="M247">
        <v>1.9650000000000001</v>
      </c>
    </row>
    <row r="248" spans="1:13" ht="15" customHeight="1">
      <c r="A248" t="s">
        <v>11</v>
      </c>
      <c r="B248">
        <f t="shared" si="12"/>
        <v>33.712265000000002</v>
      </c>
      <c r="C248">
        <f t="shared" si="13"/>
        <v>-117.87132800000001</v>
      </c>
      <c r="D248">
        <f t="shared" si="14"/>
        <v>46</v>
      </c>
      <c r="E248">
        <v>34.5</v>
      </c>
      <c r="F248">
        <f t="shared" si="15"/>
        <v>11.5</v>
      </c>
      <c r="G248">
        <v>28.283000000000001</v>
      </c>
      <c r="H248">
        <v>0.63</v>
      </c>
      <c r="I248">
        <v>2.2370000000000001</v>
      </c>
      <c r="J248">
        <v>6</v>
      </c>
      <c r="K248">
        <v>11</v>
      </c>
      <c r="L248">
        <v>7</v>
      </c>
      <c r="M248">
        <v>1.74</v>
      </c>
    </row>
    <row r="249" spans="1:13" ht="15" customHeight="1">
      <c r="A249" t="s">
        <v>11</v>
      </c>
      <c r="B249">
        <f t="shared" si="12"/>
        <v>33.712265000000002</v>
      </c>
      <c r="C249">
        <f t="shared" si="13"/>
        <v>-117.87132800000001</v>
      </c>
      <c r="D249">
        <f t="shared" si="14"/>
        <v>46</v>
      </c>
      <c r="E249">
        <v>35.5</v>
      </c>
      <c r="F249">
        <f t="shared" si="15"/>
        <v>10.5</v>
      </c>
      <c r="G249">
        <v>15.217000000000001</v>
      </c>
      <c r="H249">
        <v>0.378</v>
      </c>
      <c r="I249">
        <v>2.4889999999999999</v>
      </c>
      <c r="J249">
        <v>5</v>
      </c>
      <c r="K249">
        <v>7</v>
      </c>
      <c r="L249">
        <v>4</v>
      </c>
      <c r="M249">
        <v>0.871</v>
      </c>
    </row>
    <row r="250" spans="1:13" ht="15" customHeight="1">
      <c r="A250" t="s">
        <v>11</v>
      </c>
      <c r="B250">
        <f t="shared" si="12"/>
        <v>33.712265000000002</v>
      </c>
      <c r="C250">
        <f t="shared" si="13"/>
        <v>-117.87132800000001</v>
      </c>
      <c r="D250">
        <f t="shared" si="14"/>
        <v>46</v>
      </c>
      <c r="E250">
        <v>36.5</v>
      </c>
      <c r="F250">
        <f t="shared" si="15"/>
        <v>9.5</v>
      </c>
      <c r="G250">
        <v>19.417000000000002</v>
      </c>
      <c r="H250">
        <v>0.375</v>
      </c>
      <c r="I250">
        <v>1.93</v>
      </c>
      <c r="J250">
        <v>6</v>
      </c>
      <c r="K250">
        <v>7</v>
      </c>
      <c r="L250">
        <v>4</v>
      </c>
      <c r="M250">
        <v>1.1499999999999999</v>
      </c>
    </row>
    <row r="251" spans="1:13" ht="15" customHeight="1">
      <c r="A251" t="s">
        <v>11</v>
      </c>
      <c r="B251">
        <f t="shared" si="12"/>
        <v>33.712265000000002</v>
      </c>
      <c r="C251">
        <f t="shared" si="13"/>
        <v>-117.87132800000001</v>
      </c>
      <c r="D251">
        <f t="shared" si="14"/>
        <v>46</v>
      </c>
      <c r="E251">
        <v>37.5</v>
      </c>
      <c r="F251">
        <f t="shared" si="15"/>
        <v>8.5</v>
      </c>
      <c r="G251">
        <v>32.216999999999999</v>
      </c>
      <c r="H251">
        <v>0.45200000000000001</v>
      </c>
      <c r="I251">
        <v>1.4019999999999999</v>
      </c>
      <c r="J251">
        <v>7</v>
      </c>
      <c r="K251">
        <v>10</v>
      </c>
      <c r="L251">
        <v>6</v>
      </c>
      <c r="M251" s="1">
        <v>9000000000</v>
      </c>
    </row>
    <row r="252" spans="1:13" ht="15" customHeight="1">
      <c r="A252" t="s">
        <v>11</v>
      </c>
      <c r="B252">
        <f t="shared" si="12"/>
        <v>33.712265000000002</v>
      </c>
      <c r="C252">
        <f t="shared" si="13"/>
        <v>-117.87132800000001</v>
      </c>
      <c r="D252">
        <f t="shared" si="14"/>
        <v>46</v>
      </c>
      <c r="E252">
        <v>38.5</v>
      </c>
      <c r="F252">
        <f t="shared" si="15"/>
        <v>7.5</v>
      </c>
      <c r="G252">
        <v>59.582999999999998</v>
      </c>
      <c r="H252">
        <v>0.40500000000000003</v>
      </c>
      <c r="I252">
        <v>0.68</v>
      </c>
      <c r="J252">
        <v>8</v>
      </c>
      <c r="K252">
        <v>14</v>
      </c>
      <c r="L252">
        <v>9</v>
      </c>
      <c r="M252" s="1">
        <v>9000000000</v>
      </c>
    </row>
    <row r="253" spans="1:13" ht="15" customHeight="1">
      <c r="A253" t="s">
        <v>11</v>
      </c>
      <c r="B253">
        <f t="shared" si="12"/>
        <v>33.712265000000002</v>
      </c>
      <c r="C253">
        <f t="shared" si="13"/>
        <v>-117.87132800000001</v>
      </c>
      <c r="D253">
        <f t="shared" si="14"/>
        <v>46</v>
      </c>
      <c r="E253">
        <v>39.5</v>
      </c>
      <c r="F253">
        <f t="shared" si="15"/>
        <v>6.5</v>
      </c>
      <c r="G253">
        <v>113.233</v>
      </c>
      <c r="H253">
        <v>0.45800000000000002</v>
      </c>
      <c r="I253">
        <v>0.40500000000000003</v>
      </c>
      <c r="J253">
        <v>9</v>
      </c>
      <c r="K253">
        <v>22</v>
      </c>
      <c r="L253">
        <v>13</v>
      </c>
      <c r="M253" s="1">
        <v>9000000000</v>
      </c>
    </row>
    <row r="254" spans="1:13" ht="15" customHeight="1">
      <c r="A254" t="s">
        <v>11</v>
      </c>
      <c r="B254">
        <f t="shared" si="12"/>
        <v>33.712265000000002</v>
      </c>
      <c r="C254">
        <f t="shared" si="13"/>
        <v>-117.87132800000001</v>
      </c>
      <c r="D254">
        <f t="shared" si="14"/>
        <v>46</v>
      </c>
      <c r="E254">
        <v>40.5</v>
      </c>
      <c r="F254">
        <f t="shared" si="15"/>
        <v>5.5</v>
      </c>
      <c r="G254">
        <v>53.383000000000003</v>
      </c>
      <c r="H254">
        <v>0.80300000000000005</v>
      </c>
      <c r="I254">
        <v>1.5069999999999999</v>
      </c>
      <c r="J254">
        <v>7</v>
      </c>
      <c r="K254">
        <v>17</v>
      </c>
      <c r="L254">
        <v>10</v>
      </c>
      <c r="M254" s="1">
        <v>9000000000</v>
      </c>
    </row>
    <row r="255" spans="1:13" ht="15" customHeight="1">
      <c r="A255" t="s">
        <v>11</v>
      </c>
      <c r="B255">
        <f t="shared" si="12"/>
        <v>33.712265000000002</v>
      </c>
      <c r="C255">
        <f t="shared" si="13"/>
        <v>-117.87132800000001</v>
      </c>
      <c r="D255">
        <f t="shared" si="14"/>
        <v>46</v>
      </c>
      <c r="E255">
        <v>41.499000000000002</v>
      </c>
      <c r="F255">
        <f t="shared" si="15"/>
        <v>4.5009999999999977</v>
      </c>
      <c r="G255">
        <v>126.414</v>
      </c>
      <c r="H255">
        <v>0.61899999999999999</v>
      </c>
      <c r="I255">
        <v>0.48899999999999999</v>
      </c>
      <c r="J255">
        <v>9</v>
      </c>
      <c r="K255">
        <v>24</v>
      </c>
      <c r="L255">
        <v>14</v>
      </c>
      <c r="M255" s="1">
        <v>9000000000</v>
      </c>
    </row>
    <row r="256" spans="1:13" ht="15" customHeight="1">
      <c r="A256" t="s">
        <v>11</v>
      </c>
      <c r="B256">
        <f t="shared" si="12"/>
        <v>33.712265000000002</v>
      </c>
      <c r="C256">
        <f t="shared" si="13"/>
        <v>-117.87132800000001</v>
      </c>
      <c r="D256">
        <f t="shared" si="14"/>
        <v>46</v>
      </c>
      <c r="E256">
        <v>42.499000000000002</v>
      </c>
      <c r="F256">
        <f t="shared" si="15"/>
        <v>3.5009999999999977</v>
      </c>
      <c r="G256">
        <v>91.933000000000007</v>
      </c>
      <c r="H256">
        <v>1.8080000000000001</v>
      </c>
      <c r="I256">
        <v>1.9650000000000001</v>
      </c>
      <c r="J256">
        <v>7</v>
      </c>
      <c r="K256">
        <v>29</v>
      </c>
      <c r="L256">
        <v>17</v>
      </c>
      <c r="M256" s="1">
        <v>9000000000</v>
      </c>
    </row>
    <row r="257" spans="1:13" ht="15" customHeight="1">
      <c r="A257" t="s">
        <v>11</v>
      </c>
      <c r="B257">
        <f t="shared" si="12"/>
        <v>33.712265000000002</v>
      </c>
      <c r="C257">
        <f t="shared" si="13"/>
        <v>-117.87132800000001</v>
      </c>
      <c r="D257">
        <f t="shared" si="14"/>
        <v>46</v>
      </c>
      <c r="E257">
        <v>43.499000000000002</v>
      </c>
      <c r="F257">
        <f t="shared" si="15"/>
        <v>2.5009999999999977</v>
      </c>
      <c r="G257">
        <v>234.983</v>
      </c>
      <c r="H257">
        <v>1.0069999999999999</v>
      </c>
      <c r="I257">
        <v>0.42799999999999999</v>
      </c>
      <c r="J257">
        <v>9</v>
      </c>
      <c r="K257">
        <v>45</v>
      </c>
      <c r="L257">
        <v>26</v>
      </c>
      <c r="M257" s="1">
        <v>9000000000</v>
      </c>
    </row>
    <row r="258" spans="1:13" ht="15" customHeight="1">
      <c r="A258" t="s">
        <v>11</v>
      </c>
      <c r="B258">
        <f t="shared" ref="B258:B321" si="16">VLOOKUP(A258,XYdata,3,FALSE)</f>
        <v>33.712265000000002</v>
      </c>
      <c r="C258">
        <f t="shared" ref="C258:C321" si="17">VLOOKUP(A258,XYdata,2,FALSE)</f>
        <v>-117.87132800000001</v>
      </c>
      <c r="D258">
        <f t="shared" ref="D258:D321" si="18">VLOOKUP(A258,Elevation,2,FALSE)</f>
        <v>46</v>
      </c>
      <c r="E258">
        <v>44.499000000000002</v>
      </c>
      <c r="F258">
        <f t="shared" si="15"/>
        <v>1.5009999999999977</v>
      </c>
      <c r="G258">
        <v>227.333</v>
      </c>
      <c r="H258">
        <v>1.21</v>
      </c>
      <c r="I258">
        <v>0.53200000000000003</v>
      </c>
      <c r="J258">
        <v>9</v>
      </c>
      <c r="K258">
        <v>44</v>
      </c>
      <c r="L258">
        <v>25</v>
      </c>
      <c r="M258" s="1">
        <v>9000000000</v>
      </c>
    </row>
    <row r="259" spans="1:13" ht="15" customHeight="1">
      <c r="A259" t="s">
        <v>11</v>
      </c>
      <c r="B259">
        <f t="shared" si="16"/>
        <v>33.712265000000002</v>
      </c>
      <c r="C259">
        <f t="shared" si="17"/>
        <v>-117.87132800000001</v>
      </c>
      <c r="D259">
        <f t="shared" si="18"/>
        <v>46</v>
      </c>
      <c r="E259">
        <v>45.499000000000002</v>
      </c>
      <c r="F259">
        <f t="shared" ref="F259:F322" si="19">D259-E259</f>
        <v>0.50099999999999767</v>
      </c>
      <c r="G259">
        <v>229.267</v>
      </c>
      <c r="H259">
        <v>1.708</v>
      </c>
      <c r="I259">
        <v>0.74399999999999999</v>
      </c>
      <c r="J259">
        <v>9</v>
      </c>
      <c r="K259">
        <v>44</v>
      </c>
      <c r="L259">
        <v>25</v>
      </c>
      <c r="M259" s="1">
        <v>9000000000</v>
      </c>
    </row>
    <row r="260" spans="1:13" ht="15" customHeight="1">
      <c r="A260" t="s">
        <v>11</v>
      </c>
      <c r="B260">
        <f t="shared" si="16"/>
        <v>33.712265000000002</v>
      </c>
      <c r="C260">
        <f t="shared" si="17"/>
        <v>-117.87132800000001</v>
      </c>
      <c r="D260">
        <f t="shared" si="18"/>
        <v>46</v>
      </c>
      <c r="E260">
        <v>46.499000000000002</v>
      </c>
      <c r="F260">
        <f t="shared" si="19"/>
        <v>-0.49900000000000233</v>
      </c>
      <c r="G260">
        <v>243.4</v>
      </c>
      <c r="H260">
        <v>1.597</v>
      </c>
      <c r="I260">
        <v>0.65500000000000003</v>
      </c>
      <c r="J260">
        <v>9</v>
      </c>
      <c r="K260">
        <v>47</v>
      </c>
      <c r="L260">
        <v>26</v>
      </c>
      <c r="M260" s="1">
        <v>9000000000</v>
      </c>
    </row>
    <row r="261" spans="1:13" ht="15" customHeight="1">
      <c r="A261" t="s">
        <v>11</v>
      </c>
      <c r="B261">
        <f t="shared" si="16"/>
        <v>33.712265000000002</v>
      </c>
      <c r="C261">
        <f t="shared" si="17"/>
        <v>-117.87132800000001</v>
      </c>
      <c r="D261">
        <f t="shared" si="18"/>
        <v>46</v>
      </c>
      <c r="E261">
        <v>47.499000000000002</v>
      </c>
      <c r="F261">
        <f t="shared" si="19"/>
        <v>-1.4990000000000023</v>
      </c>
      <c r="G261">
        <v>230.93299999999999</v>
      </c>
      <c r="H261">
        <v>1.655</v>
      </c>
      <c r="I261">
        <v>0.71599999999999997</v>
      </c>
      <c r="J261">
        <v>9</v>
      </c>
      <c r="K261">
        <v>44</v>
      </c>
      <c r="L261">
        <v>24</v>
      </c>
      <c r="M261" s="1">
        <v>9000000000</v>
      </c>
    </row>
    <row r="262" spans="1:13" ht="15" customHeight="1">
      <c r="A262" t="s">
        <v>11</v>
      </c>
      <c r="B262">
        <f t="shared" si="16"/>
        <v>33.712265000000002</v>
      </c>
      <c r="C262">
        <f t="shared" si="17"/>
        <v>-117.87132800000001</v>
      </c>
      <c r="D262">
        <f t="shared" si="18"/>
        <v>46</v>
      </c>
      <c r="E262">
        <v>48.499000000000002</v>
      </c>
      <c r="F262">
        <f t="shared" si="19"/>
        <v>-2.4990000000000023</v>
      </c>
      <c r="G262">
        <v>246.68299999999999</v>
      </c>
      <c r="H262">
        <v>1.67</v>
      </c>
      <c r="I262">
        <v>0.67600000000000005</v>
      </c>
      <c r="J262">
        <v>9</v>
      </c>
      <c r="K262">
        <v>47</v>
      </c>
      <c r="L262">
        <v>26</v>
      </c>
      <c r="M262" s="1">
        <v>9000000000</v>
      </c>
    </row>
    <row r="263" spans="1:13" ht="15" customHeight="1">
      <c r="A263" t="s">
        <v>11</v>
      </c>
      <c r="B263">
        <f t="shared" si="16"/>
        <v>33.712265000000002</v>
      </c>
      <c r="C263">
        <f t="shared" si="17"/>
        <v>-117.87132800000001</v>
      </c>
      <c r="D263">
        <f t="shared" si="18"/>
        <v>46</v>
      </c>
      <c r="E263">
        <v>49.499000000000002</v>
      </c>
      <c r="F263">
        <f t="shared" si="19"/>
        <v>-3.4990000000000023</v>
      </c>
      <c r="G263">
        <v>248.3</v>
      </c>
      <c r="H263">
        <v>2.02</v>
      </c>
      <c r="I263">
        <v>0.81299999999999994</v>
      </c>
      <c r="J263">
        <v>9</v>
      </c>
      <c r="K263">
        <v>48</v>
      </c>
      <c r="L263">
        <v>26</v>
      </c>
      <c r="M263" s="1">
        <v>9000000000</v>
      </c>
    </row>
    <row r="264" spans="1:13" ht="15" customHeight="1">
      <c r="A264" t="s">
        <v>11</v>
      </c>
      <c r="B264">
        <f t="shared" si="16"/>
        <v>33.712265000000002</v>
      </c>
      <c r="C264">
        <f t="shared" si="17"/>
        <v>-117.87132800000001</v>
      </c>
      <c r="D264">
        <f t="shared" si="18"/>
        <v>46</v>
      </c>
      <c r="E264">
        <v>50.499000000000002</v>
      </c>
      <c r="F264">
        <f t="shared" si="19"/>
        <v>-4.4990000000000023</v>
      </c>
      <c r="G264">
        <v>261.81700000000001</v>
      </c>
      <c r="H264">
        <v>1.897</v>
      </c>
      <c r="I264">
        <v>0.72399999999999998</v>
      </c>
      <c r="J264">
        <v>9</v>
      </c>
      <c r="K264">
        <v>50</v>
      </c>
      <c r="L264">
        <v>27</v>
      </c>
      <c r="M264" s="1">
        <v>9000000000</v>
      </c>
    </row>
    <row r="265" spans="1:13" ht="15" customHeight="1">
      <c r="A265" t="s">
        <v>11</v>
      </c>
      <c r="B265">
        <f t="shared" si="16"/>
        <v>33.712265000000002</v>
      </c>
      <c r="C265">
        <f t="shared" si="17"/>
        <v>-117.87132800000001</v>
      </c>
      <c r="D265">
        <f t="shared" si="18"/>
        <v>46</v>
      </c>
      <c r="E265">
        <v>51.499000000000002</v>
      </c>
      <c r="F265">
        <f t="shared" si="19"/>
        <v>-5.4990000000000023</v>
      </c>
      <c r="G265">
        <v>252.63300000000001</v>
      </c>
      <c r="H265">
        <v>2.0680000000000001</v>
      </c>
      <c r="I265">
        <v>0.81799999999999995</v>
      </c>
      <c r="J265">
        <v>9</v>
      </c>
      <c r="K265">
        <v>48</v>
      </c>
      <c r="L265">
        <v>25</v>
      </c>
      <c r="M265" s="1">
        <v>9000000000</v>
      </c>
    </row>
    <row r="266" spans="1:13" ht="15" customHeight="1">
      <c r="A266" t="s">
        <v>11</v>
      </c>
      <c r="B266">
        <f t="shared" si="16"/>
        <v>33.712265000000002</v>
      </c>
      <c r="C266">
        <f t="shared" si="17"/>
        <v>-117.87132800000001</v>
      </c>
      <c r="D266">
        <f t="shared" si="18"/>
        <v>46</v>
      </c>
      <c r="E266">
        <v>52.499000000000002</v>
      </c>
      <c r="F266">
        <f t="shared" si="19"/>
        <v>-6.4990000000000023</v>
      </c>
      <c r="G266">
        <v>296.10000000000002</v>
      </c>
      <c r="H266">
        <v>1.93</v>
      </c>
      <c r="I266">
        <v>0.65100000000000002</v>
      </c>
      <c r="J266">
        <v>9</v>
      </c>
      <c r="K266">
        <v>57</v>
      </c>
      <c r="L266">
        <v>30</v>
      </c>
      <c r="M266" s="1">
        <v>9000000000</v>
      </c>
    </row>
    <row r="267" spans="1:13" ht="15" customHeight="1">
      <c r="A267" t="s">
        <v>11</v>
      </c>
      <c r="B267">
        <f t="shared" si="16"/>
        <v>33.712265000000002</v>
      </c>
      <c r="C267">
        <f t="shared" si="17"/>
        <v>-117.87132800000001</v>
      </c>
      <c r="D267">
        <f t="shared" si="18"/>
        <v>46</v>
      </c>
      <c r="E267">
        <v>53.499000000000002</v>
      </c>
      <c r="F267">
        <f t="shared" si="19"/>
        <v>-7.4990000000000023</v>
      </c>
      <c r="G267">
        <v>351.5</v>
      </c>
      <c r="H267">
        <v>2.0419999999999998</v>
      </c>
      <c r="I267">
        <v>0.57999999999999996</v>
      </c>
      <c r="J267">
        <v>10</v>
      </c>
      <c r="K267">
        <v>56</v>
      </c>
      <c r="L267">
        <v>29</v>
      </c>
      <c r="M267" s="1">
        <v>9000000000</v>
      </c>
    </row>
    <row r="268" spans="1:13" ht="15" customHeight="1">
      <c r="A268" t="s">
        <v>11</v>
      </c>
      <c r="B268">
        <f t="shared" si="16"/>
        <v>33.712265000000002</v>
      </c>
      <c r="C268">
        <f t="shared" si="17"/>
        <v>-117.87132800000001</v>
      </c>
      <c r="D268">
        <f t="shared" si="18"/>
        <v>46</v>
      </c>
      <c r="E268">
        <v>54.499000000000002</v>
      </c>
      <c r="F268">
        <f t="shared" si="19"/>
        <v>-8.4990000000000023</v>
      </c>
      <c r="G268">
        <v>325.68299999999999</v>
      </c>
      <c r="H268">
        <v>2.835</v>
      </c>
      <c r="I268">
        <v>0.87</v>
      </c>
      <c r="J268">
        <v>9</v>
      </c>
      <c r="K268">
        <v>62</v>
      </c>
      <c r="L268">
        <v>32</v>
      </c>
      <c r="M268" s="1">
        <v>9000000000</v>
      </c>
    </row>
    <row r="269" spans="1:13" ht="15" customHeight="1">
      <c r="A269" t="s">
        <v>11</v>
      </c>
      <c r="B269">
        <f t="shared" si="16"/>
        <v>33.712265000000002</v>
      </c>
      <c r="C269">
        <f t="shared" si="17"/>
        <v>-117.87132800000001</v>
      </c>
      <c r="D269">
        <f t="shared" si="18"/>
        <v>46</v>
      </c>
      <c r="E269">
        <v>55.499000000000002</v>
      </c>
      <c r="F269">
        <f t="shared" si="19"/>
        <v>-9.4990000000000023</v>
      </c>
      <c r="G269">
        <v>309.08300000000003</v>
      </c>
      <c r="H269">
        <v>2.802</v>
      </c>
      <c r="I269">
        <v>0.90600000000000003</v>
      </c>
      <c r="J269">
        <v>9</v>
      </c>
      <c r="K269">
        <v>59</v>
      </c>
      <c r="L269">
        <v>30</v>
      </c>
      <c r="M269" s="1">
        <v>9000000000</v>
      </c>
    </row>
    <row r="270" spans="1:13" ht="15" customHeight="1">
      <c r="A270" t="s">
        <v>11</v>
      </c>
      <c r="B270">
        <f t="shared" si="16"/>
        <v>33.712265000000002</v>
      </c>
      <c r="C270">
        <f t="shared" si="17"/>
        <v>-117.87132800000001</v>
      </c>
      <c r="D270">
        <f t="shared" si="18"/>
        <v>46</v>
      </c>
      <c r="E270">
        <v>56.499000000000002</v>
      </c>
      <c r="F270">
        <f t="shared" si="19"/>
        <v>-10.499000000000002</v>
      </c>
      <c r="G270">
        <v>311.36700000000002</v>
      </c>
      <c r="H270">
        <v>2.7519999999999998</v>
      </c>
      <c r="I270">
        <v>0.88300000000000001</v>
      </c>
      <c r="J270">
        <v>9</v>
      </c>
      <c r="K270">
        <v>60</v>
      </c>
      <c r="L270">
        <v>30</v>
      </c>
      <c r="M270" s="1">
        <v>9000000000</v>
      </c>
    </row>
    <row r="271" spans="1:13" ht="15" customHeight="1">
      <c r="A271" t="s">
        <v>11</v>
      </c>
      <c r="B271">
        <f t="shared" si="16"/>
        <v>33.712265000000002</v>
      </c>
      <c r="C271">
        <f t="shared" si="17"/>
        <v>-117.87132800000001</v>
      </c>
      <c r="D271">
        <f t="shared" si="18"/>
        <v>46</v>
      </c>
      <c r="E271">
        <v>57.499000000000002</v>
      </c>
      <c r="F271">
        <f t="shared" si="19"/>
        <v>-11.499000000000002</v>
      </c>
      <c r="G271">
        <v>209.46700000000001</v>
      </c>
      <c r="H271">
        <v>1.837</v>
      </c>
      <c r="I271">
        <v>0.876</v>
      </c>
      <c r="J271">
        <v>9</v>
      </c>
      <c r="K271">
        <v>40</v>
      </c>
      <c r="L271">
        <v>20</v>
      </c>
      <c r="M271" s="1">
        <v>9000000000</v>
      </c>
    </row>
    <row r="272" spans="1:13" ht="15" customHeight="1">
      <c r="A272" t="s">
        <v>11</v>
      </c>
      <c r="B272">
        <f t="shared" si="16"/>
        <v>33.712265000000002</v>
      </c>
      <c r="C272">
        <f t="shared" si="17"/>
        <v>-117.87132800000001</v>
      </c>
      <c r="D272">
        <f t="shared" si="18"/>
        <v>46</v>
      </c>
      <c r="E272">
        <v>58.499000000000002</v>
      </c>
      <c r="F272">
        <f t="shared" si="19"/>
        <v>-12.499000000000002</v>
      </c>
      <c r="G272">
        <v>191.31700000000001</v>
      </c>
      <c r="H272">
        <v>2.19</v>
      </c>
      <c r="I272">
        <v>1.145</v>
      </c>
      <c r="J272">
        <v>9</v>
      </c>
      <c r="K272">
        <v>37</v>
      </c>
      <c r="L272">
        <v>19</v>
      </c>
      <c r="M272" s="1">
        <v>9000000000</v>
      </c>
    </row>
    <row r="273" spans="1:13" ht="15" customHeight="1">
      <c r="A273" t="s">
        <v>11</v>
      </c>
      <c r="B273">
        <f t="shared" si="16"/>
        <v>33.712265000000002</v>
      </c>
      <c r="C273">
        <f t="shared" si="17"/>
        <v>-117.87132800000001</v>
      </c>
      <c r="D273">
        <f t="shared" si="18"/>
        <v>46</v>
      </c>
      <c r="E273">
        <v>59.499000000000002</v>
      </c>
      <c r="F273">
        <f t="shared" si="19"/>
        <v>-13.499000000000002</v>
      </c>
      <c r="G273">
        <v>188.667</v>
      </c>
      <c r="H273">
        <v>2.778</v>
      </c>
      <c r="I273">
        <v>1.472</v>
      </c>
      <c r="J273">
        <v>8</v>
      </c>
      <c r="K273">
        <v>45</v>
      </c>
      <c r="L273">
        <v>23</v>
      </c>
      <c r="M273" s="1">
        <v>9000000000</v>
      </c>
    </row>
    <row r="274" spans="1:13" ht="15" customHeight="1">
      <c r="A274" t="s">
        <v>11</v>
      </c>
      <c r="B274">
        <f t="shared" si="16"/>
        <v>33.712265000000002</v>
      </c>
      <c r="C274">
        <f t="shared" si="17"/>
        <v>-117.87132800000001</v>
      </c>
      <c r="D274">
        <f t="shared" si="18"/>
        <v>46</v>
      </c>
      <c r="E274">
        <v>60.499000000000002</v>
      </c>
      <c r="F274">
        <f t="shared" si="19"/>
        <v>-14.499000000000002</v>
      </c>
      <c r="G274">
        <v>195.43299999999999</v>
      </c>
      <c r="H274">
        <v>3.54</v>
      </c>
      <c r="I274">
        <v>1.8089999999999999</v>
      </c>
      <c r="J274">
        <v>8</v>
      </c>
      <c r="K274">
        <v>47</v>
      </c>
      <c r="L274">
        <v>24</v>
      </c>
      <c r="M274" s="1">
        <v>9000000000</v>
      </c>
    </row>
    <row r="275" spans="1:13" ht="15" customHeight="1">
      <c r="A275" t="s">
        <v>11</v>
      </c>
      <c r="B275">
        <f t="shared" si="16"/>
        <v>33.712265000000002</v>
      </c>
      <c r="C275">
        <f t="shared" si="17"/>
        <v>-117.87132800000001</v>
      </c>
      <c r="D275">
        <f t="shared" si="18"/>
        <v>46</v>
      </c>
      <c r="E275">
        <v>61.499000000000002</v>
      </c>
      <c r="F275">
        <f t="shared" si="19"/>
        <v>-15.499000000000002</v>
      </c>
      <c r="G275">
        <v>146.083</v>
      </c>
      <c r="H275">
        <v>2.94</v>
      </c>
      <c r="I275">
        <v>2.0089999999999999</v>
      </c>
      <c r="J275">
        <v>7</v>
      </c>
      <c r="K275">
        <v>47</v>
      </c>
      <c r="L275">
        <v>24</v>
      </c>
      <c r="M275" s="1">
        <v>9000000000</v>
      </c>
    </row>
    <row r="276" spans="1:13" ht="15" customHeight="1">
      <c r="A276" t="s">
        <v>11</v>
      </c>
      <c r="B276">
        <f t="shared" si="16"/>
        <v>33.712265000000002</v>
      </c>
      <c r="C276">
        <f t="shared" si="17"/>
        <v>-117.87132800000001</v>
      </c>
      <c r="D276">
        <f t="shared" si="18"/>
        <v>46</v>
      </c>
      <c r="E276">
        <v>62.499000000000002</v>
      </c>
      <c r="F276">
        <f t="shared" si="19"/>
        <v>-16.499000000000002</v>
      </c>
      <c r="G276">
        <v>71.013999999999996</v>
      </c>
      <c r="H276">
        <v>1.7310000000000001</v>
      </c>
      <c r="I276">
        <v>2.4319999999999999</v>
      </c>
      <c r="J276">
        <v>6</v>
      </c>
      <c r="K276">
        <v>27</v>
      </c>
      <c r="L276">
        <v>14</v>
      </c>
      <c r="M276">
        <v>4.4930000000000003</v>
      </c>
    </row>
    <row r="277" spans="1:13" ht="15" customHeight="1">
      <c r="A277" t="s">
        <v>11</v>
      </c>
      <c r="B277">
        <f t="shared" si="16"/>
        <v>33.712265000000002</v>
      </c>
      <c r="C277">
        <f t="shared" si="17"/>
        <v>-117.87132800000001</v>
      </c>
      <c r="D277">
        <f t="shared" si="18"/>
        <v>46</v>
      </c>
      <c r="E277">
        <v>63.499000000000002</v>
      </c>
      <c r="F277">
        <f t="shared" si="19"/>
        <v>-17.499000000000002</v>
      </c>
      <c r="G277">
        <v>32.517000000000003</v>
      </c>
      <c r="H277">
        <v>1.02</v>
      </c>
      <c r="I277">
        <v>3.1259999999999999</v>
      </c>
      <c r="J277">
        <v>5</v>
      </c>
      <c r="K277">
        <v>16</v>
      </c>
      <c r="L277">
        <v>8</v>
      </c>
      <c r="M277">
        <v>1.9179999999999999</v>
      </c>
    </row>
    <row r="278" spans="1:13" ht="15" customHeight="1">
      <c r="A278" t="s">
        <v>11</v>
      </c>
      <c r="B278">
        <f t="shared" si="16"/>
        <v>33.712265000000002</v>
      </c>
      <c r="C278">
        <f t="shared" si="17"/>
        <v>-117.87132800000001</v>
      </c>
      <c r="D278">
        <f t="shared" si="18"/>
        <v>46</v>
      </c>
      <c r="E278">
        <v>64.498999999999995</v>
      </c>
      <c r="F278">
        <f t="shared" si="19"/>
        <v>-18.498999999999995</v>
      </c>
      <c r="G278">
        <v>24.3</v>
      </c>
      <c r="H278">
        <v>0.46</v>
      </c>
      <c r="I278">
        <v>1.8069999999999999</v>
      </c>
      <c r="J278">
        <v>6</v>
      </c>
      <c r="K278">
        <v>10</v>
      </c>
      <c r="L278">
        <v>5</v>
      </c>
      <c r="M278">
        <v>1.4350000000000001</v>
      </c>
    </row>
    <row r="279" spans="1:13" ht="15" customHeight="1">
      <c r="A279" t="s">
        <v>11</v>
      </c>
      <c r="B279">
        <f t="shared" si="16"/>
        <v>33.712265000000002</v>
      </c>
      <c r="C279">
        <f t="shared" si="17"/>
        <v>-117.87132800000001</v>
      </c>
      <c r="D279">
        <f t="shared" si="18"/>
        <v>46</v>
      </c>
      <c r="E279">
        <v>65.498999999999995</v>
      </c>
      <c r="F279">
        <f t="shared" si="19"/>
        <v>-19.498999999999995</v>
      </c>
      <c r="G279">
        <v>45.232999999999997</v>
      </c>
      <c r="H279">
        <v>1.2629999999999999</v>
      </c>
      <c r="I279">
        <v>2.7549999999999999</v>
      </c>
      <c r="J279">
        <v>6</v>
      </c>
      <c r="K279">
        <v>18</v>
      </c>
      <c r="L279">
        <v>9</v>
      </c>
      <c r="M279">
        <v>2.79</v>
      </c>
    </row>
    <row r="280" spans="1:13" ht="15" customHeight="1">
      <c r="A280" t="s">
        <v>11</v>
      </c>
      <c r="B280">
        <f t="shared" si="16"/>
        <v>33.712265000000002</v>
      </c>
      <c r="C280">
        <f t="shared" si="17"/>
        <v>-117.87132800000001</v>
      </c>
      <c r="D280">
        <f t="shared" si="18"/>
        <v>46</v>
      </c>
      <c r="E280">
        <v>66.498999999999995</v>
      </c>
      <c r="F280">
        <f t="shared" si="19"/>
        <v>-20.498999999999995</v>
      </c>
      <c r="G280">
        <v>215.18299999999999</v>
      </c>
      <c r="H280">
        <v>2.63</v>
      </c>
      <c r="I280">
        <v>1.222</v>
      </c>
      <c r="J280">
        <v>9</v>
      </c>
      <c r="K280">
        <v>41</v>
      </c>
      <c r="L280">
        <v>21</v>
      </c>
      <c r="M280" s="1">
        <v>9000000000</v>
      </c>
    </row>
    <row r="281" spans="1:13" ht="15" customHeight="1">
      <c r="A281" t="s">
        <v>11</v>
      </c>
      <c r="B281">
        <f t="shared" si="16"/>
        <v>33.712265000000002</v>
      </c>
      <c r="C281">
        <f t="shared" si="17"/>
        <v>-117.87132800000001</v>
      </c>
      <c r="D281">
        <f t="shared" si="18"/>
        <v>46</v>
      </c>
      <c r="E281">
        <v>67.498999999999995</v>
      </c>
      <c r="F281">
        <f t="shared" si="19"/>
        <v>-21.498999999999995</v>
      </c>
      <c r="G281">
        <v>146.917</v>
      </c>
      <c r="H281">
        <v>1.5149999999999999</v>
      </c>
      <c r="I281">
        <v>1.032</v>
      </c>
      <c r="J281">
        <v>9</v>
      </c>
      <c r="K281">
        <v>28</v>
      </c>
      <c r="L281">
        <v>14</v>
      </c>
      <c r="M281" s="1">
        <v>9000000000</v>
      </c>
    </row>
    <row r="282" spans="1:13" ht="15" customHeight="1">
      <c r="A282" t="s">
        <v>11</v>
      </c>
      <c r="B282">
        <f t="shared" si="16"/>
        <v>33.712265000000002</v>
      </c>
      <c r="C282">
        <f t="shared" si="17"/>
        <v>-117.87132800000001</v>
      </c>
      <c r="D282">
        <f t="shared" si="18"/>
        <v>46</v>
      </c>
      <c r="E282">
        <v>68.498999999999995</v>
      </c>
      <c r="F282">
        <f t="shared" si="19"/>
        <v>-22.498999999999995</v>
      </c>
      <c r="G282">
        <v>32.533000000000001</v>
      </c>
      <c r="H282">
        <v>0.63800000000000001</v>
      </c>
      <c r="I282">
        <v>1.9510000000000001</v>
      </c>
      <c r="J282">
        <v>6</v>
      </c>
      <c r="K282">
        <v>13</v>
      </c>
      <c r="L282">
        <v>7</v>
      </c>
      <c r="M282">
        <v>1.9019999999999999</v>
      </c>
    </row>
    <row r="283" spans="1:13" ht="15" customHeight="1">
      <c r="A283" t="s">
        <v>11</v>
      </c>
      <c r="B283">
        <f t="shared" si="16"/>
        <v>33.712265000000002</v>
      </c>
      <c r="C283">
        <f t="shared" si="17"/>
        <v>-117.87132800000001</v>
      </c>
      <c r="D283">
        <f t="shared" si="18"/>
        <v>46</v>
      </c>
      <c r="E283">
        <v>69.498999999999995</v>
      </c>
      <c r="F283">
        <f t="shared" si="19"/>
        <v>-23.498999999999995</v>
      </c>
      <c r="G283">
        <v>30.65</v>
      </c>
      <c r="H283">
        <v>0.78700000000000003</v>
      </c>
      <c r="I283">
        <v>2.5009999999999999</v>
      </c>
      <c r="J283">
        <v>6</v>
      </c>
      <c r="K283">
        <v>12</v>
      </c>
      <c r="L283">
        <v>6</v>
      </c>
      <c r="M283">
        <v>1.8140000000000001</v>
      </c>
    </row>
    <row r="284" spans="1:13" ht="15" customHeight="1">
      <c r="A284" t="s">
        <v>11</v>
      </c>
      <c r="B284">
        <f t="shared" si="16"/>
        <v>33.712265000000002</v>
      </c>
      <c r="C284">
        <f t="shared" si="17"/>
        <v>-117.87132800000001</v>
      </c>
      <c r="D284">
        <f t="shared" si="18"/>
        <v>46</v>
      </c>
      <c r="E284">
        <v>70.498999999999995</v>
      </c>
      <c r="F284">
        <f t="shared" si="19"/>
        <v>-24.498999999999995</v>
      </c>
      <c r="G284">
        <v>33.167000000000002</v>
      </c>
      <c r="H284">
        <v>0.85299999999999998</v>
      </c>
      <c r="I284">
        <v>2.44</v>
      </c>
      <c r="J284">
        <v>6</v>
      </c>
      <c r="K284">
        <v>13</v>
      </c>
      <c r="L284">
        <v>7</v>
      </c>
      <c r="M284">
        <v>2.044</v>
      </c>
    </row>
    <row r="285" spans="1:13" ht="15" customHeight="1">
      <c r="A285" t="s">
        <v>11</v>
      </c>
      <c r="B285">
        <f t="shared" si="16"/>
        <v>33.712265000000002</v>
      </c>
      <c r="C285">
        <f t="shared" si="17"/>
        <v>-117.87132800000001</v>
      </c>
      <c r="D285">
        <f t="shared" si="18"/>
        <v>46</v>
      </c>
      <c r="E285">
        <v>71.498999999999995</v>
      </c>
      <c r="F285">
        <f t="shared" si="19"/>
        <v>-25.498999999999995</v>
      </c>
      <c r="G285">
        <v>29.55</v>
      </c>
      <c r="H285">
        <v>0.55300000000000005</v>
      </c>
      <c r="I285">
        <v>1.7350000000000001</v>
      </c>
      <c r="J285">
        <v>6</v>
      </c>
      <c r="K285">
        <v>12</v>
      </c>
      <c r="L285">
        <v>6</v>
      </c>
      <c r="M285">
        <v>1.835</v>
      </c>
    </row>
    <row r="286" spans="1:13" ht="15" customHeight="1">
      <c r="A286" t="s">
        <v>11</v>
      </c>
      <c r="B286">
        <f t="shared" si="16"/>
        <v>33.712265000000002</v>
      </c>
      <c r="C286">
        <f t="shared" si="17"/>
        <v>-117.87132800000001</v>
      </c>
      <c r="D286">
        <f t="shared" si="18"/>
        <v>46</v>
      </c>
      <c r="E286">
        <v>72.498999999999995</v>
      </c>
      <c r="F286">
        <f t="shared" si="19"/>
        <v>-26.498999999999995</v>
      </c>
      <c r="G286">
        <v>46.343000000000004</v>
      </c>
      <c r="H286">
        <v>1.2609999999999999</v>
      </c>
      <c r="I286">
        <v>2.6219999999999999</v>
      </c>
      <c r="J286">
        <v>6</v>
      </c>
      <c r="K286">
        <v>18</v>
      </c>
      <c r="L286">
        <v>9</v>
      </c>
      <c r="M286">
        <v>2.9119999999999999</v>
      </c>
    </row>
    <row r="287" spans="1:13" ht="15" customHeight="1">
      <c r="A287" t="s">
        <v>11</v>
      </c>
      <c r="B287">
        <f t="shared" si="16"/>
        <v>33.712265000000002</v>
      </c>
      <c r="C287">
        <f t="shared" si="17"/>
        <v>-117.87132800000001</v>
      </c>
      <c r="D287">
        <f t="shared" si="18"/>
        <v>46</v>
      </c>
      <c r="E287">
        <v>73.498999999999995</v>
      </c>
      <c r="F287">
        <f t="shared" si="19"/>
        <v>-27.498999999999995</v>
      </c>
      <c r="G287">
        <v>146.5</v>
      </c>
      <c r="H287">
        <v>1.7669999999999999</v>
      </c>
      <c r="I287">
        <v>1.2070000000000001</v>
      </c>
      <c r="J287">
        <v>8</v>
      </c>
      <c r="K287">
        <v>35</v>
      </c>
      <c r="L287">
        <v>18</v>
      </c>
      <c r="M287" s="1">
        <v>9000000000</v>
      </c>
    </row>
    <row r="288" spans="1:13" ht="15" customHeight="1">
      <c r="A288" t="s">
        <v>11</v>
      </c>
      <c r="B288">
        <f t="shared" si="16"/>
        <v>33.712265000000002</v>
      </c>
      <c r="C288">
        <f t="shared" si="17"/>
        <v>-117.87132800000001</v>
      </c>
      <c r="D288">
        <f t="shared" si="18"/>
        <v>46</v>
      </c>
      <c r="E288">
        <v>74.498999999999995</v>
      </c>
      <c r="F288">
        <f t="shared" si="19"/>
        <v>-28.498999999999995</v>
      </c>
      <c r="G288">
        <v>134.80000000000001</v>
      </c>
      <c r="H288">
        <v>2.5099999999999998</v>
      </c>
      <c r="I288">
        <v>1.8640000000000001</v>
      </c>
      <c r="J288">
        <v>7</v>
      </c>
      <c r="K288">
        <v>43</v>
      </c>
      <c r="L288">
        <v>22</v>
      </c>
      <c r="M288" s="1">
        <v>9000000000</v>
      </c>
    </row>
    <row r="289" spans="1:13" ht="15" customHeight="1">
      <c r="A289" t="s">
        <v>11</v>
      </c>
      <c r="B289">
        <f t="shared" si="16"/>
        <v>33.712265000000002</v>
      </c>
      <c r="C289">
        <f t="shared" si="17"/>
        <v>-117.87132800000001</v>
      </c>
      <c r="D289">
        <f t="shared" si="18"/>
        <v>46</v>
      </c>
      <c r="E289">
        <v>75.498999999999995</v>
      </c>
      <c r="F289">
        <f t="shared" si="19"/>
        <v>-29.498999999999995</v>
      </c>
      <c r="G289">
        <v>146.56700000000001</v>
      </c>
      <c r="H289">
        <v>3.0129999999999999</v>
      </c>
      <c r="I289">
        <v>2.0579999999999998</v>
      </c>
      <c r="J289">
        <v>7</v>
      </c>
      <c r="K289">
        <v>47</v>
      </c>
      <c r="L289">
        <v>24</v>
      </c>
      <c r="M289" s="1">
        <v>9000000000</v>
      </c>
    </row>
    <row r="290" spans="1:13" ht="15" customHeight="1">
      <c r="A290" t="s">
        <v>11</v>
      </c>
      <c r="B290">
        <f t="shared" si="16"/>
        <v>33.712265000000002</v>
      </c>
      <c r="C290">
        <f t="shared" si="17"/>
        <v>-117.87132800000001</v>
      </c>
      <c r="D290">
        <f t="shared" si="18"/>
        <v>46</v>
      </c>
      <c r="E290">
        <v>76.498999999999995</v>
      </c>
      <c r="F290">
        <f t="shared" si="19"/>
        <v>-30.498999999999995</v>
      </c>
      <c r="G290">
        <v>107.233</v>
      </c>
      <c r="H290">
        <v>2.39</v>
      </c>
      <c r="I290">
        <v>2.2309999999999999</v>
      </c>
      <c r="J290">
        <v>7</v>
      </c>
      <c r="K290">
        <v>34</v>
      </c>
      <c r="L290">
        <v>17</v>
      </c>
      <c r="M290" s="1">
        <v>9000000000</v>
      </c>
    </row>
    <row r="291" spans="1:13" ht="15" customHeight="1">
      <c r="A291" t="s">
        <v>11</v>
      </c>
      <c r="B291">
        <f t="shared" si="16"/>
        <v>33.712265000000002</v>
      </c>
      <c r="C291">
        <f t="shared" si="17"/>
        <v>-117.87132800000001</v>
      </c>
      <c r="D291">
        <f t="shared" si="18"/>
        <v>46</v>
      </c>
      <c r="E291">
        <v>77.498999999999995</v>
      </c>
      <c r="F291">
        <f t="shared" si="19"/>
        <v>-31.498999999999995</v>
      </c>
      <c r="G291">
        <v>26.05</v>
      </c>
      <c r="H291">
        <v>0.56499999999999995</v>
      </c>
      <c r="I291">
        <v>2.169</v>
      </c>
      <c r="J291">
        <v>6</v>
      </c>
      <c r="K291">
        <v>10</v>
      </c>
      <c r="L291">
        <v>5</v>
      </c>
      <c r="M291">
        <v>1.421</v>
      </c>
    </row>
    <row r="292" spans="1:13" ht="15" customHeight="1">
      <c r="A292" t="s">
        <v>11</v>
      </c>
      <c r="B292">
        <f t="shared" si="16"/>
        <v>33.712265000000002</v>
      </c>
      <c r="C292">
        <f t="shared" si="17"/>
        <v>-117.87132800000001</v>
      </c>
      <c r="D292">
        <f t="shared" si="18"/>
        <v>46</v>
      </c>
      <c r="E292">
        <v>78.498999999999995</v>
      </c>
      <c r="F292">
        <f t="shared" si="19"/>
        <v>-32.498999999999995</v>
      </c>
      <c r="G292">
        <v>47.8</v>
      </c>
      <c r="H292">
        <v>1.357</v>
      </c>
      <c r="I292">
        <v>2.835</v>
      </c>
      <c r="J292">
        <v>6</v>
      </c>
      <c r="K292">
        <v>18</v>
      </c>
      <c r="L292">
        <v>9</v>
      </c>
      <c r="M292">
        <v>2.87</v>
      </c>
    </row>
    <row r="293" spans="1:13" ht="15" customHeight="1">
      <c r="A293" t="s">
        <v>11</v>
      </c>
      <c r="B293">
        <f t="shared" si="16"/>
        <v>33.712265000000002</v>
      </c>
      <c r="C293">
        <f t="shared" si="17"/>
        <v>-117.87132800000001</v>
      </c>
      <c r="D293">
        <f t="shared" si="18"/>
        <v>46</v>
      </c>
      <c r="E293">
        <v>79.498999999999995</v>
      </c>
      <c r="F293">
        <f t="shared" si="19"/>
        <v>-33.498999999999995</v>
      </c>
      <c r="G293">
        <v>42.582999999999998</v>
      </c>
      <c r="H293">
        <v>2.093</v>
      </c>
      <c r="I293">
        <v>4.9219999999999997</v>
      </c>
      <c r="J293">
        <v>3</v>
      </c>
      <c r="K293">
        <v>41</v>
      </c>
      <c r="L293">
        <v>21</v>
      </c>
      <c r="M293">
        <v>2.512</v>
      </c>
    </row>
    <row r="294" spans="1:13" ht="15" customHeight="1">
      <c r="A294" t="s">
        <v>11</v>
      </c>
      <c r="B294">
        <f t="shared" si="16"/>
        <v>33.712265000000002</v>
      </c>
      <c r="C294">
        <f t="shared" si="17"/>
        <v>-117.87132800000001</v>
      </c>
      <c r="D294">
        <f t="shared" si="18"/>
        <v>46</v>
      </c>
      <c r="E294">
        <v>80.498999999999995</v>
      </c>
      <c r="F294">
        <f t="shared" si="19"/>
        <v>-34.498999999999995</v>
      </c>
      <c r="G294">
        <v>41.25</v>
      </c>
      <c r="H294">
        <v>1.615</v>
      </c>
      <c r="I294">
        <v>3.9060000000000001</v>
      </c>
      <c r="J294">
        <v>5</v>
      </c>
      <c r="K294">
        <v>20</v>
      </c>
      <c r="L294">
        <v>10</v>
      </c>
      <c r="M294">
        <v>2.4279999999999999</v>
      </c>
    </row>
    <row r="295" spans="1:13" ht="15" customHeight="1">
      <c r="A295" t="s">
        <v>11</v>
      </c>
      <c r="B295">
        <f t="shared" si="16"/>
        <v>33.712265000000002</v>
      </c>
      <c r="C295">
        <f t="shared" si="17"/>
        <v>-117.87132800000001</v>
      </c>
      <c r="D295">
        <f t="shared" si="18"/>
        <v>46</v>
      </c>
      <c r="E295">
        <v>81.498999999999995</v>
      </c>
      <c r="F295">
        <f t="shared" si="19"/>
        <v>-35.498999999999995</v>
      </c>
      <c r="G295">
        <v>56.35</v>
      </c>
      <c r="H295">
        <v>2.33</v>
      </c>
      <c r="I295">
        <v>4.1319999999999997</v>
      </c>
      <c r="J295">
        <v>5</v>
      </c>
      <c r="K295">
        <v>27</v>
      </c>
      <c r="L295">
        <v>14</v>
      </c>
      <c r="M295">
        <v>3.427</v>
      </c>
    </row>
    <row r="296" spans="1:13" ht="15" customHeight="1">
      <c r="A296" t="s">
        <v>11</v>
      </c>
      <c r="B296">
        <f t="shared" si="16"/>
        <v>33.712265000000002</v>
      </c>
      <c r="C296">
        <f t="shared" si="17"/>
        <v>-117.87132800000001</v>
      </c>
      <c r="D296">
        <f t="shared" si="18"/>
        <v>46</v>
      </c>
      <c r="E296">
        <v>82.498999999999995</v>
      </c>
      <c r="F296">
        <f t="shared" si="19"/>
        <v>-36.498999999999995</v>
      </c>
      <c r="G296">
        <v>29.716999999999999</v>
      </c>
      <c r="H296">
        <v>1.06</v>
      </c>
      <c r="I296">
        <v>3.5670000000000002</v>
      </c>
      <c r="J296">
        <v>5</v>
      </c>
      <c r="K296">
        <v>14</v>
      </c>
      <c r="L296">
        <v>7</v>
      </c>
      <c r="M296">
        <v>1.645</v>
      </c>
    </row>
    <row r="297" spans="1:13" ht="15" customHeight="1">
      <c r="A297" t="s">
        <v>11</v>
      </c>
      <c r="B297">
        <f t="shared" si="16"/>
        <v>33.712265000000002</v>
      </c>
      <c r="C297">
        <f t="shared" si="17"/>
        <v>-117.87132800000001</v>
      </c>
      <c r="D297">
        <f t="shared" si="18"/>
        <v>46</v>
      </c>
      <c r="E297">
        <v>83.498999999999995</v>
      </c>
      <c r="F297">
        <f t="shared" si="19"/>
        <v>-37.498999999999995</v>
      </c>
      <c r="G297">
        <v>29.629000000000001</v>
      </c>
      <c r="H297">
        <v>0.88100000000000001</v>
      </c>
      <c r="I297">
        <v>2.9580000000000002</v>
      </c>
      <c r="J297">
        <v>5</v>
      </c>
      <c r="K297">
        <v>14</v>
      </c>
      <c r="L297">
        <v>7</v>
      </c>
      <c r="M297">
        <v>1.6459999999999999</v>
      </c>
    </row>
    <row r="298" spans="1:13" ht="15" customHeight="1">
      <c r="A298" t="s">
        <v>11</v>
      </c>
      <c r="B298">
        <f t="shared" si="16"/>
        <v>33.712265000000002</v>
      </c>
      <c r="C298">
        <f t="shared" si="17"/>
        <v>-117.87132800000001</v>
      </c>
      <c r="D298">
        <f t="shared" si="18"/>
        <v>46</v>
      </c>
      <c r="E298">
        <v>84.498999999999995</v>
      </c>
      <c r="F298">
        <f t="shared" si="19"/>
        <v>-38.498999999999995</v>
      </c>
      <c r="G298">
        <v>28.8</v>
      </c>
      <c r="H298">
        <v>0.85799999999999998</v>
      </c>
      <c r="I298">
        <v>2.95</v>
      </c>
      <c r="J298">
        <v>5</v>
      </c>
      <c r="K298">
        <v>14</v>
      </c>
      <c r="L298">
        <v>7</v>
      </c>
      <c r="M298">
        <v>1.595</v>
      </c>
    </row>
    <row r="299" spans="1:13" ht="15" customHeight="1">
      <c r="A299" t="s">
        <v>11</v>
      </c>
      <c r="B299">
        <f t="shared" si="16"/>
        <v>33.712265000000002</v>
      </c>
      <c r="C299">
        <f t="shared" si="17"/>
        <v>-117.87132800000001</v>
      </c>
      <c r="D299">
        <f t="shared" si="18"/>
        <v>46</v>
      </c>
      <c r="E299">
        <v>85.498999999999995</v>
      </c>
      <c r="F299">
        <f t="shared" si="19"/>
        <v>-39.498999999999995</v>
      </c>
      <c r="G299">
        <v>30.683</v>
      </c>
      <c r="H299">
        <v>0.97499999999999998</v>
      </c>
      <c r="I299">
        <v>3.1280000000000001</v>
      </c>
      <c r="J299">
        <v>5</v>
      </c>
      <c r="K299">
        <v>15</v>
      </c>
      <c r="L299">
        <v>8</v>
      </c>
      <c r="M299">
        <v>1.7290000000000001</v>
      </c>
    </row>
    <row r="300" spans="1:13" ht="15" customHeight="1">
      <c r="A300" t="s">
        <v>11</v>
      </c>
      <c r="B300">
        <f t="shared" si="16"/>
        <v>33.712265000000002</v>
      </c>
      <c r="C300">
        <f t="shared" si="17"/>
        <v>-117.87132800000001</v>
      </c>
      <c r="D300">
        <f t="shared" si="18"/>
        <v>46</v>
      </c>
      <c r="E300">
        <v>86.498999999999995</v>
      </c>
      <c r="F300">
        <f t="shared" si="19"/>
        <v>-40.498999999999995</v>
      </c>
      <c r="G300">
        <v>32.817</v>
      </c>
      <c r="H300">
        <v>0.90500000000000003</v>
      </c>
      <c r="I300">
        <v>2.6739999999999999</v>
      </c>
      <c r="J300">
        <v>6</v>
      </c>
      <c r="K300">
        <v>13</v>
      </c>
      <c r="L300">
        <v>7</v>
      </c>
      <c r="M300">
        <v>1.903</v>
      </c>
    </row>
    <row r="301" spans="1:13" ht="15" customHeight="1">
      <c r="A301" t="s">
        <v>11</v>
      </c>
      <c r="B301">
        <f t="shared" si="16"/>
        <v>33.712265000000002</v>
      </c>
      <c r="C301">
        <f t="shared" si="17"/>
        <v>-117.87132800000001</v>
      </c>
      <c r="D301">
        <f t="shared" si="18"/>
        <v>46</v>
      </c>
      <c r="E301">
        <v>87.498999999999995</v>
      </c>
      <c r="F301">
        <f t="shared" si="19"/>
        <v>-41.498999999999995</v>
      </c>
      <c r="G301">
        <v>36.082999999999998</v>
      </c>
      <c r="H301">
        <v>1.147</v>
      </c>
      <c r="I301">
        <v>3.0649999999999999</v>
      </c>
      <c r="J301">
        <v>5</v>
      </c>
      <c r="K301">
        <v>18</v>
      </c>
      <c r="L301">
        <v>9</v>
      </c>
      <c r="M301">
        <v>2.137</v>
      </c>
    </row>
    <row r="302" spans="1:13" ht="15" customHeight="1">
      <c r="A302" t="s">
        <v>11</v>
      </c>
      <c r="B302">
        <f t="shared" si="16"/>
        <v>33.712265000000002</v>
      </c>
      <c r="C302">
        <f t="shared" si="17"/>
        <v>-117.87132800000001</v>
      </c>
      <c r="D302">
        <f t="shared" si="18"/>
        <v>46</v>
      </c>
      <c r="E302">
        <v>88.498999999999995</v>
      </c>
      <c r="F302">
        <f t="shared" si="19"/>
        <v>-42.498999999999995</v>
      </c>
      <c r="G302">
        <v>82.816999999999993</v>
      </c>
      <c r="H302">
        <v>3.0019999999999998</v>
      </c>
      <c r="I302">
        <v>3.605</v>
      </c>
      <c r="J302">
        <v>5</v>
      </c>
      <c r="K302">
        <v>40</v>
      </c>
      <c r="L302">
        <v>20</v>
      </c>
      <c r="M302">
        <v>5.19</v>
      </c>
    </row>
    <row r="303" spans="1:13" ht="15" customHeight="1">
      <c r="A303" t="s">
        <v>11</v>
      </c>
      <c r="B303">
        <f t="shared" si="16"/>
        <v>33.712265000000002</v>
      </c>
      <c r="C303">
        <f t="shared" si="17"/>
        <v>-117.87132800000001</v>
      </c>
      <c r="D303">
        <f t="shared" si="18"/>
        <v>46</v>
      </c>
      <c r="E303">
        <v>89.498999999999995</v>
      </c>
      <c r="F303">
        <f t="shared" si="19"/>
        <v>-43.498999999999995</v>
      </c>
      <c r="G303">
        <v>45.7</v>
      </c>
      <c r="H303">
        <v>2.1</v>
      </c>
      <c r="I303">
        <v>4.6020000000000003</v>
      </c>
      <c r="J303">
        <v>4</v>
      </c>
      <c r="K303">
        <v>29</v>
      </c>
      <c r="L303">
        <v>15</v>
      </c>
      <c r="M303">
        <v>2.6760000000000002</v>
      </c>
    </row>
    <row r="304" spans="1:13" ht="15" customHeight="1">
      <c r="A304" t="s">
        <v>11</v>
      </c>
      <c r="B304">
        <f t="shared" si="16"/>
        <v>33.712265000000002</v>
      </c>
      <c r="C304">
        <f t="shared" si="17"/>
        <v>-117.87132800000001</v>
      </c>
      <c r="D304">
        <f t="shared" si="18"/>
        <v>46</v>
      </c>
      <c r="E304">
        <v>90.498999999999995</v>
      </c>
      <c r="F304">
        <f t="shared" si="19"/>
        <v>-44.498999999999995</v>
      </c>
      <c r="G304">
        <v>29.632999999999999</v>
      </c>
      <c r="H304">
        <v>0.83699999999999997</v>
      </c>
      <c r="I304">
        <v>2.823</v>
      </c>
      <c r="J304">
        <v>5</v>
      </c>
      <c r="K304">
        <v>14</v>
      </c>
      <c r="L304">
        <v>7</v>
      </c>
      <c r="M304">
        <v>1.6060000000000001</v>
      </c>
    </row>
    <row r="305" spans="1:13" ht="15" customHeight="1">
      <c r="A305" t="s">
        <v>11</v>
      </c>
      <c r="B305">
        <f t="shared" si="16"/>
        <v>33.712265000000002</v>
      </c>
      <c r="C305">
        <f t="shared" si="17"/>
        <v>-117.87132800000001</v>
      </c>
      <c r="D305">
        <f t="shared" si="18"/>
        <v>46</v>
      </c>
      <c r="E305">
        <v>91.498999999999995</v>
      </c>
      <c r="F305">
        <f t="shared" si="19"/>
        <v>-45.498999999999995</v>
      </c>
      <c r="G305">
        <v>66.233000000000004</v>
      </c>
      <c r="H305">
        <v>2.6120000000000001</v>
      </c>
      <c r="I305">
        <v>3.9409999999999998</v>
      </c>
      <c r="J305">
        <v>5</v>
      </c>
      <c r="K305">
        <v>32</v>
      </c>
      <c r="L305">
        <v>16</v>
      </c>
      <c r="M305">
        <v>4.0439999999999996</v>
      </c>
    </row>
    <row r="306" spans="1:13" ht="15" customHeight="1">
      <c r="A306" t="s">
        <v>11</v>
      </c>
      <c r="B306">
        <f t="shared" si="16"/>
        <v>33.712265000000002</v>
      </c>
      <c r="C306">
        <f t="shared" si="17"/>
        <v>-117.87132800000001</v>
      </c>
      <c r="D306">
        <f t="shared" si="18"/>
        <v>46</v>
      </c>
      <c r="E306">
        <v>92.498999999999995</v>
      </c>
      <c r="F306">
        <f t="shared" si="19"/>
        <v>-46.498999999999995</v>
      </c>
      <c r="G306">
        <v>62.567</v>
      </c>
      <c r="H306">
        <v>3.0430000000000001</v>
      </c>
      <c r="I306">
        <v>4.8620000000000001</v>
      </c>
      <c r="J306">
        <v>4</v>
      </c>
      <c r="K306">
        <v>40</v>
      </c>
      <c r="L306">
        <v>20</v>
      </c>
      <c r="M306">
        <v>3.7949999999999999</v>
      </c>
    </row>
    <row r="307" spans="1:13" ht="15" customHeight="1">
      <c r="A307" t="s">
        <v>11</v>
      </c>
      <c r="B307">
        <f t="shared" si="16"/>
        <v>33.712265000000002</v>
      </c>
      <c r="C307">
        <f t="shared" si="17"/>
        <v>-117.87132800000001</v>
      </c>
      <c r="D307">
        <f t="shared" si="18"/>
        <v>46</v>
      </c>
      <c r="E307">
        <v>93.498999999999995</v>
      </c>
      <c r="F307">
        <f t="shared" si="19"/>
        <v>-47.498999999999995</v>
      </c>
      <c r="G307">
        <v>221.17099999999999</v>
      </c>
      <c r="H307">
        <v>2.44</v>
      </c>
      <c r="I307">
        <v>1.1040000000000001</v>
      </c>
      <c r="J307">
        <v>9</v>
      </c>
      <c r="K307">
        <v>42</v>
      </c>
      <c r="L307">
        <v>21</v>
      </c>
      <c r="M307" s="1">
        <v>9000000000</v>
      </c>
    </row>
    <row r="308" spans="1:13" ht="15" customHeight="1">
      <c r="A308" t="s">
        <v>11</v>
      </c>
      <c r="B308">
        <f t="shared" si="16"/>
        <v>33.712265000000002</v>
      </c>
      <c r="C308">
        <f t="shared" si="17"/>
        <v>-117.87132800000001</v>
      </c>
      <c r="D308">
        <f t="shared" si="18"/>
        <v>46</v>
      </c>
      <c r="E308">
        <v>94.498999999999995</v>
      </c>
      <c r="F308">
        <f t="shared" si="19"/>
        <v>-48.498999999999995</v>
      </c>
      <c r="G308">
        <v>223.43299999999999</v>
      </c>
      <c r="H308">
        <v>2.145</v>
      </c>
      <c r="I308">
        <v>0.96099999999999997</v>
      </c>
      <c r="J308">
        <v>9</v>
      </c>
      <c r="K308">
        <v>43</v>
      </c>
      <c r="L308">
        <v>22</v>
      </c>
      <c r="M308" s="1">
        <v>9000000000</v>
      </c>
    </row>
    <row r="309" spans="1:13" ht="15" customHeight="1">
      <c r="A309" t="s">
        <v>11</v>
      </c>
      <c r="B309">
        <f t="shared" si="16"/>
        <v>33.712265000000002</v>
      </c>
      <c r="C309">
        <f t="shared" si="17"/>
        <v>-117.87132800000001</v>
      </c>
      <c r="D309">
        <f t="shared" si="18"/>
        <v>46</v>
      </c>
      <c r="E309">
        <v>95.498999999999995</v>
      </c>
      <c r="F309">
        <f t="shared" si="19"/>
        <v>-49.498999999999995</v>
      </c>
      <c r="G309">
        <v>139.86699999999999</v>
      </c>
      <c r="H309">
        <v>2.97</v>
      </c>
      <c r="I309">
        <v>2.125</v>
      </c>
      <c r="J309">
        <v>7</v>
      </c>
      <c r="K309">
        <v>45</v>
      </c>
      <c r="L309">
        <v>23</v>
      </c>
      <c r="M309" s="1">
        <v>9000000000</v>
      </c>
    </row>
    <row r="310" spans="1:13" ht="15" customHeight="1">
      <c r="A310" t="s">
        <v>11</v>
      </c>
      <c r="B310">
        <f t="shared" si="16"/>
        <v>33.712265000000002</v>
      </c>
      <c r="C310">
        <f t="shared" si="17"/>
        <v>-117.87132800000001</v>
      </c>
      <c r="D310">
        <f t="shared" si="18"/>
        <v>46</v>
      </c>
      <c r="E310">
        <v>96.498999999999995</v>
      </c>
      <c r="F310">
        <f t="shared" si="19"/>
        <v>-50.498999999999995</v>
      </c>
      <c r="G310">
        <v>188.65</v>
      </c>
      <c r="H310">
        <v>2</v>
      </c>
      <c r="I310">
        <v>1.0609999999999999</v>
      </c>
      <c r="J310">
        <v>9</v>
      </c>
      <c r="K310">
        <v>36</v>
      </c>
      <c r="L310">
        <v>18</v>
      </c>
      <c r="M310" s="1">
        <v>9000000000</v>
      </c>
    </row>
    <row r="311" spans="1:13" ht="15" customHeight="1">
      <c r="A311" t="s">
        <v>11</v>
      </c>
      <c r="B311">
        <f t="shared" si="16"/>
        <v>33.712265000000002</v>
      </c>
      <c r="C311">
        <f t="shared" si="17"/>
        <v>-117.87132800000001</v>
      </c>
      <c r="D311">
        <f t="shared" si="18"/>
        <v>46</v>
      </c>
      <c r="E311">
        <v>97.498999999999995</v>
      </c>
      <c r="F311">
        <f t="shared" si="19"/>
        <v>-51.498999999999995</v>
      </c>
      <c r="G311">
        <v>145.233</v>
      </c>
      <c r="H311">
        <v>4.2370000000000001</v>
      </c>
      <c r="I311">
        <v>2.92</v>
      </c>
      <c r="J311">
        <v>6</v>
      </c>
      <c r="K311">
        <v>56</v>
      </c>
      <c r="L311">
        <v>28</v>
      </c>
      <c r="M311">
        <v>9.2729999999999997</v>
      </c>
    </row>
    <row r="312" spans="1:13" ht="15" customHeight="1">
      <c r="A312" t="s">
        <v>11</v>
      </c>
      <c r="B312">
        <f t="shared" si="16"/>
        <v>33.712265000000002</v>
      </c>
      <c r="C312">
        <f t="shared" si="17"/>
        <v>-117.87132800000001</v>
      </c>
      <c r="D312">
        <f t="shared" si="18"/>
        <v>46</v>
      </c>
      <c r="E312">
        <v>98.498999999999995</v>
      </c>
      <c r="F312">
        <f t="shared" si="19"/>
        <v>-52.498999999999995</v>
      </c>
      <c r="G312">
        <v>187.56700000000001</v>
      </c>
      <c r="H312">
        <v>3.585</v>
      </c>
      <c r="I312">
        <v>1.913</v>
      </c>
      <c r="J312">
        <v>8</v>
      </c>
      <c r="K312">
        <v>45</v>
      </c>
      <c r="L312">
        <v>23</v>
      </c>
      <c r="M312" s="1">
        <v>9000000000</v>
      </c>
    </row>
    <row r="313" spans="1:13" ht="15" customHeight="1">
      <c r="A313" t="s">
        <v>11</v>
      </c>
      <c r="B313">
        <f t="shared" si="16"/>
        <v>33.712265000000002</v>
      </c>
      <c r="C313">
        <f t="shared" si="17"/>
        <v>-117.87132800000001</v>
      </c>
      <c r="D313">
        <f t="shared" si="18"/>
        <v>46</v>
      </c>
      <c r="E313">
        <v>99.498999999999995</v>
      </c>
      <c r="F313">
        <f t="shared" si="19"/>
        <v>-53.498999999999995</v>
      </c>
      <c r="G313">
        <v>91.6</v>
      </c>
      <c r="H313">
        <v>1.7949999999999999</v>
      </c>
      <c r="I313">
        <v>1.9630000000000001</v>
      </c>
      <c r="J313">
        <v>7</v>
      </c>
      <c r="K313">
        <v>29</v>
      </c>
      <c r="L313">
        <v>15</v>
      </c>
      <c r="M313" s="1">
        <v>9000000000</v>
      </c>
    </row>
    <row r="314" spans="1:13" ht="15" customHeight="1">
      <c r="A314" t="s">
        <v>11</v>
      </c>
      <c r="B314">
        <f t="shared" si="16"/>
        <v>33.712265000000002</v>
      </c>
      <c r="C314">
        <f t="shared" si="17"/>
        <v>-117.87132800000001</v>
      </c>
      <c r="D314">
        <f t="shared" si="18"/>
        <v>46</v>
      </c>
      <c r="E314">
        <v>100.499</v>
      </c>
      <c r="F314">
        <f t="shared" si="19"/>
        <v>-54.498999999999995</v>
      </c>
      <c r="G314">
        <v>44.8</v>
      </c>
      <c r="H314">
        <v>1.47</v>
      </c>
      <c r="I314">
        <v>3.294</v>
      </c>
      <c r="J314">
        <v>5</v>
      </c>
      <c r="K314">
        <v>21</v>
      </c>
      <c r="L314">
        <v>11</v>
      </c>
      <c r="M314">
        <v>2.5640000000000001</v>
      </c>
    </row>
    <row r="315" spans="1:13" ht="15" customHeight="1">
      <c r="A315" t="s">
        <v>11</v>
      </c>
      <c r="B315">
        <f t="shared" si="16"/>
        <v>33.712265000000002</v>
      </c>
      <c r="C315">
        <f t="shared" si="17"/>
        <v>-117.87132800000001</v>
      </c>
      <c r="D315">
        <f t="shared" si="18"/>
        <v>46</v>
      </c>
      <c r="E315">
        <v>101.499</v>
      </c>
      <c r="F315">
        <f t="shared" si="19"/>
        <v>-55.498999999999995</v>
      </c>
      <c r="G315">
        <v>104.367</v>
      </c>
      <c r="H315">
        <v>5.4</v>
      </c>
      <c r="I315">
        <v>5.181</v>
      </c>
      <c r="J315">
        <v>11</v>
      </c>
      <c r="K315">
        <v>100</v>
      </c>
      <c r="L315">
        <v>50</v>
      </c>
      <c r="M315" s="1">
        <v>9000000000</v>
      </c>
    </row>
    <row r="316" spans="1:13" ht="15" customHeight="1">
      <c r="A316" t="s">
        <v>11</v>
      </c>
      <c r="B316">
        <f t="shared" si="16"/>
        <v>33.712265000000002</v>
      </c>
      <c r="C316">
        <f t="shared" si="17"/>
        <v>-117.87132800000001</v>
      </c>
      <c r="D316">
        <f t="shared" si="18"/>
        <v>46</v>
      </c>
      <c r="E316">
        <v>102.499</v>
      </c>
      <c r="F316">
        <f t="shared" si="19"/>
        <v>-56.498999999999995</v>
      </c>
      <c r="G316">
        <v>266.8</v>
      </c>
      <c r="H316">
        <v>2.1419999999999999</v>
      </c>
      <c r="I316">
        <v>0.80300000000000005</v>
      </c>
      <c r="J316">
        <v>9</v>
      </c>
      <c r="K316">
        <v>51</v>
      </c>
      <c r="L316">
        <v>26</v>
      </c>
      <c r="M316" s="1">
        <v>9000000000</v>
      </c>
    </row>
    <row r="317" spans="1:13" ht="15" customHeight="1">
      <c r="A317" t="s">
        <v>11</v>
      </c>
      <c r="B317">
        <f t="shared" si="16"/>
        <v>33.712265000000002</v>
      </c>
      <c r="C317">
        <f t="shared" si="17"/>
        <v>-117.87132800000001</v>
      </c>
      <c r="D317">
        <f t="shared" si="18"/>
        <v>46</v>
      </c>
      <c r="E317">
        <v>103.499</v>
      </c>
      <c r="F317">
        <f t="shared" si="19"/>
        <v>-57.498999999999995</v>
      </c>
      <c r="G317">
        <v>240.7</v>
      </c>
      <c r="H317">
        <v>2.1549999999999998</v>
      </c>
      <c r="I317">
        <v>0.89600000000000002</v>
      </c>
      <c r="J317">
        <v>9</v>
      </c>
      <c r="K317">
        <v>46</v>
      </c>
      <c r="L317">
        <v>23</v>
      </c>
      <c r="M317" s="1">
        <v>9000000000</v>
      </c>
    </row>
    <row r="318" spans="1:13" ht="15" customHeight="1">
      <c r="A318" t="s">
        <v>11</v>
      </c>
      <c r="B318">
        <f t="shared" si="16"/>
        <v>33.712265000000002</v>
      </c>
      <c r="C318">
        <f t="shared" si="17"/>
        <v>-117.87132800000001</v>
      </c>
      <c r="D318">
        <f t="shared" si="18"/>
        <v>46</v>
      </c>
      <c r="E318">
        <v>104.499</v>
      </c>
      <c r="F318">
        <f t="shared" si="19"/>
        <v>-58.498999999999995</v>
      </c>
      <c r="G318">
        <v>126.2</v>
      </c>
      <c r="H318">
        <v>3.847</v>
      </c>
      <c r="I318">
        <v>3.0510000000000002</v>
      </c>
      <c r="J318">
        <v>6</v>
      </c>
      <c r="K318">
        <v>48</v>
      </c>
      <c r="L318">
        <v>24</v>
      </c>
      <c r="M318">
        <v>7.9770000000000003</v>
      </c>
    </row>
    <row r="319" spans="1:13" ht="15" customHeight="1">
      <c r="A319" t="s">
        <v>11</v>
      </c>
      <c r="B319">
        <f t="shared" si="16"/>
        <v>33.712265000000002</v>
      </c>
      <c r="C319">
        <f t="shared" si="17"/>
        <v>-117.87132800000001</v>
      </c>
      <c r="D319">
        <f t="shared" si="18"/>
        <v>46</v>
      </c>
      <c r="E319">
        <v>105.499</v>
      </c>
      <c r="F319">
        <f t="shared" si="19"/>
        <v>-59.498999999999995</v>
      </c>
      <c r="G319">
        <v>147.18299999999999</v>
      </c>
      <c r="H319">
        <v>3.78</v>
      </c>
      <c r="I319">
        <v>2.5710000000000002</v>
      </c>
      <c r="J319">
        <v>7</v>
      </c>
      <c r="K319">
        <v>47</v>
      </c>
      <c r="L319">
        <v>24</v>
      </c>
      <c r="M319" s="1">
        <v>9000000000</v>
      </c>
    </row>
    <row r="320" spans="1:13" ht="15" customHeight="1">
      <c r="A320" t="s">
        <v>11</v>
      </c>
      <c r="B320">
        <f t="shared" si="16"/>
        <v>33.712265000000002</v>
      </c>
      <c r="C320">
        <f t="shared" si="17"/>
        <v>-117.87132800000001</v>
      </c>
      <c r="D320">
        <f t="shared" si="18"/>
        <v>46</v>
      </c>
      <c r="E320">
        <v>106.499</v>
      </c>
      <c r="F320">
        <f t="shared" si="19"/>
        <v>-60.498999999999995</v>
      </c>
      <c r="G320">
        <v>163.18299999999999</v>
      </c>
      <c r="H320">
        <v>3.4180000000000001</v>
      </c>
      <c r="I320">
        <v>2.097</v>
      </c>
      <c r="J320">
        <v>7</v>
      </c>
      <c r="K320">
        <v>52</v>
      </c>
      <c r="L320">
        <v>26</v>
      </c>
      <c r="M320" s="1">
        <v>9000000000</v>
      </c>
    </row>
    <row r="321" spans="1:13" ht="15" customHeight="1">
      <c r="A321" t="s">
        <v>11</v>
      </c>
      <c r="B321">
        <f t="shared" si="16"/>
        <v>33.712265000000002</v>
      </c>
      <c r="C321">
        <f t="shared" si="17"/>
        <v>-117.87132800000001</v>
      </c>
      <c r="D321">
        <f t="shared" si="18"/>
        <v>46</v>
      </c>
      <c r="E321">
        <v>107.499</v>
      </c>
      <c r="F321">
        <f t="shared" si="19"/>
        <v>-61.498999999999995</v>
      </c>
      <c r="G321">
        <v>140.46700000000001</v>
      </c>
      <c r="H321">
        <v>4.3369999999999997</v>
      </c>
      <c r="I321">
        <v>3.09</v>
      </c>
      <c r="J321">
        <v>6</v>
      </c>
      <c r="K321">
        <v>54</v>
      </c>
      <c r="L321">
        <v>27</v>
      </c>
      <c r="M321">
        <v>8.9149999999999991</v>
      </c>
    </row>
    <row r="322" spans="1:13" ht="15" customHeight="1">
      <c r="A322" t="s">
        <v>11</v>
      </c>
      <c r="B322">
        <f t="shared" ref="B322:B385" si="20">VLOOKUP(A322,XYdata,3,FALSE)</f>
        <v>33.712265000000002</v>
      </c>
      <c r="C322">
        <f t="shared" ref="C322:C385" si="21">VLOOKUP(A322,XYdata,2,FALSE)</f>
        <v>-117.87132800000001</v>
      </c>
      <c r="D322">
        <f t="shared" ref="D322:D385" si="22">VLOOKUP(A322,Elevation,2,FALSE)</f>
        <v>46</v>
      </c>
      <c r="E322">
        <v>108.499</v>
      </c>
      <c r="F322">
        <f t="shared" si="19"/>
        <v>-62.498999999999995</v>
      </c>
      <c r="G322">
        <v>399.13299999999998</v>
      </c>
      <c r="H322">
        <v>2.8380000000000001</v>
      </c>
      <c r="I322">
        <v>0.71099999999999997</v>
      </c>
      <c r="J322">
        <v>10</v>
      </c>
      <c r="K322">
        <v>64</v>
      </c>
      <c r="L322">
        <v>32</v>
      </c>
      <c r="M322" s="1">
        <v>9000000000</v>
      </c>
    </row>
    <row r="323" spans="1:13" ht="15" customHeight="1">
      <c r="A323" t="s">
        <v>11</v>
      </c>
      <c r="B323">
        <f t="shared" si="20"/>
        <v>33.712265000000002</v>
      </c>
      <c r="C323">
        <f t="shared" si="21"/>
        <v>-117.87132800000001</v>
      </c>
      <c r="D323">
        <f t="shared" si="22"/>
        <v>46</v>
      </c>
      <c r="E323">
        <v>109.499</v>
      </c>
      <c r="F323">
        <f t="shared" ref="F323:F386" si="23">D323-E323</f>
        <v>-63.498999999999995</v>
      </c>
      <c r="G323">
        <v>235.18299999999999</v>
      </c>
      <c r="H323">
        <v>3.31</v>
      </c>
      <c r="I323">
        <v>1.4079999999999999</v>
      </c>
      <c r="J323">
        <v>8</v>
      </c>
      <c r="K323">
        <v>56</v>
      </c>
      <c r="L323">
        <v>28</v>
      </c>
      <c r="M323" s="1">
        <v>9000000000</v>
      </c>
    </row>
    <row r="324" spans="1:13" ht="15" customHeight="1">
      <c r="A324" t="s">
        <v>11</v>
      </c>
      <c r="B324">
        <f t="shared" si="20"/>
        <v>33.712265000000002</v>
      </c>
      <c r="C324">
        <f t="shared" si="21"/>
        <v>-117.87132800000001</v>
      </c>
      <c r="D324">
        <f t="shared" si="22"/>
        <v>46</v>
      </c>
      <c r="E324">
        <v>110.499</v>
      </c>
      <c r="F324">
        <f t="shared" si="23"/>
        <v>-64.498999999999995</v>
      </c>
      <c r="G324">
        <v>54.866999999999997</v>
      </c>
      <c r="H324">
        <v>1.2869999999999999</v>
      </c>
      <c r="I324">
        <v>2.3460000000000001</v>
      </c>
      <c r="J324">
        <v>6</v>
      </c>
      <c r="K324">
        <v>21</v>
      </c>
      <c r="L324">
        <v>11</v>
      </c>
      <c r="M324">
        <v>3.2040000000000002</v>
      </c>
    </row>
    <row r="325" spans="1:13" ht="15" customHeight="1">
      <c r="A325" t="s">
        <v>11</v>
      </c>
      <c r="B325">
        <f t="shared" si="20"/>
        <v>33.712265000000002</v>
      </c>
      <c r="C325">
        <f t="shared" si="21"/>
        <v>-117.87132800000001</v>
      </c>
      <c r="D325">
        <f t="shared" si="22"/>
        <v>46</v>
      </c>
      <c r="E325">
        <v>111.499</v>
      </c>
      <c r="F325">
        <f t="shared" si="23"/>
        <v>-65.498999999999995</v>
      </c>
      <c r="G325">
        <v>56.1</v>
      </c>
      <c r="H325">
        <v>1.5269999999999999</v>
      </c>
      <c r="I325">
        <v>2.72</v>
      </c>
      <c r="J325">
        <v>6</v>
      </c>
      <c r="K325">
        <v>22</v>
      </c>
      <c r="L325">
        <v>11</v>
      </c>
      <c r="M325">
        <v>3.2850000000000001</v>
      </c>
    </row>
    <row r="326" spans="1:13" ht="15" customHeight="1">
      <c r="A326" t="s">
        <v>11</v>
      </c>
      <c r="B326">
        <f t="shared" si="20"/>
        <v>33.712265000000002</v>
      </c>
      <c r="C326">
        <f t="shared" si="21"/>
        <v>-117.87132800000001</v>
      </c>
      <c r="D326">
        <f t="shared" si="22"/>
        <v>46</v>
      </c>
      <c r="E326">
        <v>112.499</v>
      </c>
      <c r="F326">
        <f t="shared" si="23"/>
        <v>-66.498999999999995</v>
      </c>
      <c r="G326">
        <v>50.716999999999999</v>
      </c>
      <c r="H326">
        <v>1.7030000000000001</v>
      </c>
      <c r="I326">
        <v>3.351</v>
      </c>
      <c r="J326">
        <v>5</v>
      </c>
      <c r="K326">
        <v>24</v>
      </c>
      <c r="L326">
        <v>12</v>
      </c>
      <c r="M326">
        <v>2.927</v>
      </c>
    </row>
    <row r="327" spans="1:13" ht="15" customHeight="1">
      <c r="A327" t="s">
        <v>11</v>
      </c>
      <c r="B327">
        <f t="shared" si="20"/>
        <v>33.712265000000002</v>
      </c>
      <c r="C327">
        <f t="shared" si="21"/>
        <v>-117.87132800000001</v>
      </c>
      <c r="D327">
        <f t="shared" si="22"/>
        <v>46</v>
      </c>
      <c r="E327">
        <v>113.499</v>
      </c>
      <c r="F327">
        <f t="shared" si="23"/>
        <v>-67.498999999999995</v>
      </c>
      <c r="G327">
        <v>48.35</v>
      </c>
      <c r="H327">
        <v>1.458</v>
      </c>
      <c r="I327">
        <v>3.0059999999999998</v>
      </c>
      <c r="J327">
        <v>6</v>
      </c>
      <c r="K327">
        <v>19</v>
      </c>
      <c r="L327">
        <v>10</v>
      </c>
      <c r="M327">
        <v>2.7690000000000001</v>
      </c>
    </row>
    <row r="328" spans="1:13" ht="15" customHeight="1">
      <c r="A328" t="s">
        <v>11</v>
      </c>
      <c r="B328">
        <f t="shared" si="20"/>
        <v>33.712265000000002</v>
      </c>
      <c r="C328">
        <f t="shared" si="21"/>
        <v>-117.87132800000001</v>
      </c>
      <c r="D328">
        <f t="shared" si="22"/>
        <v>46</v>
      </c>
      <c r="E328">
        <v>114.499</v>
      </c>
      <c r="F328">
        <f t="shared" si="23"/>
        <v>-68.498999999999995</v>
      </c>
      <c r="G328">
        <v>68.085999999999999</v>
      </c>
      <c r="H328">
        <v>2.58</v>
      </c>
      <c r="I328">
        <v>3.78</v>
      </c>
      <c r="J328">
        <v>5</v>
      </c>
      <c r="K328">
        <v>33</v>
      </c>
      <c r="L328">
        <v>17</v>
      </c>
      <c r="M328">
        <v>4.0810000000000004</v>
      </c>
    </row>
    <row r="329" spans="1:13" ht="15" customHeight="1">
      <c r="A329" t="s">
        <v>11</v>
      </c>
      <c r="B329">
        <f t="shared" si="20"/>
        <v>33.712265000000002</v>
      </c>
      <c r="C329">
        <f t="shared" si="21"/>
        <v>-117.87132800000001</v>
      </c>
      <c r="D329">
        <f t="shared" si="22"/>
        <v>46</v>
      </c>
      <c r="E329">
        <v>115.499</v>
      </c>
      <c r="F329">
        <f t="shared" si="23"/>
        <v>-69.498999999999995</v>
      </c>
      <c r="G329">
        <v>201.983</v>
      </c>
      <c r="H329">
        <v>6.8079999999999998</v>
      </c>
      <c r="I329">
        <v>3.371</v>
      </c>
      <c r="J329">
        <v>12</v>
      </c>
      <c r="K329">
        <v>97</v>
      </c>
      <c r="L329">
        <v>49</v>
      </c>
      <c r="M329" s="1">
        <v>9000000000</v>
      </c>
    </row>
    <row r="330" spans="1:13" ht="15" customHeight="1">
      <c r="A330" t="s">
        <v>11</v>
      </c>
      <c r="B330">
        <f t="shared" si="20"/>
        <v>33.712265000000002</v>
      </c>
      <c r="C330">
        <f t="shared" si="21"/>
        <v>-117.87132800000001</v>
      </c>
      <c r="D330">
        <f t="shared" si="22"/>
        <v>46</v>
      </c>
      <c r="E330">
        <v>116.499</v>
      </c>
      <c r="F330">
        <f t="shared" si="23"/>
        <v>-70.498999999999995</v>
      </c>
      <c r="G330">
        <v>165.96700000000001</v>
      </c>
      <c r="H330">
        <v>5.3129999999999997</v>
      </c>
      <c r="I330">
        <v>3.2040000000000002</v>
      </c>
      <c r="J330">
        <v>6</v>
      </c>
      <c r="K330">
        <v>64</v>
      </c>
      <c r="L330">
        <v>32</v>
      </c>
      <c r="M330">
        <v>10.577999999999999</v>
      </c>
    </row>
    <row r="331" spans="1:13" ht="15" customHeight="1">
      <c r="A331" t="s">
        <v>11</v>
      </c>
      <c r="B331">
        <f t="shared" si="20"/>
        <v>33.712265000000002</v>
      </c>
      <c r="C331">
        <f t="shared" si="21"/>
        <v>-117.87132800000001</v>
      </c>
      <c r="D331">
        <f t="shared" si="22"/>
        <v>46</v>
      </c>
      <c r="E331">
        <v>117.498</v>
      </c>
      <c r="F331">
        <f t="shared" si="23"/>
        <v>-71.498000000000005</v>
      </c>
      <c r="G331">
        <v>116.083</v>
      </c>
      <c r="H331">
        <v>5.2779999999999996</v>
      </c>
      <c r="I331">
        <v>4.5519999999999996</v>
      </c>
      <c r="J331">
        <v>11</v>
      </c>
      <c r="K331">
        <v>111</v>
      </c>
      <c r="L331">
        <v>56</v>
      </c>
      <c r="M331" s="1">
        <v>9000000000</v>
      </c>
    </row>
    <row r="332" spans="1:13" ht="15" customHeight="1">
      <c r="A332" t="s">
        <v>11</v>
      </c>
      <c r="B332">
        <f t="shared" si="20"/>
        <v>33.712265000000002</v>
      </c>
      <c r="C332">
        <f t="shared" si="21"/>
        <v>-117.87132800000001</v>
      </c>
      <c r="D332">
        <f t="shared" si="22"/>
        <v>46</v>
      </c>
      <c r="E332">
        <v>118.498</v>
      </c>
      <c r="F332">
        <f t="shared" si="23"/>
        <v>-72.498000000000005</v>
      </c>
      <c r="G332">
        <v>286.81700000000001</v>
      </c>
      <c r="H332">
        <v>2.5920000000000001</v>
      </c>
      <c r="I332">
        <v>0.90400000000000003</v>
      </c>
      <c r="J332">
        <v>9</v>
      </c>
      <c r="K332">
        <v>55</v>
      </c>
      <c r="L332">
        <v>28</v>
      </c>
      <c r="M332" s="1">
        <v>9000000000</v>
      </c>
    </row>
    <row r="333" spans="1:13" ht="15" customHeight="1">
      <c r="A333" t="s">
        <v>11</v>
      </c>
      <c r="B333">
        <f t="shared" si="20"/>
        <v>33.712265000000002</v>
      </c>
      <c r="C333">
        <f t="shared" si="21"/>
        <v>-117.87132800000001</v>
      </c>
      <c r="D333">
        <f t="shared" si="22"/>
        <v>46</v>
      </c>
      <c r="E333">
        <v>119.498</v>
      </c>
      <c r="F333">
        <f t="shared" si="23"/>
        <v>-73.498000000000005</v>
      </c>
      <c r="G333">
        <v>318.21699999999998</v>
      </c>
      <c r="H333">
        <v>3.0569999999999999</v>
      </c>
      <c r="I333">
        <v>0.96099999999999997</v>
      </c>
      <c r="J333">
        <v>9</v>
      </c>
      <c r="K333">
        <v>61</v>
      </c>
      <c r="L333">
        <v>31</v>
      </c>
      <c r="M333" s="1">
        <v>9000000000</v>
      </c>
    </row>
    <row r="334" spans="1:13" ht="15" customHeight="1">
      <c r="A334" t="s">
        <v>11</v>
      </c>
      <c r="B334">
        <f t="shared" si="20"/>
        <v>33.712265000000002</v>
      </c>
      <c r="C334">
        <f t="shared" si="21"/>
        <v>-117.87132800000001</v>
      </c>
      <c r="D334">
        <f t="shared" si="22"/>
        <v>46</v>
      </c>
      <c r="E334">
        <v>120.498</v>
      </c>
      <c r="F334">
        <f t="shared" si="23"/>
        <v>-74.498000000000005</v>
      </c>
      <c r="G334">
        <v>192.28299999999999</v>
      </c>
      <c r="H334">
        <v>4.5170000000000003</v>
      </c>
      <c r="I334">
        <v>2.3490000000000002</v>
      </c>
      <c r="J334">
        <v>7</v>
      </c>
      <c r="K334">
        <v>61</v>
      </c>
      <c r="L334">
        <v>31</v>
      </c>
      <c r="M334" s="1">
        <v>9000000000</v>
      </c>
    </row>
    <row r="335" spans="1:13" ht="15" customHeight="1">
      <c r="A335" t="s">
        <v>11</v>
      </c>
      <c r="B335">
        <f t="shared" si="20"/>
        <v>33.712265000000002</v>
      </c>
      <c r="C335">
        <f t="shared" si="21"/>
        <v>-117.87132800000001</v>
      </c>
      <c r="D335">
        <f t="shared" si="22"/>
        <v>46</v>
      </c>
      <c r="E335">
        <v>121.498</v>
      </c>
      <c r="F335">
        <f t="shared" si="23"/>
        <v>-75.498000000000005</v>
      </c>
      <c r="G335">
        <v>191.53299999999999</v>
      </c>
      <c r="H335">
        <v>4.5979999999999999</v>
      </c>
      <c r="I335">
        <v>2.3929999999999998</v>
      </c>
      <c r="J335">
        <v>7</v>
      </c>
      <c r="K335">
        <v>61</v>
      </c>
      <c r="L335">
        <v>31</v>
      </c>
      <c r="M335" s="1">
        <v>9000000000</v>
      </c>
    </row>
    <row r="336" spans="1:13" ht="15" customHeight="1">
      <c r="A336" t="s">
        <v>11</v>
      </c>
      <c r="B336">
        <f t="shared" si="20"/>
        <v>33.712265000000002</v>
      </c>
      <c r="C336">
        <f t="shared" si="21"/>
        <v>-117.87132800000001</v>
      </c>
      <c r="D336">
        <f t="shared" si="22"/>
        <v>46</v>
      </c>
      <c r="E336">
        <v>122.498</v>
      </c>
      <c r="F336">
        <f t="shared" si="23"/>
        <v>-76.498000000000005</v>
      </c>
      <c r="G336">
        <v>211.15</v>
      </c>
      <c r="H336">
        <v>5.423</v>
      </c>
      <c r="I336">
        <v>2.5640000000000001</v>
      </c>
      <c r="J336">
        <v>7</v>
      </c>
      <c r="K336">
        <v>68</v>
      </c>
      <c r="L336">
        <v>34</v>
      </c>
      <c r="M336" s="1">
        <v>9000000000</v>
      </c>
    </row>
    <row r="337" spans="1:13" ht="15" customHeight="1">
      <c r="A337" t="s">
        <v>11</v>
      </c>
      <c r="B337">
        <f t="shared" si="20"/>
        <v>33.712265000000002</v>
      </c>
      <c r="C337">
        <f t="shared" si="21"/>
        <v>-117.87132800000001</v>
      </c>
      <c r="D337">
        <f t="shared" si="22"/>
        <v>46</v>
      </c>
      <c r="E337">
        <v>123.498</v>
      </c>
      <c r="F337">
        <f t="shared" si="23"/>
        <v>-77.498000000000005</v>
      </c>
      <c r="G337">
        <v>260.13299999999998</v>
      </c>
      <c r="H337">
        <v>5.0069999999999997</v>
      </c>
      <c r="I337">
        <v>1.923</v>
      </c>
      <c r="J337">
        <v>8</v>
      </c>
      <c r="K337">
        <v>62</v>
      </c>
      <c r="L337">
        <v>31</v>
      </c>
      <c r="M337" s="1">
        <v>9000000000</v>
      </c>
    </row>
    <row r="338" spans="1:13" ht="15" customHeight="1">
      <c r="A338" t="s">
        <v>11</v>
      </c>
      <c r="B338">
        <f t="shared" si="20"/>
        <v>33.712265000000002</v>
      </c>
      <c r="C338">
        <f t="shared" si="21"/>
        <v>-117.87132800000001</v>
      </c>
      <c r="D338">
        <f t="shared" si="22"/>
        <v>46</v>
      </c>
      <c r="E338">
        <v>124.498</v>
      </c>
      <c r="F338">
        <f t="shared" si="23"/>
        <v>-78.498000000000005</v>
      </c>
      <c r="G338">
        <v>285.16699999999997</v>
      </c>
      <c r="H338">
        <v>6.3929999999999998</v>
      </c>
      <c r="I338">
        <v>2.242</v>
      </c>
      <c r="J338">
        <v>7</v>
      </c>
      <c r="K338">
        <v>91</v>
      </c>
      <c r="L338">
        <v>46</v>
      </c>
      <c r="M338" s="1">
        <v>9000000000</v>
      </c>
    </row>
    <row r="339" spans="1:13" ht="15" customHeight="1">
      <c r="A339" t="s">
        <v>11</v>
      </c>
      <c r="B339">
        <f t="shared" si="20"/>
        <v>33.712265000000002</v>
      </c>
      <c r="C339">
        <f t="shared" si="21"/>
        <v>-117.87132800000001</v>
      </c>
      <c r="D339">
        <f t="shared" si="22"/>
        <v>46</v>
      </c>
      <c r="E339">
        <v>125.498</v>
      </c>
      <c r="F339">
        <f t="shared" si="23"/>
        <v>-79.498000000000005</v>
      </c>
      <c r="G339">
        <v>492.3</v>
      </c>
      <c r="H339">
        <v>0</v>
      </c>
      <c r="I339">
        <v>0</v>
      </c>
      <c r="J339">
        <v>10</v>
      </c>
      <c r="K339" s="1">
        <v>9000000000</v>
      </c>
      <c r="L339" s="1">
        <v>9000000000</v>
      </c>
      <c r="M339" s="1">
        <v>9000000000</v>
      </c>
    </row>
    <row r="340" spans="1:13" ht="15" customHeight="1">
      <c r="A340" t="s">
        <v>12</v>
      </c>
      <c r="B340">
        <f t="shared" si="20"/>
        <v>33.707022000000002</v>
      </c>
      <c r="C340">
        <f t="shared" si="21"/>
        <v>-117.867957</v>
      </c>
      <c r="D340">
        <f t="shared" si="22"/>
        <v>43</v>
      </c>
      <c r="E340">
        <v>0.5</v>
      </c>
      <c r="F340">
        <f t="shared" si="23"/>
        <v>42.5</v>
      </c>
      <c r="G340">
        <v>37.9</v>
      </c>
      <c r="H340">
        <v>1.7350000000000001</v>
      </c>
      <c r="I340">
        <v>4.5599999999999996</v>
      </c>
      <c r="J340">
        <v>4</v>
      </c>
      <c r="K340">
        <v>24</v>
      </c>
      <c r="L340">
        <v>36</v>
      </c>
      <c r="M340">
        <v>2.5350000000000001</v>
      </c>
    </row>
    <row r="341" spans="1:13" ht="15" customHeight="1">
      <c r="A341" t="s">
        <v>12</v>
      </c>
      <c r="B341">
        <f t="shared" si="20"/>
        <v>33.707022000000002</v>
      </c>
      <c r="C341">
        <f t="shared" si="21"/>
        <v>-117.867957</v>
      </c>
      <c r="D341">
        <f t="shared" si="22"/>
        <v>43</v>
      </c>
      <c r="E341">
        <v>1.5</v>
      </c>
      <c r="F341">
        <f t="shared" si="23"/>
        <v>41.5</v>
      </c>
      <c r="G341">
        <v>55.433</v>
      </c>
      <c r="H341">
        <v>3.165</v>
      </c>
      <c r="I341">
        <v>5.6890000000000001</v>
      </c>
      <c r="J341">
        <v>3</v>
      </c>
      <c r="K341">
        <v>53</v>
      </c>
      <c r="L341">
        <v>80</v>
      </c>
      <c r="M341">
        <v>3.7029999999999998</v>
      </c>
    </row>
    <row r="342" spans="1:13" ht="15" customHeight="1">
      <c r="A342" t="s">
        <v>12</v>
      </c>
      <c r="B342">
        <f t="shared" si="20"/>
        <v>33.707022000000002</v>
      </c>
      <c r="C342">
        <f t="shared" si="21"/>
        <v>-117.867957</v>
      </c>
      <c r="D342">
        <f t="shared" si="22"/>
        <v>43</v>
      </c>
      <c r="E342">
        <v>2.5</v>
      </c>
      <c r="F342">
        <f t="shared" si="23"/>
        <v>40.5</v>
      </c>
      <c r="G342">
        <v>12.05</v>
      </c>
      <c r="H342">
        <v>1.238</v>
      </c>
      <c r="I342">
        <v>7.99</v>
      </c>
      <c r="J342">
        <v>3</v>
      </c>
      <c r="K342">
        <v>12</v>
      </c>
      <c r="L342">
        <v>18</v>
      </c>
      <c r="M342">
        <v>0.79700000000000004</v>
      </c>
    </row>
    <row r="343" spans="1:13" ht="15" customHeight="1">
      <c r="A343" t="s">
        <v>12</v>
      </c>
      <c r="B343">
        <f t="shared" si="20"/>
        <v>33.707022000000002</v>
      </c>
      <c r="C343">
        <f t="shared" si="21"/>
        <v>-117.867957</v>
      </c>
      <c r="D343">
        <f t="shared" si="22"/>
        <v>43</v>
      </c>
      <c r="E343">
        <v>3.5</v>
      </c>
      <c r="F343">
        <f t="shared" si="23"/>
        <v>39.5</v>
      </c>
      <c r="G343">
        <v>7.7169999999999996</v>
      </c>
      <c r="H343">
        <v>0.41199999999999998</v>
      </c>
      <c r="I343">
        <v>5.3120000000000003</v>
      </c>
      <c r="J343">
        <v>3</v>
      </c>
      <c r="K343">
        <v>7</v>
      </c>
      <c r="L343">
        <v>11</v>
      </c>
      <c r="M343">
        <v>0.502</v>
      </c>
    </row>
    <row r="344" spans="1:13" ht="15" customHeight="1">
      <c r="A344" t="s">
        <v>12</v>
      </c>
      <c r="B344">
        <f t="shared" si="20"/>
        <v>33.707022000000002</v>
      </c>
      <c r="C344">
        <f t="shared" si="21"/>
        <v>-117.867957</v>
      </c>
      <c r="D344">
        <f t="shared" si="22"/>
        <v>43</v>
      </c>
      <c r="E344">
        <v>4.5</v>
      </c>
      <c r="F344">
        <f t="shared" si="23"/>
        <v>38.5</v>
      </c>
      <c r="G344">
        <v>10.167</v>
      </c>
      <c r="H344">
        <v>0.60499999999999998</v>
      </c>
      <c r="I344">
        <v>5.9409999999999998</v>
      </c>
      <c r="J344">
        <v>3</v>
      </c>
      <c r="K344">
        <v>10</v>
      </c>
      <c r="L344">
        <v>15</v>
      </c>
      <c r="M344">
        <v>0.66</v>
      </c>
    </row>
    <row r="345" spans="1:13" ht="15" customHeight="1">
      <c r="A345" t="s">
        <v>12</v>
      </c>
      <c r="B345">
        <f t="shared" si="20"/>
        <v>33.707022000000002</v>
      </c>
      <c r="C345">
        <f t="shared" si="21"/>
        <v>-117.867957</v>
      </c>
      <c r="D345">
        <f t="shared" si="22"/>
        <v>43</v>
      </c>
      <c r="E345">
        <v>5.5</v>
      </c>
      <c r="F345">
        <f t="shared" si="23"/>
        <v>37.5</v>
      </c>
      <c r="G345">
        <v>12.967000000000001</v>
      </c>
      <c r="H345">
        <v>0.91200000000000003</v>
      </c>
      <c r="I345">
        <v>7.0309999999999997</v>
      </c>
      <c r="J345">
        <v>3</v>
      </c>
      <c r="K345">
        <v>12</v>
      </c>
      <c r="L345">
        <v>18</v>
      </c>
      <c r="M345">
        <v>0.84199999999999997</v>
      </c>
    </row>
    <row r="346" spans="1:13" ht="15" customHeight="1">
      <c r="A346" t="s">
        <v>12</v>
      </c>
      <c r="B346">
        <f t="shared" si="20"/>
        <v>33.707022000000002</v>
      </c>
      <c r="C346">
        <f t="shared" si="21"/>
        <v>-117.867957</v>
      </c>
      <c r="D346">
        <f t="shared" si="22"/>
        <v>43</v>
      </c>
      <c r="E346">
        <v>6.5</v>
      </c>
      <c r="F346">
        <f t="shared" si="23"/>
        <v>36.5</v>
      </c>
      <c r="G346">
        <v>8.7170000000000005</v>
      </c>
      <c r="H346">
        <v>0.56499999999999995</v>
      </c>
      <c r="I346">
        <v>6.4690000000000003</v>
      </c>
      <c r="J346">
        <v>3</v>
      </c>
      <c r="K346">
        <v>8</v>
      </c>
      <c r="L346">
        <v>12</v>
      </c>
      <c r="M346">
        <v>0.55600000000000005</v>
      </c>
    </row>
    <row r="347" spans="1:13" ht="15" customHeight="1">
      <c r="A347" t="s">
        <v>12</v>
      </c>
      <c r="B347">
        <f t="shared" si="20"/>
        <v>33.707022000000002</v>
      </c>
      <c r="C347">
        <f t="shared" si="21"/>
        <v>-117.867957</v>
      </c>
      <c r="D347">
        <f t="shared" si="22"/>
        <v>43</v>
      </c>
      <c r="E347">
        <v>7.5</v>
      </c>
      <c r="F347">
        <f t="shared" si="23"/>
        <v>35.5</v>
      </c>
      <c r="G347">
        <v>9.6999999999999993</v>
      </c>
      <c r="H347">
        <v>0.378</v>
      </c>
      <c r="I347">
        <v>3.9</v>
      </c>
      <c r="J347">
        <v>3</v>
      </c>
      <c r="K347">
        <v>9</v>
      </c>
      <c r="L347">
        <v>14</v>
      </c>
      <c r="M347">
        <v>0.61599999999999999</v>
      </c>
    </row>
    <row r="348" spans="1:13" ht="15" customHeight="1">
      <c r="A348" t="s">
        <v>12</v>
      </c>
      <c r="B348">
        <f t="shared" si="20"/>
        <v>33.707022000000002</v>
      </c>
      <c r="C348">
        <f t="shared" si="21"/>
        <v>-117.867957</v>
      </c>
      <c r="D348">
        <f t="shared" si="22"/>
        <v>43</v>
      </c>
      <c r="E348">
        <v>8.5</v>
      </c>
      <c r="F348">
        <f t="shared" si="23"/>
        <v>34.5</v>
      </c>
      <c r="G348">
        <v>10.367000000000001</v>
      </c>
      <c r="H348">
        <v>0.30499999999999999</v>
      </c>
      <c r="I348">
        <v>2.9279999999999999</v>
      </c>
      <c r="J348">
        <v>4</v>
      </c>
      <c r="K348">
        <v>7</v>
      </c>
      <c r="L348">
        <v>11</v>
      </c>
      <c r="M348">
        <v>0.66</v>
      </c>
    </row>
    <row r="349" spans="1:13" ht="15" customHeight="1">
      <c r="A349" t="s">
        <v>12</v>
      </c>
      <c r="B349">
        <f t="shared" si="20"/>
        <v>33.707022000000002</v>
      </c>
      <c r="C349">
        <f t="shared" si="21"/>
        <v>-117.867957</v>
      </c>
      <c r="D349">
        <f t="shared" si="22"/>
        <v>43</v>
      </c>
      <c r="E349">
        <v>9.5</v>
      </c>
      <c r="F349">
        <f t="shared" si="23"/>
        <v>33.5</v>
      </c>
      <c r="G349">
        <v>12.25</v>
      </c>
      <c r="H349">
        <v>0.51800000000000002</v>
      </c>
      <c r="I349">
        <v>4.2140000000000004</v>
      </c>
      <c r="J349">
        <v>3</v>
      </c>
      <c r="K349">
        <v>12</v>
      </c>
      <c r="L349">
        <v>18</v>
      </c>
      <c r="M349">
        <v>0.78100000000000003</v>
      </c>
    </row>
    <row r="350" spans="1:13" ht="15" customHeight="1">
      <c r="A350" t="s">
        <v>12</v>
      </c>
      <c r="B350">
        <f t="shared" si="20"/>
        <v>33.707022000000002</v>
      </c>
      <c r="C350">
        <f t="shared" si="21"/>
        <v>-117.867957</v>
      </c>
      <c r="D350">
        <f t="shared" si="22"/>
        <v>43</v>
      </c>
      <c r="E350">
        <v>10.5</v>
      </c>
      <c r="F350">
        <f t="shared" si="23"/>
        <v>32.5</v>
      </c>
      <c r="G350">
        <v>12.957000000000001</v>
      </c>
      <c r="H350">
        <v>0.68</v>
      </c>
      <c r="I350">
        <v>5.2309999999999999</v>
      </c>
      <c r="J350">
        <v>3</v>
      </c>
      <c r="K350">
        <v>12</v>
      </c>
      <c r="L350">
        <v>17</v>
      </c>
      <c r="M350">
        <v>0.82399999999999995</v>
      </c>
    </row>
    <row r="351" spans="1:13" ht="15" customHeight="1">
      <c r="A351" t="s">
        <v>12</v>
      </c>
      <c r="B351">
        <f t="shared" si="20"/>
        <v>33.707022000000002</v>
      </c>
      <c r="C351">
        <f t="shared" si="21"/>
        <v>-117.867957</v>
      </c>
      <c r="D351">
        <f t="shared" si="22"/>
        <v>43</v>
      </c>
      <c r="E351">
        <v>11.5</v>
      </c>
      <c r="F351">
        <f t="shared" si="23"/>
        <v>31.5</v>
      </c>
      <c r="G351">
        <v>12.15</v>
      </c>
      <c r="H351">
        <v>0.498</v>
      </c>
      <c r="I351">
        <v>4.0789999999999997</v>
      </c>
      <c r="J351">
        <v>3</v>
      </c>
      <c r="K351">
        <v>12</v>
      </c>
      <c r="L351">
        <v>16</v>
      </c>
      <c r="M351">
        <v>0.76700000000000002</v>
      </c>
    </row>
    <row r="352" spans="1:13" ht="15" customHeight="1">
      <c r="A352" t="s">
        <v>12</v>
      </c>
      <c r="B352">
        <f t="shared" si="20"/>
        <v>33.707022000000002</v>
      </c>
      <c r="C352">
        <f t="shared" si="21"/>
        <v>-117.867957</v>
      </c>
      <c r="D352">
        <f t="shared" si="22"/>
        <v>43</v>
      </c>
      <c r="E352">
        <v>12.5</v>
      </c>
      <c r="F352">
        <f t="shared" si="23"/>
        <v>30.5</v>
      </c>
      <c r="G352">
        <v>17.167000000000002</v>
      </c>
      <c r="H352">
        <v>0.69699999999999995</v>
      </c>
      <c r="I352">
        <v>4.0540000000000003</v>
      </c>
      <c r="J352">
        <v>4</v>
      </c>
      <c r="K352">
        <v>11</v>
      </c>
      <c r="L352">
        <v>13</v>
      </c>
      <c r="M352">
        <v>1.0940000000000001</v>
      </c>
    </row>
    <row r="353" spans="1:13" ht="15" customHeight="1">
      <c r="A353" t="s">
        <v>12</v>
      </c>
      <c r="B353">
        <f t="shared" si="20"/>
        <v>33.707022000000002</v>
      </c>
      <c r="C353">
        <f t="shared" si="21"/>
        <v>-117.867957</v>
      </c>
      <c r="D353">
        <f t="shared" si="22"/>
        <v>43</v>
      </c>
      <c r="E353">
        <v>13.5</v>
      </c>
      <c r="F353">
        <f t="shared" si="23"/>
        <v>29.5</v>
      </c>
      <c r="G353">
        <v>10.782999999999999</v>
      </c>
      <c r="H353">
        <v>0.47499999999999998</v>
      </c>
      <c r="I353">
        <v>4.4050000000000002</v>
      </c>
      <c r="J353">
        <v>3</v>
      </c>
      <c r="K353">
        <v>10</v>
      </c>
      <c r="L353">
        <v>12</v>
      </c>
      <c r="M353">
        <v>0.66400000000000003</v>
      </c>
    </row>
    <row r="354" spans="1:13" ht="15" customHeight="1">
      <c r="A354" t="s">
        <v>12</v>
      </c>
      <c r="B354">
        <f t="shared" si="20"/>
        <v>33.707022000000002</v>
      </c>
      <c r="C354">
        <f t="shared" si="21"/>
        <v>-117.867957</v>
      </c>
      <c r="D354">
        <f t="shared" si="22"/>
        <v>43</v>
      </c>
      <c r="E354">
        <v>14.5</v>
      </c>
      <c r="F354">
        <f t="shared" si="23"/>
        <v>28.5</v>
      </c>
      <c r="G354">
        <v>9.7669999999999995</v>
      </c>
      <c r="H354">
        <v>0.36199999999999999</v>
      </c>
      <c r="I354">
        <v>3.7029999999999998</v>
      </c>
      <c r="J354">
        <v>3</v>
      </c>
      <c r="K354">
        <v>9</v>
      </c>
      <c r="L354">
        <v>10</v>
      </c>
      <c r="M354">
        <v>0.59199999999999997</v>
      </c>
    </row>
    <row r="355" spans="1:13" ht="15" customHeight="1">
      <c r="A355" t="s">
        <v>12</v>
      </c>
      <c r="B355">
        <f t="shared" si="20"/>
        <v>33.707022000000002</v>
      </c>
      <c r="C355">
        <f t="shared" si="21"/>
        <v>-117.867957</v>
      </c>
      <c r="D355">
        <f t="shared" si="22"/>
        <v>43</v>
      </c>
      <c r="E355">
        <v>15.5</v>
      </c>
      <c r="F355">
        <f t="shared" si="23"/>
        <v>27.5</v>
      </c>
      <c r="G355">
        <v>10.317</v>
      </c>
      <c r="H355">
        <v>0.41299999999999998</v>
      </c>
      <c r="I355">
        <v>3.9940000000000002</v>
      </c>
      <c r="J355">
        <v>3</v>
      </c>
      <c r="K355">
        <v>10</v>
      </c>
      <c r="L355">
        <v>10</v>
      </c>
      <c r="M355">
        <v>0.627</v>
      </c>
    </row>
    <row r="356" spans="1:13" ht="15" customHeight="1">
      <c r="A356" t="s">
        <v>12</v>
      </c>
      <c r="B356">
        <f t="shared" si="20"/>
        <v>33.707022000000002</v>
      </c>
      <c r="C356">
        <f t="shared" si="21"/>
        <v>-117.867957</v>
      </c>
      <c r="D356">
        <f t="shared" si="22"/>
        <v>43</v>
      </c>
      <c r="E356">
        <v>16.5</v>
      </c>
      <c r="F356">
        <f t="shared" si="23"/>
        <v>26.5</v>
      </c>
      <c r="G356">
        <v>16.899999999999999</v>
      </c>
      <c r="H356">
        <v>0.745</v>
      </c>
      <c r="I356">
        <v>4.4039999999999999</v>
      </c>
      <c r="J356">
        <v>3</v>
      </c>
      <c r="K356">
        <v>16</v>
      </c>
      <c r="L356">
        <v>16</v>
      </c>
      <c r="M356">
        <v>1.06</v>
      </c>
    </row>
    <row r="357" spans="1:13" ht="15" customHeight="1">
      <c r="A357" t="s">
        <v>12</v>
      </c>
      <c r="B357">
        <f t="shared" si="20"/>
        <v>33.707022000000002</v>
      </c>
      <c r="C357">
        <f t="shared" si="21"/>
        <v>-117.867957</v>
      </c>
      <c r="D357">
        <f t="shared" si="22"/>
        <v>43</v>
      </c>
      <c r="E357">
        <v>17.5</v>
      </c>
      <c r="F357">
        <f t="shared" si="23"/>
        <v>25.5</v>
      </c>
      <c r="G357">
        <v>57.517000000000003</v>
      </c>
      <c r="H357">
        <v>1.2370000000000001</v>
      </c>
      <c r="I357">
        <v>2.1509999999999998</v>
      </c>
      <c r="J357">
        <v>6</v>
      </c>
      <c r="K357">
        <v>22</v>
      </c>
      <c r="L357">
        <v>21</v>
      </c>
      <c r="M357">
        <v>3.7610000000000001</v>
      </c>
    </row>
    <row r="358" spans="1:13" ht="15" customHeight="1">
      <c r="A358" t="s">
        <v>12</v>
      </c>
      <c r="B358">
        <f t="shared" si="20"/>
        <v>33.707022000000002</v>
      </c>
      <c r="C358">
        <f t="shared" si="21"/>
        <v>-117.867957</v>
      </c>
      <c r="D358">
        <f t="shared" si="22"/>
        <v>43</v>
      </c>
      <c r="E358">
        <v>18.5</v>
      </c>
      <c r="F358">
        <f t="shared" si="23"/>
        <v>24.5</v>
      </c>
      <c r="G358">
        <v>9.1329999999999991</v>
      </c>
      <c r="H358">
        <v>0.36</v>
      </c>
      <c r="I358">
        <v>3.9489999999999998</v>
      </c>
      <c r="J358">
        <v>3</v>
      </c>
      <c r="K358">
        <v>9</v>
      </c>
      <c r="L358">
        <v>8</v>
      </c>
      <c r="M358">
        <v>0.53200000000000003</v>
      </c>
    </row>
    <row r="359" spans="1:13" ht="15" customHeight="1">
      <c r="A359" t="s">
        <v>12</v>
      </c>
      <c r="B359">
        <f t="shared" si="20"/>
        <v>33.707022000000002</v>
      </c>
      <c r="C359">
        <f t="shared" si="21"/>
        <v>-117.867957</v>
      </c>
      <c r="D359">
        <f t="shared" si="22"/>
        <v>43</v>
      </c>
      <c r="E359">
        <v>19.5</v>
      </c>
      <c r="F359">
        <f t="shared" si="23"/>
        <v>23.5</v>
      </c>
      <c r="G359">
        <v>14.85</v>
      </c>
      <c r="H359">
        <v>0.54700000000000004</v>
      </c>
      <c r="I359">
        <v>3.6850000000000001</v>
      </c>
      <c r="J359">
        <v>4</v>
      </c>
      <c r="K359">
        <v>9</v>
      </c>
      <c r="L359">
        <v>8</v>
      </c>
      <c r="M359">
        <v>0.90900000000000003</v>
      </c>
    </row>
    <row r="360" spans="1:13" ht="15" customHeight="1">
      <c r="A360" t="s">
        <v>12</v>
      </c>
      <c r="B360">
        <f t="shared" si="20"/>
        <v>33.707022000000002</v>
      </c>
      <c r="C360">
        <f t="shared" si="21"/>
        <v>-117.867957</v>
      </c>
      <c r="D360">
        <f t="shared" si="22"/>
        <v>43</v>
      </c>
      <c r="E360">
        <v>20.5</v>
      </c>
      <c r="F360">
        <f t="shared" si="23"/>
        <v>22.5</v>
      </c>
      <c r="G360">
        <v>8.4290000000000003</v>
      </c>
      <c r="H360">
        <v>0.37</v>
      </c>
      <c r="I360">
        <v>4.4119999999999999</v>
      </c>
      <c r="J360">
        <v>3</v>
      </c>
      <c r="K360">
        <v>8</v>
      </c>
      <c r="L360">
        <v>7</v>
      </c>
      <c r="M360">
        <v>0.47499999999999998</v>
      </c>
    </row>
    <row r="361" spans="1:13" ht="15" customHeight="1">
      <c r="A361" t="s">
        <v>12</v>
      </c>
      <c r="B361">
        <f t="shared" si="20"/>
        <v>33.707022000000002</v>
      </c>
      <c r="C361">
        <f t="shared" si="21"/>
        <v>-117.867957</v>
      </c>
      <c r="D361">
        <f t="shared" si="22"/>
        <v>43</v>
      </c>
      <c r="E361">
        <v>21.5</v>
      </c>
      <c r="F361">
        <f t="shared" si="23"/>
        <v>21.5</v>
      </c>
      <c r="G361">
        <v>8.9169999999999998</v>
      </c>
      <c r="H361">
        <v>0.28199999999999997</v>
      </c>
      <c r="I361">
        <v>3.165</v>
      </c>
      <c r="J361">
        <v>4</v>
      </c>
      <c r="K361">
        <v>6</v>
      </c>
      <c r="L361">
        <v>5</v>
      </c>
      <c r="M361">
        <v>0.50600000000000001</v>
      </c>
    </row>
    <row r="362" spans="1:13" ht="15" customHeight="1">
      <c r="A362" t="s">
        <v>12</v>
      </c>
      <c r="B362">
        <f t="shared" si="20"/>
        <v>33.707022000000002</v>
      </c>
      <c r="C362">
        <f t="shared" si="21"/>
        <v>-117.867957</v>
      </c>
      <c r="D362">
        <f t="shared" si="22"/>
        <v>43</v>
      </c>
      <c r="E362">
        <v>22.5</v>
      </c>
      <c r="F362">
        <f t="shared" si="23"/>
        <v>20.5</v>
      </c>
      <c r="G362">
        <v>20.733000000000001</v>
      </c>
      <c r="H362">
        <v>0.94199999999999995</v>
      </c>
      <c r="I362">
        <v>4.5490000000000004</v>
      </c>
      <c r="J362">
        <v>3</v>
      </c>
      <c r="K362">
        <v>20</v>
      </c>
      <c r="L362">
        <v>16</v>
      </c>
      <c r="M362">
        <v>1.288</v>
      </c>
    </row>
    <row r="363" spans="1:13" ht="15" customHeight="1">
      <c r="A363" t="s">
        <v>12</v>
      </c>
      <c r="B363">
        <f t="shared" si="20"/>
        <v>33.707022000000002</v>
      </c>
      <c r="C363">
        <f t="shared" si="21"/>
        <v>-117.867957</v>
      </c>
      <c r="D363">
        <f t="shared" si="22"/>
        <v>43</v>
      </c>
      <c r="E363">
        <v>23.5</v>
      </c>
      <c r="F363">
        <f t="shared" si="23"/>
        <v>19.5</v>
      </c>
      <c r="G363">
        <v>32.817</v>
      </c>
      <c r="H363">
        <v>1.6279999999999999</v>
      </c>
      <c r="I363">
        <v>4.9640000000000004</v>
      </c>
      <c r="J363">
        <v>3</v>
      </c>
      <c r="K363">
        <v>31</v>
      </c>
      <c r="L363">
        <v>23</v>
      </c>
      <c r="M363">
        <v>2.0910000000000002</v>
      </c>
    </row>
    <row r="364" spans="1:13" ht="15" customHeight="1">
      <c r="A364" t="s">
        <v>12</v>
      </c>
      <c r="B364">
        <f t="shared" si="20"/>
        <v>33.707022000000002</v>
      </c>
      <c r="C364">
        <f t="shared" si="21"/>
        <v>-117.867957</v>
      </c>
      <c r="D364">
        <f t="shared" si="22"/>
        <v>43</v>
      </c>
      <c r="E364">
        <v>24.5</v>
      </c>
      <c r="F364">
        <f t="shared" si="23"/>
        <v>18.5</v>
      </c>
      <c r="G364">
        <v>55.267000000000003</v>
      </c>
      <c r="H364">
        <v>2.742</v>
      </c>
      <c r="I364">
        <v>4.9610000000000003</v>
      </c>
      <c r="J364">
        <v>4</v>
      </c>
      <c r="K364">
        <v>35</v>
      </c>
      <c r="L364">
        <v>26</v>
      </c>
      <c r="M364">
        <v>3.5840000000000001</v>
      </c>
    </row>
    <row r="365" spans="1:13" ht="15" customHeight="1">
      <c r="A365" t="s">
        <v>12</v>
      </c>
      <c r="B365">
        <f t="shared" si="20"/>
        <v>33.707022000000002</v>
      </c>
      <c r="C365">
        <f t="shared" si="21"/>
        <v>-117.867957</v>
      </c>
      <c r="D365">
        <f t="shared" si="22"/>
        <v>43</v>
      </c>
      <c r="E365">
        <v>25.5</v>
      </c>
      <c r="F365">
        <f t="shared" si="23"/>
        <v>17.5</v>
      </c>
      <c r="G365">
        <v>48.917000000000002</v>
      </c>
      <c r="H365">
        <v>3.0329999999999999</v>
      </c>
      <c r="I365">
        <v>6.2009999999999996</v>
      </c>
      <c r="J365">
        <v>3</v>
      </c>
      <c r="K365">
        <v>47</v>
      </c>
      <c r="L365">
        <v>34</v>
      </c>
      <c r="M365">
        <v>3.157</v>
      </c>
    </row>
    <row r="366" spans="1:13" ht="15" customHeight="1">
      <c r="A366" t="s">
        <v>12</v>
      </c>
      <c r="B366">
        <f t="shared" si="20"/>
        <v>33.707022000000002</v>
      </c>
      <c r="C366">
        <f t="shared" si="21"/>
        <v>-117.867957</v>
      </c>
      <c r="D366">
        <f t="shared" si="22"/>
        <v>43</v>
      </c>
      <c r="E366">
        <v>26.5</v>
      </c>
      <c r="F366">
        <f t="shared" si="23"/>
        <v>16.5</v>
      </c>
      <c r="G366">
        <v>31.917000000000002</v>
      </c>
      <c r="H366">
        <v>1.9219999999999999</v>
      </c>
      <c r="I366">
        <v>6.0330000000000004</v>
      </c>
      <c r="J366">
        <v>3</v>
      </c>
      <c r="K366">
        <v>31</v>
      </c>
      <c r="L366">
        <v>22</v>
      </c>
      <c r="M366">
        <v>2.0150000000000001</v>
      </c>
    </row>
    <row r="367" spans="1:13" ht="15" customHeight="1">
      <c r="A367" t="s">
        <v>12</v>
      </c>
      <c r="B367">
        <f t="shared" si="20"/>
        <v>33.707022000000002</v>
      </c>
      <c r="C367">
        <f t="shared" si="21"/>
        <v>-117.867957</v>
      </c>
      <c r="D367">
        <f t="shared" si="22"/>
        <v>43</v>
      </c>
      <c r="E367">
        <v>27.5</v>
      </c>
      <c r="F367">
        <f t="shared" si="23"/>
        <v>15.5</v>
      </c>
      <c r="G367">
        <v>17.766999999999999</v>
      </c>
      <c r="H367">
        <v>0.998</v>
      </c>
      <c r="I367">
        <v>5.6239999999999997</v>
      </c>
      <c r="J367">
        <v>3</v>
      </c>
      <c r="K367">
        <v>17</v>
      </c>
      <c r="L367">
        <v>12</v>
      </c>
      <c r="M367">
        <v>1.071</v>
      </c>
    </row>
    <row r="368" spans="1:13" ht="15" customHeight="1">
      <c r="A368" t="s">
        <v>12</v>
      </c>
      <c r="B368">
        <f t="shared" si="20"/>
        <v>33.707022000000002</v>
      </c>
      <c r="C368">
        <f t="shared" si="21"/>
        <v>-117.867957</v>
      </c>
      <c r="D368">
        <f t="shared" si="22"/>
        <v>43</v>
      </c>
      <c r="E368">
        <v>28.5</v>
      </c>
      <c r="F368">
        <f t="shared" si="23"/>
        <v>14.5</v>
      </c>
      <c r="G368">
        <v>11.733000000000001</v>
      </c>
      <c r="H368">
        <v>0.52</v>
      </c>
      <c r="I368">
        <v>4.444</v>
      </c>
      <c r="J368">
        <v>3</v>
      </c>
      <c r="K368">
        <v>11</v>
      </c>
      <c r="L368">
        <v>8</v>
      </c>
      <c r="M368">
        <v>0.66300000000000003</v>
      </c>
    </row>
    <row r="369" spans="1:13" ht="15" customHeight="1">
      <c r="A369" t="s">
        <v>12</v>
      </c>
      <c r="B369">
        <f t="shared" si="20"/>
        <v>33.707022000000002</v>
      </c>
      <c r="C369">
        <f t="shared" si="21"/>
        <v>-117.867957</v>
      </c>
      <c r="D369">
        <f t="shared" si="22"/>
        <v>43</v>
      </c>
      <c r="E369">
        <v>29.5</v>
      </c>
      <c r="F369">
        <f t="shared" si="23"/>
        <v>13.5</v>
      </c>
      <c r="G369">
        <v>96.016999999999996</v>
      </c>
      <c r="H369">
        <v>1.5649999999999999</v>
      </c>
      <c r="I369">
        <v>1.63</v>
      </c>
      <c r="J369">
        <v>7</v>
      </c>
      <c r="K369">
        <v>31</v>
      </c>
      <c r="L369">
        <v>21</v>
      </c>
      <c r="M369" s="1">
        <v>9000000000</v>
      </c>
    </row>
    <row r="370" spans="1:13" ht="15" customHeight="1">
      <c r="A370" t="s">
        <v>12</v>
      </c>
      <c r="B370">
        <f t="shared" si="20"/>
        <v>33.707022000000002</v>
      </c>
      <c r="C370">
        <f t="shared" si="21"/>
        <v>-117.867957</v>
      </c>
      <c r="D370">
        <f t="shared" si="22"/>
        <v>43</v>
      </c>
      <c r="E370">
        <v>30.5</v>
      </c>
      <c r="F370">
        <f t="shared" si="23"/>
        <v>12.5</v>
      </c>
      <c r="G370">
        <v>32.567</v>
      </c>
      <c r="H370">
        <v>1.5920000000000001</v>
      </c>
      <c r="I370">
        <v>4.8970000000000002</v>
      </c>
      <c r="J370">
        <v>3</v>
      </c>
      <c r="K370">
        <v>31</v>
      </c>
      <c r="L370">
        <v>21</v>
      </c>
      <c r="M370">
        <v>2.0419999999999998</v>
      </c>
    </row>
    <row r="371" spans="1:13" ht="15" customHeight="1">
      <c r="A371" t="s">
        <v>12</v>
      </c>
      <c r="B371">
        <f t="shared" si="20"/>
        <v>33.707022000000002</v>
      </c>
      <c r="C371">
        <f t="shared" si="21"/>
        <v>-117.867957</v>
      </c>
      <c r="D371">
        <f t="shared" si="22"/>
        <v>43</v>
      </c>
      <c r="E371">
        <v>31.5</v>
      </c>
      <c r="F371">
        <f t="shared" si="23"/>
        <v>11.5</v>
      </c>
      <c r="G371">
        <v>37.128999999999998</v>
      </c>
      <c r="H371">
        <v>2.2189999999999999</v>
      </c>
      <c r="I371">
        <v>5.98</v>
      </c>
      <c r="J371">
        <v>3</v>
      </c>
      <c r="K371">
        <v>36</v>
      </c>
      <c r="L371">
        <v>24</v>
      </c>
      <c r="M371">
        <v>2.3439999999999999</v>
      </c>
    </row>
    <row r="372" spans="1:13" ht="15" customHeight="1">
      <c r="A372" t="s">
        <v>12</v>
      </c>
      <c r="B372">
        <f t="shared" si="20"/>
        <v>33.707022000000002</v>
      </c>
      <c r="C372">
        <f t="shared" si="21"/>
        <v>-117.867957</v>
      </c>
      <c r="D372">
        <f t="shared" si="22"/>
        <v>43</v>
      </c>
      <c r="E372">
        <v>32.5</v>
      </c>
      <c r="F372">
        <f t="shared" si="23"/>
        <v>10.5</v>
      </c>
      <c r="G372">
        <v>47.267000000000003</v>
      </c>
      <c r="H372">
        <v>1.7769999999999999</v>
      </c>
      <c r="I372">
        <v>3.7629999999999999</v>
      </c>
      <c r="J372">
        <v>5</v>
      </c>
      <c r="K372">
        <v>23</v>
      </c>
      <c r="L372">
        <v>15</v>
      </c>
      <c r="M372">
        <v>3.0139999999999998</v>
      </c>
    </row>
    <row r="373" spans="1:13" ht="15" customHeight="1">
      <c r="A373" t="s">
        <v>12</v>
      </c>
      <c r="B373">
        <f t="shared" si="20"/>
        <v>33.707022000000002</v>
      </c>
      <c r="C373">
        <f t="shared" si="21"/>
        <v>-117.867957</v>
      </c>
      <c r="D373">
        <f t="shared" si="22"/>
        <v>43</v>
      </c>
      <c r="E373">
        <v>33.5</v>
      </c>
      <c r="F373">
        <f t="shared" si="23"/>
        <v>9.5</v>
      </c>
      <c r="G373">
        <v>145.61699999999999</v>
      </c>
      <c r="H373">
        <v>1.96</v>
      </c>
      <c r="I373">
        <v>1.3460000000000001</v>
      </c>
      <c r="J373">
        <v>8</v>
      </c>
      <c r="K373">
        <v>35</v>
      </c>
      <c r="L373">
        <v>22</v>
      </c>
      <c r="M373" s="1">
        <v>9000000000</v>
      </c>
    </row>
    <row r="374" spans="1:13" ht="15" customHeight="1">
      <c r="A374" t="s">
        <v>12</v>
      </c>
      <c r="B374">
        <f t="shared" si="20"/>
        <v>33.707022000000002</v>
      </c>
      <c r="C374">
        <f t="shared" si="21"/>
        <v>-117.867957</v>
      </c>
      <c r="D374">
        <f t="shared" si="22"/>
        <v>43</v>
      </c>
      <c r="E374">
        <v>34.5</v>
      </c>
      <c r="F374">
        <f t="shared" si="23"/>
        <v>8.5</v>
      </c>
      <c r="G374">
        <v>178.31700000000001</v>
      </c>
      <c r="H374">
        <v>4.3650000000000002</v>
      </c>
      <c r="I374">
        <v>2.448</v>
      </c>
      <c r="J374">
        <v>7</v>
      </c>
      <c r="K374">
        <v>57</v>
      </c>
      <c r="L374">
        <v>36</v>
      </c>
      <c r="M374" s="1">
        <v>9000000000</v>
      </c>
    </row>
    <row r="375" spans="1:13" ht="15" customHeight="1">
      <c r="A375" t="s">
        <v>12</v>
      </c>
      <c r="B375">
        <f t="shared" si="20"/>
        <v>33.707022000000002</v>
      </c>
      <c r="C375">
        <f t="shared" si="21"/>
        <v>-117.867957</v>
      </c>
      <c r="D375">
        <f t="shared" si="22"/>
        <v>43</v>
      </c>
      <c r="E375">
        <v>35.5</v>
      </c>
      <c r="F375">
        <f t="shared" si="23"/>
        <v>7.5</v>
      </c>
      <c r="G375">
        <v>230.917</v>
      </c>
      <c r="H375">
        <v>5.3680000000000003</v>
      </c>
      <c r="I375">
        <v>2.3239999999999998</v>
      </c>
      <c r="J375">
        <v>7</v>
      </c>
      <c r="K375">
        <v>74</v>
      </c>
      <c r="L375">
        <v>46</v>
      </c>
      <c r="M375" s="1">
        <v>9000000000</v>
      </c>
    </row>
    <row r="376" spans="1:13" ht="15" customHeight="1">
      <c r="A376" t="s">
        <v>12</v>
      </c>
      <c r="B376">
        <f t="shared" si="20"/>
        <v>33.707022000000002</v>
      </c>
      <c r="C376">
        <f t="shared" si="21"/>
        <v>-117.867957</v>
      </c>
      <c r="D376">
        <f t="shared" si="22"/>
        <v>43</v>
      </c>
      <c r="E376">
        <v>36.5</v>
      </c>
      <c r="F376">
        <f t="shared" si="23"/>
        <v>6.5</v>
      </c>
      <c r="G376">
        <v>254.3</v>
      </c>
      <c r="H376">
        <v>5.23</v>
      </c>
      <c r="I376">
        <v>2.056</v>
      </c>
      <c r="J376">
        <v>8</v>
      </c>
      <c r="K376">
        <v>61</v>
      </c>
      <c r="L376">
        <v>37</v>
      </c>
      <c r="M376" s="1">
        <v>9000000000</v>
      </c>
    </row>
    <row r="377" spans="1:13" ht="15" customHeight="1">
      <c r="A377" t="s">
        <v>12</v>
      </c>
      <c r="B377">
        <f t="shared" si="20"/>
        <v>33.707022000000002</v>
      </c>
      <c r="C377">
        <f t="shared" si="21"/>
        <v>-117.867957</v>
      </c>
      <c r="D377">
        <f t="shared" si="22"/>
        <v>43</v>
      </c>
      <c r="E377">
        <v>37.5</v>
      </c>
      <c r="F377">
        <f t="shared" si="23"/>
        <v>5.5</v>
      </c>
      <c r="G377">
        <v>260.95</v>
      </c>
      <c r="H377">
        <v>3.3849999999999998</v>
      </c>
      <c r="I377">
        <v>1.2969999999999999</v>
      </c>
      <c r="J377">
        <v>9</v>
      </c>
      <c r="K377">
        <v>50</v>
      </c>
      <c r="L377">
        <v>30</v>
      </c>
      <c r="M377" s="1">
        <v>9000000000</v>
      </c>
    </row>
    <row r="378" spans="1:13" ht="15" customHeight="1">
      <c r="A378" t="s">
        <v>12</v>
      </c>
      <c r="B378">
        <f t="shared" si="20"/>
        <v>33.707022000000002</v>
      </c>
      <c r="C378">
        <f t="shared" si="21"/>
        <v>-117.867957</v>
      </c>
      <c r="D378">
        <f t="shared" si="22"/>
        <v>43</v>
      </c>
      <c r="E378">
        <v>38.5</v>
      </c>
      <c r="F378">
        <f t="shared" si="23"/>
        <v>4.5</v>
      </c>
      <c r="G378">
        <v>246.53299999999999</v>
      </c>
      <c r="H378">
        <v>2.4550000000000001</v>
      </c>
      <c r="I378">
        <v>0.995</v>
      </c>
      <c r="J378">
        <v>9</v>
      </c>
      <c r="K378">
        <v>47</v>
      </c>
      <c r="L378">
        <v>28</v>
      </c>
      <c r="M378" s="1">
        <v>9000000000</v>
      </c>
    </row>
    <row r="379" spans="1:13" ht="15" customHeight="1">
      <c r="A379" t="s">
        <v>12</v>
      </c>
      <c r="B379">
        <f t="shared" si="20"/>
        <v>33.707022000000002</v>
      </c>
      <c r="C379">
        <f t="shared" si="21"/>
        <v>-117.867957</v>
      </c>
      <c r="D379">
        <f t="shared" si="22"/>
        <v>43</v>
      </c>
      <c r="E379">
        <v>39.5</v>
      </c>
      <c r="F379">
        <f t="shared" si="23"/>
        <v>3.5</v>
      </c>
      <c r="G379">
        <v>262.96699999999998</v>
      </c>
      <c r="H379">
        <v>2.46</v>
      </c>
      <c r="I379">
        <v>0.93500000000000005</v>
      </c>
      <c r="J379">
        <v>9</v>
      </c>
      <c r="K379">
        <v>50</v>
      </c>
      <c r="L379">
        <v>30</v>
      </c>
      <c r="M379" s="1">
        <v>9000000000</v>
      </c>
    </row>
    <row r="380" spans="1:13" ht="15" customHeight="1">
      <c r="A380" t="s">
        <v>12</v>
      </c>
      <c r="B380">
        <f t="shared" si="20"/>
        <v>33.707022000000002</v>
      </c>
      <c r="C380">
        <f t="shared" si="21"/>
        <v>-117.867957</v>
      </c>
      <c r="D380">
        <f t="shared" si="22"/>
        <v>43</v>
      </c>
      <c r="E380">
        <v>40.5</v>
      </c>
      <c r="F380">
        <f t="shared" si="23"/>
        <v>2.5</v>
      </c>
      <c r="G380">
        <v>270.64999999999998</v>
      </c>
      <c r="H380">
        <v>3.2229999999999999</v>
      </c>
      <c r="I380">
        <v>1.19</v>
      </c>
      <c r="J380">
        <v>9</v>
      </c>
      <c r="K380">
        <v>52</v>
      </c>
      <c r="L380">
        <v>30</v>
      </c>
      <c r="M380" s="1">
        <v>9000000000</v>
      </c>
    </row>
    <row r="381" spans="1:13" ht="15" customHeight="1">
      <c r="A381" t="s">
        <v>12</v>
      </c>
      <c r="B381">
        <f t="shared" si="20"/>
        <v>33.707022000000002</v>
      </c>
      <c r="C381">
        <f t="shared" si="21"/>
        <v>-117.867957</v>
      </c>
      <c r="D381">
        <f t="shared" si="22"/>
        <v>43</v>
      </c>
      <c r="E381">
        <v>41.499000000000002</v>
      </c>
      <c r="F381">
        <f t="shared" si="23"/>
        <v>1.5009999999999977</v>
      </c>
      <c r="G381">
        <v>254.98599999999999</v>
      </c>
      <c r="H381">
        <v>3.3639999999999999</v>
      </c>
      <c r="I381">
        <v>1.319</v>
      </c>
      <c r="J381">
        <v>9</v>
      </c>
      <c r="K381">
        <v>49</v>
      </c>
      <c r="L381">
        <v>28</v>
      </c>
      <c r="M381" s="1">
        <v>9000000000</v>
      </c>
    </row>
    <row r="382" spans="1:13" ht="15" customHeight="1">
      <c r="A382" t="s">
        <v>12</v>
      </c>
      <c r="B382">
        <f t="shared" si="20"/>
        <v>33.707022000000002</v>
      </c>
      <c r="C382">
        <f t="shared" si="21"/>
        <v>-117.867957</v>
      </c>
      <c r="D382">
        <f t="shared" si="22"/>
        <v>43</v>
      </c>
      <c r="E382">
        <v>42.499000000000002</v>
      </c>
      <c r="F382">
        <f t="shared" si="23"/>
        <v>0.50099999999999767</v>
      </c>
      <c r="G382">
        <v>242.05</v>
      </c>
      <c r="H382">
        <v>4.55</v>
      </c>
      <c r="I382">
        <v>1.8779999999999999</v>
      </c>
      <c r="J382">
        <v>8</v>
      </c>
      <c r="K382">
        <v>58</v>
      </c>
      <c r="L382">
        <v>33</v>
      </c>
      <c r="M382" s="1">
        <v>9000000000</v>
      </c>
    </row>
    <row r="383" spans="1:13" ht="15" customHeight="1">
      <c r="A383" t="s">
        <v>12</v>
      </c>
      <c r="B383">
        <f t="shared" si="20"/>
        <v>33.707022000000002</v>
      </c>
      <c r="C383">
        <f t="shared" si="21"/>
        <v>-117.867957</v>
      </c>
      <c r="D383">
        <f t="shared" si="22"/>
        <v>43</v>
      </c>
      <c r="E383">
        <v>43.499000000000002</v>
      </c>
      <c r="F383">
        <f t="shared" si="23"/>
        <v>-0.49900000000000233</v>
      </c>
      <c r="G383">
        <v>244.083</v>
      </c>
      <c r="H383">
        <v>4.3449999999999998</v>
      </c>
      <c r="I383">
        <v>1.7789999999999999</v>
      </c>
      <c r="J383">
        <v>8</v>
      </c>
      <c r="K383">
        <v>58</v>
      </c>
      <c r="L383">
        <v>33</v>
      </c>
      <c r="M383" s="1">
        <v>9000000000</v>
      </c>
    </row>
    <row r="384" spans="1:13" ht="15" customHeight="1">
      <c r="A384" t="s">
        <v>12</v>
      </c>
      <c r="B384">
        <f t="shared" si="20"/>
        <v>33.707022000000002</v>
      </c>
      <c r="C384">
        <f t="shared" si="21"/>
        <v>-117.867957</v>
      </c>
      <c r="D384">
        <f t="shared" si="22"/>
        <v>43</v>
      </c>
      <c r="E384">
        <v>44.499000000000002</v>
      </c>
      <c r="F384">
        <f t="shared" si="23"/>
        <v>-1.4990000000000023</v>
      </c>
      <c r="G384">
        <v>274.88299999999998</v>
      </c>
      <c r="H384">
        <v>3.105</v>
      </c>
      <c r="I384">
        <v>1.129</v>
      </c>
      <c r="J384">
        <v>9</v>
      </c>
      <c r="K384">
        <v>53</v>
      </c>
      <c r="L384">
        <v>30</v>
      </c>
      <c r="M384" s="1">
        <v>9000000000</v>
      </c>
    </row>
    <row r="385" spans="1:13" ht="15" customHeight="1">
      <c r="A385" t="s">
        <v>12</v>
      </c>
      <c r="B385">
        <f t="shared" si="20"/>
        <v>33.707022000000002</v>
      </c>
      <c r="C385">
        <f t="shared" si="21"/>
        <v>-117.867957</v>
      </c>
      <c r="D385">
        <f t="shared" si="22"/>
        <v>43</v>
      </c>
      <c r="E385">
        <v>45.499000000000002</v>
      </c>
      <c r="F385">
        <f t="shared" si="23"/>
        <v>-2.4990000000000023</v>
      </c>
      <c r="G385">
        <v>249.53299999999999</v>
      </c>
      <c r="H385">
        <v>3.1819999999999999</v>
      </c>
      <c r="I385">
        <v>1.2749999999999999</v>
      </c>
      <c r="J385">
        <v>9</v>
      </c>
      <c r="K385">
        <v>48</v>
      </c>
      <c r="L385">
        <v>26</v>
      </c>
      <c r="M385" s="1">
        <v>9000000000</v>
      </c>
    </row>
    <row r="386" spans="1:13" ht="15" customHeight="1">
      <c r="A386" t="s">
        <v>12</v>
      </c>
      <c r="B386">
        <f t="shared" ref="B386:B449" si="24">VLOOKUP(A386,XYdata,3,FALSE)</f>
        <v>33.707022000000002</v>
      </c>
      <c r="C386">
        <f t="shared" ref="C386:C449" si="25">VLOOKUP(A386,XYdata,2,FALSE)</f>
        <v>-117.867957</v>
      </c>
      <c r="D386">
        <f t="shared" ref="D386:D449" si="26">VLOOKUP(A386,Elevation,2,FALSE)</f>
        <v>43</v>
      </c>
      <c r="E386">
        <v>46.499000000000002</v>
      </c>
      <c r="F386">
        <f t="shared" si="23"/>
        <v>-3.4990000000000023</v>
      </c>
      <c r="G386">
        <v>284.41699999999997</v>
      </c>
      <c r="H386">
        <v>4.0469999999999997</v>
      </c>
      <c r="I386">
        <v>1.4219999999999999</v>
      </c>
      <c r="J386">
        <v>8</v>
      </c>
      <c r="K386">
        <v>68</v>
      </c>
      <c r="L386">
        <v>37</v>
      </c>
      <c r="M386" s="1">
        <v>9000000000</v>
      </c>
    </row>
    <row r="387" spans="1:13" ht="15" customHeight="1">
      <c r="A387" t="s">
        <v>12</v>
      </c>
      <c r="B387">
        <f t="shared" si="24"/>
        <v>33.707022000000002</v>
      </c>
      <c r="C387">
        <f t="shared" si="25"/>
        <v>-117.867957</v>
      </c>
      <c r="D387">
        <f t="shared" si="26"/>
        <v>43</v>
      </c>
      <c r="E387">
        <v>47.499000000000002</v>
      </c>
      <c r="F387">
        <f t="shared" ref="F387:F450" si="27">D387-E387</f>
        <v>-4.4990000000000023</v>
      </c>
      <c r="G387">
        <v>293.64999999999998</v>
      </c>
      <c r="H387">
        <v>3.51</v>
      </c>
      <c r="I387">
        <v>1.1950000000000001</v>
      </c>
      <c r="J387">
        <v>9</v>
      </c>
      <c r="K387">
        <v>56</v>
      </c>
      <c r="L387">
        <v>30</v>
      </c>
      <c r="M387" s="1">
        <v>9000000000</v>
      </c>
    </row>
    <row r="388" spans="1:13" ht="15" customHeight="1">
      <c r="A388" t="s">
        <v>12</v>
      </c>
      <c r="B388">
        <f t="shared" si="24"/>
        <v>33.707022000000002</v>
      </c>
      <c r="C388">
        <f t="shared" si="25"/>
        <v>-117.867957</v>
      </c>
      <c r="D388">
        <f t="shared" si="26"/>
        <v>43</v>
      </c>
      <c r="E388">
        <v>48.499000000000002</v>
      </c>
      <c r="F388">
        <f t="shared" si="27"/>
        <v>-5.4990000000000023</v>
      </c>
      <c r="G388">
        <v>311.05</v>
      </c>
      <c r="H388">
        <v>3.8849999999999998</v>
      </c>
      <c r="I388">
        <v>1.2490000000000001</v>
      </c>
      <c r="J388">
        <v>9</v>
      </c>
      <c r="K388">
        <v>60</v>
      </c>
      <c r="L388">
        <v>32</v>
      </c>
      <c r="M388" s="1">
        <v>9000000000</v>
      </c>
    </row>
    <row r="389" spans="1:13" ht="15" customHeight="1">
      <c r="A389" t="s">
        <v>12</v>
      </c>
      <c r="B389">
        <f t="shared" si="24"/>
        <v>33.707022000000002</v>
      </c>
      <c r="C389">
        <f t="shared" si="25"/>
        <v>-117.867957</v>
      </c>
      <c r="D389">
        <f t="shared" si="26"/>
        <v>43</v>
      </c>
      <c r="E389">
        <v>49.499000000000002</v>
      </c>
      <c r="F389">
        <f t="shared" si="27"/>
        <v>-6.4990000000000023</v>
      </c>
      <c r="G389">
        <v>340.71699999999998</v>
      </c>
      <c r="H389">
        <v>3.7480000000000002</v>
      </c>
      <c r="I389">
        <v>1.1000000000000001</v>
      </c>
      <c r="J389">
        <v>9</v>
      </c>
      <c r="K389">
        <v>65</v>
      </c>
      <c r="L389">
        <v>34</v>
      </c>
      <c r="M389" s="1">
        <v>9000000000</v>
      </c>
    </row>
    <row r="390" spans="1:13" ht="15" customHeight="1">
      <c r="A390" t="s">
        <v>12</v>
      </c>
      <c r="B390">
        <f t="shared" si="24"/>
        <v>33.707022000000002</v>
      </c>
      <c r="C390">
        <f t="shared" si="25"/>
        <v>-117.867957</v>
      </c>
      <c r="D390">
        <f t="shared" si="26"/>
        <v>43</v>
      </c>
      <c r="E390">
        <v>50.499000000000002</v>
      </c>
      <c r="F390">
        <f t="shared" si="27"/>
        <v>-7.4990000000000023</v>
      </c>
      <c r="G390">
        <v>329.83300000000003</v>
      </c>
      <c r="H390">
        <v>4.6130000000000004</v>
      </c>
      <c r="I390">
        <v>1.399</v>
      </c>
      <c r="J390">
        <v>9</v>
      </c>
      <c r="K390">
        <v>63</v>
      </c>
      <c r="L390">
        <v>33</v>
      </c>
      <c r="M390" s="1">
        <v>9000000000</v>
      </c>
    </row>
    <row r="391" spans="1:13" ht="15" customHeight="1">
      <c r="A391" t="s">
        <v>12</v>
      </c>
      <c r="B391">
        <f t="shared" si="24"/>
        <v>33.707022000000002</v>
      </c>
      <c r="C391">
        <f t="shared" si="25"/>
        <v>-117.867957</v>
      </c>
      <c r="D391">
        <f t="shared" si="26"/>
        <v>43</v>
      </c>
      <c r="E391">
        <v>51.499000000000002</v>
      </c>
      <c r="F391">
        <f t="shared" si="27"/>
        <v>-8.4990000000000023</v>
      </c>
      <c r="G391">
        <v>358.517</v>
      </c>
      <c r="H391">
        <v>5.8730000000000002</v>
      </c>
      <c r="I391">
        <v>1.6379999999999999</v>
      </c>
      <c r="J391">
        <v>8</v>
      </c>
      <c r="K391">
        <v>86</v>
      </c>
      <c r="L391">
        <v>44</v>
      </c>
      <c r="M391" s="1">
        <v>9000000000</v>
      </c>
    </row>
    <row r="392" spans="1:13" ht="15" customHeight="1">
      <c r="A392" t="s">
        <v>12</v>
      </c>
      <c r="B392">
        <f t="shared" si="24"/>
        <v>33.707022000000002</v>
      </c>
      <c r="C392">
        <f t="shared" si="25"/>
        <v>-117.867957</v>
      </c>
      <c r="D392">
        <f t="shared" si="26"/>
        <v>43</v>
      </c>
      <c r="E392">
        <v>52.499000000000002</v>
      </c>
      <c r="F392">
        <f t="shared" si="27"/>
        <v>-9.4990000000000023</v>
      </c>
      <c r="G392">
        <v>329.57100000000003</v>
      </c>
      <c r="H392">
        <v>5.4569999999999999</v>
      </c>
      <c r="I392">
        <v>1.6559999999999999</v>
      </c>
      <c r="J392">
        <v>8</v>
      </c>
      <c r="K392">
        <v>79</v>
      </c>
      <c r="L392">
        <v>40</v>
      </c>
      <c r="M392" s="1">
        <v>9000000000</v>
      </c>
    </row>
    <row r="393" spans="1:13" ht="15" customHeight="1">
      <c r="A393" t="s">
        <v>12</v>
      </c>
      <c r="B393">
        <f t="shared" si="24"/>
        <v>33.707022000000002</v>
      </c>
      <c r="C393">
        <f t="shared" si="25"/>
        <v>-117.867957</v>
      </c>
      <c r="D393">
        <f t="shared" si="26"/>
        <v>43</v>
      </c>
      <c r="E393">
        <v>53.499000000000002</v>
      </c>
      <c r="F393">
        <f t="shared" si="27"/>
        <v>-10.499000000000002</v>
      </c>
      <c r="G393">
        <v>292.58300000000003</v>
      </c>
      <c r="H393">
        <v>5.1980000000000004</v>
      </c>
      <c r="I393">
        <v>1.776</v>
      </c>
      <c r="J393">
        <v>8</v>
      </c>
      <c r="K393">
        <v>70</v>
      </c>
      <c r="L393">
        <v>35</v>
      </c>
      <c r="M393" s="1">
        <v>9000000000</v>
      </c>
    </row>
    <row r="394" spans="1:13" ht="15" customHeight="1">
      <c r="A394" t="s">
        <v>12</v>
      </c>
      <c r="B394">
        <f t="shared" si="24"/>
        <v>33.707022000000002</v>
      </c>
      <c r="C394">
        <f t="shared" si="25"/>
        <v>-117.867957</v>
      </c>
      <c r="D394">
        <f t="shared" si="26"/>
        <v>43</v>
      </c>
      <c r="E394">
        <v>54.499000000000002</v>
      </c>
      <c r="F394">
        <f t="shared" si="27"/>
        <v>-11.499000000000002</v>
      </c>
      <c r="G394">
        <v>318.64999999999998</v>
      </c>
      <c r="H394">
        <v>5.16</v>
      </c>
      <c r="I394">
        <v>1.619</v>
      </c>
      <c r="J394">
        <v>8</v>
      </c>
      <c r="K394">
        <v>76</v>
      </c>
      <c r="L394">
        <v>38</v>
      </c>
      <c r="M394" s="1">
        <v>9000000000</v>
      </c>
    </row>
    <row r="395" spans="1:13" ht="15" customHeight="1">
      <c r="A395" t="s">
        <v>12</v>
      </c>
      <c r="B395">
        <f t="shared" si="24"/>
        <v>33.707022000000002</v>
      </c>
      <c r="C395">
        <f t="shared" si="25"/>
        <v>-117.867957</v>
      </c>
      <c r="D395">
        <f t="shared" si="26"/>
        <v>43</v>
      </c>
      <c r="E395">
        <v>55.499000000000002</v>
      </c>
      <c r="F395">
        <f t="shared" si="27"/>
        <v>-12.499000000000002</v>
      </c>
      <c r="G395">
        <v>329.66699999999997</v>
      </c>
      <c r="H395">
        <v>4.5720000000000001</v>
      </c>
      <c r="I395">
        <v>1.387</v>
      </c>
      <c r="J395">
        <v>9</v>
      </c>
      <c r="K395">
        <v>63</v>
      </c>
      <c r="L395">
        <v>32</v>
      </c>
      <c r="M395" s="1">
        <v>9000000000</v>
      </c>
    </row>
    <row r="396" spans="1:13" ht="15" customHeight="1">
      <c r="A396" t="s">
        <v>12</v>
      </c>
      <c r="B396">
        <f t="shared" si="24"/>
        <v>33.707022000000002</v>
      </c>
      <c r="C396">
        <f t="shared" si="25"/>
        <v>-117.867957</v>
      </c>
      <c r="D396">
        <f t="shared" si="26"/>
        <v>43</v>
      </c>
      <c r="E396">
        <v>56.499000000000002</v>
      </c>
      <c r="F396">
        <f t="shared" si="27"/>
        <v>-13.499000000000002</v>
      </c>
      <c r="G396">
        <v>220.53299999999999</v>
      </c>
      <c r="H396">
        <v>3.4119999999999999</v>
      </c>
      <c r="I396">
        <v>1.546</v>
      </c>
      <c r="J396">
        <v>8</v>
      </c>
      <c r="K396">
        <v>53</v>
      </c>
      <c r="L396">
        <v>27</v>
      </c>
      <c r="M396" s="1">
        <v>9000000000</v>
      </c>
    </row>
    <row r="397" spans="1:13" ht="15" customHeight="1">
      <c r="A397" t="s">
        <v>12</v>
      </c>
      <c r="B397">
        <f t="shared" si="24"/>
        <v>33.707022000000002</v>
      </c>
      <c r="C397">
        <f t="shared" si="25"/>
        <v>-117.867957</v>
      </c>
      <c r="D397">
        <f t="shared" si="26"/>
        <v>43</v>
      </c>
      <c r="E397">
        <v>57.499000000000002</v>
      </c>
      <c r="F397">
        <f t="shared" si="27"/>
        <v>-14.499000000000002</v>
      </c>
      <c r="G397">
        <v>288.983</v>
      </c>
      <c r="H397">
        <v>3.2120000000000002</v>
      </c>
      <c r="I397">
        <v>1.111</v>
      </c>
      <c r="J397">
        <v>9</v>
      </c>
      <c r="K397">
        <v>55</v>
      </c>
      <c r="L397">
        <v>28</v>
      </c>
      <c r="M397" s="1">
        <v>9000000000</v>
      </c>
    </row>
    <row r="398" spans="1:13" ht="15" customHeight="1">
      <c r="A398" t="s">
        <v>12</v>
      </c>
      <c r="B398">
        <f t="shared" si="24"/>
        <v>33.707022000000002</v>
      </c>
      <c r="C398">
        <f t="shared" si="25"/>
        <v>-117.867957</v>
      </c>
      <c r="D398">
        <f t="shared" si="26"/>
        <v>43</v>
      </c>
      <c r="E398">
        <v>58.499000000000002</v>
      </c>
      <c r="F398">
        <f t="shared" si="27"/>
        <v>-15.499000000000002</v>
      </c>
      <c r="G398">
        <v>509.11700000000002</v>
      </c>
      <c r="H398">
        <v>7.7750000000000004</v>
      </c>
      <c r="I398">
        <v>1.5269999999999999</v>
      </c>
      <c r="J398">
        <v>9</v>
      </c>
      <c r="K398">
        <v>98</v>
      </c>
      <c r="L398">
        <v>49</v>
      </c>
      <c r="M398" s="1">
        <v>9000000000</v>
      </c>
    </row>
    <row r="399" spans="1:13" ht="15" customHeight="1">
      <c r="A399" t="s">
        <v>12</v>
      </c>
      <c r="B399">
        <f t="shared" si="24"/>
        <v>33.707022000000002</v>
      </c>
      <c r="C399">
        <f t="shared" si="25"/>
        <v>-117.867957</v>
      </c>
      <c r="D399">
        <f t="shared" si="26"/>
        <v>43</v>
      </c>
      <c r="E399">
        <v>59.499000000000002</v>
      </c>
      <c r="F399">
        <f t="shared" si="27"/>
        <v>-16.499000000000002</v>
      </c>
      <c r="G399">
        <v>300.45</v>
      </c>
      <c r="H399">
        <v>5.2880000000000003</v>
      </c>
      <c r="I399">
        <v>1.76</v>
      </c>
      <c r="J399">
        <v>8</v>
      </c>
      <c r="K399">
        <v>72</v>
      </c>
      <c r="L399">
        <v>36</v>
      </c>
      <c r="M399" s="1">
        <v>9000000000</v>
      </c>
    </row>
    <row r="400" spans="1:13" ht="15" customHeight="1">
      <c r="A400" t="s">
        <v>12</v>
      </c>
      <c r="B400">
        <f t="shared" si="24"/>
        <v>33.707022000000002</v>
      </c>
      <c r="C400">
        <f t="shared" si="25"/>
        <v>-117.867957</v>
      </c>
      <c r="D400">
        <f t="shared" si="26"/>
        <v>43</v>
      </c>
      <c r="E400">
        <v>60.499000000000002</v>
      </c>
      <c r="F400">
        <f t="shared" si="27"/>
        <v>-17.499000000000002</v>
      </c>
      <c r="G400">
        <v>247.75</v>
      </c>
      <c r="H400">
        <v>5.8970000000000002</v>
      </c>
      <c r="I400">
        <v>2.3780000000000001</v>
      </c>
      <c r="J400">
        <v>7</v>
      </c>
      <c r="K400">
        <v>79</v>
      </c>
      <c r="L400">
        <v>40</v>
      </c>
      <c r="M400" s="1">
        <v>9000000000</v>
      </c>
    </row>
    <row r="401" spans="1:13" ht="15" customHeight="1">
      <c r="A401" t="s">
        <v>12</v>
      </c>
      <c r="B401">
        <f t="shared" si="24"/>
        <v>33.707022000000002</v>
      </c>
      <c r="C401">
        <f t="shared" si="25"/>
        <v>-117.867957</v>
      </c>
      <c r="D401">
        <f t="shared" si="26"/>
        <v>43</v>
      </c>
      <c r="E401">
        <v>61.499000000000002</v>
      </c>
      <c r="F401">
        <f t="shared" si="27"/>
        <v>-18.499000000000002</v>
      </c>
      <c r="G401">
        <v>217.96700000000001</v>
      </c>
      <c r="H401">
        <v>6.7</v>
      </c>
      <c r="I401">
        <v>3.0710000000000002</v>
      </c>
      <c r="J401">
        <v>7</v>
      </c>
      <c r="K401">
        <v>70</v>
      </c>
      <c r="L401">
        <v>35</v>
      </c>
      <c r="M401" s="1">
        <v>9000000000</v>
      </c>
    </row>
    <row r="402" spans="1:13" ht="15" customHeight="1">
      <c r="A402" t="s">
        <v>12</v>
      </c>
      <c r="B402">
        <f t="shared" si="24"/>
        <v>33.707022000000002</v>
      </c>
      <c r="C402">
        <f t="shared" si="25"/>
        <v>-117.867957</v>
      </c>
      <c r="D402">
        <f t="shared" si="26"/>
        <v>43</v>
      </c>
      <c r="E402">
        <v>62.499000000000002</v>
      </c>
      <c r="F402">
        <f t="shared" si="27"/>
        <v>-19.499000000000002</v>
      </c>
      <c r="G402">
        <v>28.814</v>
      </c>
      <c r="H402">
        <v>1.1359999999999999</v>
      </c>
      <c r="I402">
        <v>3.77</v>
      </c>
      <c r="J402">
        <v>5</v>
      </c>
      <c r="K402">
        <v>14</v>
      </c>
      <c r="L402">
        <v>7</v>
      </c>
      <c r="M402">
        <v>1.7509999999999999</v>
      </c>
    </row>
    <row r="403" spans="1:13" ht="15" customHeight="1">
      <c r="A403" t="s">
        <v>12</v>
      </c>
      <c r="B403">
        <f t="shared" si="24"/>
        <v>33.707022000000002</v>
      </c>
      <c r="C403">
        <f t="shared" si="25"/>
        <v>-117.867957</v>
      </c>
      <c r="D403">
        <f t="shared" si="26"/>
        <v>43</v>
      </c>
      <c r="E403">
        <v>63.499000000000002</v>
      </c>
      <c r="F403">
        <f t="shared" si="27"/>
        <v>-20.499000000000002</v>
      </c>
      <c r="G403">
        <v>82.6</v>
      </c>
      <c r="H403">
        <v>2.4300000000000002</v>
      </c>
      <c r="I403">
        <v>2.92</v>
      </c>
      <c r="J403">
        <v>6</v>
      </c>
      <c r="K403">
        <v>32</v>
      </c>
      <c r="L403">
        <v>16</v>
      </c>
      <c r="M403">
        <v>5.2869999999999999</v>
      </c>
    </row>
    <row r="404" spans="1:13" ht="15" customHeight="1">
      <c r="A404" t="s">
        <v>12</v>
      </c>
      <c r="B404">
        <f t="shared" si="24"/>
        <v>33.707022000000002</v>
      </c>
      <c r="C404">
        <f t="shared" si="25"/>
        <v>-117.867957</v>
      </c>
      <c r="D404">
        <f t="shared" si="26"/>
        <v>43</v>
      </c>
      <c r="E404">
        <v>64.498999999999995</v>
      </c>
      <c r="F404">
        <f t="shared" si="27"/>
        <v>-21.498999999999995</v>
      </c>
      <c r="G404">
        <v>86.933000000000007</v>
      </c>
      <c r="H404">
        <v>3.2879999999999998</v>
      </c>
      <c r="I404">
        <v>3.7879999999999998</v>
      </c>
      <c r="J404">
        <v>5</v>
      </c>
      <c r="K404">
        <v>42</v>
      </c>
      <c r="L404">
        <v>21</v>
      </c>
      <c r="M404">
        <v>5.5220000000000002</v>
      </c>
    </row>
    <row r="405" spans="1:13" ht="15" customHeight="1">
      <c r="A405" t="s">
        <v>12</v>
      </c>
      <c r="B405">
        <f t="shared" si="24"/>
        <v>33.707022000000002</v>
      </c>
      <c r="C405">
        <f t="shared" si="25"/>
        <v>-117.867957</v>
      </c>
      <c r="D405">
        <f t="shared" si="26"/>
        <v>43</v>
      </c>
      <c r="E405">
        <v>65.498999999999995</v>
      </c>
      <c r="F405">
        <f t="shared" si="27"/>
        <v>-22.498999999999995</v>
      </c>
      <c r="G405">
        <v>72.082999999999998</v>
      </c>
      <c r="H405">
        <v>3</v>
      </c>
      <c r="I405">
        <v>4.1680000000000001</v>
      </c>
      <c r="J405">
        <v>5</v>
      </c>
      <c r="K405">
        <v>34</v>
      </c>
      <c r="L405">
        <v>17</v>
      </c>
      <c r="M405">
        <v>4.5289999999999999</v>
      </c>
    </row>
    <row r="406" spans="1:13" ht="15" customHeight="1">
      <c r="A406" t="s">
        <v>12</v>
      </c>
      <c r="B406">
        <f t="shared" si="24"/>
        <v>33.707022000000002</v>
      </c>
      <c r="C406">
        <f t="shared" si="25"/>
        <v>-117.867957</v>
      </c>
      <c r="D406">
        <f t="shared" si="26"/>
        <v>43</v>
      </c>
      <c r="E406">
        <v>66.498999999999995</v>
      </c>
      <c r="F406">
        <f t="shared" si="27"/>
        <v>-23.498999999999995</v>
      </c>
      <c r="G406">
        <v>25.216999999999999</v>
      </c>
      <c r="H406">
        <v>0.72</v>
      </c>
      <c r="I406">
        <v>2.87</v>
      </c>
      <c r="J406">
        <v>5</v>
      </c>
      <c r="K406">
        <v>12</v>
      </c>
      <c r="L406">
        <v>6</v>
      </c>
      <c r="M406">
        <v>1.3979999999999999</v>
      </c>
    </row>
    <row r="407" spans="1:13" ht="15" customHeight="1">
      <c r="A407" t="s">
        <v>12</v>
      </c>
      <c r="B407">
        <f t="shared" si="24"/>
        <v>33.707022000000002</v>
      </c>
      <c r="C407">
        <f t="shared" si="25"/>
        <v>-117.867957</v>
      </c>
      <c r="D407">
        <f t="shared" si="26"/>
        <v>43</v>
      </c>
      <c r="E407">
        <v>67.498999999999995</v>
      </c>
      <c r="F407">
        <f t="shared" si="27"/>
        <v>-24.498999999999995</v>
      </c>
      <c r="G407">
        <v>22.917000000000002</v>
      </c>
      <c r="H407">
        <v>0.54500000000000004</v>
      </c>
      <c r="I407">
        <v>2.387</v>
      </c>
      <c r="J407">
        <v>6</v>
      </c>
      <c r="K407">
        <v>9</v>
      </c>
      <c r="L407">
        <v>5</v>
      </c>
      <c r="M407">
        <v>1.244</v>
      </c>
    </row>
    <row r="408" spans="1:13" ht="15" customHeight="1">
      <c r="A408" t="s">
        <v>12</v>
      </c>
      <c r="B408">
        <f t="shared" si="24"/>
        <v>33.707022000000002</v>
      </c>
      <c r="C408">
        <f t="shared" si="25"/>
        <v>-117.867957</v>
      </c>
      <c r="D408">
        <f t="shared" si="26"/>
        <v>43</v>
      </c>
      <c r="E408">
        <v>68.498999999999995</v>
      </c>
      <c r="F408">
        <f t="shared" si="27"/>
        <v>-25.498999999999995</v>
      </c>
      <c r="G408">
        <v>25.55</v>
      </c>
      <c r="H408">
        <v>0.69799999999999995</v>
      </c>
      <c r="I408">
        <v>2.7370000000000001</v>
      </c>
      <c r="J408">
        <v>5</v>
      </c>
      <c r="K408">
        <v>12</v>
      </c>
      <c r="L408">
        <v>6</v>
      </c>
      <c r="M408">
        <v>1.4179999999999999</v>
      </c>
    </row>
    <row r="409" spans="1:13" ht="15" customHeight="1">
      <c r="A409" t="s">
        <v>12</v>
      </c>
      <c r="B409">
        <f t="shared" si="24"/>
        <v>33.707022000000002</v>
      </c>
      <c r="C409">
        <f t="shared" si="25"/>
        <v>-117.867957</v>
      </c>
      <c r="D409">
        <f t="shared" si="26"/>
        <v>43</v>
      </c>
      <c r="E409">
        <v>69.498999999999995</v>
      </c>
      <c r="F409">
        <f t="shared" si="27"/>
        <v>-26.498999999999995</v>
      </c>
      <c r="G409">
        <v>47.332999999999998</v>
      </c>
      <c r="H409">
        <v>1.9950000000000001</v>
      </c>
      <c r="I409">
        <v>4.2149999999999999</v>
      </c>
      <c r="J409">
        <v>5</v>
      </c>
      <c r="K409">
        <v>23</v>
      </c>
      <c r="L409">
        <v>12</v>
      </c>
      <c r="M409">
        <v>2.8690000000000002</v>
      </c>
    </row>
    <row r="410" spans="1:13" ht="15" customHeight="1">
      <c r="A410" t="s">
        <v>12</v>
      </c>
      <c r="B410">
        <f t="shared" si="24"/>
        <v>33.707022000000002</v>
      </c>
      <c r="C410">
        <f t="shared" si="25"/>
        <v>-117.867957</v>
      </c>
      <c r="D410">
        <f t="shared" si="26"/>
        <v>43</v>
      </c>
      <c r="E410">
        <v>70.498999999999995</v>
      </c>
      <c r="F410">
        <f t="shared" si="27"/>
        <v>-27.498999999999995</v>
      </c>
      <c r="G410">
        <v>35.9</v>
      </c>
      <c r="H410">
        <v>1.6819999999999999</v>
      </c>
      <c r="I410">
        <v>4.68</v>
      </c>
      <c r="J410">
        <v>4</v>
      </c>
      <c r="K410">
        <v>23</v>
      </c>
      <c r="L410">
        <v>12</v>
      </c>
      <c r="M410">
        <v>2.105</v>
      </c>
    </row>
    <row r="411" spans="1:13" ht="15" customHeight="1">
      <c r="A411" t="s">
        <v>12</v>
      </c>
      <c r="B411">
        <f t="shared" si="24"/>
        <v>33.707022000000002</v>
      </c>
      <c r="C411">
        <f t="shared" si="25"/>
        <v>-117.867957</v>
      </c>
      <c r="D411">
        <f t="shared" si="26"/>
        <v>43</v>
      </c>
      <c r="E411">
        <v>71.498999999999995</v>
      </c>
      <c r="F411">
        <f t="shared" si="27"/>
        <v>-28.498999999999995</v>
      </c>
      <c r="G411">
        <v>61.3</v>
      </c>
      <c r="H411">
        <v>1.9770000000000001</v>
      </c>
      <c r="I411">
        <v>3.2170000000000001</v>
      </c>
      <c r="J411">
        <v>6</v>
      </c>
      <c r="K411">
        <v>24</v>
      </c>
      <c r="L411">
        <v>12</v>
      </c>
      <c r="M411">
        <v>3.8010000000000002</v>
      </c>
    </row>
    <row r="412" spans="1:13" ht="15" customHeight="1">
      <c r="A412" t="s">
        <v>12</v>
      </c>
      <c r="B412">
        <f t="shared" si="24"/>
        <v>33.707022000000002</v>
      </c>
      <c r="C412">
        <f t="shared" si="25"/>
        <v>-117.867957</v>
      </c>
      <c r="D412">
        <f t="shared" si="26"/>
        <v>43</v>
      </c>
      <c r="E412">
        <v>72.498999999999995</v>
      </c>
      <c r="F412">
        <f t="shared" si="27"/>
        <v>-29.498999999999995</v>
      </c>
      <c r="G412">
        <v>127.5</v>
      </c>
      <c r="H412">
        <v>3.9470000000000001</v>
      </c>
      <c r="I412">
        <v>3.097</v>
      </c>
      <c r="J412">
        <v>6</v>
      </c>
      <c r="K412">
        <v>49</v>
      </c>
      <c r="L412">
        <v>25</v>
      </c>
      <c r="M412">
        <v>8.1980000000000004</v>
      </c>
    </row>
    <row r="413" spans="1:13" ht="15" customHeight="1">
      <c r="A413" t="s">
        <v>12</v>
      </c>
      <c r="B413">
        <f t="shared" si="24"/>
        <v>33.707022000000002</v>
      </c>
      <c r="C413">
        <f t="shared" si="25"/>
        <v>-117.867957</v>
      </c>
      <c r="D413">
        <f t="shared" si="26"/>
        <v>43</v>
      </c>
      <c r="E413">
        <v>73.498999999999995</v>
      </c>
      <c r="F413">
        <f t="shared" si="27"/>
        <v>-30.498999999999995</v>
      </c>
      <c r="G413">
        <v>36.517000000000003</v>
      </c>
      <c r="H413">
        <v>1.653</v>
      </c>
      <c r="I413">
        <v>4.5339999999999998</v>
      </c>
      <c r="J413">
        <v>4</v>
      </c>
      <c r="K413">
        <v>23</v>
      </c>
      <c r="L413">
        <v>12</v>
      </c>
      <c r="M413">
        <v>2.1280000000000001</v>
      </c>
    </row>
    <row r="414" spans="1:13" ht="15" customHeight="1">
      <c r="A414" t="s">
        <v>12</v>
      </c>
      <c r="B414">
        <f t="shared" si="24"/>
        <v>33.707022000000002</v>
      </c>
      <c r="C414">
        <f t="shared" si="25"/>
        <v>-117.867957</v>
      </c>
      <c r="D414">
        <f t="shared" si="26"/>
        <v>43</v>
      </c>
      <c r="E414">
        <v>74.498999999999995</v>
      </c>
      <c r="F414">
        <f t="shared" si="27"/>
        <v>-31.498999999999995</v>
      </c>
      <c r="G414">
        <v>131.36699999999999</v>
      </c>
      <c r="H414">
        <v>2.5019999999999998</v>
      </c>
      <c r="I414">
        <v>1.9039999999999999</v>
      </c>
      <c r="J414">
        <v>7</v>
      </c>
      <c r="K414">
        <v>42</v>
      </c>
      <c r="L414">
        <v>21</v>
      </c>
      <c r="M414" s="1">
        <v>9000000000</v>
      </c>
    </row>
    <row r="415" spans="1:13" ht="15" customHeight="1">
      <c r="A415" t="s">
        <v>12</v>
      </c>
      <c r="B415">
        <f t="shared" si="24"/>
        <v>33.707022000000002</v>
      </c>
      <c r="C415">
        <f t="shared" si="25"/>
        <v>-117.867957</v>
      </c>
      <c r="D415">
        <f t="shared" si="26"/>
        <v>43</v>
      </c>
      <c r="E415">
        <v>75.498999999999995</v>
      </c>
      <c r="F415">
        <f t="shared" si="27"/>
        <v>-32.498999999999995</v>
      </c>
      <c r="G415">
        <v>257.41699999999997</v>
      </c>
      <c r="H415">
        <v>2.915</v>
      </c>
      <c r="I415">
        <v>1.1319999999999999</v>
      </c>
      <c r="J415">
        <v>9</v>
      </c>
      <c r="K415">
        <v>49</v>
      </c>
      <c r="L415">
        <v>25</v>
      </c>
      <c r="M415" s="1">
        <v>9000000000</v>
      </c>
    </row>
    <row r="416" spans="1:13" ht="15" customHeight="1">
      <c r="A416" t="s">
        <v>12</v>
      </c>
      <c r="B416">
        <f t="shared" si="24"/>
        <v>33.707022000000002</v>
      </c>
      <c r="C416">
        <f t="shared" si="25"/>
        <v>-117.867957</v>
      </c>
      <c r="D416">
        <f t="shared" si="26"/>
        <v>43</v>
      </c>
      <c r="E416">
        <v>76.498999999999995</v>
      </c>
      <c r="F416">
        <f t="shared" si="27"/>
        <v>-33.498999999999995</v>
      </c>
      <c r="G416">
        <v>138.417</v>
      </c>
      <c r="H416">
        <v>4.53</v>
      </c>
      <c r="I416">
        <v>3.274</v>
      </c>
      <c r="J416">
        <v>6</v>
      </c>
      <c r="K416">
        <v>53</v>
      </c>
      <c r="L416">
        <v>27</v>
      </c>
      <c r="M416">
        <v>8.907</v>
      </c>
    </row>
    <row r="417" spans="1:13" ht="15" customHeight="1">
      <c r="A417" t="s">
        <v>12</v>
      </c>
      <c r="B417">
        <f t="shared" si="24"/>
        <v>33.707022000000002</v>
      </c>
      <c r="C417">
        <f t="shared" si="25"/>
        <v>-117.867957</v>
      </c>
      <c r="D417">
        <f t="shared" si="26"/>
        <v>43</v>
      </c>
      <c r="E417">
        <v>77.498999999999995</v>
      </c>
      <c r="F417">
        <f t="shared" si="27"/>
        <v>-34.498999999999995</v>
      </c>
      <c r="G417">
        <v>234.733</v>
      </c>
      <c r="H417">
        <v>5.9180000000000001</v>
      </c>
      <c r="I417">
        <v>2.5219999999999998</v>
      </c>
      <c r="J417">
        <v>7</v>
      </c>
      <c r="K417">
        <v>75</v>
      </c>
      <c r="L417">
        <v>38</v>
      </c>
      <c r="M417" s="1">
        <v>9000000000</v>
      </c>
    </row>
    <row r="418" spans="1:13" ht="15" customHeight="1">
      <c r="A418" t="s">
        <v>12</v>
      </c>
      <c r="B418">
        <f t="shared" si="24"/>
        <v>33.707022000000002</v>
      </c>
      <c r="C418">
        <f t="shared" si="25"/>
        <v>-117.867957</v>
      </c>
      <c r="D418">
        <f t="shared" si="26"/>
        <v>43</v>
      </c>
      <c r="E418">
        <v>78.498999999999995</v>
      </c>
      <c r="F418">
        <f t="shared" si="27"/>
        <v>-35.498999999999995</v>
      </c>
      <c r="G418">
        <v>171.05</v>
      </c>
      <c r="H418">
        <v>4.17</v>
      </c>
      <c r="I418">
        <v>2.4390000000000001</v>
      </c>
      <c r="J418">
        <v>7</v>
      </c>
      <c r="K418">
        <v>55</v>
      </c>
      <c r="L418">
        <v>28</v>
      </c>
      <c r="M418" s="1">
        <v>9000000000</v>
      </c>
    </row>
    <row r="419" spans="1:13" ht="15" customHeight="1">
      <c r="A419" t="s">
        <v>12</v>
      </c>
      <c r="B419">
        <f t="shared" si="24"/>
        <v>33.707022000000002</v>
      </c>
      <c r="C419">
        <f t="shared" si="25"/>
        <v>-117.867957</v>
      </c>
      <c r="D419">
        <f t="shared" si="26"/>
        <v>43</v>
      </c>
      <c r="E419">
        <v>79.498999999999995</v>
      </c>
      <c r="F419">
        <f t="shared" si="27"/>
        <v>-36.498999999999995</v>
      </c>
      <c r="G419">
        <v>38.366999999999997</v>
      </c>
      <c r="H419">
        <v>1.738</v>
      </c>
      <c r="I419">
        <v>4.5430000000000001</v>
      </c>
      <c r="J419">
        <v>4</v>
      </c>
      <c r="K419">
        <v>24</v>
      </c>
      <c r="L419">
        <v>12</v>
      </c>
      <c r="M419">
        <v>2.2229999999999999</v>
      </c>
    </row>
    <row r="420" spans="1:13" ht="15" customHeight="1">
      <c r="A420" t="s">
        <v>12</v>
      </c>
      <c r="B420">
        <f t="shared" si="24"/>
        <v>33.707022000000002</v>
      </c>
      <c r="C420">
        <f t="shared" si="25"/>
        <v>-117.867957</v>
      </c>
      <c r="D420">
        <f t="shared" si="26"/>
        <v>43</v>
      </c>
      <c r="E420">
        <v>80.498999999999995</v>
      </c>
      <c r="F420">
        <f t="shared" si="27"/>
        <v>-37.498999999999995</v>
      </c>
      <c r="G420">
        <v>31.65</v>
      </c>
      <c r="H420">
        <v>0.89500000000000002</v>
      </c>
      <c r="I420">
        <v>2.8370000000000002</v>
      </c>
      <c r="J420">
        <v>6</v>
      </c>
      <c r="K420">
        <v>12</v>
      </c>
      <c r="L420">
        <v>6</v>
      </c>
      <c r="M420">
        <v>1.7709999999999999</v>
      </c>
    </row>
    <row r="421" spans="1:13" ht="15" customHeight="1">
      <c r="A421" t="s">
        <v>12</v>
      </c>
      <c r="B421">
        <f t="shared" si="24"/>
        <v>33.707022000000002</v>
      </c>
      <c r="C421">
        <f t="shared" si="25"/>
        <v>-117.867957</v>
      </c>
      <c r="D421">
        <f t="shared" si="26"/>
        <v>43</v>
      </c>
      <c r="E421">
        <v>81.498999999999995</v>
      </c>
      <c r="F421">
        <f t="shared" si="27"/>
        <v>-38.498999999999995</v>
      </c>
      <c r="G421">
        <v>29.1</v>
      </c>
      <c r="H421">
        <v>0.82499999999999996</v>
      </c>
      <c r="I421">
        <v>2.8420000000000001</v>
      </c>
      <c r="J421">
        <v>5</v>
      </c>
      <c r="K421">
        <v>14</v>
      </c>
      <c r="L421">
        <v>7</v>
      </c>
      <c r="M421">
        <v>1.599</v>
      </c>
    </row>
    <row r="422" spans="1:13" ht="15" customHeight="1">
      <c r="A422" t="s">
        <v>12</v>
      </c>
      <c r="B422">
        <f t="shared" si="24"/>
        <v>33.707022000000002</v>
      </c>
      <c r="C422">
        <f t="shared" si="25"/>
        <v>-117.867957</v>
      </c>
      <c r="D422">
        <f t="shared" si="26"/>
        <v>43</v>
      </c>
      <c r="E422">
        <v>82.498999999999995</v>
      </c>
      <c r="F422">
        <f t="shared" si="27"/>
        <v>-39.498999999999995</v>
      </c>
      <c r="G422">
        <v>30.533000000000001</v>
      </c>
      <c r="H422">
        <v>1</v>
      </c>
      <c r="I422">
        <v>3.2839999999999998</v>
      </c>
      <c r="J422">
        <v>5</v>
      </c>
      <c r="K422">
        <v>15</v>
      </c>
      <c r="L422">
        <v>8</v>
      </c>
      <c r="M422">
        <v>1.6890000000000001</v>
      </c>
    </row>
    <row r="423" spans="1:13" ht="15" customHeight="1">
      <c r="A423" t="s">
        <v>12</v>
      </c>
      <c r="B423">
        <f t="shared" si="24"/>
        <v>33.707022000000002</v>
      </c>
      <c r="C423">
        <f t="shared" si="25"/>
        <v>-117.867957</v>
      </c>
      <c r="D423">
        <f t="shared" si="26"/>
        <v>43</v>
      </c>
      <c r="E423">
        <v>83.498999999999995</v>
      </c>
      <c r="F423">
        <f t="shared" si="27"/>
        <v>-40.498999999999995</v>
      </c>
      <c r="G423">
        <v>49.670999999999999</v>
      </c>
      <c r="H423">
        <v>2.214</v>
      </c>
      <c r="I423">
        <v>4.4630000000000001</v>
      </c>
      <c r="J423">
        <v>4</v>
      </c>
      <c r="K423">
        <v>32</v>
      </c>
      <c r="L423">
        <v>16</v>
      </c>
      <c r="M423">
        <v>2.9630000000000001</v>
      </c>
    </row>
    <row r="424" spans="1:13" ht="15" customHeight="1">
      <c r="A424" t="s">
        <v>12</v>
      </c>
      <c r="B424">
        <f t="shared" si="24"/>
        <v>33.707022000000002</v>
      </c>
      <c r="C424">
        <f t="shared" si="25"/>
        <v>-117.867957</v>
      </c>
      <c r="D424">
        <f t="shared" si="26"/>
        <v>43</v>
      </c>
      <c r="E424">
        <v>84.498999999999995</v>
      </c>
      <c r="F424">
        <f t="shared" si="27"/>
        <v>-41.498999999999995</v>
      </c>
      <c r="G424">
        <v>36.683</v>
      </c>
      <c r="H424">
        <v>1.5329999999999999</v>
      </c>
      <c r="I424">
        <v>4.18</v>
      </c>
      <c r="J424">
        <v>4</v>
      </c>
      <c r="K424">
        <v>23</v>
      </c>
      <c r="L424">
        <v>12</v>
      </c>
      <c r="M424">
        <v>2.097</v>
      </c>
    </row>
    <row r="425" spans="1:13" ht="15" customHeight="1">
      <c r="A425" t="s">
        <v>12</v>
      </c>
      <c r="B425">
        <f t="shared" si="24"/>
        <v>33.707022000000002</v>
      </c>
      <c r="C425">
        <f t="shared" si="25"/>
        <v>-117.867957</v>
      </c>
      <c r="D425">
        <f t="shared" si="26"/>
        <v>43</v>
      </c>
      <c r="E425">
        <v>85.498999999999995</v>
      </c>
      <c r="F425">
        <f t="shared" si="27"/>
        <v>-42.498999999999995</v>
      </c>
      <c r="G425">
        <v>32.466999999999999</v>
      </c>
      <c r="H425">
        <v>1.1499999999999999</v>
      </c>
      <c r="I425">
        <v>3.54</v>
      </c>
      <c r="J425">
        <v>5</v>
      </c>
      <c r="K425">
        <v>16</v>
      </c>
      <c r="L425">
        <v>8</v>
      </c>
      <c r="M425">
        <v>1.8120000000000001</v>
      </c>
    </row>
    <row r="426" spans="1:13" ht="15" customHeight="1">
      <c r="A426" t="s">
        <v>12</v>
      </c>
      <c r="B426">
        <f t="shared" si="24"/>
        <v>33.707022000000002</v>
      </c>
      <c r="C426">
        <f t="shared" si="25"/>
        <v>-117.867957</v>
      </c>
      <c r="D426">
        <f t="shared" si="26"/>
        <v>43</v>
      </c>
      <c r="E426">
        <v>86.498999999999995</v>
      </c>
      <c r="F426">
        <f t="shared" si="27"/>
        <v>-43.498999999999995</v>
      </c>
      <c r="G426">
        <v>45.082999999999998</v>
      </c>
      <c r="H426">
        <v>2.6829999999999998</v>
      </c>
      <c r="I426">
        <v>5.9370000000000003</v>
      </c>
      <c r="J426">
        <v>3</v>
      </c>
      <c r="K426">
        <v>43</v>
      </c>
      <c r="L426">
        <v>22</v>
      </c>
      <c r="M426">
        <v>2.6560000000000001</v>
      </c>
    </row>
    <row r="427" spans="1:13" ht="15" customHeight="1">
      <c r="A427" t="s">
        <v>12</v>
      </c>
      <c r="B427">
        <f t="shared" si="24"/>
        <v>33.707022000000002</v>
      </c>
      <c r="C427">
        <f t="shared" si="25"/>
        <v>-117.867957</v>
      </c>
      <c r="D427">
        <f t="shared" si="26"/>
        <v>43</v>
      </c>
      <c r="E427">
        <v>87.498999999999995</v>
      </c>
      <c r="F427">
        <f t="shared" si="27"/>
        <v>-44.498999999999995</v>
      </c>
      <c r="G427">
        <v>81.566999999999993</v>
      </c>
      <c r="H427">
        <v>4.1029999999999998</v>
      </c>
      <c r="I427">
        <v>5.0129999999999999</v>
      </c>
      <c r="J427">
        <v>11</v>
      </c>
      <c r="K427">
        <v>78</v>
      </c>
      <c r="L427">
        <v>39</v>
      </c>
      <c r="M427" s="1">
        <v>9000000000</v>
      </c>
    </row>
    <row r="428" spans="1:13" ht="15" customHeight="1">
      <c r="A428" t="s">
        <v>12</v>
      </c>
      <c r="B428">
        <f t="shared" si="24"/>
        <v>33.707022000000002</v>
      </c>
      <c r="C428">
        <f t="shared" si="25"/>
        <v>-117.867957</v>
      </c>
      <c r="D428">
        <f t="shared" si="26"/>
        <v>43</v>
      </c>
      <c r="E428">
        <v>88.498999999999995</v>
      </c>
      <c r="F428">
        <f t="shared" si="27"/>
        <v>-45.498999999999995</v>
      </c>
      <c r="G428">
        <v>52.75</v>
      </c>
      <c r="H428">
        <v>3.1</v>
      </c>
      <c r="I428">
        <v>5.8579999999999997</v>
      </c>
      <c r="J428">
        <v>3</v>
      </c>
      <c r="K428">
        <v>51</v>
      </c>
      <c r="L428">
        <v>26</v>
      </c>
      <c r="M428">
        <v>3.1619999999999999</v>
      </c>
    </row>
    <row r="429" spans="1:13" ht="15" customHeight="1">
      <c r="A429" t="s">
        <v>12</v>
      </c>
      <c r="B429">
        <f t="shared" si="24"/>
        <v>33.707022000000002</v>
      </c>
      <c r="C429">
        <f t="shared" si="25"/>
        <v>-117.867957</v>
      </c>
      <c r="D429">
        <f t="shared" si="26"/>
        <v>43</v>
      </c>
      <c r="E429">
        <v>89.498999999999995</v>
      </c>
      <c r="F429">
        <f t="shared" si="27"/>
        <v>-46.498999999999995</v>
      </c>
      <c r="G429">
        <v>102.983</v>
      </c>
      <c r="H429">
        <v>4.5179999999999998</v>
      </c>
      <c r="I429">
        <v>4.38</v>
      </c>
      <c r="J429">
        <v>11</v>
      </c>
      <c r="K429">
        <v>99</v>
      </c>
      <c r="L429">
        <v>50</v>
      </c>
      <c r="M429" s="1">
        <v>9000000000</v>
      </c>
    </row>
    <row r="430" spans="1:13" ht="15" customHeight="1">
      <c r="A430" t="s">
        <v>12</v>
      </c>
      <c r="B430">
        <f t="shared" si="24"/>
        <v>33.707022000000002</v>
      </c>
      <c r="C430">
        <f t="shared" si="25"/>
        <v>-117.867957</v>
      </c>
      <c r="D430">
        <f t="shared" si="26"/>
        <v>43</v>
      </c>
      <c r="E430">
        <v>90.498999999999995</v>
      </c>
      <c r="F430">
        <f t="shared" si="27"/>
        <v>-47.498999999999995</v>
      </c>
      <c r="G430">
        <v>144.43299999999999</v>
      </c>
      <c r="H430">
        <v>5.5179999999999998</v>
      </c>
      <c r="I430">
        <v>3.8180000000000001</v>
      </c>
      <c r="J430">
        <v>12</v>
      </c>
      <c r="K430">
        <v>69</v>
      </c>
      <c r="L430">
        <v>35</v>
      </c>
      <c r="M430" s="1">
        <v>9000000000</v>
      </c>
    </row>
    <row r="431" spans="1:13" ht="15" customHeight="1">
      <c r="A431" t="s">
        <v>12</v>
      </c>
      <c r="B431">
        <f t="shared" si="24"/>
        <v>33.707022000000002</v>
      </c>
      <c r="C431">
        <f t="shared" si="25"/>
        <v>-117.867957</v>
      </c>
      <c r="D431">
        <f t="shared" si="26"/>
        <v>43</v>
      </c>
      <c r="E431">
        <v>91.498999999999995</v>
      </c>
      <c r="F431">
        <f t="shared" si="27"/>
        <v>-48.498999999999995</v>
      </c>
      <c r="G431">
        <v>30.516999999999999</v>
      </c>
      <c r="H431">
        <v>1.325</v>
      </c>
      <c r="I431">
        <v>4.3230000000000004</v>
      </c>
      <c r="J431">
        <v>4</v>
      </c>
      <c r="K431">
        <v>20</v>
      </c>
      <c r="L431">
        <v>10</v>
      </c>
      <c r="M431">
        <v>1.6639999999999999</v>
      </c>
    </row>
    <row r="432" spans="1:13" ht="15" customHeight="1">
      <c r="A432" t="s">
        <v>12</v>
      </c>
      <c r="B432">
        <f t="shared" si="24"/>
        <v>33.707022000000002</v>
      </c>
      <c r="C432">
        <f t="shared" si="25"/>
        <v>-117.867957</v>
      </c>
      <c r="D432">
        <f t="shared" si="26"/>
        <v>43</v>
      </c>
      <c r="E432">
        <v>92.498999999999995</v>
      </c>
      <c r="F432">
        <f t="shared" si="27"/>
        <v>-49.498999999999995</v>
      </c>
      <c r="G432">
        <v>41.283000000000001</v>
      </c>
      <c r="H432">
        <v>1.663</v>
      </c>
      <c r="I432">
        <v>4</v>
      </c>
      <c r="J432">
        <v>5</v>
      </c>
      <c r="K432">
        <v>20</v>
      </c>
      <c r="L432">
        <v>10</v>
      </c>
      <c r="M432">
        <v>2.3889999999999998</v>
      </c>
    </row>
    <row r="433" spans="1:13" ht="15" customHeight="1">
      <c r="A433" t="s">
        <v>12</v>
      </c>
      <c r="B433">
        <f t="shared" si="24"/>
        <v>33.707022000000002</v>
      </c>
      <c r="C433">
        <f t="shared" si="25"/>
        <v>-117.867957</v>
      </c>
      <c r="D433">
        <f t="shared" si="26"/>
        <v>43</v>
      </c>
      <c r="E433">
        <v>93.498999999999995</v>
      </c>
      <c r="F433">
        <f t="shared" si="27"/>
        <v>-50.498999999999995</v>
      </c>
      <c r="G433">
        <v>57.914000000000001</v>
      </c>
      <c r="H433">
        <v>2.4430000000000001</v>
      </c>
      <c r="I433">
        <v>4.1470000000000002</v>
      </c>
      <c r="J433">
        <v>5</v>
      </c>
      <c r="K433">
        <v>28</v>
      </c>
      <c r="L433">
        <v>14</v>
      </c>
      <c r="M433">
        <v>3.5390000000000001</v>
      </c>
    </row>
    <row r="434" spans="1:13" ht="15" customHeight="1">
      <c r="A434" t="s">
        <v>12</v>
      </c>
      <c r="B434">
        <f t="shared" si="24"/>
        <v>33.707022000000002</v>
      </c>
      <c r="C434">
        <f t="shared" si="25"/>
        <v>-117.867957</v>
      </c>
      <c r="D434">
        <f t="shared" si="26"/>
        <v>43</v>
      </c>
      <c r="E434">
        <v>94.498999999999995</v>
      </c>
      <c r="F434">
        <f t="shared" si="27"/>
        <v>-51.498999999999995</v>
      </c>
      <c r="G434">
        <v>85.766999999999996</v>
      </c>
      <c r="H434">
        <v>5.14</v>
      </c>
      <c r="I434">
        <v>5.9279999999999999</v>
      </c>
      <c r="J434">
        <v>11</v>
      </c>
      <c r="K434">
        <v>83</v>
      </c>
      <c r="L434">
        <v>42</v>
      </c>
      <c r="M434" s="1">
        <v>9000000000</v>
      </c>
    </row>
    <row r="435" spans="1:13" ht="15" customHeight="1">
      <c r="A435" t="s">
        <v>12</v>
      </c>
      <c r="B435">
        <f t="shared" si="24"/>
        <v>33.707022000000002</v>
      </c>
      <c r="C435">
        <f t="shared" si="25"/>
        <v>-117.867957</v>
      </c>
      <c r="D435">
        <f t="shared" si="26"/>
        <v>43</v>
      </c>
      <c r="E435">
        <v>95.498999999999995</v>
      </c>
      <c r="F435">
        <f t="shared" si="27"/>
        <v>-52.498999999999995</v>
      </c>
      <c r="G435">
        <v>82.066999999999993</v>
      </c>
      <c r="H435">
        <v>4.7119999999999997</v>
      </c>
      <c r="I435">
        <v>5.7309999999999999</v>
      </c>
      <c r="J435">
        <v>11</v>
      </c>
      <c r="K435">
        <v>79</v>
      </c>
      <c r="L435">
        <v>40</v>
      </c>
      <c r="M435" s="1">
        <v>9000000000</v>
      </c>
    </row>
    <row r="436" spans="1:13" ht="15" customHeight="1">
      <c r="A436" t="s">
        <v>12</v>
      </c>
      <c r="B436">
        <f t="shared" si="24"/>
        <v>33.707022000000002</v>
      </c>
      <c r="C436">
        <f t="shared" si="25"/>
        <v>-117.867957</v>
      </c>
      <c r="D436">
        <f t="shared" si="26"/>
        <v>43</v>
      </c>
      <c r="E436">
        <v>96.498999999999995</v>
      </c>
      <c r="F436">
        <f t="shared" si="27"/>
        <v>-53.498999999999995</v>
      </c>
      <c r="G436">
        <v>161.083</v>
      </c>
      <c r="H436">
        <v>6.8029999999999999</v>
      </c>
      <c r="I436">
        <v>4.2249999999999996</v>
      </c>
      <c r="J436">
        <v>11</v>
      </c>
      <c r="K436">
        <v>154</v>
      </c>
      <c r="L436">
        <v>77</v>
      </c>
      <c r="M436" s="1">
        <v>9000000000</v>
      </c>
    </row>
    <row r="437" spans="1:13" ht="15" customHeight="1">
      <c r="A437" t="s">
        <v>12</v>
      </c>
      <c r="B437">
        <f t="shared" si="24"/>
        <v>33.707022000000002</v>
      </c>
      <c r="C437">
        <f t="shared" si="25"/>
        <v>-117.867957</v>
      </c>
      <c r="D437">
        <f t="shared" si="26"/>
        <v>43</v>
      </c>
      <c r="E437">
        <v>97.498999999999995</v>
      </c>
      <c r="F437">
        <f t="shared" si="27"/>
        <v>-54.498999999999995</v>
      </c>
      <c r="G437">
        <v>183.2</v>
      </c>
      <c r="H437">
        <v>5.2619999999999996</v>
      </c>
      <c r="I437">
        <v>2.8730000000000002</v>
      </c>
      <c r="J437">
        <v>7</v>
      </c>
      <c r="K437">
        <v>58</v>
      </c>
      <c r="L437">
        <v>29</v>
      </c>
      <c r="M437" s="1">
        <v>9000000000</v>
      </c>
    </row>
    <row r="438" spans="1:13" ht="15" customHeight="1">
      <c r="A438" t="s">
        <v>12</v>
      </c>
      <c r="B438">
        <f t="shared" si="24"/>
        <v>33.707022000000002</v>
      </c>
      <c r="C438">
        <f t="shared" si="25"/>
        <v>-117.867957</v>
      </c>
      <c r="D438">
        <f t="shared" si="26"/>
        <v>43</v>
      </c>
      <c r="E438">
        <v>98.498999999999995</v>
      </c>
      <c r="F438">
        <f t="shared" si="27"/>
        <v>-55.498999999999995</v>
      </c>
      <c r="G438">
        <v>199.167</v>
      </c>
      <c r="H438">
        <v>8.1280000000000001</v>
      </c>
      <c r="I438">
        <v>4.0819999999999999</v>
      </c>
      <c r="J438">
        <v>12</v>
      </c>
      <c r="K438">
        <v>95</v>
      </c>
      <c r="L438">
        <v>48</v>
      </c>
      <c r="M438" s="1">
        <v>9000000000</v>
      </c>
    </row>
    <row r="439" spans="1:13" ht="15" customHeight="1">
      <c r="A439" t="s">
        <v>12</v>
      </c>
      <c r="B439">
        <f t="shared" si="24"/>
        <v>33.707022000000002</v>
      </c>
      <c r="C439">
        <f t="shared" si="25"/>
        <v>-117.867957</v>
      </c>
      <c r="D439">
        <f t="shared" si="26"/>
        <v>43</v>
      </c>
      <c r="E439">
        <v>99.498999999999995</v>
      </c>
      <c r="F439">
        <f t="shared" si="27"/>
        <v>-56.498999999999995</v>
      </c>
      <c r="G439">
        <v>241.86699999999999</v>
      </c>
      <c r="H439">
        <v>6.0819999999999999</v>
      </c>
      <c r="I439">
        <v>2.5150000000000001</v>
      </c>
      <c r="J439">
        <v>7</v>
      </c>
      <c r="K439">
        <v>77</v>
      </c>
      <c r="L439">
        <v>39</v>
      </c>
      <c r="M439" s="1">
        <v>9000000000</v>
      </c>
    </row>
    <row r="440" spans="1:13" ht="15" customHeight="1">
      <c r="A440" t="s">
        <v>12</v>
      </c>
      <c r="B440">
        <f t="shared" si="24"/>
        <v>33.707022000000002</v>
      </c>
      <c r="C440">
        <f t="shared" si="25"/>
        <v>-117.867957</v>
      </c>
      <c r="D440">
        <f t="shared" si="26"/>
        <v>43</v>
      </c>
      <c r="E440">
        <v>100.499</v>
      </c>
      <c r="F440">
        <f t="shared" si="27"/>
        <v>-57.498999999999995</v>
      </c>
      <c r="G440">
        <v>452.91699999999997</v>
      </c>
      <c r="H440">
        <v>7.1319999999999997</v>
      </c>
      <c r="I440">
        <v>1.575</v>
      </c>
      <c r="J440">
        <v>9</v>
      </c>
      <c r="K440">
        <v>87</v>
      </c>
      <c r="L440">
        <v>44</v>
      </c>
      <c r="M440" s="1">
        <v>9000000000</v>
      </c>
    </row>
    <row r="441" spans="1:13" ht="15" customHeight="1">
      <c r="A441" t="s">
        <v>12</v>
      </c>
      <c r="B441">
        <f t="shared" si="24"/>
        <v>33.707022000000002</v>
      </c>
      <c r="C441">
        <f t="shared" si="25"/>
        <v>-117.867957</v>
      </c>
      <c r="D441">
        <f t="shared" si="26"/>
        <v>43</v>
      </c>
      <c r="E441">
        <v>101.499</v>
      </c>
      <c r="F441">
        <f t="shared" si="27"/>
        <v>-58.498999999999995</v>
      </c>
      <c r="G441">
        <v>336</v>
      </c>
      <c r="H441">
        <v>0</v>
      </c>
      <c r="I441">
        <v>0</v>
      </c>
      <c r="J441">
        <v>10</v>
      </c>
      <c r="K441" s="1">
        <v>9000000000</v>
      </c>
      <c r="L441" s="1">
        <v>9000000000</v>
      </c>
      <c r="M441" s="1">
        <v>9000000000</v>
      </c>
    </row>
    <row r="442" spans="1:13" ht="15" customHeight="1">
      <c r="A442" t="s">
        <v>13</v>
      </c>
      <c r="B442">
        <f t="shared" si="24"/>
        <v>33.707509000000002</v>
      </c>
      <c r="C442">
        <f t="shared" si="25"/>
        <v>-117.86792</v>
      </c>
      <c r="D442">
        <f t="shared" si="26"/>
        <v>44</v>
      </c>
      <c r="E442">
        <v>0.5</v>
      </c>
      <c r="F442">
        <f t="shared" si="27"/>
        <v>43.5</v>
      </c>
      <c r="G442">
        <v>1.7330000000000001</v>
      </c>
      <c r="H442">
        <v>0.105</v>
      </c>
      <c r="I442">
        <v>6.0579999999999998</v>
      </c>
      <c r="J442">
        <v>2</v>
      </c>
      <c r="K442">
        <v>2</v>
      </c>
      <c r="L442">
        <v>3</v>
      </c>
      <c r="M442">
        <v>0.114</v>
      </c>
    </row>
    <row r="443" spans="1:13" ht="15" customHeight="1">
      <c r="A443" t="s">
        <v>13</v>
      </c>
      <c r="B443">
        <f t="shared" si="24"/>
        <v>33.707509000000002</v>
      </c>
      <c r="C443">
        <f t="shared" si="25"/>
        <v>-117.86792</v>
      </c>
      <c r="D443">
        <f t="shared" si="26"/>
        <v>44</v>
      </c>
      <c r="E443">
        <v>1.5</v>
      </c>
      <c r="F443">
        <f t="shared" si="27"/>
        <v>42.5</v>
      </c>
      <c r="G443">
        <v>142.11699999999999</v>
      </c>
      <c r="H443">
        <v>4.2549999999999999</v>
      </c>
      <c r="I443">
        <v>2.988</v>
      </c>
      <c r="J443">
        <v>6</v>
      </c>
      <c r="K443">
        <v>55</v>
      </c>
      <c r="L443">
        <v>83</v>
      </c>
      <c r="M443">
        <v>9.4890000000000008</v>
      </c>
    </row>
    <row r="444" spans="1:13" ht="15" customHeight="1">
      <c r="A444" t="s">
        <v>13</v>
      </c>
      <c r="B444">
        <f t="shared" si="24"/>
        <v>33.707509000000002</v>
      </c>
      <c r="C444">
        <f t="shared" si="25"/>
        <v>-117.86792</v>
      </c>
      <c r="D444">
        <f t="shared" si="26"/>
        <v>44</v>
      </c>
      <c r="E444">
        <v>2.5</v>
      </c>
      <c r="F444">
        <f t="shared" si="27"/>
        <v>41.5</v>
      </c>
      <c r="G444">
        <v>29.75</v>
      </c>
      <c r="H444">
        <v>1.7230000000000001</v>
      </c>
      <c r="I444">
        <v>5.77</v>
      </c>
      <c r="J444">
        <v>3</v>
      </c>
      <c r="K444">
        <v>29</v>
      </c>
      <c r="L444">
        <v>44</v>
      </c>
      <c r="M444">
        <v>1.982</v>
      </c>
    </row>
    <row r="445" spans="1:13" ht="15" customHeight="1">
      <c r="A445" t="s">
        <v>13</v>
      </c>
      <c r="B445">
        <f t="shared" si="24"/>
        <v>33.707509000000002</v>
      </c>
      <c r="C445">
        <f t="shared" si="25"/>
        <v>-117.86792</v>
      </c>
      <c r="D445">
        <f t="shared" si="26"/>
        <v>44</v>
      </c>
      <c r="E445">
        <v>3.5</v>
      </c>
      <c r="F445">
        <f t="shared" si="27"/>
        <v>40.5</v>
      </c>
      <c r="G445">
        <v>21.466999999999999</v>
      </c>
      <c r="H445">
        <v>0.72199999999999998</v>
      </c>
      <c r="I445">
        <v>3.351</v>
      </c>
      <c r="J445">
        <v>5</v>
      </c>
      <c r="K445">
        <v>10</v>
      </c>
      <c r="L445">
        <v>15</v>
      </c>
      <c r="M445">
        <v>1.423</v>
      </c>
    </row>
    <row r="446" spans="1:13" ht="15" customHeight="1">
      <c r="A446" t="s">
        <v>13</v>
      </c>
      <c r="B446">
        <f t="shared" si="24"/>
        <v>33.707509000000002</v>
      </c>
      <c r="C446">
        <f t="shared" si="25"/>
        <v>-117.86792</v>
      </c>
      <c r="D446">
        <f t="shared" si="26"/>
        <v>44</v>
      </c>
      <c r="E446">
        <v>4.5</v>
      </c>
      <c r="F446">
        <f t="shared" si="27"/>
        <v>39.5</v>
      </c>
      <c r="G446">
        <v>21.033000000000001</v>
      </c>
      <c r="H446">
        <v>0.64500000000000002</v>
      </c>
      <c r="I446">
        <v>3.052</v>
      </c>
      <c r="J446">
        <v>5</v>
      </c>
      <c r="K446">
        <v>10</v>
      </c>
      <c r="L446">
        <v>15</v>
      </c>
      <c r="M446">
        <v>1.3919999999999999</v>
      </c>
    </row>
    <row r="447" spans="1:13" ht="15" customHeight="1">
      <c r="A447" t="s">
        <v>13</v>
      </c>
      <c r="B447">
        <f t="shared" si="24"/>
        <v>33.707509000000002</v>
      </c>
      <c r="C447">
        <f t="shared" si="25"/>
        <v>-117.86792</v>
      </c>
      <c r="D447">
        <f t="shared" si="26"/>
        <v>44</v>
      </c>
      <c r="E447">
        <v>5.5</v>
      </c>
      <c r="F447">
        <f t="shared" si="27"/>
        <v>38.5</v>
      </c>
      <c r="G447">
        <v>16.983000000000001</v>
      </c>
      <c r="H447">
        <v>0.378</v>
      </c>
      <c r="I447">
        <v>2.2189999999999999</v>
      </c>
      <c r="J447">
        <v>5</v>
      </c>
      <c r="K447">
        <v>8</v>
      </c>
      <c r="L447">
        <v>12</v>
      </c>
      <c r="M447">
        <v>1.115</v>
      </c>
    </row>
    <row r="448" spans="1:13" ht="15" customHeight="1">
      <c r="A448" t="s">
        <v>13</v>
      </c>
      <c r="B448">
        <f t="shared" si="24"/>
        <v>33.707509000000002</v>
      </c>
      <c r="C448">
        <f t="shared" si="25"/>
        <v>-117.86792</v>
      </c>
      <c r="D448">
        <f t="shared" si="26"/>
        <v>44</v>
      </c>
      <c r="E448">
        <v>6.5</v>
      </c>
      <c r="F448">
        <f t="shared" si="27"/>
        <v>37.5</v>
      </c>
      <c r="G448">
        <v>17</v>
      </c>
      <c r="H448">
        <v>0.65700000000000003</v>
      </c>
      <c r="I448">
        <v>3.851</v>
      </c>
      <c r="J448">
        <v>4</v>
      </c>
      <c r="K448">
        <v>11</v>
      </c>
      <c r="L448">
        <v>17</v>
      </c>
      <c r="M448">
        <v>1.111</v>
      </c>
    </row>
    <row r="449" spans="1:13" ht="15" customHeight="1">
      <c r="A449" t="s">
        <v>13</v>
      </c>
      <c r="B449">
        <f t="shared" si="24"/>
        <v>33.707509000000002</v>
      </c>
      <c r="C449">
        <f t="shared" si="25"/>
        <v>-117.86792</v>
      </c>
      <c r="D449">
        <f t="shared" si="26"/>
        <v>44</v>
      </c>
      <c r="E449">
        <v>7.5</v>
      </c>
      <c r="F449">
        <f t="shared" si="27"/>
        <v>36.5</v>
      </c>
      <c r="G449">
        <v>14.15</v>
      </c>
      <c r="H449">
        <v>0.94299999999999995</v>
      </c>
      <c r="I449">
        <v>6.6589999999999998</v>
      </c>
      <c r="J449">
        <v>3</v>
      </c>
      <c r="K449">
        <v>14</v>
      </c>
      <c r="L449">
        <v>21</v>
      </c>
      <c r="M449">
        <v>0.91500000000000004</v>
      </c>
    </row>
    <row r="450" spans="1:13" ht="15" customHeight="1">
      <c r="A450" t="s">
        <v>13</v>
      </c>
      <c r="B450">
        <f t="shared" ref="B450:B513" si="28">VLOOKUP(A450,XYdata,3,FALSE)</f>
        <v>33.707509000000002</v>
      </c>
      <c r="C450">
        <f t="shared" ref="C450:C513" si="29">VLOOKUP(A450,XYdata,2,FALSE)</f>
        <v>-117.86792</v>
      </c>
      <c r="D450">
        <f t="shared" ref="D450:D513" si="30">VLOOKUP(A450,Elevation,2,FALSE)</f>
        <v>44</v>
      </c>
      <c r="E450">
        <v>8.5</v>
      </c>
      <c r="F450">
        <f t="shared" si="27"/>
        <v>35.5</v>
      </c>
      <c r="G450">
        <v>18.766999999999999</v>
      </c>
      <c r="H450">
        <v>0.93799999999999994</v>
      </c>
      <c r="I450">
        <v>4.9820000000000002</v>
      </c>
      <c r="J450">
        <v>3</v>
      </c>
      <c r="K450">
        <v>18</v>
      </c>
      <c r="L450">
        <v>27</v>
      </c>
      <c r="M450">
        <v>1.222</v>
      </c>
    </row>
    <row r="451" spans="1:13" ht="15" customHeight="1">
      <c r="A451" t="s">
        <v>13</v>
      </c>
      <c r="B451">
        <f t="shared" si="28"/>
        <v>33.707509000000002</v>
      </c>
      <c r="C451">
        <f t="shared" si="29"/>
        <v>-117.86792</v>
      </c>
      <c r="D451">
        <f t="shared" si="30"/>
        <v>44</v>
      </c>
      <c r="E451">
        <v>9.5</v>
      </c>
      <c r="F451">
        <f t="shared" ref="F451:F514" si="31">D451-E451</f>
        <v>34.5</v>
      </c>
      <c r="G451">
        <v>11.433</v>
      </c>
      <c r="H451">
        <v>0.63700000000000001</v>
      </c>
      <c r="I451">
        <v>5.5359999999999996</v>
      </c>
      <c r="J451">
        <v>3</v>
      </c>
      <c r="K451">
        <v>11</v>
      </c>
      <c r="L451">
        <v>17</v>
      </c>
      <c r="M451">
        <v>0.72899999999999998</v>
      </c>
    </row>
    <row r="452" spans="1:13" ht="15" customHeight="1">
      <c r="A452" t="s">
        <v>13</v>
      </c>
      <c r="B452">
        <f t="shared" si="28"/>
        <v>33.707509000000002</v>
      </c>
      <c r="C452">
        <f t="shared" si="29"/>
        <v>-117.86792</v>
      </c>
      <c r="D452">
        <f t="shared" si="30"/>
        <v>44</v>
      </c>
      <c r="E452">
        <v>10.5</v>
      </c>
      <c r="F452">
        <f t="shared" si="31"/>
        <v>33.5</v>
      </c>
      <c r="G452">
        <v>14.629</v>
      </c>
      <c r="H452">
        <v>0.76100000000000001</v>
      </c>
      <c r="I452">
        <v>5.1950000000000003</v>
      </c>
      <c r="J452">
        <v>3</v>
      </c>
      <c r="K452">
        <v>14</v>
      </c>
      <c r="L452">
        <v>20</v>
      </c>
      <c r="M452">
        <v>0.93500000000000005</v>
      </c>
    </row>
    <row r="453" spans="1:13" ht="15" customHeight="1">
      <c r="A453" t="s">
        <v>13</v>
      </c>
      <c r="B453">
        <f t="shared" si="28"/>
        <v>33.707509000000002</v>
      </c>
      <c r="C453">
        <f t="shared" si="29"/>
        <v>-117.86792</v>
      </c>
      <c r="D453">
        <f t="shared" si="30"/>
        <v>44</v>
      </c>
      <c r="E453">
        <v>11.5</v>
      </c>
      <c r="F453">
        <f t="shared" si="31"/>
        <v>32.5</v>
      </c>
      <c r="G453">
        <v>19.882999999999999</v>
      </c>
      <c r="H453">
        <v>0.69199999999999995</v>
      </c>
      <c r="I453">
        <v>3.4670000000000001</v>
      </c>
      <c r="J453">
        <v>5</v>
      </c>
      <c r="K453">
        <v>10</v>
      </c>
      <c r="L453">
        <v>13</v>
      </c>
      <c r="M453">
        <v>1.284</v>
      </c>
    </row>
    <row r="454" spans="1:13" ht="15" customHeight="1">
      <c r="A454" t="s">
        <v>13</v>
      </c>
      <c r="B454">
        <f t="shared" si="28"/>
        <v>33.707509000000002</v>
      </c>
      <c r="C454">
        <f t="shared" si="29"/>
        <v>-117.86792</v>
      </c>
      <c r="D454">
        <f t="shared" si="30"/>
        <v>44</v>
      </c>
      <c r="E454">
        <v>12.5</v>
      </c>
      <c r="F454">
        <f t="shared" si="31"/>
        <v>31.5</v>
      </c>
      <c r="G454">
        <v>42.366999999999997</v>
      </c>
      <c r="H454">
        <v>0.72699999999999998</v>
      </c>
      <c r="I454">
        <v>1.714</v>
      </c>
      <c r="J454">
        <v>7</v>
      </c>
      <c r="K454">
        <v>14</v>
      </c>
      <c r="L454">
        <v>18</v>
      </c>
      <c r="M454" s="1">
        <v>9000000000</v>
      </c>
    </row>
    <row r="455" spans="1:13" ht="15" customHeight="1">
      <c r="A455" t="s">
        <v>13</v>
      </c>
      <c r="B455">
        <f t="shared" si="28"/>
        <v>33.707509000000002</v>
      </c>
      <c r="C455">
        <f t="shared" si="29"/>
        <v>-117.86792</v>
      </c>
      <c r="D455">
        <f t="shared" si="30"/>
        <v>44</v>
      </c>
      <c r="E455">
        <v>13.5</v>
      </c>
      <c r="F455">
        <f t="shared" si="31"/>
        <v>30.5</v>
      </c>
      <c r="G455">
        <v>19.082999999999998</v>
      </c>
      <c r="H455">
        <v>0.60299999999999998</v>
      </c>
      <c r="I455">
        <v>3.1589999999999998</v>
      </c>
      <c r="J455">
        <v>5</v>
      </c>
      <c r="K455">
        <v>9</v>
      </c>
      <c r="L455">
        <v>11</v>
      </c>
      <c r="M455">
        <v>1.2190000000000001</v>
      </c>
    </row>
    <row r="456" spans="1:13" ht="15" customHeight="1">
      <c r="A456" t="s">
        <v>13</v>
      </c>
      <c r="B456">
        <f t="shared" si="28"/>
        <v>33.707509000000002</v>
      </c>
      <c r="C456">
        <f t="shared" si="29"/>
        <v>-117.86792</v>
      </c>
      <c r="D456">
        <f t="shared" si="30"/>
        <v>44</v>
      </c>
      <c r="E456">
        <v>14.5</v>
      </c>
      <c r="F456">
        <f t="shared" si="31"/>
        <v>29.5</v>
      </c>
      <c r="G456">
        <v>6.8</v>
      </c>
      <c r="H456">
        <v>0.29699999999999999</v>
      </c>
      <c r="I456">
        <v>4.3520000000000003</v>
      </c>
      <c r="J456">
        <v>3</v>
      </c>
      <c r="K456">
        <v>7</v>
      </c>
      <c r="L456">
        <v>8</v>
      </c>
      <c r="M456">
        <v>0.39700000000000002</v>
      </c>
    </row>
    <row r="457" spans="1:13" ht="15" customHeight="1">
      <c r="A457" t="s">
        <v>13</v>
      </c>
      <c r="B457">
        <f t="shared" si="28"/>
        <v>33.707509000000002</v>
      </c>
      <c r="C457">
        <f t="shared" si="29"/>
        <v>-117.86792</v>
      </c>
      <c r="D457">
        <f t="shared" si="30"/>
        <v>44</v>
      </c>
      <c r="E457">
        <v>15.5</v>
      </c>
      <c r="F457">
        <f t="shared" si="31"/>
        <v>28.5</v>
      </c>
      <c r="G457">
        <v>6.3330000000000002</v>
      </c>
      <c r="H457">
        <v>0.315</v>
      </c>
      <c r="I457">
        <v>4.9740000000000002</v>
      </c>
      <c r="J457">
        <v>3</v>
      </c>
      <c r="K457">
        <v>6</v>
      </c>
      <c r="L457">
        <v>6</v>
      </c>
      <c r="M457">
        <v>0.36</v>
      </c>
    </row>
    <row r="458" spans="1:13" ht="15" customHeight="1">
      <c r="A458" t="s">
        <v>13</v>
      </c>
      <c r="B458">
        <f t="shared" si="28"/>
        <v>33.707509000000002</v>
      </c>
      <c r="C458">
        <f t="shared" si="29"/>
        <v>-117.86792</v>
      </c>
      <c r="D458">
        <f t="shared" si="30"/>
        <v>44</v>
      </c>
      <c r="E458">
        <v>16.5</v>
      </c>
      <c r="F458">
        <f t="shared" si="31"/>
        <v>27.5</v>
      </c>
      <c r="G458">
        <v>25.667000000000002</v>
      </c>
      <c r="H458">
        <v>1.073</v>
      </c>
      <c r="I458">
        <v>4.1820000000000004</v>
      </c>
      <c r="J458">
        <v>4</v>
      </c>
      <c r="K458">
        <v>16</v>
      </c>
      <c r="L458">
        <v>16</v>
      </c>
      <c r="M458">
        <v>1.645</v>
      </c>
    </row>
    <row r="459" spans="1:13" ht="15" customHeight="1">
      <c r="A459" t="s">
        <v>13</v>
      </c>
      <c r="B459">
        <f t="shared" si="28"/>
        <v>33.707509000000002</v>
      </c>
      <c r="C459">
        <f t="shared" si="29"/>
        <v>-117.86792</v>
      </c>
      <c r="D459">
        <f t="shared" si="30"/>
        <v>44</v>
      </c>
      <c r="E459">
        <v>17.5</v>
      </c>
      <c r="F459">
        <f t="shared" si="31"/>
        <v>26.5</v>
      </c>
      <c r="G459">
        <v>86.783000000000001</v>
      </c>
      <c r="H459">
        <v>1.05</v>
      </c>
      <c r="I459">
        <v>1.21</v>
      </c>
      <c r="J459">
        <v>8</v>
      </c>
      <c r="K459">
        <v>21</v>
      </c>
      <c r="L459">
        <v>20</v>
      </c>
      <c r="M459" s="1">
        <v>9000000000</v>
      </c>
    </row>
    <row r="460" spans="1:13" ht="15" customHeight="1">
      <c r="A460" t="s">
        <v>13</v>
      </c>
      <c r="B460">
        <f t="shared" si="28"/>
        <v>33.707509000000002</v>
      </c>
      <c r="C460">
        <f t="shared" si="29"/>
        <v>-117.86792</v>
      </c>
      <c r="D460">
        <f t="shared" si="30"/>
        <v>44</v>
      </c>
      <c r="E460">
        <v>18.5</v>
      </c>
      <c r="F460">
        <f t="shared" si="31"/>
        <v>25.5</v>
      </c>
      <c r="G460">
        <v>9.3330000000000002</v>
      </c>
      <c r="H460">
        <v>0.47799999999999998</v>
      </c>
      <c r="I460">
        <v>5.1159999999999997</v>
      </c>
      <c r="J460">
        <v>3</v>
      </c>
      <c r="K460">
        <v>9</v>
      </c>
      <c r="L460">
        <v>8</v>
      </c>
      <c r="M460">
        <v>0.54900000000000004</v>
      </c>
    </row>
    <row r="461" spans="1:13" ht="15" customHeight="1">
      <c r="A461" t="s">
        <v>13</v>
      </c>
      <c r="B461">
        <f t="shared" si="28"/>
        <v>33.707509000000002</v>
      </c>
      <c r="C461">
        <f t="shared" si="29"/>
        <v>-117.86792</v>
      </c>
      <c r="D461">
        <f t="shared" si="30"/>
        <v>44</v>
      </c>
      <c r="E461">
        <v>19.5</v>
      </c>
      <c r="F461">
        <f t="shared" si="31"/>
        <v>24.5</v>
      </c>
      <c r="G461">
        <v>6.75</v>
      </c>
      <c r="H461">
        <v>0.24299999999999999</v>
      </c>
      <c r="I461">
        <v>3.57</v>
      </c>
      <c r="J461">
        <v>3</v>
      </c>
      <c r="K461">
        <v>7</v>
      </c>
      <c r="L461">
        <v>6</v>
      </c>
      <c r="M461">
        <v>0.376</v>
      </c>
    </row>
    <row r="462" spans="1:13" ht="15" customHeight="1">
      <c r="A462" t="s">
        <v>13</v>
      </c>
      <c r="B462">
        <f t="shared" si="28"/>
        <v>33.707509000000002</v>
      </c>
      <c r="C462">
        <f t="shared" si="29"/>
        <v>-117.86792</v>
      </c>
      <c r="D462">
        <f t="shared" si="30"/>
        <v>44</v>
      </c>
      <c r="E462">
        <v>20.5</v>
      </c>
      <c r="F462">
        <f t="shared" si="31"/>
        <v>23.5</v>
      </c>
      <c r="G462">
        <v>16.899999999999999</v>
      </c>
      <c r="H462">
        <v>0.75600000000000001</v>
      </c>
      <c r="I462">
        <v>4.4489999999999998</v>
      </c>
      <c r="J462">
        <v>3</v>
      </c>
      <c r="K462">
        <v>16</v>
      </c>
      <c r="L462">
        <v>14</v>
      </c>
      <c r="M462">
        <v>1.05</v>
      </c>
    </row>
    <row r="463" spans="1:13" ht="15" customHeight="1">
      <c r="A463" t="s">
        <v>13</v>
      </c>
      <c r="B463">
        <f t="shared" si="28"/>
        <v>33.707509000000002</v>
      </c>
      <c r="C463">
        <f t="shared" si="29"/>
        <v>-117.86792</v>
      </c>
      <c r="D463">
        <f t="shared" si="30"/>
        <v>44</v>
      </c>
      <c r="E463">
        <v>21.5</v>
      </c>
      <c r="F463">
        <f t="shared" si="31"/>
        <v>22.5</v>
      </c>
      <c r="G463">
        <v>6.65</v>
      </c>
      <c r="H463">
        <v>0.34300000000000003</v>
      </c>
      <c r="I463">
        <v>5.1369999999999996</v>
      </c>
      <c r="J463">
        <v>3</v>
      </c>
      <c r="K463">
        <v>6</v>
      </c>
      <c r="L463">
        <v>5</v>
      </c>
      <c r="M463">
        <v>0.35899999999999999</v>
      </c>
    </row>
    <row r="464" spans="1:13" ht="15" customHeight="1">
      <c r="A464" t="s">
        <v>13</v>
      </c>
      <c r="B464">
        <f t="shared" si="28"/>
        <v>33.707509000000002</v>
      </c>
      <c r="C464">
        <f t="shared" si="29"/>
        <v>-117.86792</v>
      </c>
      <c r="D464">
        <f t="shared" si="30"/>
        <v>44</v>
      </c>
      <c r="E464">
        <v>22.5</v>
      </c>
      <c r="F464">
        <f t="shared" si="31"/>
        <v>21.5</v>
      </c>
      <c r="G464">
        <v>20.183</v>
      </c>
      <c r="H464">
        <v>0.75700000000000001</v>
      </c>
      <c r="I464">
        <v>3.746</v>
      </c>
      <c r="J464">
        <v>4</v>
      </c>
      <c r="K464">
        <v>13</v>
      </c>
      <c r="L464">
        <v>10</v>
      </c>
      <c r="M464">
        <v>1.256</v>
      </c>
    </row>
    <row r="465" spans="1:13" ht="15" customHeight="1">
      <c r="A465" t="s">
        <v>13</v>
      </c>
      <c r="B465">
        <f t="shared" si="28"/>
        <v>33.707509000000002</v>
      </c>
      <c r="C465">
        <f t="shared" si="29"/>
        <v>-117.86792</v>
      </c>
      <c r="D465">
        <f t="shared" si="30"/>
        <v>44</v>
      </c>
      <c r="E465">
        <v>23.5</v>
      </c>
      <c r="F465">
        <f t="shared" si="31"/>
        <v>20.5</v>
      </c>
      <c r="G465">
        <v>21.433</v>
      </c>
      <c r="H465">
        <v>1.087</v>
      </c>
      <c r="I465">
        <v>5.0620000000000003</v>
      </c>
      <c r="J465">
        <v>3</v>
      </c>
      <c r="K465">
        <v>21</v>
      </c>
      <c r="L465">
        <v>16</v>
      </c>
      <c r="M465">
        <v>1.337</v>
      </c>
    </row>
    <row r="466" spans="1:13" ht="15" customHeight="1">
      <c r="A466" t="s">
        <v>13</v>
      </c>
      <c r="B466">
        <f t="shared" si="28"/>
        <v>33.707509000000002</v>
      </c>
      <c r="C466">
        <f t="shared" si="29"/>
        <v>-117.86792</v>
      </c>
      <c r="D466">
        <f t="shared" si="30"/>
        <v>44</v>
      </c>
      <c r="E466">
        <v>24.5</v>
      </c>
      <c r="F466">
        <f t="shared" si="31"/>
        <v>19.5</v>
      </c>
      <c r="G466">
        <v>21.067</v>
      </c>
      <c r="H466">
        <v>0.80200000000000005</v>
      </c>
      <c r="I466">
        <v>3.7989999999999999</v>
      </c>
      <c r="J466">
        <v>4</v>
      </c>
      <c r="K466">
        <v>13</v>
      </c>
      <c r="L466">
        <v>10</v>
      </c>
      <c r="M466">
        <v>1.3080000000000001</v>
      </c>
    </row>
    <row r="467" spans="1:13" ht="15" customHeight="1">
      <c r="A467" t="s">
        <v>13</v>
      </c>
      <c r="B467">
        <f t="shared" si="28"/>
        <v>33.707509000000002</v>
      </c>
      <c r="C467">
        <f t="shared" si="29"/>
        <v>-117.86792</v>
      </c>
      <c r="D467">
        <f t="shared" si="30"/>
        <v>44</v>
      </c>
      <c r="E467">
        <v>25.5</v>
      </c>
      <c r="F467">
        <f t="shared" si="31"/>
        <v>18.5</v>
      </c>
      <c r="G467">
        <v>35.700000000000003</v>
      </c>
      <c r="H467">
        <v>1.78</v>
      </c>
      <c r="I467">
        <v>4.9790000000000001</v>
      </c>
      <c r="J467">
        <v>3</v>
      </c>
      <c r="K467">
        <v>34</v>
      </c>
      <c r="L467">
        <v>25</v>
      </c>
      <c r="M467">
        <v>2.2810000000000001</v>
      </c>
    </row>
    <row r="468" spans="1:13" ht="15" customHeight="1">
      <c r="A468" t="s">
        <v>13</v>
      </c>
      <c r="B468">
        <f t="shared" si="28"/>
        <v>33.707509000000002</v>
      </c>
      <c r="C468">
        <f t="shared" si="29"/>
        <v>-117.86792</v>
      </c>
      <c r="D468">
        <f t="shared" si="30"/>
        <v>44</v>
      </c>
      <c r="E468">
        <v>26.5</v>
      </c>
      <c r="F468">
        <f t="shared" si="31"/>
        <v>17.5</v>
      </c>
      <c r="G468">
        <v>48.317</v>
      </c>
      <c r="H468">
        <v>2.133</v>
      </c>
      <c r="I468">
        <v>4.4089999999999998</v>
      </c>
      <c r="J468">
        <v>4</v>
      </c>
      <c r="K468">
        <v>31</v>
      </c>
      <c r="L468">
        <v>22</v>
      </c>
      <c r="M468">
        <v>3.1190000000000002</v>
      </c>
    </row>
    <row r="469" spans="1:13" ht="15" customHeight="1">
      <c r="A469" t="s">
        <v>13</v>
      </c>
      <c r="B469">
        <f t="shared" si="28"/>
        <v>33.707509000000002</v>
      </c>
      <c r="C469">
        <f t="shared" si="29"/>
        <v>-117.86792</v>
      </c>
      <c r="D469">
        <f t="shared" si="30"/>
        <v>44</v>
      </c>
      <c r="E469">
        <v>27.5</v>
      </c>
      <c r="F469">
        <f t="shared" si="31"/>
        <v>16.5</v>
      </c>
      <c r="G469">
        <v>47.832999999999998</v>
      </c>
      <c r="H469">
        <v>2.3679999999999999</v>
      </c>
      <c r="I469">
        <v>4.944</v>
      </c>
      <c r="J469">
        <v>4</v>
      </c>
      <c r="K469">
        <v>31</v>
      </c>
      <c r="L469">
        <v>22</v>
      </c>
      <c r="M469">
        <v>3.0819999999999999</v>
      </c>
    </row>
    <row r="470" spans="1:13" ht="15" customHeight="1">
      <c r="A470" t="s">
        <v>13</v>
      </c>
      <c r="B470">
        <f t="shared" si="28"/>
        <v>33.707509000000002</v>
      </c>
      <c r="C470">
        <f t="shared" si="29"/>
        <v>-117.86792</v>
      </c>
      <c r="D470">
        <f t="shared" si="30"/>
        <v>44</v>
      </c>
      <c r="E470">
        <v>28.5</v>
      </c>
      <c r="F470">
        <f t="shared" si="31"/>
        <v>15.5</v>
      </c>
      <c r="G470">
        <v>30.882999999999999</v>
      </c>
      <c r="H470">
        <v>1.417</v>
      </c>
      <c r="I470">
        <v>4.577</v>
      </c>
      <c r="J470">
        <v>4</v>
      </c>
      <c r="K470">
        <v>20</v>
      </c>
      <c r="L470">
        <v>14</v>
      </c>
      <c r="M470">
        <v>1.948</v>
      </c>
    </row>
    <row r="471" spans="1:13" ht="15" customHeight="1">
      <c r="A471" t="s">
        <v>13</v>
      </c>
      <c r="B471">
        <f t="shared" si="28"/>
        <v>33.707509000000002</v>
      </c>
      <c r="C471">
        <f t="shared" si="29"/>
        <v>-117.86792</v>
      </c>
      <c r="D471">
        <f t="shared" si="30"/>
        <v>44</v>
      </c>
      <c r="E471">
        <v>29.5</v>
      </c>
      <c r="F471">
        <f t="shared" si="31"/>
        <v>14.5</v>
      </c>
      <c r="G471">
        <v>30.4</v>
      </c>
      <c r="H471">
        <v>1.353</v>
      </c>
      <c r="I471">
        <v>4.4400000000000004</v>
      </c>
      <c r="J471">
        <v>4</v>
      </c>
      <c r="K471">
        <v>19</v>
      </c>
      <c r="L471">
        <v>13</v>
      </c>
      <c r="M471">
        <v>1.913</v>
      </c>
    </row>
    <row r="472" spans="1:13" ht="15" customHeight="1">
      <c r="A472" t="s">
        <v>13</v>
      </c>
      <c r="B472">
        <f t="shared" si="28"/>
        <v>33.707509000000002</v>
      </c>
      <c r="C472">
        <f t="shared" si="29"/>
        <v>-117.86792</v>
      </c>
      <c r="D472">
        <f t="shared" si="30"/>
        <v>44</v>
      </c>
      <c r="E472">
        <v>30.5</v>
      </c>
      <c r="F472">
        <f t="shared" si="31"/>
        <v>13.5</v>
      </c>
      <c r="G472">
        <v>22.817</v>
      </c>
      <c r="H472">
        <v>1.1100000000000001</v>
      </c>
      <c r="I472">
        <v>4.8470000000000004</v>
      </c>
      <c r="J472">
        <v>3</v>
      </c>
      <c r="K472">
        <v>22</v>
      </c>
      <c r="L472">
        <v>15</v>
      </c>
      <c r="M472">
        <v>1.403</v>
      </c>
    </row>
    <row r="473" spans="1:13" ht="15" customHeight="1">
      <c r="A473" t="s">
        <v>13</v>
      </c>
      <c r="B473">
        <f t="shared" si="28"/>
        <v>33.707509000000002</v>
      </c>
      <c r="C473">
        <f t="shared" si="29"/>
        <v>-117.86792</v>
      </c>
      <c r="D473">
        <f t="shared" si="30"/>
        <v>44</v>
      </c>
      <c r="E473">
        <v>31.5</v>
      </c>
      <c r="F473">
        <f t="shared" si="31"/>
        <v>12.5</v>
      </c>
      <c r="G473">
        <v>20.228999999999999</v>
      </c>
      <c r="H473">
        <v>0.94399999999999995</v>
      </c>
      <c r="I473">
        <v>4.6580000000000004</v>
      </c>
      <c r="J473">
        <v>3</v>
      </c>
      <c r="K473">
        <v>19</v>
      </c>
      <c r="L473">
        <v>13</v>
      </c>
      <c r="M473">
        <v>1.224</v>
      </c>
    </row>
    <row r="474" spans="1:13" ht="15" customHeight="1">
      <c r="A474" t="s">
        <v>13</v>
      </c>
      <c r="B474">
        <f t="shared" si="28"/>
        <v>33.707509000000002</v>
      </c>
      <c r="C474">
        <f t="shared" si="29"/>
        <v>-117.86792</v>
      </c>
      <c r="D474">
        <f t="shared" si="30"/>
        <v>44</v>
      </c>
      <c r="E474">
        <v>32.5</v>
      </c>
      <c r="F474">
        <f t="shared" si="31"/>
        <v>11.5</v>
      </c>
      <c r="G474">
        <v>14.016999999999999</v>
      </c>
      <c r="H474">
        <v>0.67700000000000005</v>
      </c>
      <c r="I474">
        <v>4.7990000000000004</v>
      </c>
      <c r="J474">
        <v>3</v>
      </c>
      <c r="K474">
        <v>14</v>
      </c>
      <c r="L474">
        <v>9</v>
      </c>
      <c r="M474">
        <v>0.80800000000000005</v>
      </c>
    </row>
    <row r="475" spans="1:13" ht="15" customHeight="1">
      <c r="A475" t="s">
        <v>13</v>
      </c>
      <c r="B475">
        <f t="shared" si="28"/>
        <v>33.707509000000002</v>
      </c>
      <c r="C475">
        <f t="shared" si="29"/>
        <v>-117.86792</v>
      </c>
      <c r="D475">
        <f t="shared" si="30"/>
        <v>44</v>
      </c>
      <c r="E475">
        <v>33.5</v>
      </c>
      <c r="F475">
        <f t="shared" si="31"/>
        <v>10.5</v>
      </c>
      <c r="G475">
        <v>28.983000000000001</v>
      </c>
      <c r="H475">
        <v>1.575</v>
      </c>
      <c r="I475">
        <v>5.4119999999999999</v>
      </c>
      <c r="J475">
        <v>3</v>
      </c>
      <c r="K475">
        <v>28</v>
      </c>
      <c r="L475">
        <v>18</v>
      </c>
      <c r="M475">
        <v>1.804</v>
      </c>
    </row>
    <row r="476" spans="1:13" ht="15" customHeight="1">
      <c r="A476" t="s">
        <v>13</v>
      </c>
      <c r="B476">
        <f t="shared" si="28"/>
        <v>33.707509000000002</v>
      </c>
      <c r="C476">
        <f t="shared" si="29"/>
        <v>-117.86792</v>
      </c>
      <c r="D476">
        <f t="shared" si="30"/>
        <v>44</v>
      </c>
      <c r="E476">
        <v>34.5</v>
      </c>
      <c r="F476">
        <f t="shared" si="31"/>
        <v>9.5</v>
      </c>
      <c r="G476">
        <v>64.867000000000004</v>
      </c>
      <c r="H476">
        <v>2.4369999999999998</v>
      </c>
      <c r="I476">
        <v>3.754</v>
      </c>
      <c r="J476">
        <v>5</v>
      </c>
      <c r="K476">
        <v>31</v>
      </c>
      <c r="L476">
        <v>20</v>
      </c>
      <c r="M476">
        <v>4.1870000000000003</v>
      </c>
    </row>
    <row r="477" spans="1:13" ht="15" customHeight="1">
      <c r="A477" t="s">
        <v>13</v>
      </c>
      <c r="B477">
        <f t="shared" si="28"/>
        <v>33.707509000000002</v>
      </c>
      <c r="C477">
        <f t="shared" si="29"/>
        <v>-117.86792</v>
      </c>
      <c r="D477">
        <f t="shared" si="30"/>
        <v>44</v>
      </c>
      <c r="E477">
        <v>35.5</v>
      </c>
      <c r="F477">
        <f t="shared" si="31"/>
        <v>8.5</v>
      </c>
      <c r="G477">
        <v>158.267</v>
      </c>
      <c r="H477">
        <v>2.7679999999999998</v>
      </c>
      <c r="I477">
        <v>1.748</v>
      </c>
      <c r="J477">
        <v>8</v>
      </c>
      <c r="K477">
        <v>38</v>
      </c>
      <c r="L477">
        <v>24</v>
      </c>
      <c r="M477" s="1">
        <v>9000000000</v>
      </c>
    </row>
    <row r="478" spans="1:13" ht="15" customHeight="1">
      <c r="A478" t="s">
        <v>13</v>
      </c>
      <c r="B478">
        <f t="shared" si="28"/>
        <v>33.707509000000002</v>
      </c>
      <c r="C478">
        <f t="shared" si="29"/>
        <v>-117.86792</v>
      </c>
      <c r="D478">
        <f t="shared" si="30"/>
        <v>44</v>
      </c>
      <c r="E478">
        <v>36.5</v>
      </c>
      <c r="F478">
        <f t="shared" si="31"/>
        <v>7.5</v>
      </c>
      <c r="G478">
        <v>170.88300000000001</v>
      </c>
      <c r="H478">
        <v>3.387</v>
      </c>
      <c r="I478">
        <v>1.98</v>
      </c>
      <c r="J478">
        <v>7</v>
      </c>
      <c r="K478">
        <v>55</v>
      </c>
      <c r="L478">
        <v>34</v>
      </c>
      <c r="M478" s="1">
        <v>9000000000</v>
      </c>
    </row>
    <row r="479" spans="1:13" ht="15" customHeight="1">
      <c r="A479" t="s">
        <v>13</v>
      </c>
      <c r="B479">
        <f t="shared" si="28"/>
        <v>33.707509000000002</v>
      </c>
      <c r="C479">
        <f t="shared" si="29"/>
        <v>-117.86792</v>
      </c>
      <c r="D479">
        <f t="shared" si="30"/>
        <v>44</v>
      </c>
      <c r="E479">
        <v>37.5</v>
      </c>
      <c r="F479">
        <f t="shared" si="31"/>
        <v>6.5</v>
      </c>
      <c r="G479">
        <v>86.233000000000004</v>
      </c>
      <c r="H479">
        <v>2.2530000000000001</v>
      </c>
      <c r="I479">
        <v>2.61</v>
      </c>
      <c r="J479">
        <v>6</v>
      </c>
      <c r="K479">
        <v>33</v>
      </c>
      <c r="L479">
        <v>20</v>
      </c>
      <c r="M479">
        <v>5.6029999999999998</v>
      </c>
    </row>
    <row r="480" spans="1:13" ht="15" customHeight="1">
      <c r="A480" t="s">
        <v>13</v>
      </c>
      <c r="B480">
        <f t="shared" si="28"/>
        <v>33.707509000000002</v>
      </c>
      <c r="C480">
        <f t="shared" si="29"/>
        <v>-117.86792</v>
      </c>
      <c r="D480">
        <f t="shared" si="30"/>
        <v>44</v>
      </c>
      <c r="E480">
        <v>38.5</v>
      </c>
      <c r="F480">
        <f t="shared" si="31"/>
        <v>5.5</v>
      </c>
      <c r="G480">
        <v>104.733</v>
      </c>
      <c r="H480">
        <v>3.8530000000000002</v>
      </c>
      <c r="I480">
        <v>3.6760000000000002</v>
      </c>
      <c r="J480">
        <v>6</v>
      </c>
      <c r="K480">
        <v>40</v>
      </c>
      <c r="L480">
        <v>24</v>
      </c>
      <c r="M480">
        <v>6.8310000000000004</v>
      </c>
    </row>
    <row r="481" spans="1:13" ht="15" customHeight="1">
      <c r="A481" t="s">
        <v>13</v>
      </c>
      <c r="B481">
        <f t="shared" si="28"/>
        <v>33.707509000000002</v>
      </c>
      <c r="C481">
        <f t="shared" si="29"/>
        <v>-117.86792</v>
      </c>
      <c r="D481">
        <f t="shared" si="30"/>
        <v>44</v>
      </c>
      <c r="E481">
        <v>39.5</v>
      </c>
      <c r="F481">
        <f t="shared" si="31"/>
        <v>4.5</v>
      </c>
      <c r="G481">
        <v>142.5</v>
      </c>
      <c r="H481">
        <v>3.9319999999999999</v>
      </c>
      <c r="I481">
        <v>2.7570000000000001</v>
      </c>
      <c r="J481">
        <v>7</v>
      </c>
      <c r="K481">
        <v>46</v>
      </c>
      <c r="L481">
        <v>27</v>
      </c>
      <c r="M481" s="1">
        <v>9000000000</v>
      </c>
    </row>
    <row r="482" spans="1:13" ht="15" customHeight="1">
      <c r="A482" t="s">
        <v>13</v>
      </c>
      <c r="B482">
        <f t="shared" si="28"/>
        <v>33.707509000000002</v>
      </c>
      <c r="C482">
        <f t="shared" si="29"/>
        <v>-117.86792</v>
      </c>
      <c r="D482">
        <f t="shared" si="30"/>
        <v>44</v>
      </c>
      <c r="E482">
        <v>40.5</v>
      </c>
      <c r="F482">
        <f t="shared" si="31"/>
        <v>3.5</v>
      </c>
      <c r="G482">
        <v>186.667</v>
      </c>
      <c r="H482">
        <v>4.7629999999999999</v>
      </c>
      <c r="I482">
        <v>2.5499999999999998</v>
      </c>
      <c r="J482">
        <v>7</v>
      </c>
      <c r="K482">
        <v>60</v>
      </c>
      <c r="L482">
        <v>35</v>
      </c>
      <c r="M482" s="1">
        <v>9000000000</v>
      </c>
    </row>
    <row r="483" spans="1:13" ht="15" customHeight="1">
      <c r="A483" t="s">
        <v>13</v>
      </c>
      <c r="B483">
        <f t="shared" si="28"/>
        <v>33.707509000000002</v>
      </c>
      <c r="C483">
        <f t="shared" si="29"/>
        <v>-117.86792</v>
      </c>
      <c r="D483">
        <f t="shared" si="30"/>
        <v>44</v>
      </c>
      <c r="E483">
        <v>41.499000000000002</v>
      </c>
      <c r="F483">
        <f t="shared" si="31"/>
        <v>2.5009999999999977</v>
      </c>
      <c r="G483">
        <v>141.029</v>
      </c>
      <c r="H483">
        <v>4.407</v>
      </c>
      <c r="I483">
        <v>3.1230000000000002</v>
      </c>
      <c r="J483">
        <v>6</v>
      </c>
      <c r="K483">
        <v>54</v>
      </c>
      <c r="L483">
        <v>31</v>
      </c>
      <c r="M483">
        <v>9.2390000000000008</v>
      </c>
    </row>
    <row r="484" spans="1:13" ht="15" customHeight="1">
      <c r="A484" t="s">
        <v>13</v>
      </c>
      <c r="B484">
        <f t="shared" si="28"/>
        <v>33.707509000000002</v>
      </c>
      <c r="C484">
        <f t="shared" si="29"/>
        <v>-117.86792</v>
      </c>
      <c r="D484">
        <f t="shared" si="30"/>
        <v>44</v>
      </c>
      <c r="E484">
        <v>42.499000000000002</v>
      </c>
      <c r="F484">
        <f t="shared" si="31"/>
        <v>1.5009999999999977</v>
      </c>
      <c r="G484">
        <v>189.11699999999999</v>
      </c>
      <c r="H484">
        <v>5.0720000000000001</v>
      </c>
      <c r="I484">
        <v>2.681</v>
      </c>
      <c r="J484">
        <v>7</v>
      </c>
      <c r="K484">
        <v>60</v>
      </c>
      <c r="L484">
        <v>35</v>
      </c>
      <c r="M484" s="1">
        <v>9000000000</v>
      </c>
    </row>
    <row r="485" spans="1:13" ht="15" customHeight="1">
      <c r="A485" t="s">
        <v>13</v>
      </c>
      <c r="B485">
        <f t="shared" si="28"/>
        <v>33.707509000000002</v>
      </c>
      <c r="C485">
        <f t="shared" si="29"/>
        <v>-117.86792</v>
      </c>
      <c r="D485">
        <f t="shared" si="30"/>
        <v>44</v>
      </c>
      <c r="E485">
        <v>43.499000000000002</v>
      </c>
      <c r="F485">
        <f t="shared" si="31"/>
        <v>0.50099999999999767</v>
      </c>
      <c r="G485">
        <v>191.517</v>
      </c>
      <c r="H485">
        <v>4.95</v>
      </c>
      <c r="I485">
        <v>2.5840000000000001</v>
      </c>
      <c r="J485">
        <v>7</v>
      </c>
      <c r="K485">
        <v>61</v>
      </c>
      <c r="L485">
        <v>35</v>
      </c>
      <c r="M485" s="1">
        <v>9000000000</v>
      </c>
    </row>
    <row r="486" spans="1:13" ht="15" customHeight="1">
      <c r="A486" t="s">
        <v>13</v>
      </c>
      <c r="B486">
        <f t="shared" si="28"/>
        <v>33.707509000000002</v>
      </c>
      <c r="C486">
        <f t="shared" si="29"/>
        <v>-117.86792</v>
      </c>
      <c r="D486">
        <f t="shared" si="30"/>
        <v>44</v>
      </c>
      <c r="E486">
        <v>44.499000000000002</v>
      </c>
      <c r="F486">
        <f t="shared" si="31"/>
        <v>-0.49900000000000233</v>
      </c>
      <c r="G486">
        <v>223.43299999999999</v>
      </c>
      <c r="H486">
        <v>4.38</v>
      </c>
      <c r="I486">
        <v>1.9590000000000001</v>
      </c>
      <c r="J486">
        <v>8</v>
      </c>
      <c r="K486">
        <v>54</v>
      </c>
      <c r="L486">
        <v>30</v>
      </c>
      <c r="M486" s="1">
        <v>9000000000</v>
      </c>
    </row>
    <row r="487" spans="1:13" ht="15" customHeight="1">
      <c r="A487" t="s">
        <v>13</v>
      </c>
      <c r="B487">
        <f t="shared" si="28"/>
        <v>33.707509000000002</v>
      </c>
      <c r="C487">
        <f t="shared" si="29"/>
        <v>-117.86792</v>
      </c>
      <c r="D487">
        <f t="shared" si="30"/>
        <v>44</v>
      </c>
      <c r="E487">
        <v>45.499000000000002</v>
      </c>
      <c r="F487">
        <f t="shared" si="31"/>
        <v>-1.4990000000000023</v>
      </c>
      <c r="G487">
        <v>254.63300000000001</v>
      </c>
      <c r="H487">
        <v>3.6080000000000001</v>
      </c>
      <c r="I487">
        <v>1.4159999999999999</v>
      </c>
      <c r="J487">
        <v>8</v>
      </c>
      <c r="K487">
        <v>61</v>
      </c>
      <c r="L487">
        <v>34</v>
      </c>
      <c r="M487" s="1">
        <v>9000000000</v>
      </c>
    </row>
    <row r="488" spans="1:13" ht="15" customHeight="1">
      <c r="A488" t="s">
        <v>13</v>
      </c>
      <c r="B488">
        <f t="shared" si="28"/>
        <v>33.707509000000002</v>
      </c>
      <c r="C488">
        <f t="shared" si="29"/>
        <v>-117.86792</v>
      </c>
      <c r="D488">
        <f t="shared" si="30"/>
        <v>44</v>
      </c>
      <c r="E488">
        <v>46.499000000000002</v>
      </c>
      <c r="F488">
        <f t="shared" si="31"/>
        <v>-2.4990000000000023</v>
      </c>
      <c r="G488">
        <v>300.61700000000002</v>
      </c>
      <c r="H488">
        <v>3.5830000000000002</v>
      </c>
      <c r="I488">
        <v>1.1910000000000001</v>
      </c>
      <c r="J488">
        <v>9</v>
      </c>
      <c r="K488">
        <v>58</v>
      </c>
      <c r="L488">
        <v>32</v>
      </c>
      <c r="M488" s="1">
        <v>9000000000</v>
      </c>
    </row>
    <row r="489" spans="1:13" ht="15" customHeight="1">
      <c r="A489" t="s">
        <v>13</v>
      </c>
      <c r="B489">
        <f t="shared" si="28"/>
        <v>33.707509000000002</v>
      </c>
      <c r="C489">
        <f t="shared" si="29"/>
        <v>-117.86792</v>
      </c>
      <c r="D489">
        <f t="shared" si="30"/>
        <v>44</v>
      </c>
      <c r="E489">
        <v>47.499000000000002</v>
      </c>
      <c r="F489">
        <f t="shared" si="31"/>
        <v>-3.4990000000000023</v>
      </c>
      <c r="G489">
        <v>281.96699999999998</v>
      </c>
      <c r="H489">
        <v>3.4319999999999999</v>
      </c>
      <c r="I489">
        <v>1.216</v>
      </c>
      <c r="J489">
        <v>9</v>
      </c>
      <c r="K489">
        <v>54</v>
      </c>
      <c r="L489">
        <v>29</v>
      </c>
      <c r="M489" s="1">
        <v>9000000000</v>
      </c>
    </row>
    <row r="490" spans="1:13" ht="15" customHeight="1">
      <c r="A490" t="s">
        <v>13</v>
      </c>
      <c r="B490">
        <f t="shared" si="28"/>
        <v>33.707509000000002</v>
      </c>
      <c r="C490">
        <f t="shared" si="29"/>
        <v>-117.86792</v>
      </c>
      <c r="D490">
        <f t="shared" si="30"/>
        <v>44</v>
      </c>
      <c r="E490">
        <v>48.499000000000002</v>
      </c>
      <c r="F490">
        <f t="shared" si="31"/>
        <v>-4.4990000000000023</v>
      </c>
      <c r="G490">
        <v>280.46699999999998</v>
      </c>
      <c r="H490">
        <v>3.3149999999999999</v>
      </c>
      <c r="I490">
        <v>1.181</v>
      </c>
      <c r="J490">
        <v>9</v>
      </c>
      <c r="K490">
        <v>54</v>
      </c>
      <c r="L490">
        <v>29</v>
      </c>
      <c r="M490" s="1">
        <v>9000000000</v>
      </c>
    </row>
    <row r="491" spans="1:13" ht="15" customHeight="1">
      <c r="A491" t="s">
        <v>13</v>
      </c>
      <c r="B491">
        <f t="shared" si="28"/>
        <v>33.707509000000002</v>
      </c>
      <c r="C491">
        <f t="shared" si="29"/>
        <v>-117.86792</v>
      </c>
      <c r="D491">
        <f t="shared" si="30"/>
        <v>44</v>
      </c>
      <c r="E491">
        <v>49.499000000000002</v>
      </c>
      <c r="F491">
        <f t="shared" si="31"/>
        <v>-5.4990000000000023</v>
      </c>
      <c r="G491">
        <v>314.66699999999997</v>
      </c>
      <c r="H491">
        <v>4.617</v>
      </c>
      <c r="I491">
        <v>1.4670000000000001</v>
      </c>
      <c r="J491">
        <v>9</v>
      </c>
      <c r="K491">
        <v>60</v>
      </c>
      <c r="L491">
        <v>32</v>
      </c>
      <c r="M491" s="1">
        <v>9000000000</v>
      </c>
    </row>
    <row r="492" spans="1:13" ht="15" customHeight="1">
      <c r="A492" t="s">
        <v>13</v>
      </c>
      <c r="B492">
        <f t="shared" si="28"/>
        <v>33.707509000000002</v>
      </c>
      <c r="C492">
        <f t="shared" si="29"/>
        <v>-117.86792</v>
      </c>
      <c r="D492">
        <f t="shared" si="30"/>
        <v>44</v>
      </c>
      <c r="E492">
        <v>50.499000000000002</v>
      </c>
      <c r="F492">
        <f t="shared" si="31"/>
        <v>-6.4990000000000023</v>
      </c>
      <c r="G492">
        <v>374.18299999999999</v>
      </c>
      <c r="H492">
        <v>6.077</v>
      </c>
      <c r="I492">
        <v>1.623</v>
      </c>
      <c r="J492">
        <v>8</v>
      </c>
      <c r="K492">
        <v>90</v>
      </c>
      <c r="L492">
        <v>47</v>
      </c>
      <c r="M492" s="1">
        <v>9000000000</v>
      </c>
    </row>
    <row r="493" spans="1:13" ht="15" customHeight="1">
      <c r="A493" t="s">
        <v>13</v>
      </c>
      <c r="B493">
        <f t="shared" si="28"/>
        <v>33.707509000000002</v>
      </c>
      <c r="C493">
        <f t="shared" si="29"/>
        <v>-117.86792</v>
      </c>
      <c r="D493">
        <f t="shared" si="30"/>
        <v>44</v>
      </c>
      <c r="E493">
        <v>51.499000000000002</v>
      </c>
      <c r="F493">
        <f t="shared" si="31"/>
        <v>-7.4990000000000023</v>
      </c>
      <c r="G493">
        <v>372.233</v>
      </c>
      <c r="H493">
        <v>8.9879999999999995</v>
      </c>
      <c r="I493">
        <v>2.4129999999999998</v>
      </c>
      <c r="J493">
        <v>12</v>
      </c>
      <c r="K493">
        <v>178</v>
      </c>
      <c r="L493">
        <v>93</v>
      </c>
      <c r="M493" s="1">
        <v>9000000000</v>
      </c>
    </row>
    <row r="494" spans="1:13" ht="15" customHeight="1">
      <c r="A494" t="s">
        <v>13</v>
      </c>
      <c r="B494">
        <f t="shared" si="28"/>
        <v>33.707509000000002</v>
      </c>
      <c r="C494">
        <f t="shared" si="29"/>
        <v>-117.86792</v>
      </c>
      <c r="D494">
        <f t="shared" si="30"/>
        <v>44</v>
      </c>
      <c r="E494">
        <v>52.499000000000002</v>
      </c>
      <c r="F494">
        <f t="shared" si="31"/>
        <v>-8.4990000000000023</v>
      </c>
      <c r="G494">
        <v>405.84300000000002</v>
      </c>
      <c r="H494">
        <v>8.6010000000000009</v>
      </c>
      <c r="I494">
        <v>2.1179999999999999</v>
      </c>
      <c r="J494">
        <v>8</v>
      </c>
      <c r="K494">
        <v>97</v>
      </c>
      <c r="L494">
        <v>50</v>
      </c>
      <c r="M494" s="1">
        <v>9000000000</v>
      </c>
    </row>
    <row r="495" spans="1:13" ht="15" customHeight="1">
      <c r="A495" t="s">
        <v>13</v>
      </c>
      <c r="B495">
        <f t="shared" si="28"/>
        <v>33.707509000000002</v>
      </c>
      <c r="C495">
        <f t="shared" si="29"/>
        <v>-117.86792</v>
      </c>
      <c r="D495">
        <f t="shared" si="30"/>
        <v>44</v>
      </c>
      <c r="E495">
        <v>53.499000000000002</v>
      </c>
      <c r="F495">
        <f t="shared" si="31"/>
        <v>-9.4990000000000023</v>
      </c>
      <c r="G495">
        <v>372.13299999999998</v>
      </c>
      <c r="H495">
        <v>7.1719999999999997</v>
      </c>
      <c r="I495">
        <v>1.9259999999999999</v>
      </c>
      <c r="J495">
        <v>8</v>
      </c>
      <c r="K495">
        <v>89</v>
      </c>
      <c r="L495">
        <v>45</v>
      </c>
      <c r="M495" s="1">
        <v>9000000000</v>
      </c>
    </row>
    <row r="496" spans="1:13" ht="15" customHeight="1">
      <c r="A496" t="s">
        <v>13</v>
      </c>
      <c r="B496">
        <f t="shared" si="28"/>
        <v>33.707509000000002</v>
      </c>
      <c r="C496">
        <f t="shared" si="29"/>
        <v>-117.86792</v>
      </c>
      <c r="D496">
        <f t="shared" si="30"/>
        <v>44</v>
      </c>
      <c r="E496">
        <v>54.499000000000002</v>
      </c>
      <c r="F496">
        <f t="shared" si="31"/>
        <v>-10.499000000000002</v>
      </c>
      <c r="G496">
        <v>356.75</v>
      </c>
      <c r="H496">
        <v>6.7629999999999999</v>
      </c>
      <c r="I496">
        <v>1.895</v>
      </c>
      <c r="J496">
        <v>8</v>
      </c>
      <c r="K496">
        <v>85</v>
      </c>
      <c r="L496">
        <v>43</v>
      </c>
      <c r="M496" s="1">
        <v>9000000000</v>
      </c>
    </row>
    <row r="497" spans="1:13" ht="15" customHeight="1">
      <c r="A497" t="s">
        <v>13</v>
      </c>
      <c r="B497">
        <f t="shared" si="28"/>
        <v>33.707509000000002</v>
      </c>
      <c r="C497">
        <f t="shared" si="29"/>
        <v>-117.86792</v>
      </c>
      <c r="D497">
        <f t="shared" si="30"/>
        <v>44</v>
      </c>
      <c r="E497">
        <v>55.499000000000002</v>
      </c>
      <c r="F497">
        <f t="shared" si="31"/>
        <v>-11.499000000000002</v>
      </c>
      <c r="G497">
        <v>384.46699999999998</v>
      </c>
      <c r="H497">
        <v>8.3849999999999998</v>
      </c>
      <c r="I497">
        <v>2.1800000000000002</v>
      </c>
      <c r="J497">
        <v>8</v>
      </c>
      <c r="K497">
        <v>92</v>
      </c>
      <c r="L497">
        <v>46</v>
      </c>
      <c r="M497" s="1">
        <v>9000000000</v>
      </c>
    </row>
    <row r="498" spans="1:13" ht="15" customHeight="1">
      <c r="A498" t="s">
        <v>13</v>
      </c>
      <c r="B498">
        <f t="shared" si="28"/>
        <v>33.707509000000002</v>
      </c>
      <c r="C498">
        <f t="shared" si="29"/>
        <v>-117.86792</v>
      </c>
      <c r="D498">
        <f t="shared" si="30"/>
        <v>44</v>
      </c>
      <c r="E498">
        <v>56.499000000000002</v>
      </c>
      <c r="F498">
        <f t="shared" si="31"/>
        <v>-12.499000000000002</v>
      </c>
      <c r="G498">
        <v>361.483</v>
      </c>
      <c r="H498">
        <v>7.7649999999999997</v>
      </c>
      <c r="I498">
        <v>2.1469999999999998</v>
      </c>
      <c r="J498">
        <v>8</v>
      </c>
      <c r="K498">
        <v>87</v>
      </c>
      <c r="L498">
        <v>44</v>
      </c>
      <c r="M498" s="1">
        <v>9000000000</v>
      </c>
    </row>
    <row r="499" spans="1:13" ht="15" customHeight="1">
      <c r="A499" t="s">
        <v>13</v>
      </c>
      <c r="B499">
        <f t="shared" si="28"/>
        <v>33.707509000000002</v>
      </c>
      <c r="C499">
        <f t="shared" si="29"/>
        <v>-117.86792</v>
      </c>
      <c r="D499">
        <f t="shared" si="30"/>
        <v>44</v>
      </c>
      <c r="E499">
        <v>57.499000000000002</v>
      </c>
      <c r="F499">
        <f t="shared" si="31"/>
        <v>-13.499000000000002</v>
      </c>
      <c r="G499">
        <v>375.68299999999999</v>
      </c>
      <c r="H499">
        <v>6.56</v>
      </c>
      <c r="I499">
        <v>1.7450000000000001</v>
      </c>
      <c r="J499">
        <v>8</v>
      </c>
      <c r="K499">
        <v>90</v>
      </c>
      <c r="L499">
        <v>45</v>
      </c>
      <c r="M499" s="1">
        <v>9000000000</v>
      </c>
    </row>
    <row r="500" spans="1:13" ht="15" customHeight="1">
      <c r="A500" t="s">
        <v>13</v>
      </c>
      <c r="B500">
        <f t="shared" si="28"/>
        <v>33.707509000000002</v>
      </c>
      <c r="C500">
        <f t="shared" si="29"/>
        <v>-117.86792</v>
      </c>
      <c r="D500">
        <f t="shared" si="30"/>
        <v>44</v>
      </c>
      <c r="E500">
        <v>58.499000000000002</v>
      </c>
      <c r="F500">
        <f t="shared" si="31"/>
        <v>-14.499000000000002</v>
      </c>
      <c r="G500">
        <v>391.11700000000002</v>
      </c>
      <c r="H500">
        <v>8.3949999999999996</v>
      </c>
      <c r="I500">
        <v>2.145</v>
      </c>
      <c r="J500">
        <v>8</v>
      </c>
      <c r="K500">
        <v>94</v>
      </c>
      <c r="L500">
        <v>47</v>
      </c>
      <c r="M500" s="1">
        <v>9000000000</v>
      </c>
    </row>
    <row r="501" spans="1:13" ht="15" customHeight="1">
      <c r="A501" t="s">
        <v>13</v>
      </c>
      <c r="B501">
        <f t="shared" si="28"/>
        <v>33.707509000000002</v>
      </c>
      <c r="C501">
        <f t="shared" si="29"/>
        <v>-117.86792</v>
      </c>
      <c r="D501">
        <f t="shared" si="30"/>
        <v>44</v>
      </c>
      <c r="E501">
        <v>59.499000000000002</v>
      </c>
      <c r="F501">
        <f t="shared" si="31"/>
        <v>-15.499000000000002</v>
      </c>
      <c r="G501">
        <v>373.25</v>
      </c>
      <c r="H501">
        <v>7.3849999999999998</v>
      </c>
      <c r="I501">
        <v>1.978</v>
      </c>
      <c r="J501">
        <v>8</v>
      </c>
      <c r="K501">
        <v>89</v>
      </c>
      <c r="L501">
        <v>45</v>
      </c>
      <c r="M501" s="1">
        <v>9000000000</v>
      </c>
    </row>
    <row r="502" spans="1:13" ht="15" customHeight="1">
      <c r="A502" t="s">
        <v>13</v>
      </c>
      <c r="B502">
        <f t="shared" si="28"/>
        <v>33.707509000000002</v>
      </c>
      <c r="C502">
        <f t="shared" si="29"/>
        <v>-117.86792</v>
      </c>
      <c r="D502">
        <f t="shared" si="30"/>
        <v>44</v>
      </c>
      <c r="E502">
        <v>60.499000000000002</v>
      </c>
      <c r="F502">
        <f t="shared" si="31"/>
        <v>-16.499000000000002</v>
      </c>
      <c r="G502">
        <v>299.83300000000003</v>
      </c>
      <c r="H502">
        <v>6.1269999999999998</v>
      </c>
      <c r="I502">
        <v>2.0419999999999998</v>
      </c>
      <c r="J502">
        <v>8</v>
      </c>
      <c r="K502">
        <v>72</v>
      </c>
      <c r="L502">
        <v>36</v>
      </c>
      <c r="M502" s="1">
        <v>9000000000</v>
      </c>
    </row>
    <row r="503" spans="1:13" ht="15" customHeight="1">
      <c r="A503" t="s">
        <v>13</v>
      </c>
      <c r="B503">
        <f t="shared" si="28"/>
        <v>33.707509000000002</v>
      </c>
      <c r="C503">
        <f t="shared" si="29"/>
        <v>-117.86792</v>
      </c>
      <c r="D503">
        <f t="shared" si="30"/>
        <v>44</v>
      </c>
      <c r="E503">
        <v>61.499000000000002</v>
      </c>
      <c r="F503">
        <f t="shared" si="31"/>
        <v>-17.499000000000002</v>
      </c>
      <c r="G503">
        <v>287.11700000000002</v>
      </c>
      <c r="H503">
        <v>5.1230000000000002</v>
      </c>
      <c r="I503">
        <v>1.7829999999999999</v>
      </c>
      <c r="J503">
        <v>8</v>
      </c>
      <c r="K503">
        <v>69</v>
      </c>
      <c r="L503">
        <v>35</v>
      </c>
      <c r="M503" s="1">
        <v>9000000000</v>
      </c>
    </row>
    <row r="504" spans="1:13" ht="15" customHeight="1">
      <c r="A504" t="s">
        <v>13</v>
      </c>
      <c r="B504">
        <f t="shared" si="28"/>
        <v>33.707509000000002</v>
      </c>
      <c r="C504">
        <f t="shared" si="29"/>
        <v>-117.86792</v>
      </c>
      <c r="D504">
        <f t="shared" si="30"/>
        <v>44</v>
      </c>
      <c r="E504">
        <v>62.499000000000002</v>
      </c>
      <c r="F504">
        <f t="shared" si="31"/>
        <v>-18.499000000000002</v>
      </c>
      <c r="G504">
        <v>340.92899999999997</v>
      </c>
      <c r="H504">
        <v>6.0709999999999997</v>
      </c>
      <c r="I504">
        <v>1.78</v>
      </c>
      <c r="J504">
        <v>8</v>
      </c>
      <c r="K504">
        <v>82</v>
      </c>
      <c r="L504">
        <v>41</v>
      </c>
      <c r="M504" s="1">
        <v>9000000000</v>
      </c>
    </row>
    <row r="505" spans="1:13" ht="15" customHeight="1">
      <c r="A505" t="s">
        <v>13</v>
      </c>
      <c r="B505">
        <f t="shared" si="28"/>
        <v>33.707509000000002</v>
      </c>
      <c r="C505">
        <f t="shared" si="29"/>
        <v>-117.86792</v>
      </c>
      <c r="D505">
        <f t="shared" si="30"/>
        <v>44</v>
      </c>
      <c r="E505">
        <v>63.499000000000002</v>
      </c>
      <c r="F505">
        <f t="shared" si="31"/>
        <v>-19.499000000000002</v>
      </c>
      <c r="G505">
        <v>330.78300000000002</v>
      </c>
      <c r="H505">
        <v>5.9930000000000003</v>
      </c>
      <c r="I505">
        <v>1.8109999999999999</v>
      </c>
      <c r="J505">
        <v>8</v>
      </c>
      <c r="K505">
        <v>79</v>
      </c>
      <c r="L505">
        <v>40</v>
      </c>
      <c r="M505" s="1">
        <v>9000000000</v>
      </c>
    </row>
    <row r="506" spans="1:13" ht="15" customHeight="1">
      <c r="A506" t="s">
        <v>13</v>
      </c>
      <c r="B506">
        <f t="shared" si="28"/>
        <v>33.707509000000002</v>
      </c>
      <c r="C506">
        <f t="shared" si="29"/>
        <v>-117.86792</v>
      </c>
      <c r="D506">
        <f t="shared" si="30"/>
        <v>44</v>
      </c>
      <c r="E506">
        <v>64.498999999999995</v>
      </c>
      <c r="F506">
        <f t="shared" si="31"/>
        <v>-20.498999999999995</v>
      </c>
      <c r="G506">
        <v>267</v>
      </c>
      <c r="H506">
        <v>4.38</v>
      </c>
      <c r="I506">
        <v>1.639</v>
      </c>
      <c r="J506">
        <v>8</v>
      </c>
      <c r="K506">
        <v>64</v>
      </c>
      <c r="L506">
        <v>32</v>
      </c>
      <c r="M506" s="1">
        <v>9000000000</v>
      </c>
    </row>
    <row r="507" spans="1:13" ht="15" customHeight="1">
      <c r="A507" t="s">
        <v>13</v>
      </c>
      <c r="B507">
        <f t="shared" si="28"/>
        <v>33.707509000000002</v>
      </c>
      <c r="C507">
        <f t="shared" si="29"/>
        <v>-117.86792</v>
      </c>
      <c r="D507">
        <f t="shared" si="30"/>
        <v>44</v>
      </c>
      <c r="E507">
        <v>65.498999999999995</v>
      </c>
      <c r="F507">
        <f t="shared" si="31"/>
        <v>-21.498999999999995</v>
      </c>
      <c r="G507">
        <v>246.9</v>
      </c>
      <c r="H507">
        <v>4.5330000000000004</v>
      </c>
      <c r="I507">
        <v>1.8340000000000001</v>
      </c>
      <c r="J507">
        <v>8</v>
      </c>
      <c r="K507">
        <v>59</v>
      </c>
      <c r="L507">
        <v>30</v>
      </c>
      <c r="M507" s="1">
        <v>9000000000</v>
      </c>
    </row>
    <row r="508" spans="1:13" ht="15" customHeight="1">
      <c r="A508" t="s">
        <v>13</v>
      </c>
      <c r="B508">
        <f t="shared" si="28"/>
        <v>33.707509000000002</v>
      </c>
      <c r="C508">
        <f t="shared" si="29"/>
        <v>-117.86792</v>
      </c>
      <c r="D508">
        <f t="shared" si="30"/>
        <v>44</v>
      </c>
      <c r="E508">
        <v>66.498999999999995</v>
      </c>
      <c r="F508">
        <f t="shared" si="31"/>
        <v>-22.498999999999995</v>
      </c>
      <c r="G508">
        <v>274.517</v>
      </c>
      <c r="H508">
        <v>4.4930000000000003</v>
      </c>
      <c r="I508">
        <v>1.6359999999999999</v>
      </c>
      <c r="J508">
        <v>8</v>
      </c>
      <c r="K508">
        <v>66</v>
      </c>
      <c r="L508">
        <v>33</v>
      </c>
      <c r="M508" s="1">
        <v>9000000000</v>
      </c>
    </row>
    <row r="509" spans="1:13" ht="15" customHeight="1">
      <c r="A509" t="s">
        <v>13</v>
      </c>
      <c r="B509">
        <f t="shared" si="28"/>
        <v>33.707509000000002</v>
      </c>
      <c r="C509">
        <f t="shared" si="29"/>
        <v>-117.86792</v>
      </c>
      <c r="D509">
        <f t="shared" si="30"/>
        <v>44</v>
      </c>
      <c r="E509">
        <v>67.498999999999995</v>
      </c>
      <c r="F509">
        <f t="shared" si="31"/>
        <v>-23.498999999999995</v>
      </c>
      <c r="G509">
        <v>58.482999999999997</v>
      </c>
      <c r="H509">
        <v>1.857</v>
      </c>
      <c r="I509">
        <v>3.101</v>
      </c>
      <c r="J509">
        <v>6</v>
      </c>
      <c r="K509">
        <v>23</v>
      </c>
      <c r="L509">
        <v>12</v>
      </c>
      <c r="M509">
        <v>3.714</v>
      </c>
    </row>
    <row r="510" spans="1:13" ht="15" customHeight="1">
      <c r="A510" t="s">
        <v>13</v>
      </c>
      <c r="B510">
        <f t="shared" si="28"/>
        <v>33.707509000000002</v>
      </c>
      <c r="C510">
        <f t="shared" si="29"/>
        <v>-117.86792</v>
      </c>
      <c r="D510">
        <f t="shared" si="30"/>
        <v>44</v>
      </c>
      <c r="E510">
        <v>68.498999999999995</v>
      </c>
      <c r="F510">
        <f t="shared" si="31"/>
        <v>-24.498999999999995</v>
      </c>
      <c r="G510">
        <v>29.132999999999999</v>
      </c>
      <c r="H510">
        <v>0.627</v>
      </c>
      <c r="I510">
        <v>2.004</v>
      </c>
      <c r="J510">
        <v>6</v>
      </c>
      <c r="K510">
        <v>12</v>
      </c>
      <c r="L510">
        <v>6</v>
      </c>
      <c r="M510">
        <v>1.8029999999999999</v>
      </c>
    </row>
    <row r="511" spans="1:13" ht="15" customHeight="1">
      <c r="A511" t="s">
        <v>13</v>
      </c>
      <c r="B511">
        <f t="shared" si="28"/>
        <v>33.707509000000002</v>
      </c>
      <c r="C511">
        <f t="shared" si="29"/>
        <v>-117.86792</v>
      </c>
      <c r="D511">
        <f t="shared" si="30"/>
        <v>44</v>
      </c>
      <c r="E511">
        <v>69.498999999999995</v>
      </c>
      <c r="F511">
        <f t="shared" si="31"/>
        <v>-25.498999999999995</v>
      </c>
      <c r="G511">
        <v>37.067</v>
      </c>
      <c r="H511">
        <v>1.2070000000000001</v>
      </c>
      <c r="I511">
        <v>3.109</v>
      </c>
      <c r="J511">
        <v>5</v>
      </c>
      <c r="K511">
        <v>19</v>
      </c>
      <c r="L511">
        <v>10</v>
      </c>
      <c r="M511">
        <v>2.302</v>
      </c>
    </row>
    <row r="512" spans="1:13" ht="15" customHeight="1">
      <c r="A512" t="s">
        <v>13</v>
      </c>
      <c r="B512">
        <f t="shared" si="28"/>
        <v>33.707509000000002</v>
      </c>
      <c r="C512">
        <f t="shared" si="29"/>
        <v>-117.86792</v>
      </c>
      <c r="D512">
        <f t="shared" si="30"/>
        <v>44</v>
      </c>
      <c r="E512">
        <v>70.498999999999995</v>
      </c>
      <c r="F512">
        <f t="shared" si="31"/>
        <v>-26.498999999999995</v>
      </c>
      <c r="G512">
        <v>41.3</v>
      </c>
      <c r="H512">
        <v>2.3719999999999999</v>
      </c>
      <c r="I512">
        <v>5.5890000000000004</v>
      </c>
      <c r="J512">
        <v>3</v>
      </c>
      <c r="K512">
        <v>41</v>
      </c>
      <c r="L512">
        <v>21</v>
      </c>
      <c r="M512">
        <v>2.5390000000000001</v>
      </c>
    </row>
    <row r="513" spans="1:13" ht="15" customHeight="1">
      <c r="A513" t="s">
        <v>13</v>
      </c>
      <c r="B513">
        <f t="shared" si="28"/>
        <v>33.707509000000002</v>
      </c>
      <c r="C513">
        <f t="shared" si="29"/>
        <v>-117.86792</v>
      </c>
      <c r="D513">
        <f t="shared" si="30"/>
        <v>44</v>
      </c>
      <c r="E513">
        <v>71.498999999999995</v>
      </c>
      <c r="F513">
        <f t="shared" si="31"/>
        <v>-27.498999999999995</v>
      </c>
      <c r="G513">
        <v>90.483000000000004</v>
      </c>
      <c r="H513">
        <v>4.8929999999999998</v>
      </c>
      <c r="I513">
        <v>5.4109999999999996</v>
      </c>
      <c r="J513">
        <v>11</v>
      </c>
      <c r="K513">
        <v>87</v>
      </c>
      <c r="L513">
        <v>44</v>
      </c>
      <c r="M513" s="1">
        <v>9000000000</v>
      </c>
    </row>
    <row r="514" spans="1:13" ht="15" customHeight="1">
      <c r="A514" t="s">
        <v>13</v>
      </c>
      <c r="B514">
        <f t="shared" ref="B514:B577" si="32">VLOOKUP(A514,XYdata,3,FALSE)</f>
        <v>33.707509000000002</v>
      </c>
      <c r="C514">
        <f t="shared" ref="C514:C577" si="33">VLOOKUP(A514,XYdata,2,FALSE)</f>
        <v>-117.86792</v>
      </c>
      <c r="D514">
        <f t="shared" ref="D514:D577" si="34">VLOOKUP(A514,Elevation,2,FALSE)</f>
        <v>44</v>
      </c>
      <c r="E514">
        <v>72.498999999999995</v>
      </c>
      <c r="F514">
        <f t="shared" si="31"/>
        <v>-28.498999999999995</v>
      </c>
      <c r="G514">
        <v>153.87100000000001</v>
      </c>
      <c r="H514">
        <v>3.1739999999999999</v>
      </c>
      <c r="I514">
        <v>2.0659999999999998</v>
      </c>
      <c r="J514">
        <v>7</v>
      </c>
      <c r="K514">
        <v>49</v>
      </c>
      <c r="L514">
        <v>25</v>
      </c>
      <c r="M514" s="1">
        <v>9000000000</v>
      </c>
    </row>
    <row r="515" spans="1:13" ht="15" customHeight="1">
      <c r="A515" t="s">
        <v>13</v>
      </c>
      <c r="B515">
        <f t="shared" si="32"/>
        <v>33.707509000000002</v>
      </c>
      <c r="C515">
        <f t="shared" si="33"/>
        <v>-117.86792</v>
      </c>
      <c r="D515">
        <f t="shared" si="34"/>
        <v>44</v>
      </c>
      <c r="E515">
        <v>73.498999999999995</v>
      </c>
      <c r="F515">
        <f t="shared" ref="F515:F578" si="35">D515-E515</f>
        <v>-29.498999999999995</v>
      </c>
      <c r="G515">
        <v>128.61699999999999</v>
      </c>
      <c r="H515">
        <v>5.875</v>
      </c>
      <c r="I515">
        <v>4.5739999999999998</v>
      </c>
      <c r="J515">
        <v>11</v>
      </c>
      <c r="K515">
        <v>123</v>
      </c>
      <c r="L515">
        <v>62</v>
      </c>
      <c r="M515" s="1">
        <v>9000000000</v>
      </c>
    </row>
    <row r="516" spans="1:13" ht="15" customHeight="1">
      <c r="A516" t="s">
        <v>13</v>
      </c>
      <c r="B516">
        <f t="shared" si="32"/>
        <v>33.707509000000002</v>
      </c>
      <c r="C516">
        <f t="shared" si="33"/>
        <v>-117.86792</v>
      </c>
      <c r="D516">
        <f t="shared" si="34"/>
        <v>44</v>
      </c>
      <c r="E516">
        <v>74.498999999999995</v>
      </c>
      <c r="F516">
        <f t="shared" si="35"/>
        <v>-30.498999999999995</v>
      </c>
      <c r="G516">
        <v>92.85</v>
      </c>
      <c r="H516">
        <v>3.1150000000000002</v>
      </c>
      <c r="I516">
        <v>3.3620000000000001</v>
      </c>
      <c r="J516">
        <v>6</v>
      </c>
      <c r="K516">
        <v>36</v>
      </c>
      <c r="L516">
        <v>18</v>
      </c>
      <c r="M516">
        <v>5.8710000000000004</v>
      </c>
    </row>
    <row r="517" spans="1:13" ht="15" customHeight="1">
      <c r="A517" t="s">
        <v>13</v>
      </c>
      <c r="B517">
        <f t="shared" si="32"/>
        <v>33.707509000000002</v>
      </c>
      <c r="C517">
        <f t="shared" si="33"/>
        <v>-117.86792</v>
      </c>
      <c r="D517">
        <f t="shared" si="34"/>
        <v>44</v>
      </c>
      <c r="E517">
        <v>75.498999999999995</v>
      </c>
      <c r="F517">
        <f t="shared" si="35"/>
        <v>-31.498999999999995</v>
      </c>
      <c r="G517">
        <v>47.667000000000002</v>
      </c>
      <c r="H517">
        <v>1.6379999999999999</v>
      </c>
      <c r="I517">
        <v>3.448</v>
      </c>
      <c r="J517">
        <v>5</v>
      </c>
      <c r="K517">
        <v>23</v>
      </c>
      <c r="L517">
        <v>12</v>
      </c>
      <c r="M517">
        <v>2.8570000000000002</v>
      </c>
    </row>
    <row r="518" spans="1:13" ht="15" customHeight="1">
      <c r="A518" t="s">
        <v>13</v>
      </c>
      <c r="B518">
        <f t="shared" si="32"/>
        <v>33.707509000000002</v>
      </c>
      <c r="C518">
        <f t="shared" si="33"/>
        <v>-117.86792</v>
      </c>
      <c r="D518">
        <f t="shared" si="34"/>
        <v>44</v>
      </c>
      <c r="E518">
        <v>76.498999999999995</v>
      </c>
      <c r="F518">
        <f t="shared" si="35"/>
        <v>-32.498999999999995</v>
      </c>
      <c r="G518">
        <v>45.716999999999999</v>
      </c>
      <c r="H518">
        <v>2.1269999999999998</v>
      </c>
      <c r="I518">
        <v>4.63</v>
      </c>
      <c r="J518">
        <v>4</v>
      </c>
      <c r="K518">
        <v>29</v>
      </c>
      <c r="L518">
        <v>15</v>
      </c>
      <c r="M518">
        <v>2.7469999999999999</v>
      </c>
    </row>
    <row r="519" spans="1:13" ht="15" customHeight="1">
      <c r="A519" t="s">
        <v>13</v>
      </c>
      <c r="B519">
        <f t="shared" si="32"/>
        <v>33.707509000000002</v>
      </c>
      <c r="C519">
        <f t="shared" si="33"/>
        <v>-117.86792</v>
      </c>
      <c r="D519">
        <f t="shared" si="34"/>
        <v>44</v>
      </c>
      <c r="E519">
        <v>77.498999999999995</v>
      </c>
      <c r="F519">
        <f t="shared" si="35"/>
        <v>-33.498999999999995</v>
      </c>
      <c r="G519">
        <v>46.433</v>
      </c>
      <c r="H519">
        <v>2.488</v>
      </c>
      <c r="I519">
        <v>5.34</v>
      </c>
      <c r="J519">
        <v>3</v>
      </c>
      <c r="K519">
        <v>45</v>
      </c>
      <c r="L519">
        <v>23</v>
      </c>
      <c r="M519">
        <v>2.7869999999999999</v>
      </c>
    </row>
    <row r="520" spans="1:13" ht="15" customHeight="1">
      <c r="A520" t="s">
        <v>13</v>
      </c>
      <c r="B520">
        <f t="shared" si="32"/>
        <v>33.707509000000002</v>
      </c>
      <c r="C520">
        <f t="shared" si="33"/>
        <v>-117.86792</v>
      </c>
      <c r="D520">
        <f t="shared" si="34"/>
        <v>44</v>
      </c>
      <c r="E520">
        <v>78.498999999999995</v>
      </c>
      <c r="F520">
        <f t="shared" si="35"/>
        <v>-34.498999999999995</v>
      </c>
      <c r="G520">
        <v>29.3</v>
      </c>
      <c r="H520">
        <v>1.087</v>
      </c>
      <c r="I520">
        <v>3.6669999999999998</v>
      </c>
      <c r="J520">
        <v>5</v>
      </c>
      <c r="K520">
        <v>14</v>
      </c>
      <c r="L520">
        <v>7</v>
      </c>
      <c r="M520">
        <v>1.6519999999999999</v>
      </c>
    </row>
    <row r="521" spans="1:13" ht="15" customHeight="1">
      <c r="A521" t="s">
        <v>13</v>
      </c>
      <c r="B521">
        <f t="shared" si="32"/>
        <v>33.707509000000002</v>
      </c>
      <c r="C521">
        <f t="shared" si="33"/>
        <v>-117.86792</v>
      </c>
      <c r="D521">
        <f t="shared" si="34"/>
        <v>44</v>
      </c>
      <c r="E521">
        <v>79.498999999999995</v>
      </c>
      <c r="F521">
        <f t="shared" si="35"/>
        <v>-35.498999999999995</v>
      </c>
      <c r="G521">
        <v>26.582999999999998</v>
      </c>
      <c r="H521">
        <v>0.86199999999999999</v>
      </c>
      <c r="I521">
        <v>3.1659999999999999</v>
      </c>
      <c r="J521">
        <v>5</v>
      </c>
      <c r="K521">
        <v>13</v>
      </c>
      <c r="L521">
        <v>7</v>
      </c>
      <c r="M521">
        <v>1.4870000000000001</v>
      </c>
    </row>
    <row r="522" spans="1:13" ht="15" customHeight="1">
      <c r="A522" t="s">
        <v>13</v>
      </c>
      <c r="B522">
        <f t="shared" si="32"/>
        <v>33.707509000000002</v>
      </c>
      <c r="C522">
        <f t="shared" si="33"/>
        <v>-117.86792</v>
      </c>
      <c r="D522">
        <f t="shared" si="34"/>
        <v>44</v>
      </c>
      <c r="E522">
        <v>80.498999999999995</v>
      </c>
      <c r="F522">
        <f t="shared" si="35"/>
        <v>-36.498999999999995</v>
      </c>
      <c r="G522">
        <v>28.917000000000002</v>
      </c>
      <c r="H522">
        <v>0.873</v>
      </c>
      <c r="I522">
        <v>2.8820000000000001</v>
      </c>
      <c r="J522">
        <v>5</v>
      </c>
      <c r="K522">
        <v>15</v>
      </c>
      <c r="L522">
        <v>8</v>
      </c>
      <c r="M522">
        <v>1.6879999999999999</v>
      </c>
    </row>
    <row r="523" spans="1:13" ht="15" customHeight="1">
      <c r="A523" t="s">
        <v>13</v>
      </c>
      <c r="B523">
        <f t="shared" si="32"/>
        <v>33.707509000000002</v>
      </c>
      <c r="C523">
        <f t="shared" si="33"/>
        <v>-117.86792</v>
      </c>
      <c r="D523">
        <f t="shared" si="34"/>
        <v>44</v>
      </c>
      <c r="E523">
        <v>81.498999999999995</v>
      </c>
      <c r="F523">
        <f t="shared" si="35"/>
        <v>-37.498999999999995</v>
      </c>
      <c r="G523">
        <v>30.5</v>
      </c>
      <c r="H523">
        <v>1.1000000000000001</v>
      </c>
      <c r="I523">
        <v>3.4849999999999999</v>
      </c>
      <c r="J523">
        <v>5</v>
      </c>
      <c r="K523">
        <v>15</v>
      </c>
      <c r="L523">
        <v>8</v>
      </c>
      <c r="M523">
        <v>1.768</v>
      </c>
    </row>
    <row r="524" spans="1:13" ht="15" customHeight="1">
      <c r="A524" t="s">
        <v>13</v>
      </c>
      <c r="B524">
        <f t="shared" si="32"/>
        <v>33.707509000000002</v>
      </c>
      <c r="C524">
        <f t="shared" si="33"/>
        <v>-117.86792</v>
      </c>
      <c r="D524">
        <f t="shared" si="34"/>
        <v>44</v>
      </c>
      <c r="E524">
        <v>82.498999999999995</v>
      </c>
      <c r="F524">
        <f t="shared" si="35"/>
        <v>-38.498999999999995</v>
      </c>
      <c r="G524">
        <v>29.382999999999999</v>
      </c>
      <c r="H524">
        <v>0.95199999999999996</v>
      </c>
      <c r="I524">
        <v>3.1269999999999998</v>
      </c>
      <c r="J524">
        <v>5</v>
      </c>
      <c r="K524">
        <v>15</v>
      </c>
      <c r="L524">
        <v>8</v>
      </c>
      <c r="M524">
        <v>1.6879999999999999</v>
      </c>
    </row>
    <row r="525" spans="1:13" ht="15" customHeight="1">
      <c r="A525" t="s">
        <v>13</v>
      </c>
      <c r="B525">
        <f t="shared" si="32"/>
        <v>33.707509000000002</v>
      </c>
      <c r="C525">
        <f t="shared" si="33"/>
        <v>-117.86792</v>
      </c>
      <c r="D525">
        <f t="shared" si="34"/>
        <v>44</v>
      </c>
      <c r="E525">
        <v>83.498999999999995</v>
      </c>
      <c r="F525">
        <f t="shared" si="35"/>
        <v>-39.498999999999995</v>
      </c>
      <c r="G525">
        <v>67.614000000000004</v>
      </c>
      <c r="H525">
        <v>2.4039999999999999</v>
      </c>
      <c r="I525">
        <v>3.4809999999999999</v>
      </c>
      <c r="J525">
        <v>5</v>
      </c>
      <c r="K525">
        <v>33</v>
      </c>
      <c r="L525">
        <v>17</v>
      </c>
      <c r="M525">
        <v>4.26</v>
      </c>
    </row>
    <row r="526" spans="1:13" ht="15" customHeight="1">
      <c r="A526" t="s">
        <v>13</v>
      </c>
      <c r="B526">
        <f t="shared" si="32"/>
        <v>33.707509000000002</v>
      </c>
      <c r="C526">
        <f t="shared" si="33"/>
        <v>-117.86792</v>
      </c>
      <c r="D526">
        <f t="shared" si="34"/>
        <v>44</v>
      </c>
      <c r="E526">
        <v>84.498999999999995</v>
      </c>
      <c r="F526">
        <f t="shared" si="35"/>
        <v>-40.498999999999995</v>
      </c>
      <c r="G526">
        <v>231.78299999999999</v>
      </c>
      <c r="H526">
        <v>6.3680000000000003</v>
      </c>
      <c r="I526">
        <v>2.7469999999999999</v>
      </c>
      <c r="J526">
        <v>7</v>
      </c>
      <c r="K526">
        <v>74</v>
      </c>
      <c r="L526">
        <v>37</v>
      </c>
      <c r="M526" s="1">
        <v>9000000000</v>
      </c>
    </row>
    <row r="527" spans="1:13" ht="15" customHeight="1">
      <c r="A527" t="s">
        <v>13</v>
      </c>
      <c r="B527">
        <f t="shared" si="32"/>
        <v>33.707509000000002</v>
      </c>
      <c r="C527">
        <f t="shared" si="33"/>
        <v>-117.86792</v>
      </c>
      <c r="D527">
        <f t="shared" si="34"/>
        <v>44</v>
      </c>
      <c r="E527">
        <v>85.498999999999995</v>
      </c>
      <c r="F527">
        <f t="shared" si="35"/>
        <v>-41.498999999999995</v>
      </c>
      <c r="G527">
        <v>48.55</v>
      </c>
      <c r="H527">
        <v>2.2149999999999999</v>
      </c>
      <c r="I527">
        <v>4.5510000000000002</v>
      </c>
      <c r="J527">
        <v>4</v>
      </c>
      <c r="K527">
        <v>31</v>
      </c>
      <c r="L527">
        <v>16</v>
      </c>
      <c r="M527">
        <v>2.8919999999999999</v>
      </c>
    </row>
    <row r="528" spans="1:13" ht="15" customHeight="1">
      <c r="A528" t="s">
        <v>13</v>
      </c>
      <c r="B528">
        <f t="shared" si="32"/>
        <v>33.707509000000002</v>
      </c>
      <c r="C528">
        <f t="shared" si="33"/>
        <v>-117.86792</v>
      </c>
      <c r="D528">
        <f t="shared" si="34"/>
        <v>44</v>
      </c>
      <c r="E528">
        <v>86.498999999999995</v>
      </c>
      <c r="F528">
        <f t="shared" si="35"/>
        <v>-42.498999999999995</v>
      </c>
      <c r="G528">
        <v>49.15</v>
      </c>
      <c r="H528">
        <v>1.9350000000000001</v>
      </c>
      <c r="I528">
        <v>3.8380000000000001</v>
      </c>
      <c r="J528">
        <v>5</v>
      </c>
      <c r="K528">
        <v>24</v>
      </c>
      <c r="L528">
        <v>12</v>
      </c>
      <c r="M528">
        <v>3.004</v>
      </c>
    </row>
    <row r="529" spans="1:13" ht="15" customHeight="1">
      <c r="A529" t="s">
        <v>13</v>
      </c>
      <c r="B529">
        <f t="shared" si="32"/>
        <v>33.707509000000002</v>
      </c>
      <c r="C529">
        <f t="shared" si="33"/>
        <v>-117.86792</v>
      </c>
      <c r="D529">
        <f t="shared" si="34"/>
        <v>44</v>
      </c>
      <c r="E529">
        <v>87.498999999999995</v>
      </c>
      <c r="F529">
        <f t="shared" si="35"/>
        <v>-43.498999999999995</v>
      </c>
      <c r="G529">
        <v>48.533000000000001</v>
      </c>
      <c r="H529">
        <v>2.0070000000000001</v>
      </c>
      <c r="I529">
        <v>3.9510000000000001</v>
      </c>
      <c r="J529">
        <v>5</v>
      </c>
      <c r="K529">
        <v>24</v>
      </c>
      <c r="L529">
        <v>12</v>
      </c>
      <c r="M529">
        <v>3.024</v>
      </c>
    </row>
    <row r="530" spans="1:13" ht="15" customHeight="1">
      <c r="A530" t="s">
        <v>13</v>
      </c>
      <c r="B530">
        <f t="shared" si="32"/>
        <v>33.707509000000002</v>
      </c>
      <c r="C530">
        <f t="shared" si="33"/>
        <v>-117.86792</v>
      </c>
      <c r="D530">
        <f t="shared" si="34"/>
        <v>44</v>
      </c>
      <c r="E530">
        <v>88.498999999999995</v>
      </c>
      <c r="F530">
        <f t="shared" si="35"/>
        <v>-44.498999999999995</v>
      </c>
      <c r="G530">
        <v>73.433000000000007</v>
      </c>
      <c r="H530">
        <v>2.85</v>
      </c>
      <c r="I530">
        <v>3.8650000000000002</v>
      </c>
      <c r="J530">
        <v>5</v>
      </c>
      <c r="K530">
        <v>35</v>
      </c>
      <c r="L530">
        <v>18</v>
      </c>
      <c r="M530">
        <v>4.55</v>
      </c>
    </row>
    <row r="531" spans="1:13" ht="15" customHeight="1">
      <c r="A531" t="s">
        <v>13</v>
      </c>
      <c r="B531">
        <f t="shared" si="32"/>
        <v>33.707509000000002</v>
      </c>
      <c r="C531">
        <f t="shared" si="33"/>
        <v>-117.86792</v>
      </c>
      <c r="D531">
        <f t="shared" si="34"/>
        <v>44</v>
      </c>
      <c r="E531">
        <v>89.498999999999995</v>
      </c>
      <c r="F531">
        <f t="shared" si="35"/>
        <v>-45.498999999999995</v>
      </c>
      <c r="G531">
        <v>97.15</v>
      </c>
      <c r="H531">
        <v>5.31</v>
      </c>
      <c r="I531">
        <v>5.4619999999999997</v>
      </c>
      <c r="J531">
        <v>11</v>
      </c>
      <c r="K531">
        <v>93</v>
      </c>
      <c r="L531">
        <v>47</v>
      </c>
      <c r="M531" s="1">
        <v>9000000000</v>
      </c>
    </row>
    <row r="532" spans="1:13" ht="15" customHeight="1">
      <c r="A532" t="s">
        <v>13</v>
      </c>
      <c r="B532">
        <f t="shared" si="32"/>
        <v>33.707509000000002</v>
      </c>
      <c r="C532">
        <f t="shared" si="33"/>
        <v>-117.86792</v>
      </c>
      <c r="D532">
        <f t="shared" si="34"/>
        <v>44</v>
      </c>
      <c r="E532">
        <v>90.498999999999995</v>
      </c>
      <c r="F532">
        <f t="shared" si="35"/>
        <v>-46.498999999999995</v>
      </c>
      <c r="G532">
        <v>218.3</v>
      </c>
      <c r="H532">
        <v>6.883</v>
      </c>
      <c r="I532">
        <v>3.153</v>
      </c>
      <c r="J532">
        <v>12</v>
      </c>
      <c r="K532">
        <v>105</v>
      </c>
      <c r="L532">
        <v>53</v>
      </c>
      <c r="M532" s="1">
        <v>9000000000</v>
      </c>
    </row>
    <row r="533" spans="1:13" ht="15" customHeight="1">
      <c r="A533" t="s">
        <v>13</v>
      </c>
      <c r="B533">
        <f t="shared" si="32"/>
        <v>33.707509000000002</v>
      </c>
      <c r="C533">
        <f t="shared" si="33"/>
        <v>-117.86792</v>
      </c>
      <c r="D533">
        <f t="shared" si="34"/>
        <v>44</v>
      </c>
      <c r="E533">
        <v>91.498999999999995</v>
      </c>
      <c r="F533">
        <f t="shared" si="35"/>
        <v>-47.498999999999995</v>
      </c>
      <c r="G533">
        <v>116.283</v>
      </c>
      <c r="H533">
        <v>5.0170000000000003</v>
      </c>
      <c r="I533">
        <v>4.3150000000000004</v>
      </c>
      <c r="J533">
        <v>11</v>
      </c>
      <c r="K533">
        <v>111</v>
      </c>
      <c r="L533">
        <v>56</v>
      </c>
      <c r="M533" s="1">
        <v>9000000000</v>
      </c>
    </row>
    <row r="534" spans="1:13" ht="15" customHeight="1">
      <c r="A534" t="s">
        <v>13</v>
      </c>
      <c r="B534">
        <f t="shared" si="32"/>
        <v>33.707509000000002</v>
      </c>
      <c r="C534">
        <f t="shared" si="33"/>
        <v>-117.86792</v>
      </c>
      <c r="D534">
        <f t="shared" si="34"/>
        <v>44</v>
      </c>
      <c r="E534">
        <v>92.498999999999995</v>
      </c>
      <c r="F534">
        <f t="shared" si="35"/>
        <v>-48.498999999999995</v>
      </c>
      <c r="G534">
        <v>35.517000000000003</v>
      </c>
      <c r="H534">
        <v>1.2450000000000001</v>
      </c>
      <c r="I534">
        <v>3.4990000000000001</v>
      </c>
      <c r="J534">
        <v>5</v>
      </c>
      <c r="K534">
        <v>17</v>
      </c>
      <c r="L534">
        <v>9</v>
      </c>
      <c r="M534">
        <v>1.9890000000000001</v>
      </c>
    </row>
    <row r="535" spans="1:13" ht="15" customHeight="1">
      <c r="A535" t="s">
        <v>13</v>
      </c>
      <c r="B535">
        <f t="shared" si="32"/>
        <v>33.707509000000002</v>
      </c>
      <c r="C535">
        <f t="shared" si="33"/>
        <v>-117.86792</v>
      </c>
      <c r="D535">
        <f t="shared" si="34"/>
        <v>44</v>
      </c>
      <c r="E535">
        <v>93.498999999999995</v>
      </c>
      <c r="F535">
        <f t="shared" si="35"/>
        <v>-49.498999999999995</v>
      </c>
      <c r="G535">
        <v>36.170999999999999</v>
      </c>
      <c r="H535">
        <v>1.224</v>
      </c>
      <c r="I535">
        <v>3.3330000000000002</v>
      </c>
      <c r="J535">
        <v>5</v>
      </c>
      <c r="K535">
        <v>18</v>
      </c>
      <c r="L535">
        <v>9</v>
      </c>
      <c r="M535">
        <v>2.0609999999999999</v>
      </c>
    </row>
    <row r="536" spans="1:13" ht="15" customHeight="1">
      <c r="A536" t="s">
        <v>13</v>
      </c>
      <c r="B536">
        <f t="shared" si="32"/>
        <v>33.707509000000002</v>
      </c>
      <c r="C536">
        <f t="shared" si="33"/>
        <v>-117.86792</v>
      </c>
      <c r="D536">
        <f t="shared" si="34"/>
        <v>44</v>
      </c>
      <c r="E536">
        <v>94.498999999999995</v>
      </c>
      <c r="F536">
        <f t="shared" si="35"/>
        <v>-50.498999999999995</v>
      </c>
      <c r="G536">
        <v>47.6</v>
      </c>
      <c r="H536">
        <v>1.385</v>
      </c>
      <c r="I536">
        <v>2.8180000000000001</v>
      </c>
      <c r="J536">
        <v>6</v>
      </c>
      <c r="K536">
        <v>19</v>
      </c>
      <c r="L536">
        <v>10</v>
      </c>
      <c r="M536">
        <v>2.8849999999999998</v>
      </c>
    </row>
    <row r="537" spans="1:13" ht="15" customHeight="1">
      <c r="A537" t="s">
        <v>13</v>
      </c>
      <c r="B537">
        <f t="shared" si="32"/>
        <v>33.707509000000002</v>
      </c>
      <c r="C537">
        <f t="shared" si="33"/>
        <v>-117.86792</v>
      </c>
      <c r="D537">
        <f t="shared" si="34"/>
        <v>44</v>
      </c>
      <c r="E537">
        <v>95.498999999999995</v>
      </c>
      <c r="F537">
        <f t="shared" si="35"/>
        <v>-51.498999999999995</v>
      </c>
      <c r="G537">
        <v>114.483</v>
      </c>
      <c r="H537">
        <v>5.44</v>
      </c>
      <c r="I537">
        <v>4.6959999999999997</v>
      </c>
      <c r="J537">
        <v>11</v>
      </c>
      <c r="K537">
        <v>111</v>
      </c>
      <c r="L537">
        <v>56</v>
      </c>
      <c r="M537" s="1">
        <v>9000000000</v>
      </c>
    </row>
    <row r="538" spans="1:13" ht="15" customHeight="1">
      <c r="A538" t="s">
        <v>13</v>
      </c>
      <c r="B538">
        <f t="shared" si="32"/>
        <v>33.707509000000002</v>
      </c>
      <c r="C538">
        <f t="shared" si="33"/>
        <v>-117.86792</v>
      </c>
      <c r="D538">
        <f t="shared" si="34"/>
        <v>44</v>
      </c>
      <c r="E538">
        <v>96.498999999999995</v>
      </c>
      <c r="F538">
        <f t="shared" si="35"/>
        <v>-52.498999999999995</v>
      </c>
      <c r="G538">
        <v>186.13300000000001</v>
      </c>
      <c r="H538">
        <v>7.14</v>
      </c>
      <c r="I538">
        <v>3.8370000000000002</v>
      </c>
      <c r="J538">
        <v>12</v>
      </c>
      <c r="K538">
        <v>89</v>
      </c>
      <c r="L538">
        <v>45</v>
      </c>
      <c r="M538" s="1">
        <v>9000000000</v>
      </c>
    </row>
    <row r="539" spans="1:13" ht="15" customHeight="1">
      <c r="A539" t="s">
        <v>13</v>
      </c>
      <c r="B539">
        <f t="shared" si="32"/>
        <v>33.707509000000002</v>
      </c>
      <c r="C539">
        <f t="shared" si="33"/>
        <v>-117.86792</v>
      </c>
      <c r="D539">
        <f t="shared" si="34"/>
        <v>44</v>
      </c>
      <c r="E539">
        <v>97.498999999999995</v>
      </c>
      <c r="F539">
        <f t="shared" si="35"/>
        <v>-53.498999999999995</v>
      </c>
      <c r="G539">
        <v>214.71700000000001</v>
      </c>
      <c r="H539">
        <v>4.6980000000000004</v>
      </c>
      <c r="I539">
        <v>2.19</v>
      </c>
      <c r="J539">
        <v>7</v>
      </c>
      <c r="K539">
        <v>69</v>
      </c>
      <c r="L539">
        <v>35</v>
      </c>
      <c r="M539" s="1">
        <v>9000000000</v>
      </c>
    </row>
    <row r="540" spans="1:13" ht="15" customHeight="1">
      <c r="A540" t="s">
        <v>13</v>
      </c>
      <c r="B540">
        <f t="shared" si="32"/>
        <v>33.707509000000002</v>
      </c>
      <c r="C540">
        <f t="shared" si="33"/>
        <v>-117.86792</v>
      </c>
      <c r="D540">
        <f t="shared" si="34"/>
        <v>44</v>
      </c>
      <c r="E540">
        <v>98.498999999999995</v>
      </c>
      <c r="F540">
        <f t="shared" si="35"/>
        <v>-54.498999999999995</v>
      </c>
      <c r="G540">
        <v>110.633</v>
      </c>
      <c r="H540">
        <v>4.2030000000000003</v>
      </c>
      <c r="I540">
        <v>3.8029999999999999</v>
      </c>
      <c r="J540">
        <v>6</v>
      </c>
      <c r="K540">
        <v>42</v>
      </c>
      <c r="L540">
        <v>21</v>
      </c>
      <c r="M540">
        <v>6.9589999999999996</v>
      </c>
    </row>
    <row r="541" spans="1:13" ht="15" customHeight="1">
      <c r="A541" t="s">
        <v>13</v>
      </c>
      <c r="B541">
        <f t="shared" si="32"/>
        <v>33.707509000000002</v>
      </c>
      <c r="C541">
        <f t="shared" si="33"/>
        <v>-117.86792</v>
      </c>
      <c r="D541">
        <f t="shared" si="34"/>
        <v>44</v>
      </c>
      <c r="E541">
        <v>99.498999999999995</v>
      </c>
      <c r="F541">
        <f t="shared" si="35"/>
        <v>-55.498999999999995</v>
      </c>
      <c r="G541">
        <v>210.36699999999999</v>
      </c>
      <c r="H541">
        <v>4.6470000000000002</v>
      </c>
      <c r="I541">
        <v>2.21</v>
      </c>
      <c r="J541">
        <v>7</v>
      </c>
      <c r="K541">
        <v>67</v>
      </c>
      <c r="L541">
        <v>34</v>
      </c>
      <c r="M541" s="1">
        <v>9000000000</v>
      </c>
    </row>
    <row r="542" spans="1:13" ht="15" customHeight="1">
      <c r="A542" t="s">
        <v>13</v>
      </c>
      <c r="B542">
        <f t="shared" si="32"/>
        <v>33.707509000000002</v>
      </c>
      <c r="C542">
        <f t="shared" si="33"/>
        <v>-117.86792</v>
      </c>
      <c r="D542">
        <f t="shared" si="34"/>
        <v>44</v>
      </c>
      <c r="E542">
        <v>100.499</v>
      </c>
      <c r="F542">
        <f t="shared" si="35"/>
        <v>-56.498999999999995</v>
      </c>
      <c r="G542">
        <v>69.433000000000007</v>
      </c>
      <c r="H542">
        <v>3.677</v>
      </c>
      <c r="I542">
        <v>5.2990000000000004</v>
      </c>
      <c r="J542">
        <v>11</v>
      </c>
      <c r="K542">
        <v>66</v>
      </c>
      <c r="L542">
        <v>33</v>
      </c>
      <c r="M542" s="1">
        <v>9000000000</v>
      </c>
    </row>
    <row r="543" spans="1:13" ht="15" customHeight="1">
      <c r="A543" t="s">
        <v>13</v>
      </c>
      <c r="B543">
        <f t="shared" si="32"/>
        <v>33.707509000000002</v>
      </c>
      <c r="C543">
        <f t="shared" si="33"/>
        <v>-117.86792</v>
      </c>
      <c r="D543">
        <f t="shared" si="34"/>
        <v>44</v>
      </c>
      <c r="E543">
        <v>101.499</v>
      </c>
      <c r="F543">
        <f t="shared" si="35"/>
        <v>-57.498999999999995</v>
      </c>
      <c r="G543">
        <v>416.4</v>
      </c>
      <c r="H543">
        <v>8.51</v>
      </c>
      <c r="I543">
        <v>2.044</v>
      </c>
      <c r="J543">
        <v>8</v>
      </c>
      <c r="K543">
        <v>100</v>
      </c>
      <c r="L543">
        <v>50</v>
      </c>
      <c r="M543" s="1">
        <v>9000000000</v>
      </c>
    </row>
    <row r="544" spans="1:13" ht="15" customHeight="1">
      <c r="A544" t="s">
        <v>13</v>
      </c>
      <c r="B544">
        <f t="shared" si="32"/>
        <v>33.707509000000002</v>
      </c>
      <c r="C544">
        <f t="shared" si="33"/>
        <v>-117.86792</v>
      </c>
      <c r="D544">
        <f t="shared" si="34"/>
        <v>44</v>
      </c>
      <c r="E544">
        <v>102.499</v>
      </c>
      <c r="F544">
        <f t="shared" si="35"/>
        <v>-58.498999999999995</v>
      </c>
      <c r="G544">
        <v>438.6</v>
      </c>
      <c r="H544">
        <v>0</v>
      </c>
      <c r="I544">
        <v>0</v>
      </c>
      <c r="J544">
        <v>10</v>
      </c>
      <c r="K544" s="1">
        <v>9000000000</v>
      </c>
      <c r="L544" s="1">
        <v>9000000000</v>
      </c>
      <c r="M544" s="1">
        <v>9000000000</v>
      </c>
    </row>
    <row r="545" spans="1:13" ht="15" customHeight="1">
      <c r="A545" t="s">
        <v>14</v>
      </c>
      <c r="B545">
        <f t="shared" si="32"/>
        <v>33.706511999999996</v>
      </c>
      <c r="C545">
        <f t="shared" si="33"/>
        <v>-117.866608</v>
      </c>
      <c r="D545">
        <f t="shared" si="34"/>
        <v>44</v>
      </c>
      <c r="E545">
        <v>0.5</v>
      </c>
      <c r="F545">
        <f t="shared" si="35"/>
        <v>43.5</v>
      </c>
      <c r="G545">
        <v>4.8499999999999996</v>
      </c>
      <c r="H545">
        <v>0.105</v>
      </c>
      <c r="I545">
        <v>2.165</v>
      </c>
      <c r="J545">
        <v>4</v>
      </c>
      <c r="K545">
        <v>3</v>
      </c>
      <c r="L545">
        <v>5</v>
      </c>
      <c r="M545">
        <v>0.32100000000000001</v>
      </c>
    </row>
    <row r="546" spans="1:13" ht="15" customHeight="1">
      <c r="A546" t="s">
        <v>14</v>
      </c>
      <c r="B546">
        <f t="shared" si="32"/>
        <v>33.706511999999996</v>
      </c>
      <c r="C546">
        <f t="shared" si="33"/>
        <v>-117.866608</v>
      </c>
      <c r="D546">
        <f t="shared" si="34"/>
        <v>44</v>
      </c>
      <c r="E546">
        <v>1.5</v>
      </c>
      <c r="F546">
        <f t="shared" si="35"/>
        <v>42.5</v>
      </c>
      <c r="G546">
        <v>109.883</v>
      </c>
      <c r="H546">
        <v>3.8479999999999999</v>
      </c>
      <c r="I546">
        <v>3.5019999999999998</v>
      </c>
      <c r="J546">
        <v>6</v>
      </c>
      <c r="K546">
        <v>42</v>
      </c>
      <c r="L546">
        <v>63</v>
      </c>
      <c r="M546">
        <v>7.3209999999999997</v>
      </c>
    </row>
    <row r="547" spans="1:13" ht="15" customHeight="1">
      <c r="A547" t="s">
        <v>14</v>
      </c>
      <c r="B547">
        <f t="shared" si="32"/>
        <v>33.706511999999996</v>
      </c>
      <c r="C547">
        <f t="shared" si="33"/>
        <v>-117.866608</v>
      </c>
      <c r="D547">
        <f t="shared" si="34"/>
        <v>44</v>
      </c>
      <c r="E547">
        <v>2.5</v>
      </c>
      <c r="F547">
        <f t="shared" si="35"/>
        <v>41.5</v>
      </c>
      <c r="G547">
        <v>39.767000000000003</v>
      </c>
      <c r="H547">
        <v>2.4129999999999998</v>
      </c>
      <c r="I547">
        <v>6.0659999999999998</v>
      </c>
      <c r="J547">
        <v>3</v>
      </c>
      <c r="K547">
        <v>38</v>
      </c>
      <c r="L547">
        <v>57</v>
      </c>
      <c r="M547">
        <v>2.6419999999999999</v>
      </c>
    </row>
    <row r="548" spans="1:13" ht="15" customHeight="1">
      <c r="A548" t="s">
        <v>14</v>
      </c>
      <c r="B548">
        <f t="shared" si="32"/>
        <v>33.706511999999996</v>
      </c>
      <c r="C548">
        <f t="shared" si="33"/>
        <v>-117.866608</v>
      </c>
      <c r="D548">
        <f t="shared" si="34"/>
        <v>44</v>
      </c>
      <c r="E548">
        <v>3.5</v>
      </c>
      <c r="F548">
        <f t="shared" si="35"/>
        <v>40.5</v>
      </c>
      <c r="G548">
        <v>10.967000000000001</v>
      </c>
      <c r="H548">
        <v>0.35699999999999998</v>
      </c>
      <c r="I548">
        <v>3.2519999999999998</v>
      </c>
      <c r="J548">
        <v>4</v>
      </c>
      <c r="K548">
        <v>7</v>
      </c>
      <c r="L548">
        <v>11</v>
      </c>
      <c r="M548">
        <v>0.71699999999999997</v>
      </c>
    </row>
    <row r="549" spans="1:13" ht="15" customHeight="1">
      <c r="A549" t="s">
        <v>14</v>
      </c>
      <c r="B549">
        <f t="shared" si="32"/>
        <v>33.706511999999996</v>
      </c>
      <c r="C549">
        <f t="shared" si="33"/>
        <v>-117.866608</v>
      </c>
      <c r="D549">
        <f t="shared" si="34"/>
        <v>44</v>
      </c>
      <c r="E549">
        <v>4.5</v>
      </c>
      <c r="F549">
        <f t="shared" si="35"/>
        <v>39.5</v>
      </c>
      <c r="G549">
        <v>5.4669999999999996</v>
      </c>
      <c r="H549">
        <v>6.7000000000000004E-2</v>
      </c>
      <c r="I549">
        <v>1.2230000000000001</v>
      </c>
      <c r="J549">
        <v>1</v>
      </c>
      <c r="K549">
        <v>3</v>
      </c>
      <c r="L549">
        <v>5</v>
      </c>
      <c r="M549">
        <v>0.34499999999999997</v>
      </c>
    </row>
    <row r="550" spans="1:13" ht="15" customHeight="1">
      <c r="A550" t="s">
        <v>14</v>
      </c>
      <c r="B550">
        <f t="shared" si="32"/>
        <v>33.706511999999996</v>
      </c>
      <c r="C550">
        <f t="shared" si="33"/>
        <v>-117.866608</v>
      </c>
      <c r="D550">
        <f t="shared" si="34"/>
        <v>44</v>
      </c>
      <c r="E550">
        <v>5.5</v>
      </c>
      <c r="F550">
        <f t="shared" si="35"/>
        <v>38.5</v>
      </c>
      <c r="G550">
        <v>6.2</v>
      </c>
      <c r="H550">
        <v>0.115</v>
      </c>
      <c r="I550">
        <v>1.855</v>
      </c>
      <c r="J550">
        <v>4</v>
      </c>
      <c r="K550">
        <v>4</v>
      </c>
      <c r="L550">
        <v>6</v>
      </c>
      <c r="M550">
        <v>0.39100000000000001</v>
      </c>
    </row>
    <row r="551" spans="1:13" ht="15" customHeight="1">
      <c r="A551" t="s">
        <v>14</v>
      </c>
      <c r="B551">
        <f t="shared" si="32"/>
        <v>33.706511999999996</v>
      </c>
      <c r="C551">
        <f t="shared" si="33"/>
        <v>-117.866608</v>
      </c>
      <c r="D551">
        <f t="shared" si="34"/>
        <v>44</v>
      </c>
      <c r="E551">
        <v>6.5</v>
      </c>
      <c r="F551">
        <f t="shared" si="35"/>
        <v>37.5</v>
      </c>
      <c r="G551">
        <v>8.2330000000000005</v>
      </c>
      <c r="H551">
        <v>0.27700000000000002</v>
      </c>
      <c r="I551">
        <v>3.3130000000000002</v>
      </c>
      <c r="J551">
        <v>3</v>
      </c>
      <c r="K551">
        <v>8</v>
      </c>
      <c r="L551">
        <v>12</v>
      </c>
      <c r="M551">
        <v>0.53100000000000003</v>
      </c>
    </row>
    <row r="552" spans="1:13" ht="15" customHeight="1">
      <c r="A552" t="s">
        <v>14</v>
      </c>
      <c r="B552">
        <f t="shared" si="32"/>
        <v>33.706511999999996</v>
      </c>
      <c r="C552">
        <f t="shared" si="33"/>
        <v>-117.866608</v>
      </c>
      <c r="D552">
        <f t="shared" si="34"/>
        <v>44</v>
      </c>
      <c r="E552">
        <v>7.5</v>
      </c>
      <c r="F552">
        <f t="shared" si="35"/>
        <v>36.5</v>
      </c>
      <c r="G552">
        <v>10.766999999999999</v>
      </c>
      <c r="H552">
        <v>0.34799999999999998</v>
      </c>
      <c r="I552">
        <v>3.2010000000000001</v>
      </c>
      <c r="J552">
        <v>4</v>
      </c>
      <c r="K552">
        <v>7</v>
      </c>
      <c r="L552">
        <v>11</v>
      </c>
      <c r="M552">
        <v>0.69599999999999995</v>
      </c>
    </row>
    <row r="553" spans="1:13" ht="15" customHeight="1">
      <c r="A553" t="s">
        <v>14</v>
      </c>
      <c r="B553">
        <f t="shared" si="32"/>
        <v>33.706511999999996</v>
      </c>
      <c r="C553">
        <f t="shared" si="33"/>
        <v>-117.866608</v>
      </c>
      <c r="D553">
        <f t="shared" si="34"/>
        <v>44</v>
      </c>
      <c r="E553">
        <v>8.5</v>
      </c>
      <c r="F553">
        <f t="shared" si="35"/>
        <v>35.5</v>
      </c>
      <c r="G553">
        <v>12.417</v>
      </c>
      <c r="H553">
        <v>0.34200000000000003</v>
      </c>
      <c r="I553">
        <v>2.7330000000000001</v>
      </c>
      <c r="J553">
        <v>5</v>
      </c>
      <c r="K553">
        <v>6</v>
      </c>
      <c r="L553">
        <v>9</v>
      </c>
      <c r="M553">
        <v>0.79900000000000004</v>
      </c>
    </row>
    <row r="554" spans="1:13" ht="15" customHeight="1">
      <c r="A554" t="s">
        <v>14</v>
      </c>
      <c r="B554">
        <f t="shared" si="32"/>
        <v>33.706511999999996</v>
      </c>
      <c r="C554">
        <f t="shared" si="33"/>
        <v>-117.866608</v>
      </c>
      <c r="D554">
        <f t="shared" si="34"/>
        <v>44</v>
      </c>
      <c r="E554">
        <v>9.5</v>
      </c>
      <c r="F554">
        <f t="shared" si="35"/>
        <v>34.5</v>
      </c>
      <c r="G554">
        <v>16.95</v>
      </c>
      <c r="H554">
        <v>0.38200000000000001</v>
      </c>
      <c r="I554">
        <v>2.234</v>
      </c>
      <c r="J554">
        <v>5</v>
      </c>
      <c r="K554">
        <v>8</v>
      </c>
      <c r="L554">
        <v>12</v>
      </c>
      <c r="M554">
        <v>1.101</v>
      </c>
    </row>
    <row r="555" spans="1:13" ht="15" customHeight="1">
      <c r="A555" t="s">
        <v>14</v>
      </c>
      <c r="B555">
        <f t="shared" si="32"/>
        <v>33.706511999999996</v>
      </c>
      <c r="C555">
        <f t="shared" si="33"/>
        <v>-117.866608</v>
      </c>
      <c r="D555">
        <f t="shared" si="34"/>
        <v>44</v>
      </c>
      <c r="E555">
        <v>10.5</v>
      </c>
      <c r="F555">
        <f t="shared" si="35"/>
        <v>33.5</v>
      </c>
      <c r="G555">
        <v>48.843000000000004</v>
      </c>
      <c r="H555">
        <v>1.0740000000000001</v>
      </c>
      <c r="I555">
        <v>2.2050000000000001</v>
      </c>
      <c r="J555">
        <v>6</v>
      </c>
      <c r="K555">
        <v>19</v>
      </c>
      <c r="L555">
        <v>27</v>
      </c>
      <c r="M555">
        <v>3.206</v>
      </c>
    </row>
    <row r="556" spans="1:13" ht="15" customHeight="1">
      <c r="A556" t="s">
        <v>14</v>
      </c>
      <c r="B556">
        <f t="shared" si="32"/>
        <v>33.706511999999996</v>
      </c>
      <c r="C556">
        <f t="shared" si="33"/>
        <v>-117.866608</v>
      </c>
      <c r="D556">
        <f t="shared" si="34"/>
        <v>44</v>
      </c>
      <c r="E556">
        <v>11.5</v>
      </c>
      <c r="F556">
        <f t="shared" si="35"/>
        <v>32.5</v>
      </c>
      <c r="G556">
        <v>100.81699999999999</v>
      </c>
      <c r="H556">
        <v>0.77</v>
      </c>
      <c r="I556">
        <v>0.76500000000000001</v>
      </c>
      <c r="J556">
        <v>8</v>
      </c>
      <c r="K556">
        <v>24</v>
      </c>
      <c r="L556">
        <v>32</v>
      </c>
      <c r="M556" s="1">
        <v>9000000000</v>
      </c>
    </row>
    <row r="557" spans="1:13" ht="15" customHeight="1">
      <c r="A557" t="s">
        <v>14</v>
      </c>
      <c r="B557">
        <f t="shared" si="32"/>
        <v>33.706511999999996</v>
      </c>
      <c r="C557">
        <f t="shared" si="33"/>
        <v>-117.866608</v>
      </c>
      <c r="D557">
        <f t="shared" si="34"/>
        <v>44</v>
      </c>
      <c r="E557">
        <v>12.5</v>
      </c>
      <c r="F557">
        <f t="shared" si="35"/>
        <v>31.5</v>
      </c>
      <c r="G557">
        <v>95.332999999999998</v>
      </c>
      <c r="H557">
        <v>0.94499999999999995</v>
      </c>
      <c r="I557">
        <v>0.99299999999999999</v>
      </c>
      <c r="J557">
        <v>8</v>
      </c>
      <c r="K557">
        <v>23</v>
      </c>
      <c r="L557">
        <v>29</v>
      </c>
      <c r="M557" s="1">
        <v>9000000000</v>
      </c>
    </row>
    <row r="558" spans="1:13" ht="15" customHeight="1">
      <c r="A558" t="s">
        <v>14</v>
      </c>
      <c r="B558">
        <f t="shared" si="32"/>
        <v>33.706511999999996</v>
      </c>
      <c r="C558">
        <f t="shared" si="33"/>
        <v>-117.866608</v>
      </c>
      <c r="D558">
        <f t="shared" si="34"/>
        <v>44</v>
      </c>
      <c r="E558">
        <v>13.5</v>
      </c>
      <c r="F558">
        <f t="shared" si="35"/>
        <v>30.5</v>
      </c>
      <c r="G558">
        <v>23.683</v>
      </c>
      <c r="H558">
        <v>0.57199999999999995</v>
      </c>
      <c r="I558">
        <v>2.4020000000000001</v>
      </c>
      <c r="J558">
        <v>6</v>
      </c>
      <c r="K558">
        <v>9</v>
      </c>
      <c r="L558">
        <v>10</v>
      </c>
      <c r="M558">
        <v>1.532</v>
      </c>
    </row>
    <row r="559" spans="1:13" ht="15" customHeight="1">
      <c r="A559" t="s">
        <v>14</v>
      </c>
      <c r="B559">
        <f t="shared" si="32"/>
        <v>33.706511999999996</v>
      </c>
      <c r="C559">
        <f t="shared" si="33"/>
        <v>-117.866608</v>
      </c>
      <c r="D559">
        <f t="shared" si="34"/>
        <v>44</v>
      </c>
      <c r="E559">
        <v>14.5</v>
      </c>
      <c r="F559">
        <f t="shared" si="35"/>
        <v>29.5</v>
      </c>
      <c r="G559">
        <v>14.9</v>
      </c>
      <c r="H559">
        <v>0.33800000000000002</v>
      </c>
      <c r="I559">
        <v>2.2559999999999998</v>
      </c>
      <c r="J559">
        <v>5</v>
      </c>
      <c r="K559">
        <v>7</v>
      </c>
      <c r="L559">
        <v>8</v>
      </c>
      <c r="M559">
        <v>0.94099999999999995</v>
      </c>
    </row>
    <row r="560" spans="1:13" ht="15" customHeight="1">
      <c r="A560" t="s">
        <v>14</v>
      </c>
      <c r="B560">
        <f t="shared" si="32"/>
        <v>33.706511999999996</v>
      </c>
      <c r="C560">
        <f t="shared" si="33"/>
        <v>-117.866608</v>
      </c>
      <c r="D560">
        <f t="shared" si="34"/>
        <v>44</v>
      </c>
      <c r="E560">
        <v>15.5</v>
      </c>
      <c r="F560">
        <f t="shared" si="35"/>
        <v>28.5</v>
      </c>
      <c r="G560">
        <v>15.1</v>
      </c>
      <c r="H560">
        <v>0.47499999999999998</v>
      </c>
      <c r="I560">
        <v>3.1629999999999998</v>
      </c>
      <c r="J560">
        <v>4</v>
      </c>
      <c r="K560">
        <v>10</v>
      </c>
      <c r="L560">
        <v>10</v>
      </c>
      <c r="M560">
        <v>0.93799999999999994</v>
      </c>
    </row>
    <row r="561" spans="1:13" ht="15" customHeight="1">
      <c r="A561" t="s">
        <v>14</v>
      </c>
      <c r="B561">
        <f t="shared" si="32"/>
        <v>33.706511999999996</v>
      </c>
      <c r="C561">
        <f t="shared" si="33"/>
        <v>-117.866608</v>
      </c>
      <c r="D561">
        <f t="shared" si="34"/>
        <v>44</v>
      </c>
      <c r="E561">
        <v>16.5</v>
      </c>
      <c r="F561">
        <f t="shared" si="35"/>
        <v>27.5</v>
      </c>
      <c r="G561">
        <v>17.7</v>
      </c>
      <c r="H561">
        <v>0.57999999999999996</v>
      </c>
      <c r="I561">
        <v>3.2829999999999999</v>
      </c>
      <c r="J561">
        <v>5</v>
      </c>
      <c r="K561">
        <v>8</v>
      </c>
      <c r="L561">
        <v>8</v>
      </c>
      <c r="M561">
        <v>1.111</v>
      </c>
    </row>
    <row r="562" spans="1:13" ht="15" customHeight="1">
      <c r="A562" t="s">
        <v>14</v>
      </c>
      <c r="B562">
        <f t="shared" si="32"/>
        <v>33.706511999999996</v>
      </c>
      <c r="C562">
        <f t="shared" si="33"/>
        <v>-117.866608</v>
      </c>
      <c r="D562">
        <f t="shared" si="34"/>
        <v>44</v>
      </c>
      <c r="E562">
        <v>17.5</v>
      </c>
      <c r="F562">
        <f t="shared" si="35"/>
        <v>26.5</v>
      </c>
      <c r="G562">
        <v>45.25</v>
      </c>
      <c r="H562">
        <v>0.85299999999999998</v>
      </c>
      <c r="I562">
        <v>1.89</v>
      </c>
      <c r="J562">
        <v>6</v>
      </c>
      <c r="K562">
        <v>17</v>
      </c>
      <c r="L562">
        <v>16</v>
      </c>
      <c r="M562">
        <v>2.9390000000000001</v>
      </c>
    </row>
    <row r="563" spans="1:13" ht="15" customHeight="1">
      <c r="A563" t="s">
        <v>14</v>
      </c>
      <c r="B563">
        <f t="shared" si="32"/>
        <v>33.706511999999996</v>
      </c>
      <c r="C563">
        <f t="shared" si="33"/>
        <v>-117.866608</v>
      </c>
      <c r="D563">
        <f t="shared" si="34"/>
        <v>44</v>
      </c>
      <c r="E563">
        <v>18.5</v>
      </c>
      <c r="F563">
        <f t="shared" si="35"/>
        <v>25.5</v>
      </c>
      <c r="G563">
        <v>102.167</v>
      </c>
      <c r="H563">
        <v>1.41</v>
      </c>
      <c r="I563">
        <v>1.3819999999999999</v>
      </c>
      <c r="J563">
        <v>8</v>
      </c>
      <c r="K563">
        <v>24</v>
      </c>
      <c r="L563">
        <v>22</v>
      </c>
      <c r="M563" s="1">
        <v>9000000000</v>
      </c>
    </row>
    <row r="564" spans="1:13" ht="15" customHeight="1">
      <c r="A564" t="s">
        <v>14</v>
      </c>
      <c r="B564">
        <f t="shared" si="32"/>
        <v>33.706511999999996</v>
      </c>
      <c r="C564">
        <f t="shared" si="33"/>
        <v>-117.866608</v>
      </c>
      <c r="D564">
        <f t="shared" si="34"/>
        <v>44</v>
      </c>
      <c r="E564">
        <v>19.5</v>
      </c>
      <c r="F564">
        <f t="shared" si="35"/>
        <v>24.5</v>
      </c>
      <c r="G564">
        <v>14.882999999999999</v>
      </c>
      <c r="H564">
        <v>0.42499999999999999</v>
      </c>
      <c r="I564">
        <v>2.8719999999999999</v>
      </c>
      <c r="J564">
        <v>5</v>
      </c>
      <c r="K564">
        <v>7</v>
      </c>
      <c r="L564">
        <v>6</v>
      </c>
      <c r="M564">
        <v>0.90800000000000003</v>
      </c>
    </row>
    <row r="565" spans="1:13" ht="15" customHeight="1">
      <c r="A565" t="s">
        <v>14</v>
      </c>
      <c r="B565">
        <f t="shared" si="32"/>
        <v>33.706511999999996</v>
      </c>
      <c r="C565">
        <f t="shared" si="33"/>
        <v>-117.866608</v>
      </c>
      <c r="D565">
        <f t="shared" si="34"/>
        <v>44</v>
      </c>
      <c r="E565">
        <v>20.5</v>
      </c>
      <c r="F565">
        <f t="shared" si="35"/>
        <v>23.5</v>
      </c>
      <c r="G565">
        <v>17.056999999999999</v>
      </c>
      <c r="H565">
        <v>0.44900000000000001</v>
      </c>
      <c r="I565">
        <v>2.6389999999999998</v>
      </c>
      <c r="J565">
        <v>5</v>
      </c>
      <c r="K565">
        <v>8</v>
      </c>
      <c r="L565">
        <v>7</v>
      </c>
      <c r="M565">
        <v>1.05</v>
      </c>
    </row>
    <row r="566" spans="1:13" ht="15" customHeight="1">
      <c r="A566" t="s">
        <v>14</v>
      </c>
      <c r="B566">
        <f t="shared" si="32"/>
        <v>33.706511999999996</v>
      </c>
      <c r="C566">
        <f t="shared" si="33"/>
        <v>-117.866608</v>
      </c>
      <c r="D566">
        <f t="shared" si="34"/>
        <v>44</v>
      </c>
      <c r="E566">
        <v>21.5</v>
      </c>
      <c r="F566">
        <f t="shared" si="35"/>
        <v>22.5</v>
      </c>
      <c r="G566">
        <v>11.083</v>
      </c>
      <c r="H566">
        <v>0.30199999999999999</v>
      </c>
      <c r="I566">
        <v>2.738</v>
      </c>
      <c r="J566">
        <v>4</v>
      </c>
      <c r="K566">
        <v>7</v>
      </c>
      <c r="L566">
        <v>6</v>
      </c>
      <c r="M566">
        <v>0.64700000000000002</v>
      </c>
    </row>
    <row r="567" spans="1:13" ht="15" customHeight="1">
      <c r="A567" t="s">
        <v>14</v>
      </c>
      <c r="B567">
        <f t="shared" si="32"/>
        <v>33.706511999999996</v>
      </c>
      <c r="C567">
        <f t="shared" si="33"/>
        <v>-117.866608</v>
      </c>
      <c r="D567">
        <f t="shared" si="34"/>
        <v>44</v>
      </c>
      <c r="E567">
        <v>22.5</v>
      </c>
      <c r="F567">
        <f t="shared" si="35"/>
        <v>21.5</v>
      </c>
      <c r="G567">
        <v>12.333</v>
      </c>
      <c r="H567">
        <v>0.30499999999999999</v>
      </c>
      <c r="I567">
        <v>2.4660000000000002</v>
      </c>
      <c r="J567">
        <v>5</v>
      </c>
      <c r="K567">
        <v>6</v>
      </c>
      <c r="L567">
        <v>5</v>
      </c>
      <c r="M567">
        <v>0.73299999999999998</v>
      </c>
    </row>
    <row r="568" spans="1:13" ht="15" customHeight="1">
      <c r="A568" t="s">
        <v>14</v>
      </c>
      <c r="B568">
        <f t="shared" si="32"/>
        <v>33.706511999999996</v>
      </c>
      <c r="C568">
        <f t="shared" si="33"/>
        <v>-117.866608</v>
      </c>
      <c r="D568">
        <f t="shared" si="34"/>
        <v>44</v>
      </c>
      <c r="E568">
        <v>23.5</v>
      </c>
      <c r="F568">
        <f t="shared" si="35"/>
        <v>20.5</v>
      </c>
      <c r="G568">
        <v>16.766999999999999</v>
      </c>
      <c r="H568">
        <v>0.53300000000000003</v>
      </c>
      <c r="I568">
        <v>3.1680000000000001</v>
      </c>
      <c r="J568">
        <v>5</v>
      </c>
      <c r="K568">
        <v>8</v>
      </c>
      <c r="L568">
        <v>6</v>
      </c>
      <c r="M568">
        <v>1.0269999999999999</v>
      </c>
    </row>
    <row r="569" spans="1:13" ht="15" customHeight="1">
      <c r="A569" t="s">
        <v>14</v>
      </c>
      <c r="B569">
        <f t="shared" si="32"/>
        <v>33.706511999999996</v>
      </c>
      <c r="C569">
        <f t="shared" si="33"/>
        <v>-117.866608</v>
      </c>
      <c r="D569">
        <f t="shared" si="34"/>
        <v>44</v>
      </c>
      <c r="E569">
        <v>24.5</v>
      </c>
      <c r="F569">
        <f t="shared" si="35"/>
        <v>19.5</v>
      </c>
      <c r="G569">
        <v>31.6</v>
      </c>
      <c r="H569">
        <v>1.0569999999999999</v>
      </c>
      <c r="I569">
        <v>3.3540000000000001</v>
      </c>
      <c r="J569">
        <v>5</v>
      </c>
      <c r="K569">
        <v>15</v>
      </c>
      <c r="L569">
        <v>11</v>
      </c>
      <c r="M569">
        <v>2.0009999999999999</v>
      </c>
    </row>
    <row r="570" spans="1:13" ht="15" customHeight="1">
      <c r="A570" t="s">
        <v>14</v>
      </c>
      <c r="B570">
        <f t="shared" si="32"/>
        <v>33.706511999999996</v>
      </c>
      <c r="C570">
        <f t="shared" si="33"/>
        <v>-117.866608</v>
      </c>
      <c r="D570">
        <f t="shared" si="34"/>
        <v>44</v>
      </c>
      <c r="E570">
        <v>25.5</v>
      </c>
      <c r="F570">
        <f t="shared" si="35"/>
        <v>18.5</v>
      </c>
      <c r="G570">
        <v>57.417000000000002</v>
      </c>
      <c r="H570">
        <v>2.5070000000000001</v>
      </c>
      <c r="I570">
        <v>4.3719999999999999</v>
      </c>
      <c r="J570">
        <v>5</v>
      </c>
      <c r="K570">
        <v>27</v>
      </c>
      <c r="L570">
        <v>19</v>
      </c>
      <c r="M570">
        <v>3.7189999999999999</v>
      </c>
    </row>
    <row r="571" spans="1:13" ht="15" customHeight="1">
      <c r="A571" t="s">
        <v>14</v>
      </c>
      <c r="B571">
        <f t="shared" si="32"/>
        <v>33.706511999999996</v>
      </c>
      <c r="C571">
        <f t="shared" si="33"/>
        <v>-117.866608</v>
      </c>
      <c r="D571">
        <f t="shared" si="34"/>
        <v>44</v>
      </c>
      <c r="E571">
        <v>26.5</v>
      </c>
      <c r="F571">
        <f t="shared" si="35"/>
        <v>17.5</v>
      </c>
      <c r="G571">
        <v>47.582999999999998</v>
      </c>
      <c r="H571">
        <v>1.802</v>
      </c>
      <c r="I571">
        <v>3.7850000000000001</v>
      </c>
      <c r="J571">
        <v>5</v>
      </c>
      <c r="K571">
        <v>23</v>
      </c>
      <c r="L571">
        <v>16</v>
      </c>
      <c r="M571">
        <v>3.0659999999999998</v>
      </c>
    </row>
    <row r="572" spans="1:13" ht="15" customHeight="1">
      <c r="A572" t="s">
        <v>14</v>
      </c>
      <c r="B572">
        <f t="shared" si="32"/>
        <v>33.706511999999996</v>
      </c>
      <c r="C572">
        <f t="shared" si="33"/>
        <v>-117.866608</v>
      </c>
      <c r="D572">
        <f t="shared" si="34"/>
        <v>44</v>
      </c>
      <c r="E572">
        <v>27.5</v>
      </c>
      <c r="F572">
        <f t="shared" si="35"/>
        <v>16.5</v>
      </c>
      <c r="G572">
        <v>49.232999999999997</v>
      </c>
      <c r="H572">
        <v>2.1819999999999999</v>
      </c>
      <c r="I572">
        <v>4.4279999999999999</v>
      </c>
      <c r="J572">
        <v>4</v>
      </c>
      <c r="K572">
        <v>31</v>
      </c>
      <c r="L572">
        <v>22</v>
      </c>
      <c r="M572">
        <v>3.173</v>
      </c>
    </row>
    <row r="573" spans="1:13" ht="15" customHeight="1">
      <c r="A573" t="s">
        <v>14</v>
      </c>
      <c r="B573">
        <f t="shared" si="32"/>
        <v>33.706511999999996</v>
      </c>
      <c r="C573">
        <f t="shared" si="33"/>
        <v>-117.866608</v>
      </c>
      <c r="D573">
        <f t="shared" si="34"/>
        <v>44</v>
      </c>
      <c r="E573">
        <v>28.5</v>
      </c>
      <c r="F573">
        <f t="shared" si="35"/>
        <v>15.5</v>
      </c>
      <c r="G573">
        <v>37.683</v>
      </c>
      <c r="H573">
        <v>1.575</v>
      </c>
      <c r="I573">
        <v>4.1760000000000002</v>
      </c>
      <c r="J573">
        <v>4</v>
      </c>
      <c r="K573">
        <v>24</v>
      </c>
      <c r="L573">
        <v>16</v>
      </c>
      <c r="M573">
        <v>2.399</v>
      </c>
    </row>
    <row r="574" spans="1:13" ht="15" customHeight="1">
      <c r="A574" t="s">
        <v>14</v>
      </c>
      <c r="B574">
        <f t="shared" si="32"/>
        <v>33.706511999999996</v>
      </c>
      <c r="C574">
        <f t="shared" si="33"/>
        <v>-117.866608</v>
      </c>
      <c r="D574">
        <f t="shared" si="34"/>
        <v>44</v>
      </c>
      <c r="E574">
        <v>29.5</v>
      </c>
      <c r="F574">
        <f t="shared" si="35"/>
        <v>14.5</v>
      </c>
      <c r="G574">
        <v>37.417000000000002</v>
      </c>
      <c r="H574">
        <v>1.8979999999999999</v>
      </c>
      <c r="I574">
        <v>5.085</v>
      </c>
      <c r="J574">
        <v>3</v>
      </c>
      <c r="K574">
        <v>36</v>
      </c>
      <c r="L574">
        <v>24</v>
      </c>
      <c r="M574">
        <v>2.3690000000000002</v>
      </c>
    </row>
    <row r="575" spans="1:13" ht="15" customHeight="1">
      <c r="A575" t="s">
        <v>14</v>
      </c>
      <c r="B575">
        <f t="shared" si="32"/>
        <v>33.706511999999996</v>
      </c>
      <c r="C575">
        <f t="shared" si="33"/>
        <v>-117.866608</v>
      </c>
      <c r="D575">
        <f t="shared" si="34"/>
        <v>44</v>
      </c>
      <c r="E575">
        <v>30.5</v>
      </c>
      <c r="F575">
        <f t="shared" si="35"/>
        <v>13.5</v>
      </c>
      <c r="G575">
        <v>32.317</v>
      </c>
      <c r="H575">
        <v>1.792</v>
      </c>
      <c r="I575">
        <v>5.5609999999999999</v>
      </c>
      <c r="J575">
        <v>3</v>
      </c>
      <c r="K575">
        <v>31</v>
      </c>
      <c r="L575">
        <v>21</v>
      </c>
      <c r="M575">
        <v>2.024</v>
      </c>
    </row>
    <row r="576" spans="1:13" ht="15" customHeight="1">
      <c r="A576" t="s">
        <v>14</v>
      </c>
      <c r="B576">
        <f t="shared" si="32"/>
        <v>33.706511999999996</v>
      </c>
      <c r="C576">
        <f t="shared" si="33"/>
        <v>-117.866608</v>
      </c>
      <c r="D576">
        <f t="shared" si="34"/>
        <v>44</v>
      </c>
      <c r="E576">
        <v>31.5</v>
      </c>
      <c r="F576">
        <f t="shared" si="35"/>
        <v>12.5</v>
      </c>
      <c r="G576">
        <v>28.885999999999999</v>
      </c>
      <c r="H576">
        <v>1.2789999999999999</v>
      </c>
      <c r="I576">
        <v>4.4390000000000001</v>
      </c>
      <c r="J576">
        <v>4</v>
      </c>
      <c r="K576">
        <v>18</v>
      </c>
      <c r="L576">
        <v>12</v>
      </c>
      <c r="M576">
        <v>1.792</v>
      </c>
    </row>
    <row r="577" spans="1:13" ht="15" customHeight="1">
      <c r="A577" t="s">
        <v>14</v>
      </c>
      <c r="B577">
        <f t="shared" si="32"/>
        <v>33.706511999999996</v>
      </c>
      <c r="C577">
        <f t="shared" si="33"/>
        <v>-117.866608</v>
      </c>
      <c r="D577">
        <f t="shared" si="34"/>
        <v>44</v>
      </c>
      <c r="E577">
        <v>32.5</v>
      </c>
      <c r="F577">
        <f t="shared" si="35"/>
        <v>11.5</v>
      </c>
      <c r="G577">
        <v>30.05</v>
      </c>
      <c r="H577">
        <v>1.4279999999999999</v>
      </c>
      <c r="I577">
        <v>4.758</v>
      </c>
      <c r="J577">
        <v>3</v>
      </c>
      <c r="K577">
        <v>29</v>
      </c>
      <c r="L577">
        <v>19</v>
      </c>
      <c r="M577">
        <v>1.869</v>
      </c>
    </row>
    <row r="578" spans="1:13" ht="15" customHeight="1">
      <c r="A578" t="s">
        <v>14</v>
      </c>
      <c r="B578">
        <f t="shared" ref="B578:B641" si="36">VLOOKUP(A578,XYdata,3,FALSE)</f>
        <v>33.706511999999996</v>
      </c>
      <c r="C578">
        <f t="shared" ref="C578:C641" si="37">VLOOKUP(A578,XYdata,2,FALSE)</f>
        <v>-117.866608</v>
      </c>
      <c r="D578">
        <f t="shared" ref="D578:D641" si="38">VLOOKUP(A578,Elevation,2,FALSE)</f>
        <v>44</v>
      </c>
      <c r="E578">
        <v>33.5</v>
      </c>
      <c r="F578">
        <f t="shared" si="35"/>
        <v>10.5</v>
      </c>
      <c r="G578">
        <v>30.45</v>
      </c>
      <c r="H578">
        <v>1.385</v>
      </c>
      <c r="I578">
        <v>4.556</v>
      </c>
      <c r="J578">
        <v>4</v>
      </c>
      <c r="K578">
        <v>19</v>
      </c>
      <c r="L578">
        <v>12</v>
      </c>
      <c r="M578">
        <v>1.89</v>
      </c>
    </row>
    <row r="579" spans="1:13" ht="15" customHeight="1">
      <c r="A579" t="s">
        <v>14</v>
      </c>
      <c r="B579">
        <f t="shared" si="36"/>
        <v>33.706511999999996</v>
      </c>
      <c r="C579">
        <f t="shared" si="37"/>
        <v>-117.866608</v>
      </c>
      <c r="D579">
        <f t="shared" si="38"/>
        <v>44</v>
      </c>
      <c r="E579">
        <v>34.5</v>
      </c>
      <c r="F579">
        <f t="shared" ref="F579:F642" si="39">D579-E579</f>
        <v>9.5</v>
      </c>
      <c r="G579">
        <v>29</v>
      </c>
      <c r="H579">
        <v>1.1000000000000001</v>
      </c>
      <c r="I579">
        <v>3.8039999999999998</v>
      </c>
      <c r="J579">
        <v>4</v>
      </c>
      <c r="K579">
        <v>18</v>
      </c>
      <c r="L579">
        <v>11</v>
      </c>
      <c r="M579">
        <v>1.7869999999999999</v>
      </c>
    </row>
    <row r="580" spans="1:13" ht="15" customHeight="1">
      <c r="A580" t="s">
        <v>14</v>
      </c>
      <c r="B580">
        <f t="shared" si="36"/>
        <v>33.706511999999996</v>
      </c>
      <c r="C580">
        <f t="shared" si="37"/>
        <v>-117.866608</v>
      </c>
      <c r="D580">
        <f t="shared" si="38"/>
        <v>44</v>
      </c>
      <c r="E580">
        <v>35.5</v>
      </c>
      <c r="F580">
        <f t="shared" si="39"/>
        <v>8.5</v>
      </c>
      <c r="G580">
        <v>99.95</v>
      </c>
      <c r="H580">
        <v>2.2280000000000002</v>
      </c>
      <c r="I580">
        <v>2.2309999999999999</v>
      </c>
      <c r="J580">
        <v>7</v>
      </c>
      <c r="K580">
        <v>32</v>
      </c>
      <c r="L580">
        <v>20</v>
      </c>
      <c r="M580" s="1">
        <v>9000000000</v>
      </c>
    </row>
    <row r="581" spans="1:13" ht="15" customHeight="1">
      <c r="A581" t="s">
        <v>14</v>
      </c>
      <c r="B581">
        <f t="shared" si="36"/>
        <v>33.706511999999996</v>
      </c>
      <c r="C581">
        <f t="shared" si="37"/>
        <v>-117.866608</v>
      </c>
      <c r="D581">
        <f t="shared" si="38"/>
        <v>44</v>
      </c>
      <c r="E581">
        <v>36.5</v>
      </c>
      <c r="F581">
        <f t="shared" si="39"/>
        <v>7.5</v>
      </c>
      <c r="G581">
        <v>239.85</v>
      </c>
      <c r="H581">
        <v>3.7149999999999999</v>
      </c>
      <c r="I581">
        <v>1.5489999999999999</v>
      </c>
      <c r="J581">
        <v>8</v>
      </c>
      <c r="K581">
        <v>57</v>
      </c>
      <c r="L581">
        <v>35</v>
      </c>
      <c r="M581" s="1">
        <v>9000000000</v>
      </c>
    </row>
    <row r="582" spans="1:13" ht="15" customHeight="1">
      <c r="A582" t="s">
        <v>14</v>
      </c>
      <c r="B582">
        <f t="shared" si="36"/>
        <v>33.706511999999996</v>
      </c>
      <c r="C582">
        <f t="shared" si="37"/>
        <v>-117.866608</v>
      </c>
      <c r="D582">
        <f t="shared" si="38"/>
        <v>44</v>
      </c>
      <c r="E582">
        <v>37.5</v>
      </c>
      <c r="F582">
        <f t="shared" si="39"/>
        <v>6.5</v>
      </c>
      <c r="G582">
        <v>283.78300000000002</v>
      </c>
      <c r="H582">
        <v>3.7679999999999998</v>
      </c>
      <c r="I582">
        <v>1.3280000000000001</v>
      </c>
      <c r="J582">
        <v>9</v>
      </c>
      <c r="K582">
        <v>54</v>
      </c>
      <c r="L582">
        <v>33</v>
      </c>
      <c r="M582" s="1">
        <v>9000000000</v>
      </c>
    </row>
    <row r="583" spans="1:13" ht="15" customHeight="1">
      <c r="A583" t="s">
        <v>14</v>
      </c>
      <c r="B583">
        <f t="shared" si="36"/>
        <v>33.706511999999996</v>
      </c>
      <c r="C583">
        <f t="shared" si="37"/>
        <v>-117.866608</v>
      </c>
      <c r="D583">
        <f t="shared" si="38"/>
        <v>44</v>
      </c>
      <c r="E583">
        <v>38.5</v>
      </c>
      <c r="F583">
        <f t="shared" si="39"/>
        <v>5.5</v>
      </c>
      <c r="G583">
        <v>269.85000000000002</v>
      </c>
      <c r="H583">
        <v>3.8820000000000001</v>
      </c>
      <c r="I583">
        <v>1.4379999999999999</v>
      </c>
      <c r="J583">
        <v>8</v>
      </c>
      <c r="K583">
        <v>65</v>
      </c>
      <c r="L583">
        <v>39</v>
      </c>
      <c r="M583" s="1">
        <v>9000000000</v>
      </c>
    </row>
    <row r="584" spans="1:13" ht="15" customHeight="1">
      <c r="A584" t="s">
        <v>14</v>
      </c>
      <c r="B584">
        <f t="shared" si="36"/>
        <v>33.706511999999996</v>
      </c>
      <c r="C584">
        <f t="shared" si="37"/>
        <v>-117.866608</v>
      </c>
      <c r="D584">
        <f t="shared" si="38"/>
        <v>44</v>
      </c>
      <c r="E584">
        <v>39.5</v>
      </c>
      <c r="F584">
        <f t="shared" si="39"/>
        <v>4.5</v>
      </c>
      <c r="G584">
        <v>271.10000000000002</v>
      </c>
      <c r="H584">
        <v>3.4180000000000001</v>
      </c>
      <c r="I584">
        <v>1.26</v>
      </c>
      <c r="J584">
        <v>9</v>
      </c>
      <c r="K584">
        <v>52</v>
      </c>
      <c r="L584">
        <v>31</v>
      </c>
      <c r="M584" s="1">
        <v>9000000000</v>
      </c>
    </row>
    <row r="585" spans="1:13" ht="15" customHeight="1">
      <c r="A585" t="s">
        <v>14</v>
      </c>
      <c r="B585">
        <f t="shared" si="36"/>
        <v>33.706511999999996</v>
      </c>
      <c r="C585">
        <f t="shared" si="37"/>
        <v>-117.866608</v>
      </c>
      <c r="D585">
        <f t="shared" si="38"/>
        <v>44</v>
      </c>
      <c r="E585">
        <v>40.5</v>
      </c>
      <c r="F585">
        <f t="shared" si="39"/>
        <v>3.5</v>
      </c>
      <c r="G585">
        <v>245.25</v>
      </c>
      <c r="H585">
        <v>3.1429999999999998</v>
      </c>
      <c r="I585">
        <v>1.2809999999999999</v>
      </c>
      <c r="J585">
        <v>9</v>
      </c>
      <c r="K585">
        <v>47</v>
      </c>
      <c r="L585">
        <v>28</v>
      </c>
      <c r="M585" s="1">
        <v>9000000000</v>
      </c>
    </row>
    <row r="586" spans="1:13" ht="15" customHeight="1">
      <c r="A586" t="s">
        <v>14</v>
      </c>
      <c r="B586">
        <f t="shared" si="36"/>
        <v>33.706511999999996</v>
      </c>
      <c r="C586">
        <f t="shared" si="37"/>
        <v>-117.866608</v>
      </c>
      <c r="D586">
        <f t="shared" si="38"/>
        <v>44</v>
      </c>
      <c r="E586">
        <v>41.499000000000002</v>
      </c>
      <c r="F586">
        <f t="shared" si="39"/>
        <v>2.5009999999999977</v>
      </c>
      <c r="G586">
        <v>123.443</v>
      </c>
      <c r="H586">
        <v>2.653</v>
      </c>
      <c r="I586">
        <v>2.1480000000000001</v>
      </c>
      <c r="J586">
        <v>7</v>
      </c>
      <c r="K586">
        <v>39</v>
      </c>
      <c r="L586">
        <v>23</v>
      </c>
      <c r="M586" s="1">
        <v>9000000000</v>
      </c>
    </row>
    <row r="587" spans="1:13" ht="15" customHeight="1">
      <c r="A587" t="s">
        <v>14</v>
      </c>
      <c r="B587">
        <f t="shared" si="36"/>
        <v>33.706511999999996</v>
      </c>
      <c r="C587">
        <f t="shared" si="37"/>
        <v>-117.866608</v>
      </c>
      <c r="D587">
        <f t="shared" si="38"/>
        <v>44</v>
      </c>
      <c r="E587">
        <v>42.499000000000002</v>
      </c>
      <c r="F587">
        <f t="shared" si="39"/>
        <v>1.5009999999999977</v>
      </c>
      <c r="G587">
        <v>68.582999999999998</v>
      </c>
      <c r="H587">
        <v>2.5369999999999999</v>
      </c>
      <c r="I587">
        <v>3.6960000000000002</v>
      </c>
      <c r="J587">
        <v>5</v>
      </c>
      <c r="K587">
        <v>33</v>
      </c>
      <c r="L587">
        <v>19</v>
      </c>
      <c r="M587">
        <v>4.4020000000000001</v>
      </c>
    </row>
    <row r="588" spans="1:13" ht="15" customHeight="1">
      <c r="A588" t="s">
        <v>14</v>
      </c>
      <c r="B588">
        <f t="shared" si="36"/>
        <v>33.706511999999996</v>
      </c>
      <c r="C588">
        <f t="shared" si="37"/>
        <v>-117.866608</v>
      </c>
      <c r="D588">
        <f t="shared" si="38"/>
        <v>44</v>
      </c>
      <c r="E588">
        <v>43.499000000000002</v>
      </c>
      <c r="F588">
        <f t="shared" si="39"/>
        <v>0.50099999999999767</v>
      </c>
      <c r="G588">
        <v>137.167</v>
      </c>
      <c r="H588">
        <v>3.5979999999999999</v>
      </c>
      <c r="I588">
        <v>2.6269999999999998</v>
      </c>
      <c r="J588">
        <v>7</v>
      </c>
      <c r="K588">
        <v>44</v>
      </c>
      <c r="L588">
        <v>25</v>
      </c>
      <c r="M588" s="1">
        <v>9000000000</v>
      </c>
    </row>
    <row r="589" spans="1:13" ht="15" customHeight="1">
      <c r="A589" t="s">
        <v>14</v>
      </c>
      <c r="B589">
        <f t="shared" si="36"/>
        <v>33.706511999999996</v>
      </c>
      <c r="C589">
        <f t="shared" si="37"/>
        <v>-117.866608</v>
      </c>
      <c r="D589">
        <f t="shared" si="38"/>
        <v>44</v>
      </c>
      <c r="E589">
        <v>44.499000000000002</v>
      </c>
      <c r="F589">
        <f t="shared" si="39"/>
        <v>-0.49900000000000233</v>
      </c>
      <c r="G589">
        <v>84.033000000000001</v>
      </c>
      <c r="H589">
        <v>3.762</v>
      </c>
      <c r="I589">
        <v>4.4829999999999997</v>
      </c>
      <c r="J589">
        <v>11</v>
      </c>
      <c r="K589">
        <v>80</v>
      </c>
      <c r="L589">
        <v>45</v>
      </c>
      <c r="M589" s="1">
        <v>9000000000</v>
      </c>
    </row>
    <row r="590" spans="1:13" ht="15" customHeight="1">
      <c r="A590" t="s">
        <v>14</v>
      </c>
      <c r="B590">
        <f t="shared" si="36"/>
        <v>33.706511999999996</v>
      </c>
      <c r="C590">
        <f t="shared" si="37"/>
        <v>-117.866608</v>
      </c>
      <c r="D590">
        <f t="shared" si="38"/>
        <v>44</v>
      </c>
      <c r="E590">
        <v>45.499000000000002</v>
      </c>
      <c r="F590">
        <f t="shared" si="39"/>
        <v>-1.4990000000000023</v>
      </c>
      <c r="G590">
        <v>199.8</v>
      </c>
      <c r="H590">
        <v>4.5419999999999998</v>
      </c>
      <c r="I590">
        <v>2.2749999999999999</v>
      </c>
      <c r="J590">
        <v>7</v>
      </c>
      <c r="K590">
        <v>64</v>
      </c>
      <c r="L590">
        <v>35</v>
      </c>
      <c r="M590" s="1">
        <v>9000000000</v>
      </c>
    </row>
    <row r="591" spans="1:13" ht="15" customHeight="1">
      <c r="A591" t="s">
        <v>14</v>
      </c>
      <c r="B591">
        <f t="shared" si="36"/>
        <v>33.706511999999996</v>
      </c>
      <c r="C591">
        <f t="shared" si="37"/>
        <v>-117.866608</v>
      </c>
      <c r="D591">
        <f t="shared" si="38"/>
        <v>44</v>
      </c>
      <c r="E591">
        <v>46.499000000000002</v>
      </c>
      <c r="F591">
        <f t="shared" si="39"/>
        <v>-2.4990000000000023</v>
      </c>
      <c r="G591">
        <v>272.483</v>
      </c>
      <c r="H591">
        <v>5.3650000000000002</v>
      </c>
      <c r="I591">
        <v>1.97</v>
      </c>
      <c r="J591">
        <v>8</v>
      </c>
      <c r="K591">
        <v>65</v>
      </c>
      <c r="L591">
        <v>36</v>
      </c>
      <c r="M591" s="1">
        <v>9000000000</v>
      </c>
    </row>
    <row r="592" spans="1:13" ht="15" customHeight="1">
      <c r="A592" t="s">
        <v>14</v>
      </c>
      <c r="B592">
        <f t="shared" si="36"/>
        <v>33.706511999999996</v>
      </c>
      <c r="C592">
        <f t="shared" si="37"/>
        <v>-117.866608</v>
      </c>
      <c r="D592">
        <f t="shared" si="38"/>
        <v>44</v>
      </c>
      <c r="E592">
        <v>47.499000000000002</v>
      </c>
      <c r="F592">
        <f t="shared" si="39"/>
        <v>-3.4990000000000023</v>
      </c>
      <c r="G592">
        <v>242.21700000000001</v>
      </c>
      <c r="H592">
        <v>4.4969999999999999</v>
      </c>
      <c r="I592">
        <v>1.857</v>
      </c>
      <c r="J592">
        <v>8</v>
      </c>
      <c r="K592">
        <v>58</v>
      </c>
      <c r="L592">
        <v>31</v>
      </c>
      <c r="M592" s="1">
        <v>9000000000</v>
      </c>
    </row>
    <row r="593" spans="1:13" ht="15" customHeight="1">
      <c r="A593" t="s">
        <v>14</v>
      </c>
      <c r="B593">
        <f t="shared" si="36"/>
        <v>33.706511999999996</v>
      </c>
      <c r="C593">
        <f t="shared" si="37"/>
        <v>-117.866608</v>
      </c>
      <c r="D593">
        <f t="shared" si="38"/>
        <v>44</v>
      </c>
      <c r="E593">
        <v>48.499000000000002</v>
      </c>
      <c r="F593">
        <f t="shared" si="39"/>
        <v>-4.4990000000000023</v>
      </c>
      <c r="G593">
        <v>211.083</v>
      </c>
      <c r="H593">
        <v>3.1749999999999998</v>
      </c>
      <c r="I593">
        <v>1.504</v>
      </c>
      <c r="J593">
        <v>8</v>
      </c>
      <c r="K593">
        <v>51</v>
      </c>
      <c r="L593">
        <v>27</v>
      </c>
      <c r="M593" s="1">
        <v>9000000000</v>
      </c>
    </row>
    <row r="594" spans="1:13" ht="15" customHeight="1">
      <c r="A594" t="s">
        <v>14</v>
      </c>
      <c r="B594">
        <f t="shared" si="36"/>
        <v>33.706511999999996</v>
      </c>
      <c r="C594">
        <f t="shared" si="37"/>
        <v>-117.866608</v>
      </c>
      <c r="D594">
        <f t="shared" si="38"/>
        <v>44</v>
      </c>
      <c r="E594">
        <v>49.499000000000002</v>
      </c>
      <c r="F594">
        <f t="shared" si="39"/>
        <v>-5.4990000000000023</v>
      </c>
      <c r="G594">
        <v>190.28299999999999</v>
      </c>
      <c r="H594">
        <v>3.762</v>
      </c>
      <c r="I594">
        <v>1.9770000000000001</v>
      </c>
      <c r="J594">
        <v>7</v>
      </c>
      <c r="K594">
        <v>61</v>
      </c>
      <c r="L594">
        <v>32</v>
      </c>
      <c r="M594" s="1">
        <v>9000000000</v>
      </c>
    </row>
    <row r="595" spans="1:13" ht="15" customHeight="1">
      <c r="A595" t="s">
        <v>14</v>
      </c>
      <c r="B595">
        <f t="shared" si="36"/>
        <v>33.706511999999996</v>
      </c>
      <c r="C595">
        <f t="shared" si="37"/>
        <v>-117.866608</v>
      </c>
      <c r="D595">
        <f t="shared" si="38"/>
        <v>44</v>
      </c>
      <c r="E595">
        <v>50.499000000000002</v>
      </c>
      <c r="F595">
        <f t="shared" si="39"/>
        <v>-6.4990000000000023</v>
      </c>
      <c r="G595">
        <v>173.75</v>
      </c>
      <c r="H595">
        <v>3.673</v>
      </c>
      <c r="I595">
        <v>2.1160000000000001</v>
      </c>
      <c r="J595">
        <v>7</v>
      </c>
      <c r="K595">
        <v>55</v>
      </c>
      <c r="L595">
        <v>29</v>
      </c>
      <c r="M595" s="1">
        <v>9000000000</v>
      </c>
    </row>
    <row r="596" spans="1:13" ht="15" customHeight="1">
      <c r="A596" t="s">
        <v>14</v>
      </c>
      <c r="B596">
        <f t="shared" si="36"/>
        <v>33.706511999999996</v>
      </c>
      <c r="C596">
        <f t="shared" si="37"/>
        <v>-117.866608</v>
      </c>
      <c r="D596">
        <f t="shared" si="38"/>
        <v>44</v>
      </c>
      <c r="E596">
        <v>51.499000000000002</v>
      </c>
      <c r="F596">
        <f t="shared" si="39"/>
        <v>-7.4990000000000023</v>
      </c>
      <c r="G596">
        <v>132.583</v>
      </c>
      <c r="H596">
        <v>4.2530000000000001</v>
      </c>
      <c r="I596">
        <v>3.21</v>
      </c>
      <c r="J596">
        <v>6</v>
      </c>
      <c r="K596">
        <v>51</v>
      </c>
      <c r="L596">
        <v>27</v>
      </c>
      <c r="M596">
        <v>8.6229999999999993</v>
      </c>
    </row>
    <row r="597" spans="1:13" ht="15" customHeight="1">
      <c r="A597" t="s">
        <v>14</v>
      </c>
      <c r="B597">
        <f t="shared" si="36"/>
        <v>33.706511999999996</v>
      </c>
      <c r="C597">
        <f t="shared" si="37"/>
        <v>-117.866608</v>
      </c>
      <c r="D597">
        <f t="shared" si="38"/>
        <v>44</v>
      </c>
      <c r="E597">
        <v>52.499000000000002</v>
      </c>
      <c r="F597">
        <f t="shared" si="39"/>
        <v>-8.4990000000000023</v>
      </c>
      <c r="G597">
        <v>124.32899999999999</v>
      </c>
      <c r="H597">
        <v>3.5009999999999999</v>
      </c>
      <c r="I597">
        <v>2.8149999999999999</v>
      </c>
      <c r="J597">
        <v>6</v>
      </c>
      <c r="K597">
        <v>48</v>
      </c>
      <c r="L597">
        <v>25</v>
      </c>
      <c r="M597">
        <v>8.0779999999999994</v>
      </c>
    </row>
    <row r="598" spans="1:13" ht="15" customHeight="1">
      <c r="A598" t="s">
        <v>14</v>
      </c>
      <c r="B598">
        <f t="shared" si="36"/>
        <v>33.706511999999996</v>
      </c>
      <c r="C598">
        <f t="shared" si="37"/>
        <v>-117.866608</v>
      </c>
      <c r="D598">
        <f t="shared" si="38"/>
        <v>44</v>
      </c>
      <c r="E598">
        <v>53.499000000000002</v>
      </c>
      <c r="F598">
        <f t="shared" si="39"/>
        <v>-9.4990000000000023</v>
      </c>
      <c r="G598">
        <v>205.267</v>
      </c>
      <c r="H598">
        <v>3.7480000000000002</v>
      </c>
      <c r="I598">
        <v>1.8260000000000001</v>
      </c>
      <c r="J598">
        <v>8</v>
      </c>
      <c r="K598">
        <v>49</v>
      </c>
      <c r="L598">
        <v>25</v>
      </c>
      <c r="M598" s="1">
        <v>9000000000</v>
      </c>
    </row>
    <row r="599" spans="1:13" ht="15" customHeight="1">
      <c r="A599" t="s">
        <v>14</v>
      </c>
      <c r="B599">
        <f t="shared" si="36"/>
        <v>33.706511999999996</v>
      </c>
      <c r="C599">
        <f t="shared" si="37"/>
        <v>-117.866608</v>
      </c>
      <c r="D599">
        <f t="shared" si="38"/>
        <v>44</v>
      </c>
      <c r="E599">
        <v>54.499000000000002</v>
      </c>
      <c r="F599">
        <f t="shared" si="39"/>
        <v>-10.499000000000002</v>
      </c>
      <c r="G599">
        <v>272.39999999999998</v>
      </c>
      <c r="H599">
        <v>3.802</v>
      </c>
      <c r="I599">
        <v>1.3959999999999999</v>
      </c>
      <c r="J599">
        <v>9</v>
      </c>
      <c r="K599">
        <v>52</v>
      </c>
      <c r="L599">
        <v>26</v>
      </c>
      <c r="M599" s="1">
        <v>9000000000</v>
      </c>
    </row>
    <row r="600" spans="1:13" ht="15" customHeight="1">
      <c r="A600" t="s">
        <v>14</v>
      </c>
      <c r="B600">
        <f t="shared" si="36"/>
        <v>33.706511999999996</v>
      </c>
      <c r="C600">
        <f t="shared" si="37"/>
        <v>-117.866608</v>
      </c>
      <c r="D600">
        <f t="shared" si="38"/>
        <v>44</v>
      </c>
      <c r="E600">
        <v>55.499000000000002</v>
      </c>
      <c r="F600">
        <f t="shared" si="39"/>
        <v>-11.499000000000002</v>
      </c>
      <c r="G600">
        <v>280.58300000000003</v>
      </c>
      <c r="H600">
        <v>3.72</v>
      </c>
      <c r="I600">
        <v>1.325</v>
      </c>
      <c r="J600">
        <v>9</v>
      </c>
      <c r="K600">
        <v>54</v>
      </c>
      <c r="L600">
        <v>27</v>
      </c>
      <c r="M600" s="1">
        <v>9000000000</v>
      </c>
    </row>
    <row r="601" spans="1:13" ht="15" customHeight="1">
      <c r="A601" t="s">
        <v>14</v>
      </c>
      <c r="B601">
        <f t="shared" si="36"/>
        <v>33.706511999999996</v>
      </c>
      <c r="C601">
        <f t="shared" si="37"/>
        <v>-117.866608</v>
      </c>
      <c r="D601">
        <f t="shared" si="38"/>
        <v>44</v>
      </c>
      <c r="E601">
        <v>56.499000000000002</v>
      </c>
      <c r="F601">
        <f t="shared" si="39"/>
        <v>-12.499000000000002</v>
      </c>
      <c r="G601">
        <v>313.8</v>
      </c>
      <c r="H601">
        <v>4.5149999999999997</v>
      </c>
      <c r="I601">
        <v>1.4379999999999999</v>
      </c>
      <c r="J601">
        <v>9</v>
      </c>
      <c r="K601">
        <v>60</v>
      </c>
      <c r="L601">
        <v>30</v>
      </c>
      <c r="M601" s="1">
        <v>9000000000</v>
      </c>
    </row>
    <row r="602" spans="1:13" ht="15" customHeight="1">
      <c r="A602" t="s">
        <v>14</v>
      </c>
      <c r="B602">
        <f t="shared" si="36"/>
        <v>33.706511999999996</v>
      </c>
      <c r="C602">
        <f t="shared" si="37"/>
        <v>-117.866608</v>
      </c>
      <c r="D602">
        <f t="shared" si="38"/>
        <v>44</v>
      </c>
      <c r="E602">
        <v>57.499000000000002</v>
      </c>
      <c r="F602">
        <f t="shared" si="39"/>
        <v>-13.499000000000002</v>
      </c>
      <c r="G602">
        <v>311.10000000000002</v>
      </c>
      <c r="H602">
        <v>3.9220000000000002</v>
      </c>
      <c r="I602">
        <v>1.26</v>
      </c>
      <c r="J602">
        <v>9</v>
      </c>
      <c r="K602">
        <v>60</v>
      </c>
      <c r="L602">
        <v>30</v>
      </c>
      <c r="M602" s="1">
        <v>9000000000</v>
      </c>
    </row>
    <row r="603" spans="1:13" ht="15" customHeight="1">
      <c r="A603" t="s">
        <v>14</v>
      </c>
      <c r="B603">
        <f t="shared" si="36"/>
        <v>33.706511999999996</v>
      </c>
      <c r="C603">
        <f t="shared" si="37"/>
        <v>-117.866608</v>
      </c>
      <c r="D603">
        <f t="shared" si="38"/>
        <v>44</v>
      </c>
      <c r="E603">
        <v>58.499000000000002</v>
      </c>
      <c r="F603">
        <f t="shared" si="39"/>
        <v>-14.499000000000002</v>
      </c>
      <c r="G603">
        <v>238.6</v>
      </c>
      <c r="H603">
        <v>3.81</v>
      </c>
      <c r="I603">
        <v>1.5960000000000001</v>
      </c>
      <c r="J603">
        <v>8</v>
      </c>
      <c r="K603">
        <v>57</v>
      </c>
      <c r="L603">
        <v>29</v>
      </c>
      <c r="M603" s="1">
        <v>9000000000</v>
      </c>
    </row>
    <row r="604" spans="1:13" ht="15" customHeight="1">
      <c r="A604" t="s">
        <v>14</v>
      </c>
      <c r="B604">
        <f t="shared" si="36"/>
        <v>33.706511999999996</v>
      </c>
      <c r="C604">
        <f t="shared" si="37"/>
        <v>-117.866608</v>
      </c>
      <c r="D604">
        <f t="shared" si="38"/>
        <v>44</v>
      </c>
      <c r="E604">
        <v>59.499000000000002</v>
      </c>
      <c r="F604">
        <f t="shared" si="39"/>
        <v>-15.499000000000002</v>
      </c>
      <c r="G604">
        <v>202.53299999999999</v>
      </c>
      <c r="H604">
        <v>4.4450000000000003</v>
      </c>
      <c r="I604">
        <v>2.1930000000000001</v>
      </c>
      <c r="J604">
        <v>7</v>
      </c>
      <c r="K604">
        <v>65</v>
      </c>
      <c r="L604">
        <v>33</v>
      </c>
      <c r="M604" s="1">
        <v>9000000000</v>
      </c>
    </row>
    <row r="605" spans="1:13" ht="15" customHeight="1">
      <c r="A605" t="s">
        <v>14</v>
      </c>
      <c r="B605">
        <f t="shared" si="36"/>
        <v>33.706511999999996</v>
      </c>
      <c r="C605">
        <f t="shared" si="37"/>
        <v>-117.866608</v>
      </c>
      <c r="D605">
        <f t="shared" si="38"/>
        <v>44</v>
      </c>
      <c r="E605">
        <v>60.499000000000002</v>
      </c>
      <c r="F605">
        <f t="shared" si="39"/>
        <v>-16.499000000000002</v>
      </c>
      <c r="G605">
        <v>256.483</v>
      </c>
      <c r="H605">
        <v>5.6349999999999998</v>
      </c>
      <c r="I605">
        <v>2.1949999999999998</v>
      </c>
      <c r="J605">
        <v>7</v>
      </c>
      <c r="K605">
        <v>82</v>
      </c>
      <c r="L605">
        <v>41</v>
      </c>
      <c r="M605" s="1">
        <v>9000000000</v>
      </c>
    </row>
    <row r="606" spans="1:13" ht="15" customHeight="1">
      <c r="A606" t="s">
        <v>14</v>
      </c>
      <c r="B606">
        <f t="shared" si="36"/>
        <v>33.706511999999996</v>
      </c>
      <c r="C606">
        <f t="shared" si="37"/>
        <v>-117.866608</v>
      </c>
      <c r="D606">
        <f t="shared" si="38"/>
        <v>44</v>
      </c>
      <c r="E606">
        <v>61.499000000000002</v>
      </c>
      <c r="F606">
        <f t="shared" si="39"/>
        <v>-17.499000000000002</v>
      </c>
      <c r="G606">
        <v>318.64999999999998</v>
      </c>
      <c r="H606">
        <v>5.117</v>
      </c>
      <c r="I606">
        <v>1.6060000000000001</v>
      </c>
      <c r="J606">
        <v>8</v>
      </c>
      <c r="K606">
        <v>76</v>
      </c>
      <c r="L606">
        <v>38</v>
      </c>
      <c r="M606" s="1">
        <v>9000000000</v>
      </c>
    </row>
    <row r="607" spans="1:13" ht="15" customHeight="1">
      <c r="A607" t="s">
        <v>14</v>
      </c>
      <c r="B607">
        <f t="shared" si="36"/>
        <v>33.706511999999996</v>
      </c>
      <c r="C607">
        <f t="shared" si="37"/>
        <v>-117.866608</v>
      </c>
      <c r="D607">
        <f t="shared" si="38"/>
        <v>44</v>
      </c>
      <c r="E607">
        <v>62.499000000000002</v>
      </c>
      <c r="F607">
        <f t="shared" si="39"/>
        <v>-18.499000000000002</v>
      </c>
      <c r="G607">
        <v>286.39999999999998</v>
      </c>
      <c r="H607">
        <v>3.8540000000000001</v>
      </c>
      <c r="I607">
        <v>1.3460000000000001</v>
      </c>
      <c r="J607">
        <v>9</v>
      </c>
      <c r="K607">
        <v>55</v>
      </c>
      <c r="L607">
        <v>28</v>
      </c>
      <c r="M607" s="1">
        <v>9000000000</v>
      </c>
    </row>
    <row r="608" spans="1:13" ht="15" customHeight="1">
      <c r="A608" t="s">
        <v>14</v>
      </c>
      <c r="B608">
        <f t="shared" si="36"/>
        <v>33.706511999999996</v>
      </c>
      <c r="C608">
        <f t="shared" si="37"/>
        <v>-117.866608</v>
      </c>
      <c r="D608">
        <f t="shared" si="38"/>
        <v>44</v>
      </c>
      <c r="E608">
        <v>63.499000000000002</v>
      </c>
      <c r="F608">
        <f t="shared" si="39"/>
        <v>-19.499000000000002</v>
      </c>
      <c r="G608">
        <v>340.983</v>
      </c>
      <c r="H608">
        <v>6.0250000000000004</v>
      </c>
      <c r="I608">
        <v>1.766</v>
      </c>
      <c r="J608">
        <v>8</v>
      </c>
      <c r="K608">
        <v>82</v>
      </c>
      <c r="L608">
        <v>41</v>
      </c>
      <c r="M608" s="1">
        <v>9000000000</v>
      </c>
    </row>
    <row r="609" spans="1:13" ht="15" customHeight="1">
      <c r="A609" t="s">
        <v>14</v>
      </c>
      <c r="B609">
        <f t="shared" si="36"/>
        <v>33.706511999999996</v>
      </c>
      <c r="C609">
        <f t="shared" si="37"/>
        <v>-117.866608</v>
      </c>
      <c r="D609">
        <f t="shared" si="38"/>
        <v>44</v>
      </c>
      <c r="E609">
        <v>64.498999999999995</v>
      </c>
      <c r="F609">
        <f t="shared" si="39"/>
        <v>-20.498999999999995</v>
      </c>
      <c r="G609">
        <v>330.88299999999998</v>
      </c>
      <c r="H609">
        <v>6.61</v>
      </c>
      <c r="I609">
        <v>1.996</v>
      </c>
      <c r="J609">
        <v>8</v>
      </c>
      <c r="K609">
        <v>79</v>
      </c>
      <c r="L609">
        <v>40</v>
      </c>
      <c r="M609" s="1">
        <v>9000000000</v>
      </c>
    </row>
    <row r="610" spans="1:13" ht="15" customHeight="1">
      <c r="A610" t="s">
        <v>14</v>
      </c>
      <c r="B610">
        <f t="shared" si="36"/>
        <v>33.706511999999996</v>
      </c>
      <c r="C610">
        <f t="shared" si="37"/>
        <v>-117.866608</v>
      </c>
      <c r="D610">
        <f t="shared" si="38"/>
        <v>44</v>
      </c>
      <c r="E610">
        <v>65.498999999999995</v>
      </c>
      <c r="F610">
        <f t="shared" si="39"/>
        <v>-21.498999999999995</v>
      </c>
      <c r="G610">
        <v>302.61700000000002</v>
      </c>
      <c r="H610">
        <v>5.0949999999999998</v>
      </c>
      <c r="I610">
        <v>1.6819999999999999</v>
      </c>
      <c r="J610">
        <v>8</v>
      </c>
      <c r="K610">
        <v>73</v>
      </c>
      <c r="L610">
        <v>37</v>
      </c>
      <c r="M610" s="1">
        <v>9000000000</v>
      </c>
    </row>
    <row r="611" spans="1:13" ht="15" customHeight="1">
      <c r="A611" t="s">
        <v>14</v>
      </c>
      <c r="B611">
        <f t="shared" si="36"/>
        <v>33.706511999999996</v>
      </c>
      <c r="C611">
        <f t="shared" si="37"/>
        <v>-117.866608</v>
      </c>
      <c r="D611">
        <f t="shared" si="38"/>
        <v>44</v>
      </c>
      <c r="E611">
        <v>66.498999999999995</v>
      </c>
      <c r="F611">
        <f t="shared" si="39"/>
        <v>-22.498999999999995</v>
      </c>
      <c r="G611">
        <v>296.66699999999997</v>
      </c>
      <c r="H611">
        <v>4.6349999999999998</v>
      </c>
      <c r="I611">
        <v>1.5609999999999999</v>
      </c>
      <c r="J611">
        <v>8</v>
      </c>
      <c r="K611">
        <v>71</v>
      </c>
      <c r="L611">
        <v>36</v>
      </c>
      <c r="M611" s="1">
        <v>9000000000</v>
      </c>
    </row>
    <row r="612" spans="1:13" ht="15" customHeight="1">
      <c r="A612" t="s">
        <v>14</v>
      </c>
      <c r="B612">
        <f t="shared" si="36"/>
        <v>33.706511999999996</v>
      </c>
      <c r="C612">
        <f t="shared" si="37"/>
        <v>-117.866608</v>
      </c>
      <c r="D612">
        <f t="shared" si="38"/>
        <v>44</v>
      </c>
      <c r="E612">
        <v>67.498999999999995</v>
      </c>
      <c r="F612">
        <f t="shared" si="39"/>
        <v>-23.498999999999995</v>
      </c>
      <c r="G612">
        <v>260.83300000000003</v>
      </c>
      <c r="H612">
        <v>3.4929999999999999</v>
      </c>
      <c r="I612">
        <v>1.3380000000000001</v>
      </c>
      <c r="J612">
        <v>9</v>
      </c>
      <c r="K612">
        <v>50</v>
      </c>
      <c r="L612">
        <v>25</v>
      </c>
      <c r="M612" s="1">
        <v>9000000000</v>
      </c>
    </row>
    <row r="613" spans="1:13" ht="15" customHeight="1">
      <c r="A613" t="s">
        <v>14</v>
      </c>
      <c r="B613">
        <f t="shared" si="36"/>
        <v>33.706511999999996</v>
      </c>
      <c r="C613">
        <f t="shared" si="37"/>
        <v>-117.866608</v>
      </c>
      <c r="D613">
        <f t="shared" si="38"/>
        <v>44</v>
      </c>
      <c r="E613">
        <v>68.498999999999995</v>
      </c>
      <c r="F613">
        <f t="shared" si="39"/>
        <v>-24.498999999999995</v>
      </c>
      <c r="G613">
        <v>65.066999999999993</v>
      </c>
      <c r="H613">
        <v>3.1480000000000001</v>
      </c>
      <c r="I613">
        <v>4.8010000000000002</v>
      </c>
      <c r="J613">
        <v>4</v>
      </c>
      <c r="K613">
        <v>42</v>
      </c>
      <c r="L613">
        <v>21</v>
      </c>
      <c r="M613">
        <v>4.0910000000000002</v>
      </c>
    </row>
    <row r="614" spans="1:13" ht="15" customHeight="1">
      <c r="A614" t="s">
        <v>14</v>
      </c>
      <c r="B614">
        <f t="shared" si="36"/>
        <v>33.706511999999996</v>
      </c>
      <c r="C614">
        <f t="shared" si="37"/>
        <v>-117.866608</v>
      </c>
      <c r="D614">
        <f t="shared" si="38"/>
        <v>44</v>
      </c>
      <c r="E614">
        <v>69.498999999999995</v>
      </c>
      <c r="F614">
        <f t="shared" si="39"/>
        <v>-25.498999999999995</v>
      </c>
      <c r="G614">
        <v>34.582999999999998</v>
      </c>
      <c r="H614">
        <v>1.39</v>
      </c>
      <c r="I614">
        <v>3.9540000000000002</v>
      </c>
      <c r="J614">
        <v>5</v>
      </c>
      <c r="K614">
        <v>17</v>
      </c>
      <c r="L614">
        <v>9</v>
      </c>
      <c r="M614">
        <v>2.0579999999999998</v>
      </c>
    </row>
    <row r="615" spans="1:13" ht="15" customHeight="1">
      <c r="A615" t="s">
        <v>14</v>
      </c>
      <c r="B615">
        <f t="shared" si="36"/>
        <v>33.706511999999996</v>
      </c>
      <c r="C615">
        <f t="shared" si="37"/>
        <v>-117.866608</v>
      </c>
      <c r="D615">
        <f t="shared" si="38"/>
        <v>44</v>
      </c>
      <c r="E615">
        <v>70.498999999999995</v>
      </c>
      <c r="F615">
        <f t="shared" si="39"/>
        <v>-26.498999999999995</v>
      </c>
      <c r="G615">
        <v>30.55</v>
      </c>
      <c r="H615">
        <v>0.82699999999999996</v>
      </c>
      <c r="I615">
        <v>2.6019999999999999</v>
      </c>
      <c r="J615">
        <v>6</v>
      </c>
      <c r="K615">
        <v>12</v>
      </c>
      <c r="L615">
        <v>6</v>
      </c>
      <c r="M615">
        <v>1.8280000000000001</v>
      </c>
    </row>
    <row r="616" spans="1:13" ht="15" customHeight="1">
      <c r="A616" t="s">
        <v>14</v>
      </c>
      <c r="B616">
        <f t="shared" si="36"/>
        <v>33.706511999999996</v>
      </c>
      <c r="C616">
        <f t="shared" si="37"/>
        <v>-117.866608</v>
      </c>
      <c r="D616">
        <f t="shared" si="38"/>
        <v>44</v>
      </c>
      <c r="E616">
        <v>71.498999999999995</v>
      </c>
      <c r="F616">
        <f t="shared" si="39"/>
        <v>-27.498999999999995</v>
      </c>
      <c r="G616">
        <v>32.933</v>
      </c>
      <c r="H616">
        <v>0.91700000000000004</v>
      </c>
      <c r="I616">
        <v>2.6629999999999998</v>
      </c>
      <c r="J616">
        <v>6</v>
      </c>
      <c r="K616">
        <v>13</v>
      </c>
      <c r="L616">
        <v>7</v>
      </c>
      <c r="M616">
        <v>2</v>
      </c>
    </row>
    <row r="617" spans="1:13" ht="15" customHeight="1">
      <c r="A617" t="s">
        <v>14</v>
      </c>
      <c r="B617">
        <f t="shared" si="36"/>
        <v>33.706511999999996</v>
      </c>
      <c r="C617">
        <f t="shared" si="37"/>
        <v>-117.866608</v>
      </c>
      <c r="D617">
        <f t="shared" si="38"/>
        <v>44</v>
      </c>
      <c r="E617">
        <v>72.498999999999995</v>
      </c>
      <c r="F617">
        <f t="shared" si="39"/>
        <v>-28.498999999999995</v>
      </c>
      <c r="G617">
        <v>36.042999999999999</v>
      </c>
      <c r="H617">
        <v>0.96399999999999997</v>
      </c>
      <c r="I617">
        <v>2.548</v>
      </c>
      <c r="J617">
        <v>6</v>
      </c>
      <c r="K617">
        <v>14</v>
      </c>
      <c r="L617">
        <v>7</v>
      </c>
      <c r="M617">
        <v>2.2250000000000001</v>
      </c>
    </row>
    <row r="618" spans="1:13" ht="15" customHeight="1">
      <c r="A618" t="s">
        <v>14</v>
      </c>
      <c r="B618">
        <f t="shared" si="36"/>
        <v>33.706511999999996</v>
      </c>
      <c r="C618">
        <f t="shared" si="37"/>
        <v>-117.866608</v>
      </c>
      <c r="D618">
        <f t="shared" si="38"/>
        <v>44</v>
      </c>
      <c r="E618">
        <v>73.498999999999995</v>
      </c>
      <c r="F618">
        <f t="shared" si="39"/>
        <v>-29.498999999999995</v>
      </c>
      <c r="G618">
        <v>29.483000000000001</v>
      </c>
      <c r="H618">
        <v>0.94199999999999995</v>
      </c>
      <c r="I618">
        <v>3.012</v>
      </c>
      <c r="J618">
        <v>5</v>
      </c>
      <c r="K618">
        <v>15</v>
      </c>
      <c r="L618">
        <v>8</v>
      </c>
      <c r="M618">
        <v>1.782</v>
      </c>
    </row>
    <row r="619" spans="1:13" ht="15" customHeight="1">
      <c r="A619" t="s">
        <v>14</v>
      </c>
      <c r="B619">
        <f t="shared" si="36"/>
        <v>33.706511999999996</v>
      </c>
      <c r="C619">
        <f t="shared" si="37"/>
        <v>-117.866608</v>
      </c>
      <c r="D619">
        <f t="shared" si="38"/>
        <v>44</v>
      </c>
      <c r="E619">
        <v>74.498999999999995</v>
      </c>
      <c r="F619">
        <f t="shared" si="39"/>
        <v>-30.498999999999995</v>
      </c>
      <c r="G619">
        <v>27.533000000000001</v>
      </c>
      <c r="H619">
        <v>0.92200000000000004</v>
      </c>
      <c r="I619">
        <v>3.13</v>
      </c>
      <c r="J619">
        <v>5</v>
      </c>
      <c r="K619">
        <v>14</v>
      </c>
      <c r="L619">
        <v>7</v>
      </c>
      <c r="M619">
        <v>1.657</v>
      </c>
    </row>
    <row r="620" spans="1:13" ht="15" customHeight="1">
      <c r="A620" t="s">
        <v>14</v>
      </c>
      <c r="B620">
        <f t="shared" si="36"/>
        <v>33.706511999999996</v>
      </c>
      <c r="C620">
        <f t="shared" si="37"/>
        <v>-117.866608</v>
      </c>
      <c r="D620">
        <f t="shared" si="38"/>
        <v>44</v>
      </c>
      <c r="E620">
        <v>75.498999999999995</v>
      </c>
      <c r="F620">
        <f t="shared" si="39"/>
        <v>-31.498999999999995</v>
      </c>
      <c r="G620">
        <v>153.55000000000001</v>
      </c>
      <c r="H620">
        <v>4.0149999999999997</v>
      </c>
      <c r="I620">
        <v>2.6179999999999999</v>
      </c>
      <c r="J620">
        <v>7</v>
      </c>
      <c r="K620">
        <v>49</v>
      </c>
      <c r="L620">
        <v>25</v>
      </c>
      <c r="M620" s="1">
        <v>9000000000</v>
      </c>
    </row>
    <row r="621" spans="1:13" ht="15" customHeight="1">
      <c r="A621" t="s">
        <v>14</v>
      </c>
      <c r="B621">
        <f t="shared" si="36"/>
        <v>33.706511999999996</v>
      </c>
      <c r="C621">
        <f t="shared" si="37"/>
        <v>-117.866608</v>
      </c>
      <c r="D621">
        <f t="shared" si="38"/>
        <v>44</v>
      </c>
      <c r="E621">
        <v>76.498999999999995</v>
      </c>
      <c r="F621">
        <f t="shared" si="39"/>
        <v>-32.498999999999995</v>
      </c>
      <c r="G621">
        <v>88.417000000000002</v>
      </c>
      <c r="H621">
        <v>4.008</v>
      </c>
      <c r="I621">
        <v>4.5439999999999996</v>
      </c>
      <c r="J621">
        <v>11</v>
      </c>
      <c r="K621">
        <v>84</v>
      </c>
      <c r="L621">
        <v>42</v>
      </c>
      <c r="M621" s="1">
        <v>9000000000</v>
      </c>
    </row>
    <row r="622" spans="1:13" ht="15" customHeight="1">
      <c r="A622" t="s">
        <v>14</v>
      </c>
      <c r="B622">
        <f t="shared" si="36"/>
        <v>33.706511999999996</v>
      </c>
      <c r="C622">
        <f t="shared" si="37"/>
        <v>-117.866608</v>
      </c>
      <c r="D622">
        <f t="shared" si="38"/>
        <v>44</v>
      </c>
      <c r="E622">
        <v>77.498999999999995</v>
      </c>
      <c r="F622">
        <f t="shared" si="39"/>
        <v>-33.498999999999995</v>
      </c>
      <c r="G622">
        <v>33.283000000000001</v>
      </c>
      <c r="H622">
        <v>1.3220000000000001</v>
      </c>
      <c r="I622">
        <v>3.9910000000000001</v>
      </c>
      <c r="J622">
        <v>4</v>
      </c>
      <c r="K622">
        <v>21</v>
      </c>
      <c r="L622">
        <v>11</v>
      </c>
      <c r="M622">
        <v>1.889</v>
      </c>
    </row>
    <row r="623" spans="1:13" ht="15" customHeight="1">
      <c r="A623" t="s">
        <v>14</v>
      </c>
      <c r="B623">
        <f t="shared" si="36"/>
        <v>33.706511999999996</v>
      </c>
      <c r="C623">
        <f t="shared" si="37"/>
        <v>-117.866608</v>
      </c>
      <c r="D623">
        <f t="shared" si="38"/>
        <v>44</v>
      </c>
      <c r="E623">
        <v>78.498999999999995</v>
      </c>
      <c r="F623">
        <f t="shared" si="39"/>
        <v>-34.498999999999995</v>
      </c>
      <c r="G623">
        <v>34.1</v>
      </c>
      <c r="H623">
        <v>1.22</v>
      </c>
      <c r="I623">
        <v>3.5720000000000001</v>
      </c>
      <c r="J623">
        <v>5</v>
      </c>
      <c r="K623">
        <v>16</v>
      </c>
      <c r="L623">
        <v>8</v>
      </c>
      <c r="M623">
        <v>1.9530000000000001</v>
      </c>
    </row>
    <row r="624" spans="1:13" ht="15" customHeight="1">
      <c r="A624" t="s">
        <v>14</v>
      </c>
      <c r="B624">
        <f t="shared" si="36"/>
        <v>33.706511999999996</v>
      </c>
      <c r="C624">
        <f t="shared" si="37"/>
        <v>-117.866608</v>
      </c>
      <c r="D624">
        <f t="shared" si="38"/>
        <v>44</v>
      </c>
      <c r="E624">
        <v>79.498999999999995</v>
      </c>
      <c r="F624">
        <f t="shared" si="39"/>
        <v>-35.498999999999995</v>
      </c>
      <c r="G624">
        <v>29.65</v>
      </c>
      <c r="H624">
        <v>0.82799999999999996</v>
      </c>
      <c r="I624">
        <v>2.7370000000000001</v>
      </c>
      <c r="J624">
        <v>6</v>
      </c>
      <c r="K624">
        <v>12</v>
      </c>
      <c r="L624">
        <v>6</v>
      </c>
      <c r="M624">
        <v>1.69</v>
      </c>
    </row>
    <row r="625" spans="1:13" ht="15" customHeight="1">
      <c r="A625" t="s">
        <v>14</v>
      </c>
      <c r="B625">
        <f t="shared" si="36"/>
        <v>33.706511999999996</v>
      </c>
      <c r="C625">
        <f t="shared" si="37"/>
        <v>-117.866608</v>
      </c>
      <c r="D625">
        <f t="shared" si="38"/>
        <v>44</v>
      </c>
      <c r="E625">
        <v>80.498999999999995</v>
      </c>
      <c r="F625">
        <f t="shared" si="39"/>
        <v>-36.498999999999995</v>
      </c>
      <c r="G625">
        <v>30.332999999999998</v>
      </c>
      <c r="H625">
        <v>0.94199999999999995</v>
      </c>
      <c r="I625">
        <v>2.9990000000000001</v>
      </c>
      <c r="J625">
        <v>5</v>
      </c>
      <c r="K625">
        <v>15</v>
      </c>
      <c r="L625">
        <v>8</v>
      </c>
      <c r="M625">
        <v>1.762</v>
      </c>
    </row>
    <row r="626" spans="1:13" ht="15" customHeight="1">
      <c r="A626" t="s">
        <v>14</v>
      </c>
      <c r="B626">
        <f t="shared" si="36"/>
        <v>33.706511999999996</v>
      </c>
      <c r="C626">
        <f t="shared" si="37"/>
        <v>-117.866608</v>
      </c>
      <c r="D626">
        <f t="shared" si="38"/>
        <v>44</v>
      </c>
      <c r="E626">
        <v>81.498999999999995</v>
      </c>
      <c r="F626">
        <f t="shared" si="39"/>
        <v>-37.498999999999995</v>
      </c>
      <c r="G626">
        <v>31.332999999999998</v>
      </c>
      <c r="H626">
        <v>1.05</v>
      </c>
      <c r="I626">
        <v>3.2360000000000002</v>
      </c>
      <c r="J626">
        <v>5</v>
      </c>
      <c r="K626">
        <v>16</v>
      </c>
      <c r="L626">
        <v>8</v>
      </c>
      <c r="M626">
        <v>1.827</v>
      </c>
    </row>
    <row r="627" spans="1:13" ht="15" customHeight="1">
      <c r="A627" t="s">
        <v>14</v>
      </c>
      <c r="B627">
        <f t="shared" si="36"/>
        <v>33.706511999999996</v>
      </c>
      <c r="C627">
        <f t="shared" si="37"/>
        <v>-117.866608</v>
      </c>
      <c r="D627">
        <f t="shared" si="38"/>
        <v>44</v>
      </c>
      <c r="E627">
        <v>82.498999999999995</v>
      </c>
      <c r="F627">
        <f t="shared" si="39"/>
        <v>-38.498999999999995</v>
      </c>
      <c r="G627">
        <v>31.5</v>
      </c>
      <c r="H627">
        <v>1.0880000000000001</v>
      </c>
      <c r="I627">
        <v>3.3519999999999999</v>
      </c>
      <c r="J627">
        <v>5</v>
      </c>
      <c r="K627">
        <v>16</v>
      </c>
      <c r="L627">
        <v>8</v>
      </c>
      <c r="M627">
        <v>1.8240000000000001</v>
      </c>
    </row>
    <row r="628" spans="1:13" ht="15" customHeight="1">
      <c r="A628" t="s">
        <v>14</v>
      </c>
      <c r="B628">
        <f t="shared" si="36"/>
        <v>33.706511999999996</v>
      </c>
      <c r="C628">
        <f t="shared" si="37"/>
        <v>-117.866608</v>
      </c>
      <c r="D628">
        <f t="shared" si="38"/>
        <v>44</v>
      </c>
      <c r="E628">
        <v>83.498999999999995</v>
      </c>
      <c r="F628">
        <f t="shared" si="39"/>
        <v>-39.498999999999995</v>
      </c>
      <c r="G628">
        <v>34.228999999999999</v>
      </c>
      <c r="H628">
        <v>1.0009999999999999</v>
      </c>
      <c r="I628">
        <v>2.8109999999999999</v>
      </c>
      <c r="J628">
        <v>6</v>
      </c>
      <c r="K628">
        <v>14</v>
      </c>
      <c r="L628">
        <v>7</v>
      </c>
      <c r="M628">
        <v>2.0310000000000001</v>
      </c>
    </row>
    <row r="629" spans="1:13" ht="15" customHeight="1">
      <c r="A629" t="s">
        <v>14</v>
      </c>
      <c r="B629">
        <f t="shared" si="36"/>
        <v>33.706511999999996</v>
      </c>
      <c r="C629">
        <f t="shared" si="37"/>
        <v>-117.866608</v>
      </c>
      <c r="D629">
        <f t="shared" si="38"/>
        <v>44</v>
      </c>
      <c r="E629">
        <v>84.498999999999995</v>
      </c>
      <c r="F629">
        <f t="shared" si="39"/>
        <v>-40.498999999999995</v>
      </c>
      <c r="G629">
        <v>105.767</v>
      </c>
      <c r="H629">
        <v>4.6719999999999997</v>
      </c>
      <c r="I629">
        <v>4.3949999999999996</v>
      </c>
      <c r="J629">
        <v>11</v>
      </c>
      <c r="K629">
        <v>102</v>
      </c>
      <c r="L629">
        <v>51</v>
      </c>
      <c r="M629" s="1">
        <v>9000000000</v>
      </c>
    </row>
    <row r="630" spans="1:13" ht="15" customHeight="1">
      <c r="A630" t="s">
        <v>14</v>
      </c>
      <c r="B630">
        <f t="shared" si="36"/>
        <v>33.706511999999996</v>
      </c>
      <c r="C630">
        <f t="shared" si="37"/>
        <v>-117.866608</v>
      </c>
      <c r="D630">
        <f t="shared" si="38"/>
        <v>44</v>
      </c>
      <c r="E630">
        <v>85.498999999999995</v>
      </c>
      <c r="F630">
        <f t="shared" si="39"/>
        <v>-41.498999999999995</v>
      </c>
      <c r="G630">
        <v>114.05</v>
      </c>
      <c r="H630">
        <v>4.5229999999999997</v>
      </c>
      <c r="I630">
        <v>3.972</v>
      </c>
      <c r="J630">
        <v>5</v>
      </c>
      <c r="K630">
        <v>55</v>
      </c>
      <c r="L630">
        <v>28</v>
      </c>
      <c r="M630">
        <v>7.2389999999999999</v>
      </c>
    </row>
    <row r="631" spans="1:13" ht="15" customHeight="1">
      <c r="A631" t="s">
        <v>14</v>
      </c>
      <c r="B631">
        <f t="shared" si="36"/>
        <v>33.706511999999996</v>
      </c>
      <c r="C631">
        <f t="shared" si="37"/>
        <v>-117.866608</v>
      </c>
      <c r="D631">
        <f t="shared" si="38"/>
        <v>44</v>
      </c>
      <c r="E631">
        <v>86.498999999999995</v>
      </c>
      <c r="F631">
        <f t="shared" si="39"/>
        <v>-42.498999999999995</v>
      </c>
      <c r="G631">
        <v>46.75</v>
      </c>
      <c r="H631">
        <v>2.032</v>
      </c>
      <c r="I631">
        <v>4.3540000000000001</v>
      </c>
      <c r="J631">
        <v>4</v>
      </c>
      <c r="K631">
        <v>30</v>
      </c>
      <c r="L631">
        <v>15</v>
      </c>
      <c r="M631">
        <v>2.754</v>
      </c>
    </row>
    <row r="632" spans="1:13" ht="15" customHeight="1">
      <c r="A632" t="s">
        <v>14</v>
      </c>
      <c r="B632">
        <f t="shared" si="36"/>
        <v>33.706511999999996</v>
      </c>
      <c r="C632">
        <f t="shared" si="37"/>
        <v>-117.866608</v>
      </c>
      <c r="D632">
        <f t="shared" si="38"/>
        <v>44</v>
      </c>
      <c r="E632">
        <v>87.498999999999995</v>
      </c>
      <c r="F632">
        <f t="shared" si="39"/>
        <v>-43.498999999999995</v>
      </c>
      <c r="G632">
        <v>38.183</v>
      </c>
      <c r="H632">
        <v>1.0880000000000001</v>
      </c>
      <c r="I632">
        <v>2.8180000000000001</v>
      </c>
      <c r="J632">
        <v>6</v>
      </c>
      <c r="K632">
        <v>15</v>
      </c>
      <c r="L632">
        <v>8</v>
      </c>
      <c r="M632">
        <v>2.2130000000000001</v>
      </c>
    </row>
    <row r="633" spans="1:13" ht="15" customHeight="1">
      <c r="A633" t="s">
        <v>14</v>
      </c>
      <c r="B633">
        <f t="shared" si="36"/>
        <v>33.706511999999996</v>
      </c>
      <c r="C633">
        <f t="shared" si="37"/>
        <v>-117.866608</v>
      </c>
      <c r="D633">
        <f t="shared" si="38"/>
        <v>44</v>
      </c>
      <c r="E633">
        <v>88.498999999999995</v>
      </c>
      <c r="F633">
        <f t="shared" si="39"/>
        <v>-44.498999999999995</v>
      </c>
      <c r="G633">
        <v>47.05</v>
      </c>
      <c r="H633">
        <v>1.7270000000000001</v>
      </c>
      <c r="I633">
        <v>3.536</v>
      </c>
      <c r="J633">
        <v>5</v>
      </c>
      <c r="K633">
        <v>23</v>
      </c>
      <c r="L633">
        <v>12</v>
      </c>
      <c r="M633">
        <v>2.89</v>
      </c>
    </row>
    <row r="634" spans="1:13" ht="15" customHeight="1">
      <c r="A634" t="s">
        <v>14</v>
      </c>
      <c r="B634">
        <f t="shared" si="36"/>
        <v>33.706511999999996</v>
      </c>
      <c r="C634">
        <f t="shared" si="37"/>
        <v>-117.866608</v>
      </c>
      <c r="D634">
        <f t="shared" si="38"/>
        <v>44</v>
      </c>
      <c r="E634">
        <v>89.498999999999995</v>
      </c>
      <c r="F634">
        <f t="shared" si="39"/>
        <v>-45.498999999999995</v>
      </c>
      <c r="G634">
        <v>39.65</v>
      </c>
      <c r="H634">
        <v>1.4179999999999999</v>
      </c>
      <c r="I634">
        <v>3.4470000000000001</v>
      </c>
      <c r="J634">
        <v>5</v>
      </c>
      <c r="K634">
        <v>20</v>
      </c>
      <c r="L634">
        <v>10</v>
      </c>
      <c r="M634">
        <v>2.3740000000000001</v>
      </c>
    </row>
    <row r="635" spans="1:13" ht="15" customHeight="1">
      <c r="A635" t="s">
        <v>14</v>
      </c>
      <c r="B635">
        <f t="shared" si="36"/>
        <v>33.706511999999996</v>
      </c>
      <c r="C635">
        <f t="shared" si="37"/>
        <v>-117.866608</v>
      </c>
      <c r="D635">
        <f t="shared" si="38"/>
        <v>44</v>
      </c>
      <c r="E635">
        <v>90.498999999999995</v>
      </c>
      <c r="F635">
        <f t="shared" si="39"/>
        <v>-46.498999999999995</v>
      </c>
      <c r="G635">
        <v>44.433</v>
      </c>
      <c r="H635">
        <v>1.925</v>
      </c>
      <c r="I635">
        <v>4.1879999999999997</v>
      </c>
      <c r="J635">
        <v>5</v>
      </c>
      <c r="K635">
        <v>22</v>
      </c>
      <c r="L635">
        <v>11</v>
      </c>
      <c r="M635">
        <v>2.6909999999999998</v>
      </c>
    </row>
    <row r="636" spans="1:13" ht="15" customHeight="1">
      <c r="A636" t="s">
        <v>14</v>
      </c>
      <c r="B636">
        <f t="shared" si="36"/>
        <v>33.706511999999996</v>
      </c>
      <c r="C636">
        <f t="shared" si="37"/>
        <v>-117.866608</v>
      </c>
      <c r="D636">
        <f t="shared" si="38"/>
        <v>44</v>
      </c>
      <c r="E636">
        <v>91.498999999999995</v>
      </c>
      <c r="F636">
        <f t="shared" si="39"/>
        <v>-47.498999999999995</v>
      </c>
      <c r="G636">
        <v>70.900000000000006</v>
      </c>
      <c r="H636">
        <v>3.59</v>
      </c>
      <c r="I636">
        <v>5.0149999999999997</v>
      </c>
      <c r="J636">
        <v>11</v>
      </c>
      <c r="K636">
        <v>69</v>
      </c>
      <c r="L636">
        <v>35</v>
      </c>
      <c r="M636" s="1">
        <v>9000000000</v>
      </c>
    </row>
    <row r="637" spans="1:13" ht="15" customHeight="1">
      <c r="A637" t="s">
        <v>14</v>
      </c>
      <c r="B637">
        <f t="shared" si="36"/>
        <v>33.706511999999996</v>
      </c>
      <c r="C637">
        <f t="shared" si="37"/>
        <v>-117.866608</v>
      </c>
      <c r="D637">
        <f t="shared" si="38"/>
        <v>44</v>
      </c>
      <c r="E637">
        <v>92.498999999999995</v>
      </c>
      <c r="F637">
        <f t="shared" si="39"/>
        <v>-48.498999999999995</v>
      </c>
      <c r="G637">
        <v>39.767000000000003</v>
      </c>
      <c r="H637">
        <v>1.33</v>
      </c>
      <c r="I637">
        <v>3.339</v>
      </c>
      <c r="J637">
        <v>5</v>
      </c>
      <c r="K637">
        <v>19</v>
      </c>
      <c r="L637">
        <v>10</v>
      </c>
      <c r="M637">
        <v>2.2730000000000001</v>
      </c>
    </row>
    <row r="638" spans="1:13" ht="15" customHeight="1">
      <c r="A638" t="s">
        <v>14</v>
      </c>
      <c r="B638">
        <f t="shared" si="36"/>
        <v>33.706511999999996</v>
      </c>
      <c r="C638">
        <f t="shared" si="37"/>
        <v>-117.866608</v>
      </c>
      <c r="D638">
        <f t="shared" si="38"/>
        <v>44</v>
      </c>
      <c r="E638">
        <v>93.498999999999995</v>
      </c>
      <c r="F638">
        <f t="shared" si="39"/>
        <v>-49.498999999999995</v>
      </c>
      <c r="G638">
        <v>34.057000000000002</v>
      </c>
      <c r="H638">
        <v>0.95299999999999996</v>
      </c>
      <c r="I638">
        <v>2.7320000000000002</v>
      </c>
      <c r="J638">
        <v>6</v>
      </c>
      <c r="K638">
        <v>13</v>
      </c>
      <c r="L638">
        <v>7</v>
      </c>
      <c r="M638">
        <v>1.9379999999999999</v>
      </c>
    </row>
    <row r="639" spans="1:13" ht="15" customHeight="1">
      <c r="A639" t="s">
        <v>14</v>
      </c>
      <c r="B639">
        <f t="shared" si="36"/>
        <v>33.706511999999996</v>
      </c>
      <c r="C639">
        <f t="shared" si="37"/>
        <v>-117.866608</v>
      </c>
      <c r="D639">
        <f t="shared" si="38"/>
        <v>44</v>
      </c>
      <c r="E639">
        <v>94.498999999999995</v>
      </c>
      <c r="F639">
        <f t="shared" si="39"/>
        <v>-50.498999999999995</v>
      </c>
      <c r="G639">
        <v>40.716999999999999</v>
      </c>
      <c r="H639">
        <v>1.667</v>
      </c>
      <c r="I639">
        <v>3.9860000000000002</v>
      </c>
      <c r="J639">
        <v>5</v>
      </c>
      <c r="K639">
        <v>20</v>
      </c>
      <c r="L639">
        <v>10</v>
      </c>
      <c r="M639">
        <v>2.3969999999999998</v>
      </c>
    </row>
    <row r="640" spans="1:13" ht="15" customHeight="1">
      <c r="A640" t="s">
        <v>14</v>
      </c>
      <c r="B640">
        <f t="shared" si="36"/>
        <v>33.706511999999996</v>
      </c>
      <c r="C640">
        <f t="shared" si="37"/>
        <v>-117.866608</v>
      </c>
      <c r="D640">
        <f t="shared" si="38"/>
        <v>44</v>
      </c>
      <c r="E640">
        <v>95.498999999999995</v>
      </c>
      <c r="F640">
        <f t="shared" si="39"/>
        <v>-51.498999999999995</v>
      </c>
      <c r="G640">
        <v>39.433</v>
      </c>
      <c r="H640">
        <v>1.0980000000000001</v>
      </c>
      <c r="I640">
        <v>2.677</v>
      </c>
      <c r="J640">
        <v>6</v>
      </c>
      <c r="K640">
        <v>16</v>
      </c>
      <c r="L640">
        <v>8</v>
      </c>
      <c r="M640">
        <v>2.3410000000000002</v>
      </c>
    </row>
    <row r="641" spans="1:13" ht="15" customHeight="1">
      <c r="A641" t="s">
        <v>14</v>
      </c>
      <c r="B641">
        <f t="shared" si="36"/>
        <v>33.706511999999996</v>
      </c>
      <c r="C641">
        <f t="shared" si="37"/>
        <v>-117.866608</v>
      </c>
      <c r="D641">
        <f t="shared" si="38"/>
        <v>44</v>
      </c>
      <c r="E641">
        <v>96.498999999999995</v>
      </c>
      <c r="F641">
        <f t="shared" si="39"/>
        <v>-52.498999999999995</v>
      </c>
      <c r="G641">
        <v>38.35</v>
      </c>
      <c r="H641">
        <v>1.2350000000000001</v>
      </c>
      <c r="I641">
        <v>3.077</v>
      </c>
      <c r="J641">
        <v>5</v>
      </c>
      <c r="K641">
        <v>19</v>
      </c>
      <c r="L641">
        <v>10</v>
      </c>
      <c r="M641">
        <v>2.2759999999999998</v>
      </c>
    </row>
    <row r="642" spans="1:13" ht="15" customHeight="1">
      <c r="A642" t="s">
        <v>14</v>
      </c>
      <c r="B642">
        <f t="shared" ref="B642:B705" si="40">VLOOKUP(A642,XYdata,3,FALSE)</f>
        <v>33.706511999999996</v>
      </c>
      <c r="C642">
        <f t="shared" ref="C642:C705" si="41">VLOOKUP(A642,XYdata,2,FALSE)</f>
        <v>-117.866608</v>
      </c>
      <c r="D642">
        <f t="shared" ref="D642:D705" si="42">VLOOKUP(A642,Elevation,2,FALSE)</f>
        <v>44</v>
      </c>
      <c r="E642">
        <v>97.498999999999995</v>
      </c>
      <c r="F642">
        <f t="shared" si="39"/>
        <v>-53.498999999999995</v>
      </c>
      <c r="G642">
        <v>62.366999999999997</v>
      </c>
      <c r="H642">
        <v>2.27</v>
      </c>
      <c r="I642">
        <v>3.6139999999999999</v>
      </c>
      <c r="J642">
        <v>5</v>
      </c>
      <c r="K642">
        <v>30</v>
      </c>
      <c r="L642">
        <v>15</v>
      </c>
      <c r="M642">
        <v>3.7850000000000001</v>
      </c>
    </row>
    <row r="643" spans="1:13" ht="15" customHeight="1">
      <c r="A643" t="s">
        <v>14</v>
      </c>
      <c r="B643">
        <f t="shared" si="40"/>
        <v>33.706511999999996</v>
      </c>
      <c r="C643">
        <f t="shared" si="41"/>
        <v>-117.866608</v>
      </c>
      <c r="D643">
        <f t="shared" si="42"/>
        <v>44</v>
      </c>
      <c r="E643">
        <v>98.498999999999995</v>
      </c>
      <c r="F643">
        <f t="shared" ref="F643:F706" si="43">D643-E643</f>
        <v>-54.498999999999995</v>
      </c>
      <c r="G643">
        <v>69.5</v>
      </c>
      <c r="H643">
        <v>2.2679999999999998</v>
      </c>
      <c r="I643">
        <v>3.1960000000000002</v>
      </c>
      <c r="J643">
        <v>6</v>
      </c>
      <c r="K643">
        <v>27</v>
      </c>
      <c r="L643">
        <v>14</v>
      </c>
      <c r="M643">
        <v>4.3239999999999998</v>
      </c>
    </row>
    <row r="644" spans="1:13" ht="15" customHeight="1">
      <c r="A644" t="s">
        <v>14</v>
      </c>
      <c r="B644">
        <f t="shared" si="40"/>
        <v>33.706511999999996</v>
      </c>
      <c r="C644">
        <f t="shared" si="41"/>
        <v>-117.866608</v>
      </c>
      <c r="D644">
        <f t="shared" si="42"/>
        <v>44</v>
      </c>
      <c r="E644">
        <v>99.498999999999995</v>
      </c>
      <c r="F644">
        <f t="shared" si="43"/>
        <v>-55.498999999999995</v>
      </c>
      <c r="G644">
        <v>129.94999999999999</v>
      </c>
      <c r="H644">
        <v>4.2919999999999998</v>
      </c>
      <c r="I644">
        <v>3.2949999999999999</v>
      </c>
      <c r="J644">
        <v>6</v>
      </c>
      <c r="K644">
        <v>50</v>
      </c>
      <c r="L644">
        <v>25</v>
      </c>
      <c r="M644">
        <v>8.2729999999999997</v>
      </c>
    </row>
    <row r="645" spans="1:13" ht="15" customHeight="1">
      <c r="A645" t="s">
        <v>14</v>
      </c>
      <c r="B645">
        <f t="shared" si="40"/>
        <v>33.706511999999996</v>
      </c>
      <c r="C645">
        <f t="shared" si="41"/>
        <v>-117.866608</v>
      </c>
      <c r="D645">
        <f t="shared" si="42"/>
        <v>44</v>
      </c>
      <c r="E645">
        <v>100.499</v>
      </c>
      <c r="F645">
        <f t="shared" si="43"/>
        <v>-56.498999999999995</v>
      </c>
      <c r="G645">
        <v>157.31700000000001</v>
      </c>
      <c r="H645">
        <v>5.1369999999999996</v>
      </c>
      <c r="I645">
        <v>3.2650000000000001</v>
      </c>
      <c r="J645">
        <v>6</v>
      </c>
      <c r="K645">
        <v>60</v>
      </c>
      <c r="L645">
        <v>30</v>
      </c>
      <c r="M645">
        <v>10.073</v>
      </c>
    </row>
    <row r="646" spans="1:13" ht="15" customHeight="1">
      <c r="A646" t="s">
        <v>14</v>
      </c>
      <c r="B646">
        <f t="shared" si="40"/>
        <v>33.706511999999996</v>
      </c>
      <c r="C646">
        <f t="shared" si="41"/>
        <v>-117.866608</v>
      </c>
      <c r="D646">
        <f t="shared" si="42"/>
        <v>44</v>
      </c>
      <c r="E646">
        <v>101.499</v>
      </c>
      <c r="F646">
        <f t="shared" si="43"/>
        <v>-57.498999999999995</v>
      </c>
      <c r="G646">
        <v>96.4</v>
      </c>
      <c r="H646">
        <v>4.3019999999999996</v>
      </c>
      <c r="I646">
        <v>4.4630000000000001</v>
      </c>
      <c r="J646">
        <v>11</v>
      </c>
      <c r="K646">
        <v>92</v>
      </c>
      <c r="L646">
        <v>46</v>
      </c>
      <c r="M646" s="1">
        <v>9000000000</v>
      </c>
    </row>
    <row r="647" spans="1:13" ht="15" customHeight="1">
      <c r="A647" t="s">
        <v>14</v>
      </c>
      <c r="B647">
        <f t="shared" si="40"/>
        <v>33.706511999999996</v>
      </c>
      <c r="C647">
        <f t="shared" si="41"/>
        <v>-117.866608</v>
      </c>
      <c r="D647">
        <f t="shared" si="42"/>
        <v>44</v>
      </c>
      <c r="E647">
        <v>102.499</v>
      </c>
      <c r="F647">
        <f t="shared" si="43"/>
        <v>-58.498999999999995</v>
      </c>
      <c r="G647">
        <v>210.7</v>
      </c>
      <c r="H647">
        <v>7.49</v>
      </c>
      <c r="I647">
        <v>3.5569999999999999</v>
      </c>
      <c r="J647">
        <v>12</v>
      </c>
      <c r="K647">
        <v>101</v>
      </c>
      <c r="L647">
        <v>51</v>
      </c>
      <c r="M647" s="1">
        <v>9000000000</v>
      </c>
    </row>
    <row r="648" spans="1:13" ht="15" customHeight="1">
      <c r="A648" t="s">
        <v>14</v>
      </c>
      <c r="B648">
        <f t="shared" si="40"/>
        <v>33.706511999999996</v>
      </c>
      <c r="C648">
        <f t="shared" si="41"/>
        <v>-117.866608</v>
      </c>
      <c r="D648">
        <f t="shared" si="42"/>
        <v>44</v>
      </c>
      <c r="E648">
        <v>103.499</v>
      </c>
      <c r="F648">
        <f t="shared" si="43"/>
        <v>-59.498999999999995</v>
      </c>
      <c r="G648">
        <v>58.817</v>
      </c>
      <c r="H648">
        <v>3.1120000000000001</v>
      </c>
      <c r="I648">
        <v>5.2640000000000002</v>
      </c>
      <c r="J648">
        <v>11</v>
      </c>
      <c r="K648">
        <v>57</v>
      </c>
      <c r="L648">
        <v>29</v>
      </c>
      <c r="M648" s="1">
        <v>9000000000</v>
      </c>
    </row>
    <row r="649" spans="1:13" ht="15" customHeight="1">
      <c r="A649" t="s">
        <v>14</v>
      </c>
      <c r="B649">
        <f t="shared" si="40"/>
        <v>33.706511999999996</v>
      </c>
      <c r="C649">
        <f t="shared" si="41"/>
        <v>-117.866608</v>
      </c>
      <c r="D649">
        <f t="shared" si="42"/>
        <v>44</v>
      </c>
      <c r="E649">
        <v>104.499</v>
      </c>
      <c r="F649">
        <f t="shared" si="43"/>
        <v>-60.498999999999995</v>
      </c>
      <c r="G649">
        <v>35.314</v>
      </c>
      <c r="H649">
        <v>1.107</v>
      </c>
      <c r="I649">
        <v>2.9590000000000001</v>
      </c>
      <c r="J649">
        <v>6</v>
      </c>
      <c r="K649">
        <v>14</v>
      </c>
      <c r="L649">
        <v>7</v>
      </c>
      <c r="M649">
        <v>2.0609999999999999</v>
      </c>
    </row>
    <row r="650" spans="1:13" ht="15" customHeight="1">
      <c r="A650" t="s">
        <v>14</v>
      </c>
      <c r="B650">
        <f t="shared" si="40"/>
        <v>33.706511999999996</v>
      </c>
      <c r="C650">
        <f t="shared" si="41"/>
        <v>-117.866608</v>
      </c>
      <c r="D650">
        <f t="shared" si="42"/>
        <v>44</v>
      </c>
      <c r="E650">
        <v>105.499</v>
      </c>
      <c r="F650">
        <f t="shared" si="43"/>
        <v>-61.498999999999995</v>
      </c>
      <c r="G650">
        <v>58.4</v>
      </c>
      <c r="H650">
        <v>2.6669999999999998</v>
      </c>
      <c r="I650">
        <v>4.5439999999999996</v>
      </c>
      <c r="J650">
        <v>4</v>
      </c>
      <c r="K650">
        <v>37</v>
      </c>
      <c r="L650">
        <v>19</v>
      </c>
      <c r="M650">
        <v>3.4750000000000001</v>
      </c>
    </row>
    <row r="651" spans="1:13" ht="15" customHeight="1">
      <c r="A651" t="s">
        <v>14</v>
      </c>
      <c r="B651">
        <f t="shared" si="40"/>
        <v>33.706511999999996</v>
      </c>
      <c r="C651">
        <f t="shared" si="41"/>
        <v>-117.866608</v>
      </c>
      <c r="D651">
        <f t="shared" si="42"/>
        <v>44</v>
      </c>
      <c r="E651">
        <v>106.499</v>
      </c>
      <c r="F651">
        <f t="shared" si="43"/>
        <v>-62.498999999999995</v>
      </c>
      <c r="G651">
        <v>37.133000000000003</v>
      </c>
      <c r="H651">
        <v>1.127</v>
      </c>
      <c r="I651">
        <v>2.9780000000000002</v>
      </c>
      <c r="J651">
        <v>6</v>
      </c>
      <c r="K651">
        <v>14</v>
      </c>
      <c r="L651">
        <v>7</v>
      </c>
      <c r="M651">
        <v>2.08</v>
      </c>
    </row>
    <row r="652" spans="1:13" ht="15" customHeight="1">
      <c r="A652" t="s">
        <v>14</v>
      </c>
      <c r="B652">
        <f t="shared" si="40"/>
        <v>33.706511999999996</v>
      </c>
      <c r="C652">
        <f t="shared" si="41"/>
        <v>-117.866608</v>
      </c>
      <c r="D652">
        <f t="shared" si="42"/>
        <v>44</v>
      </c>
      <c r="E652">
        <v>107.499</v>
      </c>
      <c r="F652">
        <f t="shared" si="43"/>
        <v>-63.498999999999995</v>
      </c>
      <c r="G652">
        <v>41.2</v>
      </c>
      <c r="H652">
        <v>1.357</v>
      </c>
      <c r="I652">
        <v>3.1709999999999998</v>
      </c>
      <c r="J652">
        <v>5</v>
      </c>
      <c r="K652">
        <v>20</v>
      </c>
      <c r="L652">
        <v>10</v>
      </c>
      <c r="M652">
        <v>2.4060000000000001</v>
      </c>
    </row>
    <row r="653" spans="1:13" ht="15" customHeight="1">
      <c r="A653" t="s">
        <v>14</v>
      </c>
      <c r="B653">
        <f t="shared" si="40"/>
        <v>33.706511999999996</v>
      </c>
      <c r="C653">
        <f t="shared" si="41"/>
        <v>-117.866608</v>
      </c>
      <c r="D653">
        <f t="shared" si="42"/>
        <v>44</v>
      </c>
      <c r="E653">
        <v>108.499</v>
      </c>
      <c r="F653">
        <f t="shared" si="43"/>
        <v>-64.498999999999995</v>
      </c>
      <c r="G653">
        <v>43.533000000000001</v>
      </c>
      <c r="H653">
        <v>1.375</v>
      </c>
      <c r="I653">
        <v>3.0579999999999998</v>
      </c>
      <c r="J653">
        <v>6</v>
      </c>
      <c r="K653">
        <v>17</v>
      </c>
      <c r="L653">
        <v>9</v>
      </c>
      <c r="M653">
        <v>2.548</v>
      </c>
    </row>
    <row r="654" spans="1:13" ht="15" customHeight="1">
      <c r="A654" t="s">
        <v>14</v>
      </c>
      <c r="B654">
        <f t="shared" si="40"/>
        <v>33.706511999999996</v>
      </c>
      <c r="C654">
        <f t="shared" si="41"/>
        <v>-117.866608</v>
      </c>
      <c r="D654">
        <f t="shared" si="42"/>
        <v>44</v>
      </c>
      <c r="E654">
        <v>109.499</v>
      </c>
      <c r="F654">
        <f t="shared" si="43"/>
        <v>-65.498999999999995</v>
      </c>
      <c r="G654">
        <v>36.299999999999997</v>
      </c>
      <c r="H654">
        <v>0.84199999999999997</v>
      </c>
      <c r="I654">
        <v>2.1890000000000001</v>
      </c>
      <c r="J654">
        <v>6</v>
      </c>
      <c r="K654">
        <v>15</v>
      </c>
      <c r="L654">
        <v>8</v>
      </c>
      <c r="M654">
        <v>2.109</v>
      </c>
    </row>
    <row r="655" spans="1:13" ht="15" customHeight="1">
      <c r="A655" t="s">
        <v>14</v>
      </c>
      <c r="B655">
        <f t="shared" si="40"/>
        <v>33.706511999999996</v>
      </c>
      <c r="C655">
        <f t="shared" si="41"/>
        <v>-117.866608</v>
      </c>
      <c r="D655">
        <f t="shared" si="42"/>
        <v>44</v>
      </c>
      <c r="E655">
        <v>110.499</v>
      </c>
      <c r="F655">
        <f t="shared" si="43"/>
        <v>-66.498999999999995</v>
      </c>
      <c r="G655">
        <v>39.283000000000001</v>
      </c>
      <c r="H655">
        <v>0.80800000000000005</v>
      </c>
      <c r="I655">
        <v>1.964</v>
      </c>
      <c r="J655">
        <v>6</v>
      </c>
      <c r="K655">
        <v>16</v>
      </c>
      <c r="L655">
        <v>8</v>
      </c>
      <c r="M655">
        <v>2.2850000000000001</v>
      </c>
    </row>
    <row r="656" spans="1:13" ht="15" customHeight="1">
      <c r="A656" t="s">
        <v>14</v>
      </c>
      <c r="B656">
        <f t="shared" si="40"/>
        <v>33.706511999999996</v>
      </c>
      <c r="C656">
        <f t="shared" si="41"/>
        <v>-117.866608</v>
      </c>
      <c r="D656">
        <f t="shared" si="42"/>
        <v>44</v>
      </c>
      <c r="E656">
        <v>111.499</v>
      </c>
      <c r="F656">
        <f t="shared" si="43"/>
        <v>-67.498999999999995</v>
      </c>
      <c r="G656">
        <v>72.183000000000007</v>
      </c>
      <c r="H656">
        <v>2.4630000000000001</v>
      </c>
      <c r="I656">
        <v>3.3359999999999999</v>
      </c>
      <c r="J656">
        <v>6</v>
      </c>
      <c r="K656">
        <v>28</v>
      </c>
      <c r="L656">
        <v>14</v>
      </c>
      <c r="M656">
        <v>4.4610000000000003</v>
      </c>
    </row>
    <row r="657" spans="1:13" ht="15" customHeight="1">
      <c r="A657" t="s">
        <v>14</v>
      </c>
      <c r="B657">
        <f t="shared" si="40"/>
        <v>33.706511999999996</v>
      </c>
      <c r="C657">
        <f t="shared" si="41"/>
        <v>-117.866608</v>
      </c>
      <c r="D657">
        <f t="shared" si="42"/>
        <v>44</v>
      </c>
      <c r="E657">
        <v>112.499</v>
      </c>
      <c r="F657">
        <f t="shared" si="43"/>
        <v>-68.498999999999995</v>
      </c>
      <c r="G657">
        <v>342.75</v>
      </c>
      <c r="H657">
        <v>5.8949999999999996</v>
      </c>
      <c r="I657">
        <v>1.7190000000000001</v>
      </c>
      <c r="J657">
        <v>8</v>
      </c>
      <c r="K657">
        <v>82</v>
      </c>
      <c r="L657">
        <v>41</v>
      </c>
      <c r="M657" s="1">
        <v>9000000000</v>
      </c>
    </row>
    <row r="658" spans="1:13" ht="15" customHeight="1">
      <c r="A658" t="s">
        <v>14</v>
      </c>
      <c r="B658">
        <f t="shared" si="40"/>
        <v>33.706511999999996</v>
      </c>
      <c r="C658">
        <f t="shared" si="41"/>
        <v>-117.866608</v>
      </c>
      <c r="D658">
        <f t="shared" si="42"/>
        <v>44</v>
      </c>
      <c r="E658">
        <v>113.499</v>
      </c>
      <c r="F658">
        <f t="shared" si="43"/>
        <v>-69.498999999999995</v>
      </c>
      <c r="G658">
        <v>360.267</v>
      </c>
      <c r="H658">
        <v>3.488</v>
      </c>
      <c r="I658">
        <v>0.96799999999999997</v>
      </c>
      <c r="J658">
        <v>9</v>
      </c>
      <c r="K658">
        <v>69</v>
      </c>
      <c r="L658">
        <v>35</v>
      </c>
      <c r="M658" s="1">
        <v>9000000000</v>
      </c>
    </row>
    <row r="659" spans="1:13" ht="15" customHeight="1">
      <c r="A659" t="s">
        <v>14</v>
      </c>
      <c r="B659">
        <f t="shared" si="40"/>
        <v>33.706511999999996</v>
      </c>
      <c r="C659">
        <f t="shared" si="41"/>
        <v>-117.866608</v>
      </c>
      <c r="D659">
        <f t="shared" si="42"/>
        <v>44</v>
      </c>
      <c r="E659">
        <v>114.499</v>
      </c>
      <c r="F659">
        <f t="shared" si="43"/>
        <v>-70.498999999999995</v>
      </c>
      <c r="G659">
        <v>184.31399999999999</v>
      </c>
      <c r="H659">
        <v>8.3610000000000007</v>
      </c>
      <c r="I659">
        <v>4.524</v>
      </c>
      <c r="J659">
        <v>11</v>
      </c>
      <c r="K659">
        <v>177</v>
      </c>
      <c r="L659">
        <v>89</v>
      </c>
      <c r="M659" s="1">
        <v>9000000000</v>
      </c>
    </row>
    <row r="660" spans="1:13" ht="15" customHeight="1">
      <c r="A660" t="s">
        <v>14</v>
      </c>
      <c r="B660">
        <f t="shared" si="40"/>
        <v>33.706511999999996</v>
      </c>
      <c r="C660">
        <f t="shared" si="41"/>
        <v>-117.866608</v>
      </c>
      <c r="D660">
        <f t="shared" si="42"/>
        <v>44</v>
      </c>
      <c r="E660">
        <v>115.499</v>
      </c>
      <c r="F660">
        <f t="shared" si="43"/>
        <v>-71.498999999999995</v>
      </c>
      <c r="G660">
        <v>156.85</v>
      </c>
      <c r="H660">
        <v>7.7670000000000003</v>
      </c>
      <c r="I660">
        <v>4.95</v>
      </c>
      <c r="J660">
        <v>11</v>
      </c>
      <c r="K660">
        <v>150</v>
      </c>
      <c r="L660">
        <v>75</v>
      </c>
      <c r="M660" s="1">
        <v>9000000000</v>
      </c>
    </row>
    <row r="661" spans="1:13" ht="15" customHeight="1">
      <c r="A661" t="s">
        <v>14</v>
      </c>
      <c r="B661">
        <f t="shared" si="40"/>
        <v>33.706511999999996</v>
      </c>
      <c r="C661">
        <f t="shared" si="41"/>
        <v>-117.866608</v>
      </c>
      <c r="D661">
        <f t="shared" si="42"/>
        <v>44</v>
      </c>
      <c r="E661">
        <v>116.499</v>
      </c>
      <c r="F661">
        <f t="shared" si="43"/>
        <v>-72.498999999999995</v>
      </c>
      <c r="G661">
        <v>357.3</v>
      </c>
      <c r="H661">
        <v>10.196999999999999</v>
      </c>
      <c r="I661">
        <v>2.855</v>
      </c>
      <c r="J661">
        <v>12</v>
      </c>
      <c r="K661">
        <v>171</v>
      </c>
      <c r="L661">
        <v>86</v>
      </c>
      <c r="M661" s="1">
        <v>9000000000</v>
      </c>
    </row>
    <row r="662" spans="1:13" ht="15" customHeight="1">
      <c r="A662" t="s">
        <v>14</v>
      </c>
      <c r="B662">
        <f t="shared" si="40"/>
        <v>33.706511999999996</v>
      </c>
      <c r="C662">
        <f t="shared" si="41"/>
        <v>-117.866608</v>
      </c>
      <c r="D662">
        <f t="shared" si="42"/>
        <v>44</v>
      </c>
      <c r="E662">
        <v>117.498</v>
      </c>
      <c r="F662">
        <f t="shared" si="43"/>
        <v>-73.498000000000005</v>
      </c>
      <c r="G662">
        <v>431.3</v>
      </c>
      <c r="H662">
        <v>8.73</v>
      </c>
      <c r="I662">
        <v>2.0249999999999999</v>
      </c>
      <c r="J662">
        <v>8</v>
      </c>
      <c r="K662">
        <v>103</v>
      </c>
      <c r="L662">
        <v>52</v>
      </c>
      <c r="M662" s="1">
        <v>9000000000</v>
      </c>
    </row>
    <row r="663" spans="1:13" ht="15" customHeight="1">
      <c r="A663" t="s">
        <v>15</v>
      </c>
      <c r="B663">
        <f t="shared" si="40"/>
        <v>33.705415000000002</v>
      </c>
      <c r="C663">
        <f t="shared" si="41"/>
        <v>-117.86213499999999</v>
      </c>
      <c r="D663">
        <f t="shared" si="42"/>
        <v>45</v>
      </c>
      <c r="E663">
        <v>0.5</v>
      </c>
      <c r="F663">
        <f t="shared" si="43"/>
        <v>44.5</v>
      </c>
      <c r="G663">
        <v>40.1</v>
      </c>
      <c r="H663">
        <v>0.54300000000000004</v>
      </c>
      <c r="I663">
        <v>1.355</v>
      </c>
      <c r="J663">
        <v>7</v>
      </c>
      <c r="K663">
        <v>13</v>
      </c>
      <c r="L663">
        <v>20</v>
      </c>
      <c r="M663" s="1">
        <v>9000000000</v>
      </c>
    </row>
    <row r="664" spans="1:13" ht="15" customHeight="1">
      <c r="A664" t="s">
        <v>15</v>
      </c>
      <c r="B664">
        <f t="shared" si="40"/>
        <v>33.705415000000002</v>
      </c>
      <c r="C664">
        <f t="shared" si="41"/>
        <v>-117.86213499999999</v>
      </c>
      <c r="D664">
        <f t="shared" si="42"/>
        <v>45</v>
      </c>
      <c r="E664">
        <v>1.5</v>
      </c>
      <c r="F664">
        <f t="shared" si="43"/>
        <v>43.5</v>
      </c>
      <c r="G664">
        <v>21.85</v>
      </c>
      <c r="H664">
        <v>0.46700000000000003</v>
      </c>
      <c r="I664">
        <v>2.1360000000000001</v>
      </c>
      <c r="J664">
        <v>6</v>
      </c>
      <c r="K664">
        <v>8</v>
      </c>
      <c r="L664">
        <v>12</v>
      </c>
      <c r="M664">
        <v>1.4510000000000001</v>
      </c>
    </row>
    <row r="665" spans="1:13" ht="15" customHeight="1">
      <c r="A665" t="s">
        <v>15</v>
      </c>
      <c r="B665">
        <f t="shared" si="40"/>
        <v>33.705415000000002</v>
      </c>
      <c r="C665">
        <f t="shared" si="41"/>
        <v>-117.86213499999999</v>
      </c>
      <c r="D665">
        <f t="shared" si="42"/>
        <v>45</v>
      </c>
      <c r="E665">
        <v>2.5</v>
      </c>
      <c r="F665">
        <f t="shared" si="43"/>
        <v>42.5</v>
      </c>
      <c r="G665">
        <v>16.317</v>
      </c>
      <c r="H665">
        <v>0.16</v>
      </c>
      <c r="I665">
        <v>0.98099999999999998</v>
      </c>
      <c r="J665">
        <v>6</v>
      </c>
      <c r="K665">
        <v>6</v>
      </c>
      <c r="L665">
        <v>9</v>
      </c>
      <c r="M665">
        <v>1.0780000000000001</v>
      </c>
    </row>
    <row r="666" spans="1:13" ht="15" customHeight="1">
      <c r="A666" t="s">
        <v>15</v>
      </c>
      <c r="B666">
        <f t="shared" si="40"/>
        <v>33.705415000000002</v>
      </c>
      <c r="C666">
        <f t="shared" si="41"/>
        <v>-117.86213499999999</v>
      </c>
      <c r="D666">
        <f t="shared" si="42"/>
        <v>45</v>
      </c>
      <c r="E666">
        <v>3.5</v>
      </c>
      <c r="F666">
        <f t="shared" si="43"/>
        <v>41.5</v>
      </c>
      <c r="G666">
        <v>12.85</v>
      </c>
      <c r="H666">
        <v>0.255</v>
      </c>
      <c r="I666">
        <v>1.99</v>
      </c>
      <c r="J666">
        <v>5</v>
      </c>
      <c r="K666">
        <v>6</v>
      </c>
      <c r="L666">
        <v>9</v>
      </c>
      <c r="M666">
        <v>0.84</v>
      </c>
    </row>
    <row r="667" spans="1:13" ht="15" customHeight="1">
      <c r="A667" t="s">
        <v>15</v>
      </c>
      <c r="B667">
        <f t="shared" si="40"/>
        <v>33.705415000000002</v>
      </c>
      <c r="C667">
        <f t="shared" si="41"/>
        <v>-117.86213499999999</v>
      </c>
      <c r="D667">
        <f t="shared" si="42"/>
        <v>45</v>
      </c>
      <c r="E667">
        <v>4.5</v>
      </c>
      <c r="F667">
        <f t="shared" si="43"/>
        <v>40.5</v>
      </c>
      <c r="G667">
        <v>4.5999999999999996</v>
      </c>
      <c r="H667">
        <v>0.222</v>
      </c>
      <c r="I667">
        <v>4.819</v>
      </c>
      <c r="J667">
        <v>3</v>
      </c>
      <c r="K667">
        <v>4</v>
      </c>
      <c r="L667">
        <v>6</v>
      </c>
      <c r="M667">
        <v>0.28799999999999998</v>
      </c>
    </row>
    <row r="668" spans="1:13" ht="15" customHeight="1">
      <c r="A668" t="s">
        <v>15</v>
      </c>
      <c r="B668">
        <f t="shared" si="40"/>
        <v>33.705415000000002</v>
      </c>
      <c r="C668">
        <f t="shared" si="41"/>
        <v>-117.86213499999999</v>
      </c>
      <c r="D668">
        <f t="shared" si="42"/>
        <v>45</v>
      </c>
      <c r="E668">
        <v>5.5</v>
      </c>
      <c r="F668">
        <f t="shared" si="43"/>
        <v>39.5</v>
      </c>
      <c r="G668">
        <v>4.5330000000000004</v>
      </c>
      <c r="H668">
        <v>0.14299999999999999</v>
      </c>
      <c r="I668">
        <v>3.1619999999999999</v>
      </c>
      <c r="J668">
        <v>3</v>
      </c>
      <c r="K668">
        <v>4</v>
      </c>
      <c r="L668">
        <v>6</v>
      </c>
      <c r="M668">
        <v>0.28000000000000003</v>
      </c>
    </row>
    <row r="669" spans="1:13" ht="15" customHeight="1">
      <c r="A669" t="s">
        <v>15</v>
      </c>
      <c r="B669">
        <f t="shared" si="40"/>
        <v>33.705415000000002</v>
      </c>
      <c r="C669">
        <f t="shared" si="41"/>
        <v>-117.86213499999999</v>
      </c>
      <c r="D669">
        <f t="shared" si="42"/>
        <v>45</v>
      </c>
      <c r="E669">
        <v>6.5</v>
      </c>
      <c r="F669">
        <f t="shared" si="43"/>
        <v>38.5</v>
      </c>
      <c r="G669">
        <v>9.3330000000000002</v>
      </c>
      <c r="H669">
        <v>0.36799999999999999</v>
      </c>
      <c r="I669">
        <v>3.9390000000000001</v>
      </c>
      <c r="J669">
        <v>3</v>
      </c>
      <c r="K669">
        <v>9</v>
      </c>
      <c r="L669">
        <v>14</v>
      </c>
      <c r="M669">
        <v>0.59699999999999998</v>
      </c>
    </row>
    <row r="670" spans="1:13" ht="15" customHeight="1">
      <c r="A670" t="s">
        <v>15</v>
      </c>
      <c r="B670">
        <f t="shared" si="40"/>
        <v>33.705415000000002</v>
      </c>
      <c r="C670">
        <f t="shared" si="41"/>
        <v>-117.86213499999999</v>
      </c>
      <c r="D670">
        <f t="shared" si="42"/>
        <v>45</v>
      </c>
      <c r="E670">
        <v>7.5</v>
      </c>
      <c r="F670">
        <f t="shared" si="43"/>
        <v>37.5</v>
      </c>
      <c r="G670">
        <v>12.766999999999999</v>
      </c>
      <c r="H670">
        <v>0.48299999999999998</v>
      </c>
      <c r="I670">
        <v>3.7709999999999999</v>
      </c>
      <c r="J670">
        <v>4</v>
      </c>
      <c r="K670">
        <v>8</v>
      </c>
      <c r="L670">
        <v>12</v>
      </c>
      <c r="M670">
        <v>0.82399999999999995</v>
      </c>
    </row>
    <row r="671" spans="1:13" ht="15" customHeight="1">
      <c r="A671" t="s">
        <v>15</v>
      </c>
      <c r="B671">
        <f t="shared" si="40"/>
        <v>33.705415000000002</v>
      </c>
      <c r="C671">
        <f t="shared" si="41"/>
        <v>-117.86213499999999</v>
      </c>
      <c r="D671">
        <f t="shared" si="42"/>
        <v>45</v>
      </c>
      <c r="E671">
        <v>8.5</v>
      </c>
      <c r="F671">
        <f t="shared" si="43"/>
        <v>36.5</v>
      </c>
      <c r="G671">
        <v>13.683</v>
      </c>
      <c r="H671">
        <v>0.57499999999999996</v>
      </c>
      <c r="I671">
        <v>4.1769999999999996</v>
      </c>
      <c r="J671">
        <v>3</v>
      </c>
      <c r="K671">
        <v>13</v>
      </c>
      <c r="L671">
        <v>20</v>
      </c>
      <c r="M671">
        <v>0.88400000000000001</v>
      </c>
    </row>
    <row r="672" spans="1:13" ht="15" customHeight="1">
      <c r="A672" t="s">
        <v>15</v>
      </c>
      <c r="B672">
        <f t="shared" si="40"/>
        <v>33.705415000000002</v>
      </c>
      <c r="C672">
        <f t="shared" si="41"/>
        <v>-117.86213499999999</v>
      </c>
      <c r="D672">
        <f t="shared" si="42"/>
        <v>45</v>
      </c>
      <c r="E672">
        <v>9.5</v>
      </c>
      <c r="F672">
        <f t="shared" si="43"/>
        <v>35.5</v>
      </c>
      <c r="G672">
        <v>14.167</v>
      </c>
      <c r="H672">
        <v>0.6</v>
      </c>
      <c r="I672">
        <v>4.2149999999999999</v>
      </c>
      <c r="J672">
        <v>3</v>
      </c>
      <c r="K672">
        <v>14</v>
      </c>
      <c r="L672">
        <v>21</v>
      </c>
      <c r="M672">
        <v>0.91</v>
      </c>
    </row>
    <row r="673" spans="1:13" ht="15" customHeight="1">
      <c r="A673" t="s">
        <v>15</v>
      </c>
      <c r="B673">
        <f t="shared" si="40"/>
        <v>33.705415000000002</v>
      </c>
      <c r="C673">
        <f t="shared" si="41"/>
        <v>-117.86213499999999</v>
      </c>
      <c r="D673">
        <f t="shared" si="42"/>
        <v>45</v>
      </c>
      <c r="E673">
        <v>10.5</v>
      </c>
      <c r="F673">
        <f t="shared" si="43"/>
        <v>34.5</v>
      </c>
      <c r="G673">
        <v>12.486000000000001</v>
      </c>
      <c r="H673">
        <v>0.52700000000000002</v>
      </c>
      <c r="I673">
        <v>4.1980000000000004</v>
      </c>
      <c r="J673">
        <v>3</v>
      </c>
      <c r="K673">
        <v>12</v>
      </c>
      <c r="L673">
        <v>17</v>
      </c>
      <c r="M673">
        <v>0.79500000000000004</v>
      </c>
    </row>
    <row r="674" spans="1:13" ht="15" customHeight="1">
      <c r="A674" t="s">
        <v>15</v>
      </c>
      <c r="B674">
        <f t="shared" si="40"/>
        <v>33.705415000000002</v>
      </c>
      <c r="C674">
        <f t="shared" si="41"/>
        <v>-117.86213499999999</v>
      </c>
      <c r="D674">
        <f t="shared" si="42"/>
        <v>45</v>
      </c>
      <c r="E674">
        <v>11.5</v>
      </c>
      <c r="F674">
        <f t="shared" si="43"/>
        <v>33.5</v>
      </c>
      <c r="G674">
        <v>12.917</v>
      </c>
      <c r="H674">
        <v>0.56799999999999995</v>
      </c>
      <c r="I674">
        <v>4.3769999999999998</v>
      </c>
      <c r="J674">
        <v>3</v>
      </c>
      <c r="K674">
        <v>12</v>
      </c>
      <c r="L674">
        <v>16</v>
      </c>
      <c r="M674">
        <v>0.81899999999999995</v>
      </c>
    </row>
    <row r="675" spans="1:13" ht="15" customHeight="1">
      <c r="A675" t="s">
        <v>15</v>
      </c>
      <c r="B675">
        <f t="shared" si="40"/>
        <v>33.705415000000002</v>
      </c>
      <c r="C675">
        <f t="shared" si="41"/>
        <v>-117.86213499999999</v>
      </c>
      <c r="D675">
        <f t="shared" si="42"/>
        <v>45</v>
      </c>
      <c r="E675">
        <v>12.5</v>
      </c>
      <c r="F675">
        <f t="shared" si="43"/>
        <v>32.5</v>
      </c>
      <c r="G675">
        <v>12.4</v>
      </c>
      <c r="H675">
        <v>0.40300000000000002</v>
      </c>
      <c r="I675">
        <v>3.2440000000000002</v>
      </c>
      <c r="J675">
        <v>4</v>
      </c>
      <c r="K675">
        <v>8</v>
      </c>
      <c r="L675">
        <v>10</v>
      </c>
      <c r="M675">
        <v>0.77800000000000002</v>
      </c>
    </row>
    <row r="676" spans="1:13" ht="15" customHeight="1">
      <c r="A676" t="s">
        <v>15</v>
      </c>
      <c r="B676">
        <f t="shared" si="40"/>
        <v>33.705415000000002</v>
      </c>
      <c r="C676">
        <f t="shared" si="41"/>
        <v>-117.86213499999999</v>
      </c>
      <c r="D676">
        <f t="shared" si="42"/>
        <v>45</v>
      </c>
      <c r="E676">
        <v>13.5</v>
      </c>
      <c r="F676">
        <f t="shared" si="43"/>
        <v>31.5</v>
      </c>
      <c r="G676">
        <v>13.167</v>
      </c>
      <c r="H676">
        <v>0.42199999999999999</v>
      </c>
      <c r="I676">
        <v>3.1859999999999999</v>
      </c>
      <c r="J676">
        <v>4</v>
      </c>
      <c r="K676">
        <v>8</v>
      </c>
      <c r="L676">
        <v>9</v>
      </c>
      <c r="M676">
        <v>0.82699999999999996</v>
      </c>
    </row>
    <row r="677" spans="1:13" ht="15" customHeight="1">
      <c r="A677" t="s">
        <v>15</v>
      </c>
      <c r="B677">
        <f t="shared" si="40"/>
        <v>33.705415000000002</v>
      </c>
      <c r="C677">
        <f t="shared" si="41"/>
        <v>-117.86213499999999</v>
      </c>
      <c r="D677">
        <f t="shared" si="42"/>
        <v>45</v>
      </c>
      <c r="E677">
        <v>14.5</v>
      </c>
      <c r="F677">
        <f t="shared" si="43"/>
        <v>30.5</v>
      </c>
      <c r="G677">
        <v>10.333</v>
      </c>
      <c r="H677">
        <v>0.29299999999999998</v>
      </c>
      <c r="I677">
        <v>2.8159999999999998</v>
      </c>
      <c r="J677">
        <v>4</v>
      </c>
      <c r="K677">
        <v>7</v>
      </c>
      <c r="L677">
        <v>8</v>
      </c>
      <c r="M677">
        <v>0.63600000000000001</v>
      </c>
    </row>
    <row r="678" spans="1:13" ht="15" customHeight="1">
      <c r="A678" t="s">
        <v>15</v>
      </c>
      <c r="B678">
        <f t="shared" si="40"/>
        <v>33.705415000000002</v>
      </c>
      <c r="C678">
        <f t="shared" si="41"/>
        <v>-117.86213499999999</v>
      </c>
      <c r="D678">
        <f t="shared" si="42"/>
        <v>45</v>
      </c>
      <c r="E678">
        <v>15.5</v>
      </c>
      <c r="F678">
        <f t="shared" si="43"/>
        <v>29.5</v>
      </c>
      <c r="G678">
        <v>14.183</v>
      </c>
      <c r="H678">
        <v>0.497</v>
      </c>
      <c r="I678">
        <v>3.4769999999999999</v>
      </c>
      <c r="J678">
        <v>4</v>
      </c>
      <c r="K678">
        <v>9</v>
      </c>
      <c r="L678">
        <v>9</v>
      </c>
      <c r="M678">
        <v>0.88900000000000001</v>
      </c>
    </row>
    <row r="679" spans="1:13" ht="15" customHeight="1">
      <c r="A679" t="s">
        <v>15</v>
      </c>
      <c r="B679">
        <f t="shared" si="40"/>
        <v>33.705415000000002</v>
      </c>
      <c r="C679">
        <f t="shared" si="41"/>
        <v>-117.86213499999999</v>
      </c>
      <c r="D679">
        <f t="shared" si="42"/>
        <v>45</v>
      </c>
      <c r="E679">
        <v>16.5</v>
      </c>
      <c r="F679">
        <f t="shared" si="43"/>
        <v>28.5</v>
      </c>
      <c r="G679">
        <v>15.933</v>
      </c>
      <c r="H679">
        <v>0.495</v>
      </c>
      <c r="I679">
        <v>3.0870000000000002</v>
      </c>
      <c r="J679">
        <v>5</v>
      </c>
      <c r="K679">
        <v>8</v>
      </c>
      <c r="L679">
        <v>8</v>
      </c>
      <c r="M679">
        <v>1.002</v>
      </c>
    </row>
    <row r="680" spans="1:13" ht="15" customHeight="1">
      <c r="A680" t="s">
        <v>15</v>
      </c>
      <c r="B680">
        <f t="shared" si="40"/>
        <v>33.705415000000002</v>
      </c>
      <c r="C680">
        <f t="shared" si="41"/>
        <v>-117.86213499999999</v>
      </c>
      <c r="D680">
        <f t="shared" si="42"/>
        <v>45</v>
      </c>
      <c r="E680">
        <v>17.5</v>
      </c>
      <c r="F680">
        <f t="shared" si="43"/>
        <v>27.5</v>
      </c>
      <c r="G680">
        <v>80.632999999999996</v>
      </c>
      <c r="H680">
        <v>0.73</v>
      </c>
      <c r="I680">
        <v>0.90600000000000003</v>
      </c>
      <c r="J680">
        <v>8</v>
      </c>
      <c r="K680">
        <v>19</v>
      </c>
      <c r="L680">
        <v>18</v>
      </c>
      <c r="M680" s="1">
        <v>9000000000</v>
      </c>
    </row>
    <row r="681" spans="1:13" ht="15" customHeight="1">
      <c r="A681" t="s">
        <v>15</v>
      </c>
      <c r="B681">
        <f t="shared" si="40"/>
        <v>33.705415000000002</v>
      </c>
      <c r="C681">
        <f t="shared" si="41"/>
        <v>-117.86213499999999</v>
      </c>
      <c r="D681">
        <f t="shared" si="42"/>
        <v>45</v>
      </c>
      <c r="E681">
        <v>18.5</v>
      </c>
      <c r="F681">
        <f t="shared" si="43"/>
        <v>26.5</v>
      </c>
      <c r="G681">
        <v>9.85</v>
      </c>
      <c r="H681">
        <v>0.28799999999999998</v>
      </c>
      <c r="I681">
        <v>2.927</v>
      </c>
      <c r="J681">
        <v>4</v>
      </c>
      <c r="K681">
        <v>6</v>
      </c>
      <c r="L681">
        <v>5</v>
      </c>
      <c r="M681">
        <v>0.58199999999999996</v>
      </c>
    </row>
    <row r="682" spans="1:13" ht="15" customHeight="1">
      <c r="A682" t="s">
        <v>15</v>
      </c>
      <c r="B682">
        <f t="shared" si="40"/>
        <v>33.705415000000002</v>
      </c>
      <c r="C682">
        <f t="shared" si="41"/>
        <v>-117.86213499999999</v>
      </c>
      <c r="D682">
        <f t="shared" si="42"/>
        <v>45</v>
      </c>
      <c r="E682">
        <v>19.5</v>
      </c>
      <c r="F682">
        <f t="shared" si="43"/>
        <v>25.5</v>
      </c>
      <c r="G682">
        <v>9.2829999999999995</v>
      </c>
      <c r="H682">
        <v>0.26800000000000002</v>
      </c>
      <c r="I682">
        <v>2.875</v>
      </c>
      <c r="J682">
        <v>4</v>
      </c>
      <c r="K682">
        <v>6</v>
      </c>
      <c r="L682">
        <v>5</v>
      </c>
      <c r="M682">
        <v>0.54300000000000004</v>
      </c>
    </row>
    <row r="683" spans="1:13" ht="15" customHeight="1">
      <c r="A683" t="s">
        <v>15</v>
      </c>
      <c r="B683">
        <f t="shared" si="40"/>
        <v>33.705415000000002</v>
      </c>
      <c r="C683">
        <f t="shared" si="41"/>
        <v>-117.86213499999999</v>
      </c>
      <c r="D683">
        <f t="shared" si="42"/>
        <v>45</v>
      </c>
      <c r="E683">
        <v>20.5</v>
      </c>
      <c r="F683">
        <f t="shared" si="43"/>
        <v>24.5</v>
      </c>
      <c r="G683">
        <v>9.7289999999999992</v>
      </c>
      <c r="H683">
        <v>0.26100000000000001</v>
      </c>
      <c r="I683">
        <v>2.6720000000000002</v>
      </c>
      <c r="J683">
        <v>4</v>
      </c>
      <c r="K683">
        <v>6</v>
      </c>
      <c r="L683">
        <v>5</v>
      </c>
      <c r="M683">
        <v>0.56899999999999995</v>
      </c>
    </row>
    <row r="684" spans="1:13" ht="15" customHeight="1">
      <c r="A684" t="s">
        <v>15</v>
      </c>
      <c r="B684">
        <f t="shared" si="40"/>
        <v>33.705415000000002</v>
      </c>
      <c r="C684">
        <f t="shared" si="41"/>
        <v>-117.86213499999999</v>
      </c>
      <c r="D684">
        <f t="shared" si="42"/>
        <v>45</v>
      </c>
      <c r="E684">
        <v>21.5</v>
      </c>
      <c r="F684">
        <f t="shared" si="43"/>
        <v>23.5</v>
      </c>
      <c r="G684">
        <v>16.2</v>
      </c>
      <c r="H684">
        <v>0.53200000000000003</v>
      </c>
      <c r="I684">
        <v>3.262</v>
      </c>
      <c r="J684">
        <v>5</v>
      </c>
      <c r="K684">
        <v>8</v>
      </c>
      <c r="L684">
        <v>7</v>
      </c>
      <c r="M684">
        <v>1</v>
      </c>
    </row>
    <row r="685" spans="1:13" ht="15" customHeight="1">
      <c r="A685" t="s">
        <v>15</v>
      </c>
      <c r="B685">
        <f t="shared" si="40"/>
        <v>33.705415000000002</v>
      </c>
      <c r="C685">
        <f t="shared" si="41"/>
        <v>-117.86213499999999</v>
      </c>
      <c r="D685">
        <f t="shared" si="42"/>
        <v>45</v>
      </c>
      <c r="E685">
        <v>22.5</v>
      </c>
      <c r="F685">
        <f t="shared" si="43"/>
        <v>22.5</v>
      </c>
      <c r="G685">
        <v>20.75</v>
      </c>
      <c r="H685">
        <v>0.61299999999999999</v>
      </c>
      <c r="I685">
        <v>2.9369999999999998</v>
      </c>
      <c r="J685">
        <v>5</v>
      </c>
      <c r="K685">
        <v>10</v>
      </c>
      <c r="L685">
        <v>8</v>
      </c>
      <c r="M685">
        <v>1.3009999999999999</v>
      </c>
    </row>
    <row r="686" spans="1:13" ht="15" customHeight="1">
      <c r="A686" t="s">
        <v>15</v>
      </c>
      <c r="B686">
        <f t="shared" si="40"/>
        <v>33.705415000000002</v>
      </c>
      <c r="C686">
        <f t="shared" si="41"/>
        <v>-117.86213499999999</v>
      </c>
      <c r="D686">
        <f t="shared" si="42"/>
        <v>45</v>
      </c>
      <c r="E686">
        <v>23.5</v>
      </c>
      <c r="F686">
        <f t="shared" si="43"/>
        <v>21.5</v>
      </c>
      <c r="G686">
        <v>28.283000000000001</v>
      </c>
      <c r="H686">
        <v>0.78200000000000003</v>
      </c>
      <c r="I686">
        <v>2.7429999999999999</v>
      </c>
      <c r="J686">
        <v>6</v>
      </c>
      <c r="K686">
        <v>11</v>
      </c>
      <c r="L686">
        <v>8</v>
      </c>
      <c r="M686">
        <v>1.8049999999999999</v>
      </c>
    </row>
    <row r="687" spans="1:13" ht="15" customHeight="1">
      <c r="A687" t="s">
        <v>15</v>
      </c>
      <c r="B687">
        <f t="shared" si="40"/>
        <v>33.705415000000002</v>
      </c>
      <c r="C687">
        <f t="shared" si="41"/>
        <v>-117.86213499999999</v>
      </c>
      <c r="D687">
        <f t="shared" si="42"/>
        <v>45</v>
      </c>
      <c r="E687">
        <v>24.5</v>
      </c>
      <c r="F687">
        <f t="shared" si="43"/>
        <v>20.5</v>
      </c>
      <c r="G687">
        <v>69.216999999999999</v>
      </c>
      <c r="H687">
        <v>3.0230000000000001</v>
      </c>
      <c r="I687">
        <v>4.3609999999999998</v>
      </c>
      <c r="J687">
        <v>5</v>
      </c>
      <c r="K687">
        <v>33</v>
      </c>
      <c r="L687">
        <v>24</v>
      </c>
      <c r="M687">
        <v>4.5229999999999997</v>
      </c>
    </row>
    <row r="688" spans="1:13" ht="15" customHeight="1">
      <c r="A688" t="s">
        <v>15</v>
      </c>
      <c r="B688">
        <f t="shared" si="40"/>
        <v>33.705415000000002</v>
      </c>
      <c r="C688">
        <f t="shared" si="41"/>
        <v>-117.86213499999999</v>
      </c>
      <c r="D688">
        <f t="shared" si="42"/>
        <v>45</v>
      </c>
      <c r="E688">
        <v>25.5</v>
      </c>
      <c r="F688">
        <f t="shared" si="43"/>
        <v>19.5</v>
      </c>
      <c r="G688">
        <v>61.082999999999998</v>
      </c>
      <c r="H688">
        <v>2.97</v>
      </c>
      <c r="I688">
        <v>4.8570000000000002</v>
      </c>
      <c r="J688">
        <v>4</v>
      </c>
      <c r="K688">
        <v>39</v>
      </c>
      <c r="L688">
        <v>28</v>
      </c>
      <c r="M688">
        <v>3.9729999999999999</v>
      </c>
    </row>
    <row r="689" spans="1:13" ht="15" customHeight="1">
      <c r="A689" t="s">
        <v>15</v>
      </c>
      <c r="B689">
        <f t="shared" si="40"/>
        <v>33.705415000000002</v>
      </c>
      <c r="C689">
        <f t="shared" si="41"/>
        <v>-117.86213499999999</v>
      </c>
      <c r="D689">
        <f t="shared" si="42"/>
        <v>45</v>
      </c>
      <c r="E689">
        <v>26.5</v>
      </c>
      <c r="F689">
        <f t="shared" si="43"/>
        <v>18.5</v>
      </c>
      <c r="G689">
        <v>42.982999999999997</v>
      </c>
      <c r="H689">
        <v>2.2650000000000001</v>
      </c>
      <c r="I689">
        <v>5.2610000000000001</v>
      </c>
      <c r="J689">
        <v>3</v>
      </c>
      <c r="K689">
        <v>41</v>
      </c>
      <c r="L689">
        <v>29</v>
      </c>
      <c r="M689">
        <v>2.762</v>
      </c>
    </row>
    <row r="690" spans="1:13" ht="15" customHeight="1">
      <c r="A690" t="s">
        <v>15</v>
      </c>
      <c r="B690">
        <f t="shared" si="40"/>
        <v>33.705415000000002</v>
      </c>
      <c r="C690">
        <f t="shared" si="41"/>
        <v>-117.86213499999999</v>
      </c>
      <c r="D690">
        <f t="shared" si="42"/>
        <v>45</v>
      </c>
      <c r="E690">
        <v>27.5</v>
      </c>
      <c r="F690">
        <f t="shared" si="43"/>
        <v>17.5</v>
      </c>
      <c r="G690">
        <v>27.567</v>
      </c>
      <c r="H690">
        <v>1.538</v>
      </c>
      <c r="I690">
        <v>5.57</v>
      </c>
      <c r="J690">
        <v>3</v>
      </c>
      <c r="K690">
        <v>26</v>
      </c>
      <c r="L690">
        <v>18</v>
      </c>
      <c r="M690">
        <v>1.7290000000000001</v>
      </c>
    </row>
    <row r="691" spans="1:13" ht="15" customHeight="1">
      <c r="A691" t="s">
        <v>15</v>
      </c>
      <c r="B691">
        <f t="shared" si="40"/>
        <v>33.705415000000002</v>
      </c>
      <c r="C691">
        <f t="shared" si="41"/>
        <v>-117.86213499999999</v>
      </c>
      <c r="D691">
        <f t="shared" si="42"/>
        <v>45</v>
      </c>
      <c r="E691">
        <v>28.5</v>
      </c>
      <c r="F691">
        <f t="shared" si="43"/>
        <v>16.5</v>
      </c>
      <c r="G691">
        <v>23.85</v>
      </c>
      <c r="H691">
        <v>1.6419999999999999</v>
      </c>
      <c r="I691">
        <v>6.8879999999999999</v>
      </c>
      <c r="J691">
        <v>3</v>
      </c>
      <c r="K691">
        <v>23</v>
      </c>
      <c r="L691">
        <v>16</v>
      </c>
      <c r="M691">
        <v>1.4730000000000001</v>
      </c>
    </row>
    <row r="692" spans="1:13" ht="15" customHeight="1">
      <c r="A692" t="s">
        <v>15</v>
      </c>
      <c r="B692">
        <f t="shared" si="40"/>
        <v>33.705415000000002</v>
      </c>
      <c r="C692">
        <f t="shared" si="41"/>
        <v>-117.86213499999999</v>
      </c>
      <c r="D692">
        <f t="shared" si="42"/>
        <v>45</v>
      </c>
      <c r="E692">
        <v>29.5</v>
      </c>
      <c r="F692">
        <f t="shared" si="43"/>
        <v>15.5</v>
      </c>
      <c r="G692">
        <v>18.832999999999998</v>
      </c>
      <c r="H692">
        <v>0.88200000000000001</v>
      </c>
      <c r="I692">
        <v>4.6900000000000004</v>
      </c>
      <c r="J692">
        <v>3</v>
      </c>
      <c r="K692">
        <v>18</v>
      </c>
      <c r="L692">
        <v>12</v>
      </c>
      <c r="M692">
        <v>1.133</v>
      </c>
    </row>
    <row r="693" spans="1:13" ht="15" customHeight="1">
      <c r="A693" t="s">
        <v>15</v>
      </c>
      <c r="B693">
        <f t="shared" si="40"/>
        <v>33.705415000000002</v>
      </c>
      <c r="C693">
        <f t="shared" si="41"/>
        <v>-117.86213499999999</v>
      </c>
      <c r="D693">
        <f t="shared" si="42"/>
        <v>45</v>
      </c>
      <c r="E693">
        <v>30.5</v>
      </c>
      <c r="F693">
        <f t="shared" si="43"/>
        <v>14.5</v>
      </c>
      <c r="G693">
        <v>40.866999999999997</v>
      </c>
      <c r="H693">
        <v>2.403</v>
      </c>
      <c r="I693">
        <v>5.883</v>
      </c>
      <c r="J693">
        <v>3</v>
      </c>
      <c r="K693">
        <v>39</v>
      </c>
      <c r="L693">
        <v>26</v>
      </c>
      <c r="M693">
        <v>2.5990000000000002</v>
      </c>
    </row>
    <row r="694" spans="1:13" ht="15" customHeight="1">
      <c r="A694" t="s">
        <v>15</v>
      </c>
      <c r="B694">
        <f t="shared" si="40"/>
        <v>33.705415000000002</v>
      </c>
      <c r="C694">
        <f t="shared" si="41"/>
        <v>-117.86213499999999</v>
      </c>
      <c r="D694">
        <f t="shared" si="42"/>
        <v>45</v>
      </c>
      <c r="E694">
        <v>31.5</v>
      </c>
      <c r="F694">
        <f t="shared" si="43"/>
        <v>13.5</v>
      </c>
      <c r="G694">
        <v>69.557000000000002</v>
      </c>
      <c r="H694">
        <v>2.391</v>
      </c>
      <c r="I694">
        <v>3.4449999999999998</v>
      </c>
      <c r="J694">
        <v>6</v>
      </c>
      <c r="K694">
        <v>27</v>
      </c>
      <c r="L694">
        <v>18</v>
      </c>
      <c r="M694">
        <v>4.4989999999999997</v>
      </c>
    </row>
    <row r="695" spans="1:13" ht="15" customHeight="1">
      <c r="A695" t="s">
        <v>15</v>
      </c>
      <c r="B695">
        <f t="shared" si="40"/>
        <v>33.705415000000002</v>
      </c>
      <c r="C695">
        <f t="shared" si="41"/>
        <v>-117.86213499999999</v>
      </c>
      <c r="D695">
        <f t="shared" si="42"/>
        <v>45</v>
      </c>
      <c r="E695">
        <v>32.5</v>
      </c>
      <c r="F695">
        <f t="shared" si="43"/>
        <v>12.5</v>
      </c>
      <c r="G695">
        <v>161.6</v>
      </c>
      <c r="H695">
        <v>1.33</v>
      </c>
      <c r="I695">
        <v>0.82399999999999995</v>
      </c>
      <c r="J695">
        <v>9</v>
      </c>
      <c r="K695">
        <v>31</v>
      </c>
      <c r="L695">
        <v>20</v>
      </c>
      <c r="M695" s="1">
        <v>9000000000</v>
      </c>
    </row>
    <row r="696" spans="1:13" ht="15" customHeight="1">
      <c r="A696" t="s">
        <v>15</v>
      </c>
      <c r="B696">
        <f t="shared" si="40"/>
        <v>33.705415000000002</v>
      </c>
      <c r="C696">
        <f t="shared" si="41"/>
        <v>-117.86213499999999</v>
      </c>
      <c r="D696">
        <f t="shared" si="42"/>
        <v>45</v>
      </c>
      <c r="E696">
        <v>33.5</v>
      </c>
      <c r="F696">
        <f t="shared" si="43"/>
        <v>11.5</v>
      </c>
      <c r="G696">
        <v>122.533</v>
      </c>
      <c r="H696">
        <v>1.4550000000000001</v>
      </c>
      <c r="I696">
        <v>1.1890000000000001</v>
      </c>
      <c r="J696">
        <v>8</v>
      </c>
      <c r="K696">
        <v>29</v>
      </c>
      <c r="L696">
        <v>19</v>
      </c>
      <c r="M696" s="1">
        <v>9000000000</v>
      </c>
    </row>
    <row r="697" spans="1:13" ht="15" customHeight="1">
      <c r="A697" t="s">
        <v>15</v>
      </c>
      <c r="B697">
        <f t="shared" si="40"/>
        <v>33.705415000000002</v>
      </c>
      <c r="C697">
        <f t="shared" si="41"/>
        <v>-117.86213499999999</v>
      </c>
      <c r="D697">
        <f t="shared" si="42"/>
        <v>45</v>
      </c>
      <c r="E697">
        <v>34.5</v>
      </c>
      <c r="F697">
        <f t="shared" si="43"/>
        <v>10.5</v>
      </c>
      <c r="G697">
        <v>201.28299999999999</v>
      </c>
      <c r="H697">
        <v>1.022</v>
      </c>
      <c r="I697">
        <v>0.50700000000000001</v>
      </c>
      <c r="J697">
        <v>9</v>
      </c>
      <c r="K697">
        <v>39</v>
      </c>
      <c r="L697">
        <v>25</v>
      </c>
      <c r="M697" s="1">
        <v>9000000000</v>
      </c>
    </row>
    <row r="698" spans="1:13" ht="15" customHeight="1">
      <c r="A698" t="s">
        <v>15</v>
      </c>
      <c r="B698">
        <f t="shared" si="40"/>
        <v>33.705415000000002</v>
      </c>
      <c r="C698">
        <f t="shared" si="41"/>
        <v>-117.86213499999999</v>
      </c>
      <c r="D698">
        <f t="shared" si="42"/>
        <v>45</v>
      </c>
      <c r="E698">
        <v>35.5</v>
      </c>
      <c r="F698">
        <f t="shared" si="43"/>
        <v>9.5</v>
      </c>
      <c r="G698">
        <v>202.267</v>
      </c>
      <c r="H698">
        <v>2.5579999999999998</v>
      </c>
      <c r="I698">
        <v>1.2649999999999999</v>
      </c>
      <c r="J698">
        <v>8</v>
      </c>
      <c r="K698">
        <v>48</v>
      </c>
      <c r="L698">
        <v>30</v>
      </c>
      <c r="M698" s="1">
        <v>9000000000</v>
      </c>
    </row>
    <row r="699" spans="1:13" ht="15" customHeight="1">
      <c r="A699" t="s">
        <v>15</v>
      </c>
      <c r="B699">
        <f t="shared" si="40"/>
        <v>33.705415000000002</v>
      </c>
      <c r="C699">
        <f t="shared" si="41"/>
        <v>-117.86213499999999</v>
      </c>
      <c r="D699">
        <f t="shared" si="42"/>
        <v>45</v>
      </c>
      <c r="E699">
        <v>36.5</v>
      </c>
      <c r="F699">
        <f t="shared" si="43"/>
        <v>8.5</v>
      </c>
      <c r="G699">
        <v>220.68299999999999</v>
      </c>
      <c r="H699">
        <v>2.33</v>
      </c>
      <c r="I699">
        <v>1.056</v>
      </c>
      <c r="J699">
        <v>9</v>
      </c>
      <c r="K699">
        <v>42</v>
      </c>
      <c r="L699">
        <v>26</v>
      </c>
      <c r="M699" s="1">
        <v>9000000000</v>
      </c>
    </row>
    <row r="700" spans="1:13" ht="15" customHeight="1">
      <c r="A700" t="s">
        <v>15</v>
      </c>
      <c r="B700">
        <f t="shared" si="40"/>
        <v>33.705415000000002</v>
      </c>
      <c r="C700">
        <f t="shared" si="41"/>
        <v>-117.86213499999999</v>
      </c>
      <c r="D700">
        <f t="shared" si="42"/>
        <v>45</v>
      </c>
      <c r="E700">
        <v>37.5</v>
      </c>
      <c r="F700">
        <f t="shared" si="43"/>
        <v>7.5</v>
      </c>
      <c r="G700">
        <v>192.9</v>
      </c>
      <c r="H700">
        <v>2.5169999999999999</v>
      </c>
      <c r="I700">
        <v>1.3049999999999999</v>
      </c>
      <c r="J700">
        <v>8</v>
      </c>
      <c r="K700">
        <v>46</v>
      </c>
      <c r="L700">
        <v>28</v>
      </c>
      <c r="M700" s="1">
        <v>9000000000</v>
      </c>
    </row>
    <row r="701" spans="1:13" ht="15" customHeight="1">
      <c r="A701" t="s">
        <v>15</v>
      </c>
      <c r="B701">
        <f t="shared" si="40"/>
        <v>33.705415000000002</v>
      </c>
      <c r="C701">
        <f t="shared" si="41"/>
        <v>-117.86213499999999</v>
      </c>
      <c r="D701">
        <f t="shared" si="42"/>
        <v>45</v>
      </c>
      <c r="E701">
        <v>38.5</v>
      </c>
      <c r="F701">
        <f t="shared" si="43"/>
        <v>6.5</v>
      </c>
      <c r="G701">
        <v>143.88300000000001</v>
      </c>
      <c r="H701">
        <v>2.6419999999999999</v>
      </c>
      <c r="I701">
        <v>1.837</v>
      </c>
      <c r="J701">
        <v>7</v>
      </c>
      <c r="K701">
        <v>46</v>
      </c>
      <c r="L701">
        <v>28</v>
      </c>
      <c r="M701" s="1">
        <v>9000000000</v>
      </c>
    </row>
    <row r="702" spans="1:13" ht="15" customHeight="1">
      <c r="A702" t="s">
        <v>15</v>
      </c>
      <c r="B702">
        <f t="shared" si="40"/>
        <v>33.705415000000002</v>
      </c>
      <c r="C702">
        <f t="shared" si="41"/>
        <v>-117.86213499999999</v>
      </c>
      <c r="D702">
        <f t="shared" si="42"/>
        <v>45</v>
      </c>
      <c r="E702">
        <v>39.5</v>
      </c>
      <c r="F702">
        <f t="shared" si="43"/>
        <v>5.5</v>
      </c>
      <c r="G702">
        <v>175.167</v>
      </c>
      <c r="H702">
        <v>3.1680000000000001</v>
      </c>
      <c r="I702">
        <v>1.81</v>
      </c>
      <c r="J702">
        <v>8</v>
      </c>
      <c r="K702">
        <v>42</v>
      </c>
      <c r="L702">
        <v>25</v>
      </c>
      <c r="M702" s="1">
        <v>9000000000</v>
      </c>
    </row>
    <row r="703" spans="1:13" ht="15" customHeight="1">
      <c r="A703" t="s">
        <v>15</v>
      </c>
      <c r="B703">
        <f t="shared" si="40"/>
        <v>33.705415000000002</v>
      </c>
      <c r="C703">
        <f t="shared" si="41"/>
        <v>-117.86213499999999</v>
      </c>
      <c r="D703">
        <f t="shared" si="42"/>
        <v>45</v>
      </c>
      <c r="E703">
        <v>40.5</v>
      </c>
      <c r="F703">
        <f t="shared" si="43"/>
        <v>4.5</v>
      </c>
      <c r="G703">
        <v>79.5</v>
      </c>
      <c r="H703">
        <v>3.33</v>
      </c>
      <c r="I703">
        <v>4.1980000000000004</v>
      </c>
      <c r="J703">
        <v>5</v>
      </c>
      <c r="K703">
        <v>38</v>
      </c>
      <c r="L703">
        <v>22</v>
      </c>
      <c r="M703">
        <v>5.1219999999999999</v>
      </c>
    </row>
    <row r="704" spans="1:13" ht="15" customHeight="1">
      <c r="A704" t="s">
        <v>15</v>
      </c>
      <c r="B704">
        <f t="shared" si="40"/>
        <v>33.705415000000002</v>
      </c>
      <c r="C704">
        <f t="shared" si="41"/>
        <v>-117.86213499999999</v>
      </c>
      <c r="D704">
        <f t="shared" si="42"/>
        <v>45</v>
      </c>
      <c r="E704">
        <v>41.499000000000002</v>
      </c>
      <c r="F704">
        <f t="shared" si="43"/>
        <v>3.5009999999999977</v>
      </c>
      <c r="G704">
        <v>56.042999999999999</v>
      </c>
      <c r="H704">
        <v>2.5760000000000001</v>
      </c>
      <c r="I704">
        <v>4.609</v>
      </c>
      <c r="J704">
        <v>4</v>
      </c>
      <c r="K704">
        <v>36</v>
      </c>
      <c r="L704">
        <v>21</v>
      </c>
      <c r="M704">
        <v>3.556</v>
      </c>
    </row>
    <row r="705" spans="1:13" ht="15" customHeight="1">
      <c r="A705" t="s">
        <v>15</v>
      </c>
      <c r="B705">
        <f t="shared" si="40"/>
        <v>33.705415000000002</v>
      </c>
      <c r="C705">
        <f t="shared" si="41"/>
        <v>-117.86213499999999</v>
      </c>
      <c r="D705">
        <f t="shared" si="42"/>
        <v>45</v>
      </c>
      <c r="E705">
        <v>42.499000000000002</v>
      </c>
      <c r="F705">
        <f t="shared" si="43"/>
        <v>2.5009999999999977</v>
      </c>
      <c r="G705">
        <v>120.533</v>
      </c>
      <c r="H705">
        <v>1.6879999999999999</v>
      </c>
      <c r="I705">
        <v>1.403</v>
      </c>
      <c r="J705">
        <v>8</v>
      </c>
      <c r="K705">
        <v>29</v>
      </c>
      <c r="L705">
        <v>17</v>
      </c>
      <c r="M705" s="1">
        <v>9000000000</v>
      </c>
    </row>
    <row r="706" spans="1:13" ht="15" customHeight="1">
      <c r="A706" t="s">
        <v>15</v>
      </c>
      <c r="B706">
        <f t="shared" ref="B706:B769" si="44">VLOOKUP(A706,XYdata,3,FALSE)</f>
        <v>33.705415000000002</v>
      </c>
      <c r="C706">
        <f t="shared" ref="C706:C769" si="45">VLOOKUP(A706,XYdata,2,FALSE)</f>
        <v>-117.86213499999999</v>
      </c>
      <c r="D706">
        <f t="shared" ref="D706:D769" si="46">VLOOKUP(A706,Elevation,2,FALSE)</f>
        <v>45</v>
      </c>
      <c r="E706">
        <v>43.499000000000002</v>
      </c>
      <c r="F706">
        <f t="shared" si="43"/>
        <v>1.5009999999999977</v>
      </c>
      <c r="G706">
        <v>163.5</v>
      </c>
      <c r="H706">
        <v>2.73</v>
      </c>
      <c r="I706">
        <v>1.6719999999999999</v>
      </c>
      <c r="J706">
        <v>8</v>
      </c>
      <c r="K706">
        <v>39</v>
      </c>
      <c r="L706">
        <v>22</v>
      </c>
      <c r="M706" s="1">
        <v>9000000000</v>
      </c>
    </row>
    <row r="707" spans="1:13" ht="15" customHeight="1">
      <c r="A707" t="s">
        <v>15</v>
      </c>
      <c r="B707">
        <f t="shared" si="44"/>
        <v>33.705415000000002</v>
      </c>
      <c r="C707">
        <f t="shared" si="45"/>
        <v>-117.86213499999999</v>
      </c>
      <c r="D707">
        <f t="shared" si="46"/>
        <v>45</v>
      </c>
      <c r="E707">
        <v>44.499000000000002</v>
      </c>
      <c r="F707">
        <f t="shared" ref="F707:F770" si="47">D707-E707</f>
        <v>0.50099999999999767</v>
      </c>
      <c r="G707">
        <v>140.43299999999999</v>
      </c>
      <c r="H707">
        <v>4.5170000000000003</v>
      </c>
      <c r="I707">
        <v>3.22</v>
      </c>
      <c r="J707">
        <v>6</v>
      </c>
      <c r="K707">
        <v>54</v>
      </c>
      <c r="L707">
        <v>30</v>
      </c>
      <c r="M707">
        <v>9.1669999999999998</v>
      </c>
    </row>
    <row r="708" spans="1:13" ht="15" customHeight="1">
      <c r="A708" t="s">
        <v>15</v>
      </c>
      <c r="B708">
        <f t="shared" si="44"/>
        <v>33.705415000000002</v>
      </c>
      <c r="C708">
        <f t="shared" si="45"/>
        <v>-117.86213499999999</v>
      </c>
      <c r="D708">
        <f t="shared" si="46"/>
        <v>45</v>
      </c>
      <c r="E708">
        <v>45.499000000000002</v>
      </c>
      <c r="F708">
        <f t="shared" si="47"/>
        <v>-0.49900000000000233</v>
      </c>
      <c r="G708">
        <v>135.4</v>
      </c>
      <c r="H708">
        <v>3.012</v>
      </c>
      <c r="I708">
        <v>2.2269999999999999</v>
      </c>
      <c r="J708">
        <v>7</v>
      </c>
      <c r="K708">
        <v>43</v>
      </c>
      <c r="L708">
        <v>24</v>
      </c>
      <c r="M708" s="1">
        <v>9000000000</v>
      </c>
    </row>
    <row r="709" spans="1:13" ht="15" customHeight="1">
      <c r="A709" t="s">
        <v>15</v>
      </c>
      <c r="B709">
        <f t="shared" si="44"/>
        <v>33.705415000000002</v>
      </c>
      <c r="C709">
        <f t="shared" si="45"/>
        <v>-117.86213499999999</v>
      </c>
      <c r="D709">
        <f t="shared" si="46"/>
        <v>45</v>
      </c>
      <c r="E709">
        <v>46.499000000000002</v>
      </c>
      <c r="F709">
        <f t="shared" si="47"/>
        <v>-1.4990000000000023</v>
      </c>
      <c r="G709">
        <v>99.6</v>
      </c>
      <c r="H709">
        <v>2.44</v>
      </c>
      <c r="I709">
        <v>2.4550000000000001</v>
      </c>
      <c r="J709">
        <v>7</v>
      </c>
      <c r="K709">
        <v>32</v>
      </c>
      <c r="L709">
        <v>17</v>
      </c>
      <c r="M709" s="1">
        <v>9000000000</v>
      </c>
    </row>
    <row r="710" spans="1:13" ht="15" customHeight="1">
      <c r="A710" t="s">
        <v>15</v>
      </c>
      <c r="B710">
        <f t="shared" si="44"/>
        <v>33.705415000000002</v>
      </c>
      <c r="C710">
        <f t="shared" si="45"/>
        <v>-117.86213499999999</v>
      </c>
      <c r="D710">
        <f t="shared" si="46"/>
        <v>45</v>
      </c>
      <c r="E710">
        <v>47.499000000000002</v>
      </c>
      <c r="F710">
        <f t="shared" si="47"/>
        <v>-2.4990000000000023</v>
      </c>
      <c r="G710">
        <v>47.783000000000001</v>
      </c>
      <c r="H710">
        <v>2.0150000000000001</v>
      </c>
      <c r="I710">
        <v>4.2350000000000003</v>
      </c>
      <c r="J710">
        <v>4</v>
      </c>
      <c r="K710">
        <v>30</v>
      </c>
      <c r="L710">
        <v>16</v>
      </c>
      <c r="M710">
        <v>2.9769999999999999</v>
      </c>
    </row>
    <row r="711" spans="1:13" ht="15" customHeight="1">
      <c r="A711" t="s">
        <v>15</v>
      </c>
      <c r="B711">
        <f t="shared" si="44"/>
        <v>33.705415000000002</v>
      </c>
      <c r="C711">
        <f t="shared" si="45"/>
        <v>-117.86213499999999</v>
      </c>
      <c r="D711">
        <f t="shared" si="46"/>
        <v>45</v>
      </c>
      <c r="E711">
        <v>48.499000000000002</v>
      </c>
      <c r="F711">
        <f t="shared" si="47"/>
        <v>-3.4990000000000023</v>
      </c>
      <c r="G711">
        <v>77.016999999999996</v>
      </c>
      <c r="H711">
        <v>2.7250000000000001</v>
      </c>
      <c r="I711">
        <v>3.5449999999999999</v>
      </c>
      <c r="J711">
        <v>5</v>
      </c>
      <c r="K711">
        <v>37</v>
      </c>
      <c r="L711">
        <v>20</v>
      </c>
      <c r="M711">
        <v>4.9249999999999998</v>
      </c>
    </row>
    <row r="712" spans="1:13" ht="15" customHeight="1">
      <c r="A712" t="s">
        <v>15</v>
      </c>
      <c r="B712">
        <f t="shared" si="44"/>
        <v>33.705415000000002</v>
      </c>
      <c r="C712">
        <f t="shared" si="45"/>
        <v>-117.86213499999999</v>
      </c>
      <c r="D712">
        <f t="shared" si="46"/>
        <v>45</v>
      </c>
      <c r="E712">
        <v>49.499000000000002</v>
      </c>
      <c r="F712">
        <f t="shared" si="47"/>
        <v>-4.4990000000000023</v>
      </c>
      <c r="G712">
        <v>122.883</v>
      </c>
      <c r="H712">
        <v>1.9970000000000001</v>
      </c>
      <c r="I712">
        <v>1.627</v>
      </c>
      <c r="J712">
        <v>8</v>
      </c>
      <c r="K712">
        <v>29</v>
      </c>
      <c r="L712">
        <v>15</v>
      </c>
      <c r="M712" s="1">
        <v>9000000000</v>
      </c>
    </row>
    <row r="713" spans="1:13" ht="15" customHeight="1">
      <c r="A713" t="s">
        <v>15</v>
      </c>
      <c r="B713">
        <f t="shared" si="44"/>
        <v>33.705415000000002</v>
      </c>
      <c r="C713">
        <f t="shared" si="45"/>
        <v>-117.86213499999999</v>
      </c>
      <c r="D713">
        <f t="shared" si="46"/>
        <v>45</v>
      </c>
      <c r="E713">
        <v>50.499000000000002</v>
      </c>
      <c r="F713">
        <f t="shared" si="47"/>
        <v>-5.4990000000000023</v>
      </c>
      <c r="G713">
        <v>137.233</v>
      </c>
      <c r="H713">
        <v>2.2269999999999999</v>
      </c>
      <c r="I713">
        <v>1.6220000000000001</v>
      </c>
      <c r="J713">
        <v>8</v>
      </c>
      <c r="K713">
        <v>33</v>
      </c>
      <c r="L713">
        <v>17</v>
      </c>
      <c r="M713" s="1">
        <v>9000000000</v>
      </c>
    </row>
    <row r="714" spans="1:13" ht="15" customHeight="1">
      <c r="A714" t="s">
        <v>15</v>
      </c>
      <c r="B714">
        <f t="shared" si="44"/>
        <v>33.705415000000002</v>
      </c>
      <c r="C714">
        <f t="shared" si="45"/>
        <v>-117.86213499999999</v>
      </c>
      <c r="D714">
        <f t="shared" si="46"/>
        <v>45</v>
      </c>
      <c r="E714">
        <v>51.499000000000002</v>
      </c>
      <c r="F714">
        <f t="shared" si="47"/>
        <v>-6.4990000000000023</v>
      </c>
      <c r="G714">
        <v>103.617</v>
      </c>
      <c r="H714">
        <v>2.7450000000000001</v>
      </c>
      <c r="I714">
        <v>2.6520000000000001</v>
      </c>
      <c r="J714">
        <v>6</v>
      </c>
      <c r="K714">
        <v>40</v>
      </c>
      <c r="L714">
        <v>21</v>
      </c>
      <c r="M714">
        <v>6.6890000000000001</v>
      </c>
    </row>
    <row r="715" spans="1:13" ht="15" customHeight="1">
      <c r="A715" t="s">
        <v>15</v>
      </c>
      <c r="B715">
        <f t="shared" si="44"/>
        <v>33.705415000000002</v>
      </c>
      <c r="C715">
        <f t="shared" si="45"/>
        <v>-117.86213499999999</v>
      </c>
      <c r="D715">
        <f t="shared" si="46"/>
        <v>45</v>
      </c>
      <c r="E715">
        <v>52.499000000000002</v>
      </c>
      <c r="F715">
        <f t="shared" si="47"/>
        <v>-7.4990000000000023</v>
      </c>
      <c r="G715">
        <v>64.870999999999995</v>
      </c>
      <c r="H715">
        <v>1.921</v>
      </c>
      <c r="I715">
        <v>2.968</v>
      </c>
      <c r="J715">
        <v>6</v>
      </c>
      <c r="K715">
        <v>25</v>
      </c>
      <c r="L715">
        <v>13</v>
      </c>
      <c r="M715">
        <v>4.0999999999999996</v>
      </c>
    </row>
    <row r="716" spans="1:13" ht="15" customHeight="1">
      <c r="A716" t="s">
        <v>15</v>
      </c>
      <c r="B716">
        <f t="shared" si="44"/>
        <v>33.705415000000002</v>
      </c>
      <c r="C716">
        <f t="shared" si="45"/>
        <v>-117.86213499999999</v>
      </c>
      <c r="D716">
        <f t="shared" si="46"/>
        <v>45</v>
      </c>
      <c r="E716">
        <v>53.499000000000002</v>
      </c>
      <c r="F716">
        <f t="shared" si="47"/>
        <v>-8.4990000000000023</v>
      </c>
      <c r="G716">
        <v>79.433000000000007</v>
      </c>
      <c r="H716">
        <v>1.548</v>
      </c>
      <c r="I716">
        <v>1.952</v>
      </c>
      <c r="J716">
        <v>7</v>
      </c>
      <c r="K716">
        <v>25</v>
      </c>
      <c r="L716">
        <v>13</v>
      </c>
      <c r="M716" s="1">
        <v>9000000000</v>
      </c>
    </row>
    <row r="717" spans="1:13" ht="15" customHeight="1">
      <c r="A717" t="s">
        <v>15</v>
      </c>
      <c r="B717">
        <f t="shared" si="44"/>
        <v>33.705415000000002</v>
      </c>
      <c r="C717">
        <f t="shared" si="45"/>
        <v>-117.86213499999999</v>
      </c>
      <c r="D717">
        <f t="shared" si="46"/>
        <v>45</v>
      </c>
      <c r="E717">
        <v>54.499000000000002</v>
      </c>
      <c r="F717">
        <f t="shared" si="47"/>
        <v>-9.4990000000000023</v>
      </c>
      <c r="G717">
        <v>31.433</v>
      </c>
      <c r="H717">
        <v>1.04</v>
      </c>
      <c r="I717">
        <v>3.3210000000000002</v>
      </c>
      <c r="J717">
        <v>5</v>
      </c>
      <c r="K717">
        <v>15</v>
      </c>
      <c r="L717">
        <v>8</v>
      </c>
      <c r="M717">
        <v>1.8640000000000001</v>
      </c>
    </row>
    <row r="718" spans="1:13" ht="15" customHeight="1">
      <c r="A718" t="s">
        <v>15</v>
      </c>
      <c r="B718">
        <f t="shared" si="44"/>
        <v>33.705415000000002</v>
      </c>
      <c r="C718">
        <f t="shared" si="45"/>
        <v>-117.86213499999999</v>
      </c>
      <c r="D718">
        <f t="shared" si="46"/>
        <v>45</v>
      </c>
      <c r="E718">
        <v>55.499000000000002</v>
      </c>
      <c r="F718">
        <f t="shared" si="47"/>
        <v>-10.499000000000002</v>
      </c>
      <c r="G718">
        <v>28.067</v>
      </c>
      <c r="H718">
        <v>1.198</v>
      </c>
      <c r="I718">
        <v>4.2869999999999999</v>
      </c>
      <c r="J718">
        <v>4</v>
      </c>
      <c r="K718">
        <v>18</v>
      </c>
      <c r="L718">
        <v>9</v>
      </c>
      <c r="M718">
        <v>1.635</v>
      </c>
    </row>
    <row r="719" spans="1:13" ht="15" customHeight="1">
      <c r="A719" t="s">
        <v>15</v>
      </c>
      <c r="B719">
        <f t="shared" si="44"/>
        <v>33.705415000000002</v>
      </c>
      <c r="C719">
        <f t="shared" si="45"/>
        <v>-117.86213499999999</v>
      </c>
      <c r="D719">
        <f t="shared" si="46"/>
        <v>45</v>
      </c>
      <c r="E719">
        <v>56.499000000000002</v>
      </c>
      <c r="F719">
        <f t="shared" si="47"/>
        <v>-11.499000000000002</v>
      </c>
      <c r="G719">
        <v>19.832999999999998</v>
      </c>
      <c r="H719">
        <v>0.57999999999999996</v>
      </c>
      <c r="I719">
        <v>2.9390000000000001</v>
      </c>
      <c r="J719">
        <v>5</v>
      </c>
      <c r="K719">
        <v>9</v>
      </c>
      <c r="L719">
        <v>5</v>
      </c>
      <c r="M719">
        <v>1.083</v>
      </c>
    </row>
    <row r="720" spans="1:13" ht="15" customHeight="1">
      <c r="A720" t="s">
        <v>15</v>
      </c>
      <c r="B720">
        <f t="shared" si="44"/>
        <v>33.705415000000002</v>
      </c>
      <c r="C720">
        <f t="shared" si="45"/>
        <v>-117.86213499999999</v>
      </c>
      <c r="D720">
        <f t="shared" si="46"/>
        <v>45</v>
      </c>
      <c r="E720">
        <v>57.499000000000002</v>
      </c>
      <c r="F720">
        <f t="shared" si="47"/>
        <v>-12.499000000000002</v>
      </c>
      <c r="G720">
        <v>20.233000000000001</v>
      </c>
      <c r="H720">
        <v>0.53700000000000003</v>
      </c>
      <c r="I720">
        <v>2.6659999999999999</v>
      </c>
      <c r="J720">
        <v>5</v>
      </c>
      <c r="K720">
        <v>10</v>
      </c>
      <c r="L720">
        <v>5</v>
      </c>
      <c r="M720">
        <v>1.1060000000000001</v>
      </c>
    </row>
    <row r="721" spans="1:13" ht="15" customHeight="1">
      <c r="A721" t="s">
        <v>15</v>
      </c>
      <c r="B721">
        <f t="shared" si="44"/>
        <v>33.705415000000002</v>
      </c>
      <c r="C721">
        <f t="shared" si="45"/>
        <v>-117.86213499999999</v>
      </c>
      <c r="D721">
        <f t="shared" si="46"/>
        <v>45</v>
      </c>
      <c r="E721">
        <v>58.499000000000002</v>
      </c>
      <c r="F721">
        <f t="shared" si="47"/>
        <v>-13.499000000000002</v>
      </c>
      <c r="G721">
        <v>28.05</v>
      </c>
      <c r="H721">
        <v>1.0249999999999999</v>
      </c>
      <c r="I721">
        <v>3.6669999999999998</v>
      </c>
      <c r="J721">
        <v>5</v>
      </c>
      <c r="K721">
        <v>13</v>
      </c>
      <c r="L721">
        <v>7</v>
      </c>
      <c r="M721">
        <v>1.623</v>
      </c>
    </row>
    <row r="722" spans="1:13" ht="15" customHeight="1">
      <c r="A722" t="s">
        <v>15</v>
      </c>
      <c r="B722">
        <f t="shared" si="44"/>
        <v>33.705415000000002</v>
      </c>
      <c r="C722">
        <f t="shared" si="45"/>
        <v>-117.86213499999999</v>
      </c>
      <c r="D722">
        <f t="shared" si="46"/>
        <v>45</v>
      </c>
      <c r="E722">
        <v>59.499000000000002</v>
      </c>
      <c r="F722">
        <f t="shared" si="47"/>
        <v>-14.499000000000002</v>
      </c>
      <c r="G722">
        <v>22.75</v>
      </c>
      <c r="H722">
        <v>0.90700000000000003</v>
      </c>
      <c r="I722">
        <v>4</v>
      </c>
      <c r="J722">
        <v>4</v>
      </c>
      <c r="K722">
        <v>14</v>
      </c>
      <c r="L722">
        <v>7</v>
      </c>
      <c r="M722">
        <v>1.2669999999999999</v>
      </c>
    </row>
    <row r="723" spans="1:13" ht="15" customHeight="1">
      <c r="A723" t="s">
        <v>15</v>
      </c>
      <c r="B723">
        <f t="shared" si="44"/>
        <v>33.705415000000002</v>
      </c>
      <c r="C723">
        <f t="shared" si="45"/>
        <v>-117.86213499999999</v>
      </c>
      <c r="D723">
        <f t="shared" si="46"/>
        <v>45</v>
      </c>
      <c r="E723">
        <v>60.499000000000002</v>
      </c>
      <c r="F723">
        <f t="shared" si="47"/>
        <v>-15.499000000000002</v>
      </c>
      <c r="G723">
        <v>25.367000000000001</v>
      </c>
      <c r="H723">
        <v>0.9</v>
      </c>
      <c r="I723">
        <v>3.5569999999999999</v>
      </c>
      <c r="J723">
        <v>5</v>
      </c>
      <c r="K723">
        <v>12</v>
      </c>
      <c r="L723">
        <v>6</v>
      </c>
      <c r="M723">
        <v>1.4379999999999999</v>
      </c>
    </row>
    <row r="724" spans="1:13" ht="15" customHeight="1">
      <c r="A724" t="s">
        <v>15</v>
      </c>
      <c r="B724">
        <f t="shared" si="44"/>
        <v>33.705415000000002</v>
      </c>
      <c r="C724">
        <f t="shared" si="45"/>
        <v>-117.86213499999999</v>
      </c>
      <c r="D724">
        <f t="shared" si="46"/>
        <v>45</v>
      </c>
      <c r="E724">
        <v>61.499000000000002</v>
      </c>
      <c r="F724">
        <f t="shared" si="47"/>
        <v>-16.499000000000002</v>
      </c>
      <c r="G724">
        <v>33.383000000000003</v>
      </c>
      <c r="H724">
        <v>0.90200000000000002</v>
      </c>
      <c r="I724">
        <v>2.7050000000000001</v>
      </c>
      <c r="J724">
        <v>6</v>
      </c>
      <c r="K724">
        <v>13</v>
      </c>
      <c r="L724">
        <v>7</v>
      </c>
      <c r="M724">
        <v>1.97</v>
      </c>
    </row>
    <row r="725" spans="1:13" ht="15" customHeight="1">
      <c r="A725" t="s">
        <v>15</v>
      </c>
      <c r="B725">
        <f t="shared" si="44"/>
        <v>33.705415000000002</v>
      </c>
      <c r="C725">
        <f t="shared" si="45"/>
        <v>-117.86213499999999</v>
      </c>
      <c r="D725">
        <f t="shared" si="46"/>
        <v>45</v>
      </c>
      <c r="E725">
        <v>62.499000000000002</v>
      </c>
      <c r="F725">
        <f t="shared" si="47"/>
        <v>-17.499000000000002</v>
      </c>
      <c r="G725">
        <v>118.17100000000001</v>
      </c>
      <c r="H725">
        <v>2.536</v>
      </c>
      <c r="I725">
        <v>2.149</v>
      </c>
      <c r="J725">
        <v>7</v>
      </c>
      <c r="K725">
        <v>38</v>
      </c>
      <c r="L725">
        <v>19</v>
      </c>
      <c r="M725" s="1">
        <v>9000000000</v>
      </c>
    </row>
    <row r="726" spans="1:13" ht="15" customHeight="1">
      <c r="A726" t="s">
        <v>15</v>
      </c>
      <c r="B726">
        <f t="shared" si="44"/>
        <v>33.705415000000002</v>
      </c>
      <c r="C726">
        <f t="shared" si="45"/>
        <v>-117.86213499999999</v>
      </c>
      <c r="D726">
        <f t="shared" si="46"/>
        <v>45</v>
      </c>
      <c r="E726">
        <v>63.499000000000002</v>
      </c>
      <c r="F726">
        <f t="shared" si="47"/>
        <v>-18.499000000000002</v>
      </c>
      <c r="G726">
        <v>130.917</v>
      </c>
      <c r="H726">
        <v>1.403</v>
      </c>
      <c r="I726">
        <v>1.073</v>
      </c>
      <c r="J726">
        <v>8</v>
      </c>
      <c r="K726">
        <v>31</v>
      </c>
      <c r="L726">
        <v>16</v>
      </c>
      <c r="M726" s="1">
        <v>9000000000</v>
      </c>
    </row>
    <row r="727" spans="1:13" ht="15" customHeight="1">
      <c r="A727" t="s">
        <v>15</v>
      </c>
      <c r="B727">
        <f t="shared" si="44"/>
        <v>33.705415000000002</v>
      </c>
      <c r="C727">
        <f t="shared" si="45"/>
        <v>-117.86213499999999</v>
      </c>
      <c r="D727">
        <f t="shared" si="46"/>
        <v>45</v>
      </c>
      <c r="E727">
        <v>64.498999999999995</v>
      </c>
      <c r="F727">
        <f t="shared" si="47"/>
        <v>-19.498999999999995</v>
      </c>
      <c r="G727">
        <v>27.05</v>
      </c>
      <c r="H727">
        <v>0.92800000000000005</v>
      </c>
      <c r="I727">
        <v>3.4529999999999998</v>
      </c>
      <c r="J727">
        <v>5</v>
      </c>
      <c r="K727">
        <v>13</v>
      </c>
      <c r="L727">
        <v>7</v>
      </c>
      <c r="M727">
        <v>1.5269999999999999</v>
      </c>
    </row>
    <row r="728" spans="1:13" ht="15" customHeight="1">
      <c r="A728" t="s">
        <v>15</v>
      </c>
      <c r="B728">
        <f t="shared" si="44"/>
        <v>33.705415000000002</v>
      </c>
      <c r="C728">
        <f t="shared" si="45"/>
        <v>-117.86213499999999</v>
      </c>
      <c r="D728">
        <f t="shared" si="46"/>
        <v>45</v>
      </c>
      <c r="E728">
        <v>65.498999999999995</v>
      </c>
      <c r="F728">
        <f t="shared" si="47"/>
        <v>-20.498999999999995</v>
      </c>
      <c r="G728">
        <v>27.832999999999998</v>
      </c>
      <c r="H728">
        <v>0.84299999999999997</v>
      </c>
      <c r="I728">
        <v>3.05</v>
      </c>
      <c r="J728">
        <v>5</v>
      </c>
      <c r="K728">
        <v>13</v>
      </c>
      <c r="L728">
        <v>7</v>
      </c>
      <c r="M728">
        <v>1.5740000000000001</v>
      </c>
    </row>
    <row r="729" spans="1:13" ht="15" customHeight="1">
      <c r="A729" t="s">
        <v>15</v>
      </c>
      <c r="B729">
        <f t="shared" si="44"/>
        <v>33.705415000000002</v>
      </c>
      <c r="C729">
        <f t="shared" si="45"/>
        <v>-117.86213499999999</v>
      </c>
      <c r="D729">
        <f t="shared" si="46"/>
        <v>45</v>
      </c>
      <c r="E729">
        <v>66.498999999999995</v>
      </c>
      <c r="F729">
        <f t="shared" si="47"/>
        <v>-21.498999999999995</v>
      </c>
      <c r="G729">
        <v>28.216999999999999</v>
      </c>
      <c r="H729">
        <v>0.91300000000000003</v>
      </c>
      <c r="I729">
        <v>3.2519999999999998</v>
      </c>
      <c r="J729">
        <v>5</v>
      </c>
      <c r="K729">
        <v>13</v>
      </c>
      <c r="L729">
        <v>7</v>
      </c>
      <c r="M729">
        <v>1.599</v>
      </c>
    </row>
    <row r="730" spans="1:13" ht="15" customHeight="1">
      <c r="A730" t="s">
        <v>15</v>
      </c>
      <c r="B730">
        <f t="shared" si="44"/>
        <v>33.705415000000002</v>
      </c>
      <c r="C730">
        <f t="shared" si="45"/>
        <v>-117.86213499999999</v>
      </c>
      <c r="D730">
        <f t="shared" si="46"/>
        <v>45</v>
      </c>
      <c r="E730">
        <v>67.498999999999995</v>
      </c>
      <c r="F730">
        <f t="shared" si="47"/>
        <v>-22.498999999999995</v>
      </c>
      <c r="G730">
        <v>25.417000000000002</v>
      </c>
      <c r="H730">
        <v>0.74199999999999999</v>
      </c>
      <c r="I730">
        <v>2.9350000000000001</v>
      </c>
      <c r="J730">
        <v>5</v>
      </c>
      <c r="K730">
        <v>12</v>
      </c>
      <c r="L730">
        <v>6</v>
      </c>
      <c r="M730">
        <v>1.407</v>
      </c>
    </row>
    <row r="731" spans="1:13" ht="15" customHeight="1">
      <c r="A731" t="s">
        <v>15</v>
      </c>
      <c r="B731">
        <f t="shared" si="44"/>
        <v>33.705415000000002</v>
      </c>
      <c r="C731">
        <f t="shared" si="45"/>
        <v>-117.86213499999999</v>
      </c>
      <c r="D731">
        <f t="shared" si="46"/>
        <v>45</v>
      </c>
      <c r="E731">
        <v>68.498999999999995</v>
      </c>
      <c r="F731">
        <f t="shared" si="47"/>
        <v>-23.498999999999995</v>
      </c>
      <c r="G731">
        <v>35.15</v>
      </c>
      <c r="H731">
        <v>1.0269999999999999</v>
      </c>
      <c r="I731">
        <v>2.9350000000000001</v>
      </c>
      <c r="J731">
        <v>5</v>
      </c>
      <c r="K731">
        <v>17</v>
      </c>
      <c r="L731">
        <v>9</v>
      </c>
      <c r="M731">
        <v>2.0510000000000002</v>
      </c>
    </row>
    <row r="732" spans="1:13" ht="15" customHeight="1">
      <c r="A732" t="s">
        <v>15</v>
      </c>
      <c r="B732">
        <f t="shared" si="44"/>
        <v>33.705415000000002</v>
      </c>
      <c r="C732">
        <f t="shared" si="45"/>
        <v>-117.86213499999999</v>
      </c>
      <c r="D732">
        <f t="shared" si="46"/>
        <v>45</v>
      </c>
      <c r="E732">
        <v>69.498999999999995</v>
      </c>
      <c r="F732">
        <f t="shared" si="47"/>
        <v>-24.498999999999995</v>
      </c>
      <c r="G732">
        <v>38.732999999999997</v>
      </c>
      <c r="H732">
        <v>1.4930000000000001</v>
      </c>
      <c r="I732">
        <v>3.867</v>
      </c>
      <c r="J732">
        <v>5</v>
      </c>
      <c r="K732">
        <v>18</v>
      </c>
      <c r="L732">
        <v>9</v>
      </c>
      <c r="M732">
        <v>2.2890000000000001</v>
      </c>
    </row>
    <row r="733" spans="1:13" ht="15" customHeight="1">
      <c r="A733" t="s">
        <v>15</v>
      </c>
      <c r="B733">
        <f t="shared" si="44"/>
        <v>33.705415000000002</v>
      </c>
      <c r="C733">
        <f t="shared" si="45"/>
        <v>-117.86213499999999</v>
      </c>
      <c r="D733">
        <f t="shared" si="46"/>
        <v>45</v>
      </c>
      <c r="E733">
        <v>70.498999999999995</v>
      </c>
      <c r="F733">
        <f t="shared" si="47"/>
        <v>-25.498999999999995</v>
      </c>
      <c r="G733">
        <v>75.766999999999996</v>
      </c>
      <c r="H733">
        <v>1.73</v>
      </c>
      <c r="I733">
        <v>2.286</v>
      </c>
      <c r="J733">
        <v>7</v>
      </c>
      <c r="K733">
        <v>24</v>
      </c>
      <c r="L733">
        <v>12</v>
      </c>
      <c r="M733" s="1">
        <v>9000000000</v>
      </c>
    </row>
    <row r="734" spans="1:13" ht="15" customHeight="1">
      <c r="A734" t="s">
        <v>15</v>
      </c>
      <c r="B734">
        <f t="shared" si="44"/>
        <v>33.705415000000002</v>
      </c>
      <c r="C734">
        <f t="shared" si="45"/>
        <v>-117.86213499999999</v>
      </c>
      <c r="D734">
        <f t="shared" si="46"/>
        <v>45</v>
      </c>
      <c r="E734">
        <v>71.498999999999995</v>
      </c>
      <c r="F734">
        <f t="shared" si="47"/>
        <v>-26.498999999999995</v>
      </c>
      <c r="G734">
        <v>25.15</v>
      </c>
      <c r="H734">
        <v>0.628</v>
      </c>
      <c r="I734">
        <v>2.5070000000000001</v>
      </c>
      <c r="J734">
        <v>6</v>
      </c>
      <c r="K734">
        <v>10</v>
      </c>
      <c r="L734">
        <v>5</v>
      </c>
      <c r="M734">
        <v>1.377</v>
      </c>
    </row>
    <row r="735" spans="1:13" ht="15" customHeight="1">
      <c r="A735" t="s">
        <v>15</v>
      </c>
      <c r="B735">
        <f t="shared" si="44"/>
        <v>33.705415000000002</v>
      </c>
      <c r="C735">
        <f t="shared" si="45"/>
        <v>-117.86213499999999</v>
      </c>
      <c r="D735">
        <f t="shared" si="46"/>
        <v>45</v>
      </c>
      <c r="E735">
        <v>72.498999999999995</v>
      </c>
      <c r="F735">
        <f t="shared" si="47"/>
        <v>-27.498999999999995</v>
      </c>
      <c r="G735">
        <v>24.629000000000001</v>
      </c>
      <c r="H735">
        <v>0.64300000000000002</v>
      </c>
      <c r="I735">
        <v>2.6190000000000002</v>
      </c>
      <c r="J735">
        <v>5</v>
      </c>
      <c r="K735">
        <v>12</v>
      </c>
      <c r="L735">
        <v>6</v>
      </c>
      <c r="M735">
        <v>1.3380000000000001</v>
      </c>
    </row>
    <row r="736" spans="1:13" ht="15" customHeight="1">
      <c r="A736" t="s">
        <v>15</v>
      </c>
      <c r="B736">
        <f t="shared" si="44"/>
        <v>33.705415000000002</v>
      </c>
      <c r="C736">
        <f t="shared" si="45"/>
        <v>-117.86213499999999</v>
      </c>
      <c r="D736">
        <f t="shared" si="46"/>
        <v>45</v>
      </c>
      <c r="E736">
        <v>73.498999999999995</v>
      </c>
      <c r="F736">
        <f t="shared" si="47"/>
        <v>-28.498999999999995</v>
      </c>
      <c r="G736">
        <v>23.15</v>
      </c>
      <c r="H736">
        <v>0.58799999999999997</v>
      </c>
      <c r="I736">
        <v>2.5430000000000001</v>
      </c>
      <c r="J736">
        <v>5</v>
      </c>
      <c r="K736">
        <v>11</v>
      </c>
      <c r="L736">
        <v>6</v>
      </c>
      <c r="M736">
        <v>1.24</v>
      </c>
    </row>
    <row r="737" spans="1:13" ht="15" customHeight="1">
      <c r="A737" t="s">
        <v>15</v>
      </c>
      <c r="B737">
        <f t="shared" si="44"/>
        <v>33.705415000000002</v>
      </c>
      <c r="C737">
        <f t="shared" si="45"/>
        <v>-117.86213499999999</v>
      </c>
      <c r="D737">
        <f t="shared" si="46"/>
        <v>45</v>
      </c>
      <c r="E737">
        <v>74.498999999999995</v>
      </c>
      <c r="F737">
        <f t="shared" si="47"/>
        <v>-29.498999999999995</v>
      </c>
      <c r="G737">
        <v>22.317</v>
      </c>
      <c r="H737">
        <v>0.63500000000000001</v>
      </c>
      <c r="I737">
        <v>2.8450000000000002</v>
      </c>
      <c r="J737">
        <v>5</v>
      </c>
      <c r="K737">
        <v>11</v>
      </c>
      <c r="L737">
        <v>6</v>
      </c>
      <c r="M737">
        <v>1.181</v>
      </c>
    </row>
    <row r="738" spans="1:13" ht="15" customHeight="1">
      <c r="A738" t="s">
        <v>15</v>
      </c>
      <c r="B738">
        <f t="shared" si="44"/>
        <v>33.705415000000002</v>
      </c>
      <c r="C738">
        <f t="shared" si="45"/>
        <v>-117.86213499999999</v>
      </c>
      <c r="D738">
        <f t="shared" si="46"/>
        <v>45</v>
      </c>
      <c r="E738">
        <v>75.498999999999995</v>
      </c>
      <c r="F738">
        <f t="shared" si="47"/>
        <v>-30.498999999999995</v>
      </c>
      <c r="G738">
        <v>24.516999999999999</v>
      </c>
      <c r="H738">
        <v>0.70499999999999996</v>
      </c>
      <c r="I738">
        <v>2.87</v>
      </c>
      <c r="J738">
        <v>5</v>
      </c>
      <c r="K738">
        <v>12</v>
      </c>
      <c r="L738">
        <v>6</v>
      </c>
      <c r="M738">
        <v>1.327</v>
      </c>
    </row>
    <row r="739" spans="1:13" ht="15" customHeight="1">
      <c r="A739" t="s">
        <v>15</v>
      </c>
      <c r="B739">
        <f t="shared" si="44"/>
        <v>33.705415000000002</v>
      </c>
      <c r="C739">
        <f t="shared" si="45"/>
        <v>-117.86213499999999</v>
      </c>
      <c r="D739">
        <f t="shared" si="46"/>
        <v>45</v>
      </c>
      <c r="E739">
        <v>76.498999999999995</v>
      </c>
      <c r="F739">
        <f t="shared" si="47"/>
        <v>-31.498999999999995</v>
      </c>
      <c r="G739">
        <v>28.9</v>
      </c>
      <c r="H739">
        <v>0.86499999999999999</v>
      </c>
      <c r="I739">
        <v>2.99</v>
      </c>
      <c r="J739">
        <v>5</v>
      </c>
      <c r="K739">
        <v>14</v>
      </c>
      <c r="L739">
        <v>7</v>
      </c>
      <c r="M739">
        <v>1.6140000000000001</v>
      </c>
    </row>
    <row r="740" spans="1:13" ht="15" customHeight="1">
      <c r="A740" t="s">
        <v>15</v>
      </c>
      <c r="B740">
        <f t="shared" si="44"/>
        <v>33.705415000000002</v>
      </c>
      <c r="C740">
        <f t="shared" si="45"/>
        <v>-117.86213499999999</v>
      </c>
      <c r="D740">
        <f t="shared" si="46"/>
        <v>45</v>
      </c>
      <c r="E740">
        <v>77.498999999999995</v>
      </c>
      <c r="F740">
        <f t="shared" si="47"/>
        <v>-32.498999999999995</v>
      </c>
      <c r="G740">
        <v>26.933</v>
      </c>
      <c r="H740">
        <v>0.79700000000000004</v>
      </c>
      <c r="I740">
        <v>2.9489999999999998</v>
      </c>
      <c r="J740">
        <v>5</v>
      </c>
      <c r="K740">
        <v>13</v>
      </c>
      <c r="L740">
        <v>7</v>
      </c>
      <c r="M740">
        <v>1.482</v>
      </c>
    </row>
    <row r="741" spans="1:13" ht="15" customHeight="1">
      <c r="A741" t="s">
        <v>15</v>
      </c>
      <c r="B741">
        <f t="shared" si="44"/>
        <v>33.705415000000002</v>
      </c>
      <c r="C741">
        <f t="shared" si="45"/>
        <v>-117.86213499999999</v>
      </c>
      <c r="D741">
        <f t="shared" si="46"/>
        <v>45</v>
      </c>
      <c r="E741">
        <v>78.498999999999995</v>
      </c>
      <c r="F741">
        <f t="shared" si="47"/>
        <v>-33.498999999999995</v>
      </c>
      <c r="G741">
        <v>24.382999999999999</v>
      </c>
      <c r="H741">
        <v>0.48199999999999998</v>
      </c>
      <c r="I741">
        <v>1.962</v>
      </c>
      <c r="J741">
        <v>6</v>
      </c>
      <c r="K741">
        <v>9</v>
      </c>
      <c r="L741">
        <v>5</v>
      </c>
      <c r="M741">
        <v>1.3129999999999999</v>
      </c>
    </row>
    <row r="742" spans="1:13" ht="15" customHeight="1">
      <c r="A742" t="s">
        <v>15</v>
      </c>
      <c r="B742">
        <f t="shared" si="44"/>
        <v>33.705415000000002</v>
      </c>
      <c r="C742">
        <f t="shared" si="45"/>
        <v>-117.86213499999999</v>
      </c>
      <c r="D742">
        <f t="shared" si="46"/>
        <v>45</v>
      </c>
      <c r="E742">
        <v>79.498999999999995</v>
      </c>
      <c r="F742">
        <f t="shared" si="47"/>
        <v>-34.498999999999995</v>
      </c>
      <c r="G742">
        <v>28.132999999999999</v>
      </c>
      <c r="H742">
        <v>0.72199999999999998</v>
      </c>
      <c r="I742">
        <v>2.516</v>
      </c>
      <c r="J742">
        <v>6</v>
      </c>
      <c r="K742">
        <v>11</v>
      </c>
      <c r="L742">
        <v>6</v>
      </c>
      <c r="M742">
        <v>1.585</v>
      </c>
    </row>
    <row r="743" spans="1:13" ht="15" customHeight="1">
      <c r="A743" t="s">
        <v>15</v>
      </c>
      <c r="B743">
        <f t="shared" si="44"/>
        <v>33.705415000000002</v>
      </c>
      <c r="C743">
        <f t="shared" si="45"/>
        <v>-117.86213499999999</v>
      </c>
      <c r="D743">
        <f t="shared" si="46"/>
        <v>45</v>
      </c>
      <c r="E743">
        <v>80.498999999999995</v>
      </c>
      <c r="F743">
        <f t="shared" si="47"/>
        <v>-35.498999999999995</v>
      </c>
      <c r="G743">
        <v>29.483000000000001</v>
      </c>
      <c r="H743">
        <v>0.81</v>
      </c>
      <c r="I743">
        <v>2.649</v>
      </c>
      <c r="J743">
        <v>6</v>
      </c>
      <c r="K743">
        <v>12</v>
      </c>
      <c r="L743">
        <v>6</v>
      </c>
      <c r="M743">
        <v>1.7070000000000001</v>
      </c>
    </row>
    <row r="744" spans="1:13" ht="15" customHeight="1">
      <c r="A744" t="s">
        <v>15</v>
      </c>
      <c r="B744">
        <f t="shared" si="44"/>
        <v>33.705415000000002</v>
      </c>
      <c r="C744">
        <f t="shared" si="45"/>
        <v>-117.86213499999999</v>
      </c>
      <c r="D744">
        <f t="shared" si="46"/>
        <v>45</v>
      </c>
      <c r="E744">
        <v>81.498999999999995</v>
      </c>
      <c r="F744">
        <f t="shared" si="47"/>
        <v>-36.498999999999995</v>
      </c>
      <c r="G744">
        <v>24.766999999999999</v>
      </c>
      <c r="H744">
        <v>0.76</v>
      </c>
      <c r="I744">
        <v>2.9209999999999998</v>
      </c>
      <c r="J744">
        <v>5</v>
      </c>
      <c r="K744">
        <v>12</v>
      </c>
      <c r="L744">
        <v>6</v>
      </c>
      <c r="M744">
        <v>1.399</v>
      </c>
    </row>
    <row r="745" spans="1:13" ht="15" customHeight="1">
      <c r="A745" t="s">
        <v>15</v>
      </c>
      <c r="B745">
        <f t="shared" si="44"/>
        <v>33.705415000000002</v>
      </c>
      <c r="C745">
        <f t="shared" si="45"/>
        <v>-117.86213499999999</v>
      </c>
      <c r="D745">
        <f t="shared" si="46"/>
        <v>45</v>
      </c>
      <c r="E745">
        <v>82.498999999999995</v>
      </c>
      <c r="F745">
        <f t="shared" si="47"/>
        <v>-37.498999999999995</v>
      </c>
      <c r="G745">
        <v>29.4</v>
      </c>
      <c r="H745">
        <v>1.018</v>
      </c>
      <c r="I745">
        <v>3.3039999999999998</v>
      </c>
      <c r="J745">
        <v>5</v>
      </c>
      <c r="K745">
        <v>15</v>
      </c>
      <c r="L745">
        <v>8</v>
      </c>
      <c r="M745">
        <v>1.7150000000000001</v>
      </c>
    </row>
    <row r="746" spans="1:13" ht="15" customHeight="1">
      <c r="A746" t="s">
        <v>15</v>
      </c>
      <c r="B746">
        <f t="shared" si="44"/>
        <v>33.705415000000002</v>
      </c>
      <c r="C746">
        <f t="shared" si="45"/>
        <v>-117.86213499999999</v>
      </c>
      <c r="D746">
        <f t="shared" si="46"/>
        <v>45</v>
      </c>
      <c r="E746">
        <v>83.498999999999995</v>
      </c>
      <c r="F746">
        <f t="shared" si="47"/>
        <v>-38.498999999999995</v>
      </c>
      <c r="G746">
        <v>34.942999999999998</v>
      </c>
      <c r="H746">
        <v>1.2330000000000001</v>
      </c>
      <c r="I746">
        <v>3.38</v>
      </c>
      <c r="J746">
        <v>5</v>
      </c>
      <c r="K746">
        <v>17</v>
      </c>
      <c r="L746">
        <v>9</v>
      </c>
      <c r="M746">
        <v>2.0870000000000002</v>
      </c>
    </row>
    <row r="747" spans="1:13" ht="15" customHeight="1">
      <c r="A747" t="s">
        <v>15</v>
      </c>
      <c r="B747">
        <f t="shared" si="44"/>
        <v>33.705415000000002</v>
      </c>
      <c r="C747">
        <f t="shared" si="45"/>
        <v>-117.86213499999999</v>
      </c>
      <c r="D747">
        <f t="shared" si="46"/>
        <v>45</v>
      </c>
      <c r="E747">
        <v>84.498999999999995</v>
      </c>
      <c r="F747">
        <f t="shared" si="47"/>
        <v>-39.498999999999995</v>
      </c>
      <c r="G747">
        <v>100.45</v>
      </c>
      <c r="H747">
        <v>2.3919999999999999</v>
      </c>
      <c r="I747">
        <v>2.375</v>
      </c>
      <c r="J747">
        <v>7</v>
      </c>
      <c r="K747">
        <v>32</v>
      </c>
      <c r="L747">
        <v>16</v>
      </c>
      <c r="M747" s="1">
        <v>9000000000</v>
      </c>
    </row>
    <row r="748" spans="1:13" ht="15" customHeight="1">
      <c r="A748" t="s">
        <v>15</v>
      </c>
      <c r="B748">
        <f t="shared" si="44"/>
        <v>33.705415000000002</v>
      </c>
      <c r="C748">
        <f t="shared" si="45"/>
        <v>-117.86213499999999</v>
      </c>
      <c r="D748">
        <f t="shared" si="46"/>
        <v>45</v>
      </c>
      <c r="E748">
        <v>85.498999999999995</v>
      </c>
      <c r="F748">
        <f t="shared" si="47"/>
        <v>-40.498999999999995</v>
      </c>
      <c r="G748">
        <v>145.21700000000001</v>
      </c>
      <c r="H748">
        <v>2.8029999999999999</v>
      </c>
      <c r="I748">
        <v>1.931</v>
      </c>
      <c r="J748">
        <v>7</v>
      </c>
      <c r="K748">
        <v>46</v>
      </c>
      <c r="L748">
        <v>23</v>
      </c>
      <c r="M748" s="1">
        <v>9000000000</v>
      </c>
    </row>
    <row r="749" spans="1:13" ht="15" customHeight="1">
      <c r="A749" t="s">
        <v>15</v>
      </c>
      <c r="B749">
        <f t="shared" si="44"/>
        <v>33.705415000000002</v>
      </c>
      <c r="C749">
        <f t="shared" si="45"/>
        <v>-117.86213499999999</v>
      </c>
      <c r="D749">
        <f t="shared" si="46"/>
        <v>45</v>
      </c>
      <c r="E749">
        <v>86.498999999999995</v>
      </c>
      <c r="F749">
        <f t="shared" si="47"/>
        <v>-41.498999999999995</v>
      </c>
      <c r="G749">
        <v>139.5</v>
      </c>
      <c r="H749">
        <v>2.46</v>
      </c>
      <c r="I749">
        <v>1.7649999999999999</v>
      </c>
      <c r="J749">
        <v>7</v>
      </c>
      <c r="K749">
        <v>44</v>
      </c>
      <c r="L749">
        <v>22</v>
      </c>
      <c r="M749" s="1">
        <v>9000000000</v>
      </c>
    </row>
    <row r="750" spans="1:13" ht="15" customHeight="1">
      <c r="A750" t="s">
        <v>15</v>
      </c>
      <c r="B750">
        <f t="shared" si="44"/>
        <v>33.705415000000002</v>
      </c>
      <c r="C750">
        <f t="shared" si="45"/>
        <v>-117.86213499999999</v>
      </c>
      <c r="D750">
        <f t="shared" si="46"/>
        <v>45</v>
      </c>
      <c r="E750">
        <v>87.498999999999995</v>
      </c>
      <c r="F750">
        <f t="shared" si="47"/>
        <v>-42.498999999999995</v>
      </c>
      <c r="G750">
        <v>36.667000000000002</v>
      </c>
      <c r="H750">
        <v>1.2829999999999999</v>
      </c>
      <c r="I750">
        <v>3.5110000000000001</v>
      </c>
      <c r="J750">
        <v>5</v>
      </c>
      <c r="K750">
        <v>18</v>
      </c>
      <c r="L750">
        <v>9</v>
      </c>
      <c r="M750">
        <v>2.0760000000000001</v>
      </c>
    </row>
    <row r="751" spans="1:13" ht="15" customHeight="1">
      <c r="A751" t="s">
        <v>15</v>
      </c>
      <c r="B751">
        <f t="shared" si="44"/>
        <v>33.705415000000002</v>
      </c>
      <c r="C751">
        <f t="shared" si="45"/>
        <v>-117.86213499999999</v>
      </c>
      <c r="D751">
        <f t="shared" si="46"/>
        <v>45</v>
      </c>
      <c r="E751">
        <v>88.498999999999995</v>
      </c>
      <c r="F751">
        <f t="shared" si="47"/>
        <v>-43.498999999999995</v>
      </c>
      <c r="G751">
        <v>30.516999999999999</v>
      </c>
      <c r="H751">
        <v>0.92500000000000004</v>
      </c>
      <c r="I751">
        <v>3.044</v>
      </c>
      <c r="J751">
        <v>5</v>
      </c>
      <c r="K751">
        <v>15</v>
      </c>
      <c r="L751">
        <v>8</v>
      </c>
      <c r="M751">
        <v>1.661</v>
      </c>
    </row>
    <row r="752" spans="1:13" ht="15" customHeight="1">
      <c r="A752" t="s">
        <v>15</v>
      </c>
      <c r="B752">
        <f t="shared" si="44"/>
        <v>33.705415000000002</v>
      </c>
      <c r="C752">
        <f t="shared" si="45"/>
        <v>-117.86213499999999</v>
      </c>
      <c r="D752">
        <f t="shared" si="46"/>
        <v>45</v>
      </c>
      <c r="E752">
        <v>89.498999999999995</v>
      </c>
      <c r="F752">
        <f t="shared" si="47"/>
        <v>-44.498999999999995</v>
      </c>
      <c r="G752">
        <v>32.75</v>
      </c>
      <c r="H752">
        <v>0.82499999999999996</v>
      </c>
      <c r="I752">
        <v>2.5270000000000001</v>
      </c>
      <c r="J752">
        <v>6</v>
      </c>
      <c r="K752">
        <v>13</v>
      </c>
      <c r="L752">
        <v>7</v>
      </c>
      <c r="M752">
        <v>1.8080000000000001</v>
      </c>
    </row>
    <row r="753" spans="1:13" ht="15" customHeight="1">
      <c r="A753" t="s">
        <v>15</v>
      </c>
      <c r="B753">
        <f t="shared" si="44"/>
        <v>33.705415000000002</v>
      </c>
      <c r="C753">
        <f t="shared" si="45"/>
        <v>-117.86213499999999</v>
      </c>
      <c r="D753">
        <f t="shared" si="46"/>
        <v>45</v>
      </c>
      <c r="E753">
        <v>90.498999999999995</v>
      </c>
      <c r="F753">
        <f t="shared" si="47"/>
        <v>-45.498999999999995</v>
      </c>
      <c r="G753">
        <v>50.332999999999998</v>
      </c>
      <c r="H753">
        <v>1.772</v>
      </c>
      <c r="I753">
        <v>3.5259999999999998</v>
      </c>
      <c r="J753">
        <v>5</v>
      </c>
      <c r="K753">
        <v>24</v>
      </c>
      <c r="L753">
        <v>12</v>
      </c>
      <c r="M753">
        <v>2.9769999999999999</v>
      </c>
    </row>
    <row r="754" spans="1:13" ht="15" customHeight="1">
      <c r="A754" t="s">
        <v>15</v>
      </c>
      <c r="B754">
        <f t="shared" si="44"/>
        <v>33.705415000000002</v>
      </c>
      <c r="C754">
        <f t="shared" si="45"/>
        <v>-117.86213499999999</v>
      </c>
      <c r="D754">
        <f t="shared" si="46"/>
        <v>45</v>
      </c>
      <c r="E754">
        <v>91.498999999999995</v>
      </c>
      <c r="F754">
        <f t="shared" si="47"/>
        <v>-46.498999999999995</v>
      </c>
      <c r="G754">
        <v>201.5</v>
      </c>
      <c r="H754">
        <v>1.28</v>
      </c>
      <c r="I754">
        <v>0.63500000000000001</v>
      </c>
      <c r="J754">
        <v>9</v>
      </c>
      <c r="K754">
        <v>39</v>
      </c>
      <c r="L754">
        <v>20</v>
      </c>
      <c r="M754" s="1">
        <v>9000000000</v>
      </c>
    </row>
    <row r="755" spans="1:13" ht="15" customHeight="1">
      <c r="A755" t="s">
        <v>15</v>
      </c>
      <c r="B755">
        <f t="shared" si="44"/>
        <v>33.705415000000002</v>
      </c>
      <c r="C755">
        <f t="shared" si="45"/>
        <v>-117.86213499999999</v>
      </c>
      <c r="D755">
        <f t="shared" si="46"/>
        <v>45</v>
      </c>
      <c r="E755">
        <v>92.498999999999995</v>
      </c>
      <c r="F755">
        <f t="shared" si="47"/>
        <v>-47.498999999999995</v>
      </c>
      <c r="G755">
        <v>283.21699999999998</v>
      </c>
      <c r="H755">
        <v>1.282</v>
      </c>
      <c r="I755">
        <v>0.45300000000000001</v>
      </c>
      <c r="J755">
        <v>10</v>
      </c>
      <c r="K755">
        <v>45</v>
      </c>
      <c r="L755">
        <v>23</v>
      </c>
      <c r="M755" s="1">
        <v>9000000000</v>
      </c>
    </row>
    <row r="756" spans="1:13" ht="15" customHeight="1">
      <c r="A756" t="s">
        <v>15</v>
      </c>
      <c r="B756">
        <f t="shared" si="44"/>
        <v>33.705415000000002</v>
      </c>
      <c r="C756">
        <f t="shared" si="45"/>
        <v>-117.86213499999999</v>
      </c>
      <c r="D756">
        <f t="shared" si="46"/>
        <v>45</v>
      </c>
      <c r="E756">
        <v>93.498999999999995</v>
      </c>
      <c r="F756">
        <f t="shared" si="47"/>
        <v>-48.498999999999995</v>
      </c>
      <c r="G756">
        <v>250.65700000000001</v>
      </c>
      <c r="H756">
        <v>1.9239999999999999</v>
      </c>
      <c r="I756">
        <v>0.76800000000000002</v>
      </c>
      <c r="J756">
        <v>9</v>
      </c>
      <c r="K756">
        <v>48</v>
      </c>
      <c r="L756">
        <v>24</v>
      </c>
      <c r="M756" s="1">
        <v>9000000000</v>
      </c>
    </row>
    <row r="757" spans="1:13" ht="15" customHeight="1">
      <c r="A757" t="s">
        <v>15</v>
      </c>
      <c r="B757">
        <f t="shared" si="44"/>
        <v>33.705415000000002</v>
      </c>
      <c r="C757">
        <f t="shared" si="45"/>
        <v>-117.86213499999999</v>
      </c>
      <c r="D757">
        <f t="shared" si="46"/>
        <v>45</v>
      </c>
      <c r="E757">
        <v>94.498999999999995</v>
      </c>
      <c r="F757">
        <f t="shared" si="47"/>
        <v>-49.498999999999995</v>
      </c>
      <c r="G757">
        <v>109.517</v>
      </c>
      <c r="H757">
        <v>2.1379999999999999</v>
      </c>
      <c r="I757">
        <v>1.9530000000000001</v>
      </c>
      <c r="J757">
        <v>7</v>
      </c>
      <c r="K757">
        <v>35</v>
      </c>
      <c r="L757">
        <v>18</v>
      </c>
      <c r="M757" s="1">
        <v>9000000000</v>
      </c>
    </row>
    <row r="758" spans="1:13" ht="15" customHeight="1">
      <c r="A758" t="s">
        <v>15</v>
      </c>
      <c r="B758">
        <f t="shared" si="44"/>
        <v>33.705415000000002</v>
      </c>
      <c r="C758">
        <f t="shared" si="45"/>
        <v>-117.86213499999999</v>
      </c>
      <c r="D758">
        <f t="shared" si="46"/>
        <v>45</v>
      </c>
      <c r="E758">
        <v>95.498999999999995</v>
      </c>
      <c r="F758">
        <f t="shared" si="47"/>
        <v>-50.498999999999995</v>
      </c>
      <c r="G758">
        <v>242.733</v>
      </c>
      <c r="H758">
        <v>2.1680000000000001</v>
      </c>
      <c r="I758">
        <v>0.89400000000000002</v>
      </c>
      <c r="J758">
        <v>9</v>
      </c>
      <c r="K758">
        <v>46</v>
      </c>
      <c r="L758">
        <v>23</v>
      </c>
      <c r="M758" s="1">
        <v>9000000000</v>
      </c>
    </row>
    <row r="759" spans="1:13" ht="15" customHeight="1">
      <c r="A759" t="s">
        <v>15</v>
      </c>
      <c r="B759">
        <f t="shared" si="44"/>
        <v>33.705415000000002</v>
      </c>
      <c r="C759">
        <f t="shared" si="45"/>
        <v>-117.86213499999999</v>
      </c>
      <c r="D759">
        <f t="shared" si="46"/>
        <v>45</v>
      </c>
      <c r="E759">
        <v>96.498999999999995</v>
      </c>
      <c r="F759">
        <f t="shared" si="47"/>
        <v>-51.498999999999995</v>
      </c>
      <c r="G759">
        <v>84.85</v>
      </c>
      <c r="H759">
        <v>2.6680000000000001</v>
      </c>
      <c r="I759">
        <v>3.1469999999999998</v>
      </c>
      <c r="J759">
        <v>6</v>
      </c>
      <c r="K759">
        <v>32</v>
      </c>
      <c r="L759">
        <v>16</v>
      </c>
      <c r="M759">
        <v>5.2539999999999996</v>
      </c>
    </row>
    <row r="760" spans="1:13" ht="15" customHeight="1">
      <c r="A760" t="s">
        <v>15</v>
      </c>
      <c r="B760">
        <f t="shared" si="44"/>
        <v>33.705415000000002</v>
      </c>
      <c r="C760">
        <f t="shared" si="45"/>
        <v>-117.86213499999999</v>
      </c>
      <c r="D760">
        <f t="shared" si="46"/>
        <v>45</v>
      </c>
      <c r="E760">
        <v>97.498999999999995</v>
      </c>
      <c r="F760">
        <f t="shared" si="47"/>
        <v>-52.498999999999995</v>
      </c>
      <c r="G760">
        <v>238.667</v>
      </c>
      <c r="H760">
        <v>2.903</v>
      </c>
      <c r="I760">
        <v>1.216</v>
      </c>
      <c r="J760">
        <v>9</v>
      </c>
      <c r="K760">
        <v>46</v>
      </c>
      <c r="L760">
        <v>23</v>
      </c>
      <c r="M760" s="1">
        <v>9000000000</v>
      </c>
    </row>
    <row r="761" spans="1:13" ht="15" customHeight="1">
      <c r="A761" t="s">
        <v>15</v>
      </c>
      <c r="B761">
        <f t="shared" si="44"/>
        <v>33.705415000000002</v>
      </c>
      <c r="C761">
        <f t="shared" si="45"/>
        <v>-117.86213499999999</v>
      </c>
      <c r="D761">
        <f t="shared" si="46"/>
        <v>45</v>
      </c>
      <c r="E761">
        <v>98.498999999999995</v>
      </c>
      <c r="F761">
        <f t="shared" si="47"/>
        <v>-53.498999999999995</v>
      </c>
      <c r="G761">
        <v>103.25</v>
      </c>
      <c r="H761">
        <v>2.468</v>
      </c>
      <c r="I761">
        <v>2.3889999999999998</v>
      </c>
      <c r="J761">
        <v>7</v>
      </c>
      <c r="K761">
        <v>33</v>
      </c>
      <c r="L761">
        <v>17</v>
      </c>
      <c r="M761" s="1">
        <v>9000000000</v>
      </c>
    </row>
    <row r="762" spans="1:13" ht="15" customHeight="1">
      <c r="A762" t="s">
        <v>15</v>
      </c>
      <c r="B762">
        <f t="shared" si="44"/>
        <v>33.705415000000002</v>
      </c>
      <c r="C762">
        <f t="shared" si="45"/>
        <v>-117.86213499999999</v>
      </c>
      <c r="D762">
        <f t="shared" si="46"/>
        <v>45</v>
      </c>
      <c r="E762">
        <v>99.498999999999995</v>
      </c>
      <c r="F762">
        <f t="shared" si="47"/>
        <v>-54.498999999999995</v>
      </c>
      <c r="G762">
        <v>52.75</v>
      </c>
      <c r="H762">
        <v>1.502</v>
      </c>
      <c r="I762">
        <v>2.8250000000000002</v>
      </c>
      <c r="J762">
        <v>6</v>
      </c>
      <c r="K762">
        <v>20</v>
      </c>
      <c r="L762">
        <v>10</v>
      </c>
      <c r="M762">
        <v>3.133</v>
      </c>
    </row>
    <row r="763" spans="1:13" ht="15" customHeight="1">
      <c r="A763" t="s">
        <v>15</v>
      </c>
      <c r="B763">
        <f t="shared" si="44"/>
        <v>33.705415000000002</v>
      </c>
      <c r="C763">
        <f t="shared" si="45"/>
        <v>-117.86213499999999</v>
      </c>
      <c r="D763">
        <f t="shared" si="46"/>
        <v>45</v>
      </c>
      <c r="E763">
        <v>100.499</v>
      </c>
      <c r="F763">
        <f t="shared" si="47"/>
        <v>-55.498999999999995</v>
      </c>
      <c r="G763">
        <v>44.732999999999997</v>
      </c>
      <c r="H763">
        <v>1.4470000000000001</v>
      </c>
      <c r="I763">
        <v>3.1560000000000001</v>
      </c>
      <c r="J763">
        <v>5</v>
      </c>
      <c r="K763">
        <v>22</v>
      </c>
      <c r="L763">
        <v>11</v>
      </c>
      <c r="M763">
        <v>2.641</v>
      </c>
    </row>
    <row r="764" spans="1:13" ht="15" customHeight="1">
      <c r="A764" t="s">
        <v>15</v>
      </c>
      <c r="B764">
        <f t="shared" si="44"/>
        <v>33.705415000000002</v>
      </c>
      <c r="C764">
        <f t="shared" si="45"/>
        <v>-117.86213499999999</v>
      </c>
      <c r="D764">
        <f t="shared" si="46"/>
        <v>45</v>
      </c>
      <c r="E764">
        <v>101.499</v>
      </c>
      <c r="F764">
        <f t="shared" si="47"/>
        <v>-56.498999999999995</v>
      </c>
      <c r="G764">
        <v>47.667000000000002</v>
      </c>
      <c r="H764">
        <v>1.855</v>
      </c>
      <c r="I764">
        <v>3.7829999999999999</v>
      </c>
      <c r="J764">
        <v>5</v>
      </c>
      <c r="K764">
        <v>23</v>
      </c>
      <c r="L764">
        <v>12</v>
      </c>
      <c r="M764">
        <v>2.85</v>
      </c>
    </row>
    <row r="765" spans="1:13" ht="15" customHeight="1">
      <c r="A765" t="s">
        <v>15</v>
      </c>
      <c r="B765">
        <f t="shared" si="44"/>
        <v>33.705415000000002</v>
      </c>
      <c r="C765">
        <f t="shared" si="45"/>
        <v>-117.86213499999999</v>
      </c>
      <c r="D765">
        <f t="shared" si="46"/>
        <v>45</v>
      </c>
      <c r="E765">
        <v>102.499</v>
      </c>
      <c r="F765">
        <f t="shared" si="47"/>
        <v>-57.498999999999995</v>
      </c>
      <c r="G765">
        <v>225.167</v>
      </c>
      <c r="H765">
        <v>5.0179999999999998</v>
      </c>
      <c r="I765">
        <v>2.226</v>
      </c>
      <c r="J765">
        <v>7</v>
      </c>
      <c r="K765">
        <v>72</v>
      </c>
      <c r="L765">
        <v>36</v>
      </c>
      <c r="M765" s="1">
        <v>9000000000</v>
      </c>
    </row>
    <row r="766" spans="1:13" ht="15" customHeight="1">
      <c r="A766" t="s">
        <v>15</v>
      </c>
      <c r="B766">
        <f t="shared" si="44"/>
        <v>33.705415000000002</v>
      </c>
      <c r="C766">
        <f t="shared" si="45"/>
        <v>-117.86213499999999</v>
      </c>
      <c r="D766">
        <f t="shared" si="46"/>
        <v>45</v>
      </c>
      <c r="E766">
        <v>103.499</v>
      </c>
      <c r="F766">
        <f t="shared" si="47"/>
        <v>-58.498999999999995</v>
      </c>
      <c r="G766">
        <v>492.483</v>
      </c>
      <c r="H766">
        <v>5.5720000000000001</v>
      </c>
      <c r="I766">
        <v>1.1319999999999999</v>
      </c>
      <c r="J766">
        <v>9</v>
      </c>
      <c r="K766">
        <v>94</v>
      </c>
      <c r="L766">
        <v>47</v>
      </c>
      <c r="M766" s="1">
        <v>9000000000</v>
      </c>
    </row>
    <row r="767" spans="1:13" ht="15" customHeight="1">
      <c r="A767" t="s">
        <v>15</v>
      </c>
      <c r="B767">
        <f t="shared" si="44"/>
        <v>33.705415000000002</v>
      </c>
      <c r="C767">
        <f t="shared" si="45"/>
        <v>-117.86213499999999</v>
      </c>
      <c r="D767">
        <f t="shared" si="46"/>
        <v>45</v>
      </c>
      <c r="E767">
        <v>104.499</v>
      </c>
      <c r="F767">
        <f t="shared" si="47"/>
        <v>-59.498999999999995</v>
      </c>
      <c r="G767">
        <v>286.39999999999998</v>
      </c>
      <c r="H767">
        <v>3.7360000000000002</v>
      </c>
      <c r="I767">
        <v>1.3049999999999999</v>
      </c>
      <c r="J767">
        <v>9</v>
      </c>
      <c r="K767">
        <v>55</v>
      </c>
      <c r="L767">
        <v>28</v>
      </c>
      <c r="M767" s="1">
        <v>9000000000</v>
      </c>
    </row>
    <row r="768" spans="1:13" ht="15" customHeight="1">
      <c r="A768" t="s">
        <v>15</v>
      </c>
      <c r="B768">
        <f t="shared" si="44"/>
        <v>33.705415000000002</v>
      </c>
      <c r="C768">
        <f t="shared" si="45"/>
        <v>-117.86213499999999</v>
      </c>
      <c r="D768">
        <f t="shared" si="46"/>
        <v>45</v>
      </c>
      <c r="E768">
        <v>105.499</v>
      </c>
      <c r="F768">
        <f t="shared" si="47"/>
        <v>-60.498999999999995</v>
      </c>
      <c r="G768">
        <v>127.833</v>
      </c>
      <c r="H768">
        <v>4.87</v>
      </c>
      <c r="I768">
        <v>3.81</v>
      </c>
      <c r="J768">
        <v>6</v>
      </c>
      <c r="K768">
        <v>49</v>
      </c>
      <c r="L768">
        <v>25</v>
      </c>
      <c r="M768">
        <v>8.0860000000000003</v>
      </c>
    </row>
    <row r="769" spans="1:13" ht="15" customHeight="1">
      <c r="A769" t="s">
        <v>15</v>
      </c>
      <c r="B769">
        <f t="shared" si="44"/>
        <v>33.705415000000002</v>
      </c>
      <c r="C769">
        <f t="shared" si="45"/>
        <v>-117.86213499999999</v>
      </c>
      <c r="D769">
        <f t="shared" si="46"/>
        <v>45</v>
      </c>
      <c r="E769">
        <v>106.499</v>
      </c>
      <c r="F769">
        <f t="shared" si="47"/>
        <v>-61.498999999999995</v>
      </c>
      <c r="G769">
        <v>135.767</v>
      </c>
      <c r="H769">
        <v>5.2519999999999998</v>
      </c>
      <c r="I769">
        <v>3.8730000000000002</v>
      </c>
      <c r="J769">
        <v>12</v>
      </c>
      <c r="K769">
        <v>65</v>
      </c>
      <c r="L769">
        <v>33</v>
      </c>
      <c r="M769" s="1">
        <v>9000000000</v>
      </c>
    </row>
    <row r="770" spans="1:13" ht="15" customHeight="1">
      <c r="A770" t="s">
        <v>15</v>
      </c>
      <c r="B770">
        <f t="shared" ref="B770:B833" si="48">VLOOKUP(A770,XYdata,3,FALSE)</f>
        <v>33.705415000000002</v>
      </c>
      <c r="C770">
        <f t="shared" ref="C770:C833" si="49">VLOOKUP(A770,XYdata,2,FALSE)</f>
        <v>-117.86213499999999</v>
      </c>
      <c r="D770">
        <f t="shared" ref="D770:D833" si="50">VLOOKUP(A770,Elevation,2,FALSE)</f>
        <v>45</v>
      </c>
      <c r="E770">
        <v>107.499</v>
      </c>
      <c r="F770">
        <f t="shared" si="47"/>
        <v>-62.498999999999995</v>
      </c>
      <c r="G770">
        <v>120.5</v>
      </c>
      <c r="H770">
        <v>3.8849999999999998</v>
      </c>
      <c r="I770">
        <v>3.2290000000000001</v>
      </c>
      <c r="J770">
        <v>6</v>
      </c>
      <c r="K770">
        <v>46</v>
      </c>
      <c r="L770">
        <v>23</v>
      </c>
      <c r="M770">
        <v>7.5780000000000003</v>
      </c>
    </row>
    <row r="771" spans="1:13" ht="15" customHeight="1">
      <c r="A771" t="s">
        <v>15</v>
      </c>
      <c r="B771">
        <f t="shared" si="48"/>
        <v>33.705415000000002</v>
      </c>
      <c r="C771">
        <f t="shared" si="49"/>
        <v>-117.86213499999999</v>
      </c>
      <c r="D771">
        <f t="shared" si="50"/>
        <v>45</v>
      </c>
      <c r="E771">
        <v>108.499</v>
      </c>
      <c r="F771">
        <f t="shared" ref="F771:F834" si="51">D771-E771</f>
        <v>-63.498999999999995</v>
      </c>
      <c r="G771">
        <v>233.68299999999999</v>
      </c>
      <c r="H771">
        <v>4.4669999999999996</v>
      </c>
      <c r="I771">
        <v>1.913</v>
      </c>
      <c r="J771">
        <v>8</v>
      </c>
      <c r="K771">
        <v>56</v>
      </c>
      <c r="L771">
        <v>28</v>
      </c>
      <c r="M771" s="1">
        <v>9000000000</v>
      </c>
    </row>
    <row r="772" spans="1:13" ht="15" customHeight="1">
      <c r="A772" t="s">
        <v>15</v>
      </c>
      <c r="B772">
        <f t="shared" si="48"/>
        <v>33.705415000000002</v>
      </c>
      <c r="C772">
        <f t="shared" si="49"/>
        <v>-117.86213499999999</v>
      </c>
      <c r="D772">
        <f t="shared" si="50"/>
        <v>45</v>
      </c>
      <c r="E772">
        <v>109.499</v>
      </c>
      <c r="F772">
        <f t="shared" si="51"/>
        <v>-64.498999999999995</v>
      </c>
      <c r="G772">
        <v>380.16699999999997</v>
      </c>
      <c r="H772">
        <v>3.27</v>
      </c>
      <c r="I772">
        <v>0.86099999999999999</v>
      </c>
      <c r="J772">
        <v>9</v>
      </c>
      <c r="K772">
        <v>73</v>
      </c>
      <c r="L772">
        <v>37</v>
      </c>
      <c r="M772" s="1">
        <v>9000000000</v>
      </c>
    </row>
    <row r="773" spans="1:13" ht="15" customHeight="1">
      <c r="A773" t="s">
        <v>15</v>
      </c>
      <c r="B773">
        <f t="shared" si="48"/>
        <v>33.705415000000002</v>
      </c>
      <c r="C773">
        <f t="shared" si="49"/>
        <v>-117.86213499999999</v>
      </c>
      <c r="D773">
        <f t="shared" si="50"/>
        <v>45</v>
      </c>
      <c r="E773">
        <v>110.499</v>
      </c>
      <c r="F773">
        <f t="shared" si="51"/>
        <v>-65.498999999999995</v>
      </c>
      <c r="G773">
        <v>405.55</v>
      </c>
      <c r="H773">
        <v>2.625</v>
      </c>
      <c r="I773">
        <v>0.64700000000000002</v>
      </c>
      <c r="J773">
        <v>10</v>
      </c>
      <c r="K773">
        <v>65</v>
      </c>
      <c r="L773">
        <v>33</v>
      </c>
      <c r="M773" s="1">
        <v>9000000000</v>
      </c>
    </row>
    <row r="774" spans="1:13" ht="15" customHeight="1">
      <c r="A774" t="s">
        <v>15</v>
      </c>
      <c r="B774">
        <f t="shared" si="48"/>
        <v>33.705415000000002</v>
      </c>
      <c r="C774">
        <f t="shared" si="49"/>
        <v>-117.86213499999999</v>
      </c>
      <c r="D774">
        <f t="shared" si="50"/>
        <v>45</v>
      </c>
      <c r="E774">
        <v>111.499</v>
      </c>
      <c r="F774">
        <f t="shared" si="51"/>
        <v>-66.498999999999995</v>
      </c>
      <c r="G774">
        <v>348.91699999999997</v>
      </c>
      <c r="H774">
        <v>2.56</v>
      </c>
      <c r="I774">
        <v>0.73399999999999999</v>
      </c>
      <c r="J774">
        <v>10</v>
      </c>
      <c r="K774">
        <v>56</v>
      </c>
      <c r="L774">
        <v>28</v>
      </c>
      <c r="M774" s="1">
        <v>9000000000</v>
      </c>
    </row>
    <row r="775" spans="1:13" ht="15" customHeight="1">
      <c r="A775" t="s">
        <v>15</v>
      </c>
      <c r="B775">
        <f t="shared" si="48"/>
        <v>33.705415000000002</v>
      </c>
      <c r="C775">
        <f t="shared" si="49"/>
        <v>-117.86213499999999</v>
      </c>
      <c r="D775">
        <f t="shared" si="50"/>
        <v>45</v>
      </c>
      <c r="E775">
        <v>112.499</v>
      </c>
      <c r="F775">
        <f t="shared" si="51"/>
        <v>-67.498999999999995</v>
      </c>
      <c r="G775">
        <v>351.733</v>
      </c>
      <c r="H775">
        <v>2.6070000000000002</v>
      </c>
      <c r="I775">
        <v>0.74099999999999999</v>
      </c>
      <c r="J775">
        <v>10</v>
      </c>
      <c r="K775">
        <v>56</v>
      </c>
      <c r="L775">
        <v>28</v>
      </c>
      <c r="M775" s="1">
        <v>9000000000</v>
      </c>
    </row>
    <row r="776" spans="1:13" ht="15" customHeight="1">
      <c r="A776" t="s">
        <v>15</v>
      </c>
      <c r="B776">
        <f t="shared" si="48"/>
        <v>33.705415000000002</v>
      </c>
      <c r="C776">
        <f t="shared" si="49"/>
        <v>-117.86213499999999</v>
      </c>
      <c r="D776">
        <f t="shared" si="50"/>
        <v>45</v>
      </c>
      <c r="E776">
        <v>113.499</v>
      </c>
      <c r="F776">
        <f t="shared" si="51"/>
        <v>-68.498999999999995</v>
      </c>
      <c r="G776">
        <v>388.81700000000001</v>
      </c>
      <c r="H776">
        <v>2.99</v>
      </c>
      <c r="I776">
        <v>0.76900000000000002</v>
      </c>
      <c r="J776">
        <v>10</v>
      </c>
      <c r="K776">
        <v>62</v>
      </c>
      <c r="L776">
        <v>31</v>
      </c>
      <c r="M776" s="1">
        <v>9000000000</v>
      </c>
    </row>
    <row r="777" spans="1:13" ht="15" customHeight="1">
      <c r="A777" t="s">
        <v>15</v>
      </c>
      <c r="B777">
        <f t="shared" si="48"/>
        <v>33.705415000000002</v>
      </c>
      <c r="C777">
        <f t="shared" si="49"/>
        <v>-117.86213499999999</v>
      </c>
      <c r="D777">
        <f t="shared" si="50"/>
        <v>45</v>
      </c>
      <c r="E777">
        <v>114.499</v>
      </c>
      <c r="F777">
        <f t="shared" si="51"/>
        <v>-69.498999999999995</v>
      </c>
      <c r="G777">
        <v>192.91399999999999</v>
      </c>
      <c r="H777">
        <v>3.4340000000000002</v>
      </c>
      <c r="I777">
        <v>1.78</v>
      </c>
      <c r="J777">
        <v>8</v>
      </c>
      <c r="K777">
        <v>46</v>
      </c>
      <c r="L777">
        <v>23</v>
      </c>
      <c r="M777" s="1">
        <v>9000000000</v>
      </c>
    </row>
    <row r="778" spans="1:13" ht="15" customHeight="1">
      <c r="A778" t="s">
        <v>15</v>
      </c>
      <c r="B778">
        <f t="shared" si="48"/>
        <v>33.705415000000002</v>
      </c>
      <c r="C778">
        <f t="shared" si="49"/>
        <v>-117.86213499999999</v>
      </c>
      <c r="D778">
        <f t="shared" si="50"/>
        <v>45</v>
      </c>
      <c r="E778">
        <v>115.499</v>
      </c>
      <c r="F778">
        <f t="shared" si="51"/>
        <v>-70.498999999999995</v>
      </c>
      <c r="G778">
        <v>255.483</v>
      </c>
      <c r="H778">
        <v>2.9420000000000002</v>
      </c>
      <c r="I778">
        <v>1.151</v>
      </c>
      <c r="J778">
        <v>9</v>
      </c>
      <c r="K778">
        <v>49</v>
      </c>
      <c r="L778">
        <v>25</v>
      </c>
      <c r="M778" s="1">
        <v>9000000000</v>
      </c>
    </row>
    <row r="779" spans="1:13" ht="15" customHeight="1">
      <c r="A779" t="s">
        <v>15</v>
      </c>
      <c r="B779">
        <f t="shared" si="48"/>
        <v>33.705415000000002</v>
      </c>
      <c r="C779">
        <f t="shared" si="49"/>
        <v>-117.86213499999999</v>
      </c>
      <c r="D779">
        <f t="shared" si="50"/>
        <v>45</v>
      </c>
      <c r="E779">
        <v>116.499</v>
      </c>
      <c r="F779">
        <f t="shared" si="51"/>
        <v>-71.498999999999995</v>
      </c>
      <c r="G779">
        <v>320.88299999999998</v>
      </c>
      <c r="H779">
        <v>3.528</v>
      </c>
      <c r="I779">
        <v>1.1000000000000001</v>
      </c>
      <c r="J779">
        <v>9</v>
      </c>
      <c r="K779">
        <v>61</v>
      </c>
      <c r="L779">
        <v>31</v>
      </c>
      <c r="M779" s="1">
        <v>9000000000</v>
      </c>
    </row>
    <row r="780" spans="1:13" ht="15" customHeight="1">
      <c r="A780" t="s">
        <v>15</v>
      </c>
      <c r="B780">
        <f t="shared" si="48"/>
        <v>33.705415000000002</v>
      </c>
      <c r="C780">
        <f t="shared" si="49"/>
        <v>-117.86213499999999</v>
      </c>
      <c r="D780">
        <f t="shared" si="50"/>
        <v>45</v>
      </c>
      <c r="E780">
        <v>117.498</v>
      </c>
      <c r="F780">
        <f t="shared" si="51"/>
        <v>-72.498000000000005</v>
      </c>
      <c r="G780">
        <v>333.88299999999998</v>
      </c>
      <c r="H780">
        <v>5.968</v>
      </c>
      <c r="I780">
        <v>1.788</v>
      </c>
      <c r="J780">
        <v>8</v>
      </c>
      <c r="K780">
        <v>80</v>
      </c>
      <c r="L780">
        <v>40</v>
      </c>
      <c r="M780" s="1">
        <v>9000000000</v>
      </c>
    </row>
    <row r="781" spans="1:13" ht="15" customHeight="1">
      <c r="A781" t="s">
        <v>15</v>
      </c>
      <c r="B781">
        <f t="shared" si="48"/>
        <v>33.705415000000002</v>
      </c>
      <c r="C781">
        <f t="shared" si="49"/>
        <v>-117.86213499999999</v>
      </c>
      <c r="D781">
        <f t="shared" si="50"/>
        <v>45</v>
      </c>
      <c r="E781">
        <v>118.498</v>
      </c>
      <c r="F781">
        <f t="shared" si="51"/>
        <v>-73.498000000000005</v>
      </c>
      <c r="G781">
        <v>379.33300000000003</v>
      </c>
      <c r="H781">
        <v>5.9320000000000004</v>
      </c>
      <c r="I781">
        <v>1.5640000000000001</v>
      </c>
      <c r="J781">
        <v>9</v>
      </c>
      <c r="K781">
        <v>73</v>
      </c>
      <c r="L781">
        <v>37</v>
      </c>
      <c r="M781" s="1">
        <v>9000000000</v>
      </c>
    </row>
    <row r="782" spans="1:13" ht="15" customHeight="1">
      <c r="A782" t="s">
        <v>15</v>
      </c>
      <c r="B782">
        <f t="shared" si="48"/>
        <v>33.705415000000002</v>
      </c>
      <c r="C782">
        <f t="shared" si="49"/>
        <v>-117.86213499999999</v>
      </c>
      <c r="D782">
        <f t="shared" si="50"/>
        <v>45</v>
      </c>
      <c r="E782">
        <v>119.498</v>
      </c>
      <c r="F782">
        <f t="shared" si="51"/>
        <v>-74.498000000000005</v>
      </c>
      <c r="G782">
        <v>218.083</v>
      </c>
      <c r="H782">
        <v>5.3120000000000003</v>
      </c>
      <c r="I782">
        <v>2.4350000000000001</v>
      </c>
      <c r="J782">
        <v>7</v>
      </c>
      <c r="K782">
        <v>70</v>
      </c>
      <c r="L782">
        <v>35</v>
      </c>
      <c r="M782" s="1">
        <v>9000000000</v>
      </c>
    </row>
    <row r="783" spans="1:13" ht="15" customHeight="1">
      <c r="A783" t="s">
        <v>15</v>
      </c>
      <c r="B783">
        <f t="shared" si="48"/>
        <v>33.705415000000002</v>
      </c>
      <c r="C783">
        <f t="shared" si="49"/>
        <v>-117.86213499999999</v>
      </c>
      <c r="D783">
        <f t="shared" si="50"/>
        <v>45</v>
      </c>
      <c r="E783">
        <v>120.498</v>
      </c>
      <c r="F783">
        <f t="shared" si="51"/>
        <v>-75.498000000000005</v>
      </c>
      <c r="G783">
        <v>84.7</v>
      </c>
      <c r="H783">
        <v>1.99</v>
      </c>
      <c r="I783">
        <v>2.3530000000000002</v>
      </c>
      <c r="J783">
        <v>7</v>
      </c>
      <c r="K783">
        <v>27</v>
      </c>
      <c r="L783">
        <v>14</v>
      </c>
      <c r="M783" s="1">
        <v>9000000000</v>
      </c>
    </row>
    <row r="784" spans="1:13" ht="15" customHeight="1">
      <c r="A784" t="s">
        <v>15</v>
      </c>
      <c r="B784">
        <f t="shared" si="48"/>
        <v>33.705415000000002</v>
      </c>
      <c r="C784">
        <f t="shared" si="49"/>
        <v>-117.86213499999999</v>
      </c>
      <c r="D784">
        <f t="shared" si="50"/>
        <v>45</v>
      </c>
      <c r="E784">
        <v>121.498</v>
      </c>
      <c r="F784">
        <f t="shared" si="51"/>
        <v>-76.498000000000005</v>
      </c>
      <c r="G784">
        <v>203.05</v>
      </c>
      <c r="H784">
        <v>3.4649999999999999</v>
      </c>
      <c r="I784">
        <v>1.708</v>
      </c>
      <c r="J784">
        <v>8</v>
      </c>
      <c r="K784">
        <v>49</v>
      </c>
      <c r="L784">
        <v>25</v>
      </c>
      <c r="M784" s="1">
        <v>9000000000</v>
      </c>
    </row>
    <row r="785" spans="1:13" ht="15" customHeight="1">
      <c r="A785" t="s">
        <v>15</v>
      </c>
      <c r="B785">
        <f t="shared" si="48"/>
        <v>33.705415000000002</v>
      </c>
      <c r="C785">
        <f t="shared" si="49"/>
        <v>-117.86213499999999</v>
      </c>
      <c r="D785">
        <f t="shared" si="50"/>
        <v>45</v>
      </c>
      <c r="E785">
        <v>122.498</v>
      </c>
      <c r="F785">
        <f t="shared" si="51"/>
        <v>-77.498000000000005</v>
      </c>
      <c r="G785">
        <v>207.333</v>
      </c>
      <c r="H785">
        <v>5.0720000000000001</v>
      </c>
      <c r="I785">
        <v>2.4470000000000001</v>
      </c>
      <c r="J785">
        <v>7</v>
      </c>
      <c r="K785">
        <v>66</v>
      </c>
      <c r="L785">
        <v>33</v>
      </c>
      <c r="M785" s="1">
        <v>9000000000</v>
      </c>
    </row>
    <row r="786" spans="1:13" ht="15" customHeight="1">
      <c r="A786" t="s">
        <v>15</v>
      </c>
      <c r="B786">
        <f t="shared" si="48"/>
        <v>33.705415000000002</v>
      </c>
      <c r="C786">
        <f t="shared" si="49"/>
        <v>-117.86213499999999</v>
      </c>
      <c r="D786">
        <f t="shared" si="50"/>
        <v>45</v>
      </c>
      <c r="E786">
        <v>123.498</v>
      </c>
      <c r="F786">
        <f t="shared" si="51"/>
        <v>-78.498000000000005</v>
      </c>
      <c r="G786">
        <v>180.95</v>
      </c>
      <c r="H786">
        <v>4.7300000000000004</v>
      </c>
      <c r="I786">
        <v>2.6160000000000001</v>
      </c>
      <c r="J786">
        <v>7</v>
      </c>
      <c r="K786">
        <v>58</v>
      </c>
      <c r="L786">
        <v>29</v>
      </c>
      <c r="M786" s="1">
        <v>9000000000</v>
      </c>
    </row>
    <row r="787" spans="1:13" ht="15" customHeight="1">
      <c r="A787" t="s">
        <v>15</v>
      </c>
      <c r="B787">
        <f t="shared" si="48"/>
        <v>33.705415000000002</v>
      </c>
      <c r="C787">
        <f t="shared" si="49"/>
        <v>-117.86213499999999</v>
      </c>
      <c r="D787">
        <f t="shared" si="50"/>
        <v>45</v>
      </c>
      <c r="E787">
        <v>124.498</v>
      </c>
      <c r="F787">
        <f t="shared" si="51"/>
        <v>-79.498000000000005</v>
      </c>
      <c r="G787">
        <v>110.883</v>
      </c>
      <c r="H787">
        <v>3.3250000000000002</v>
      </c>
      <c r="I787">
        <v>3.0030000000000001</v>
      </c>
      <c r="J787">
        <v>6</v>
      </c>
      <c r="K787">
        <v>42</v>
      </c>
      <c r="L787">
        <v>21</v>
      </c>
      <c r="M787">
        <v>6.8680000000000003</v>
      </c>
    </row>
    <row r="788" spans="1:13" ht="15" customHeight="1">
      <c r="A788" t="s">
        <v>15</v>
      </c>
      <c r="B788">
        <f t="shared" si="48"/>
        <v>33.705415000000002</v>
      </c>
      <c r="C788">
        <f t="shared" si="49"/>
        <v>-117.86213499999999</v>
      </c>
      <c r="D788">
        <f t="shared" si="50"/>
        <v>45</v>
      </c>
      <c r="E788">
        <v>125.498</v>
      </c>
      <c r="F788">
        <f t="shared" si="51"/>
        <v>-80.498000000000005</v>
      </c>
      <c r="G788">
        <v>103.357</v>
      </c>
      <c r="H788">
        <v>4.0330000000000004</v>
      </c>
      <c r="I788">
        <v>3.9060000000000001</v>
      </c>
      <c r="J788">
        <v>5</v>
      </c>
      <c r="K788">
        <v>49</v>
      </c>
      <c r="L788">
        <v>25</v>
      </c>
      <c r="M788">
        <v>6.3650000000000002</v>
      </c>
    </row>
    <row r="789" spans="1:13" ht="15" customHeight="1">
      <c r="A789" t="s">
        <v>15</v>
      </c>
      <c r="B789">
        <f t="shared" si="48"/>
        <v>33.705415000000002</v>
      </c>
      <c r="C789">
        <f t="shared" si="49"/>
        <v>-117.86213499999999</v>
      </c>
      <c r="D789">
        <f t="shared" si="50"/>
        <v>45</v>
      </c>
      <c r="E789">
        <v>126.498</v>
      </c>
      <c r="F789">
        <f t="shared" si="51"/>
        <v>-81.498000000000005</v>
      </c>
      <c r="G789">
        <v>67.066999999999993</v>
      </c>
      <c r="H789">
        <v>1.742</v>
      </c>
      <c r="I789">
        <v>2.601</v>
      </c>
      <c r="J789">
        <v>6</v>
      </c>
      <c r="K789">
        <v>26</v>
      </c>
      <c r="L789">
        <v>13</v>
      </c>
      <c r="M789">
        <v>3.9420000000000002</v>
      </c>
    </row>
    <row r="790" spans="1:13" ht="15" customHeight="1">
      <c r="A790" t="s">
        <v>15</v>
      </c>
      <c r="B790">
        <f t="shared" si="48"/>
        <v>33.705415000000002</v>
      </c>
      <c r="C790">
        <f t="shared" si="49"/>
        <v>-117.86213499999999</v>
      </c>
      <c r="D790">
        <f t="shared" si="50"/>
        <v>45</v>
      </c>
      <c r="E790">
        <v>127.498</v>
      </c>
      <c r="F790">
        <f t="shared" si="51"/>
        <v>-82.498000000000005</v>
      </c>
      <c r="G790">
        <v>234.05</v>
      </c>
      <c r="H790">
        <v>2.9750000000000001</v>
      </c>
      <c r="I790">
        <v>1.272</v>
      </c>
      <c r="J790">
        <v>9</v>
      </c>
      <c r="K790">
        <v>45</v>
      </c>
      <c r="L790">
        <v>23</v>
      </c>
      <c r="M790" s="1">
        <v>9000000000</v>
      </c>
    </row>
    <row r="791" spans="1:13" ht="15" customHeight="1">
      <c r="A791" t="s">
        <v>15</v>
      </c>
      <c r="B791">
        <f t="shared" si="48"/>
        <v>33.705415000000002</v>
      </c>
      <c r="C791">
        <f t="shared" si="49"/>
        <v>-117.86213499999999</v>
      </c>
      <c r="D791">
        <f t="shared" si="50"/>
        <v>45</v>
      </c>
      <c r="E791">
        <v>128.49799999999999</v>
      </c>
      <c r="F791">
        <f t="shared" si="51"/>
        <v>-83.49799999999999</v>
      </c>
      <c r="G791">
        <v>169.56700000000001</v>
      </c>
      <c r="H791">
        <v>4.6420000000000003</v>
      </c>
      <c r="I791">
        <v>2.7389999999999999</v>
      </c>
      <c r="J791">
        <v>7</v>
      </c>
      <c r="K791">
        <v>54</v>
      </c>
      <c r="L791">
        <v>27</v>
      </c>
      <c r="M791" s="1">
        <v>9000000000</v>
      </c>
    </row>
    <row r="792" spans="1:13" ht="15" customHeight="1">
      <c r="A792" t="s">
        <v>15</v>
      </c>
      <c r="B792">
        <f t="shared" si="48"/>
        <v>33.705415000000002</v>
      </c>
      <c r="C792">
        <f t="shared" si="49"/>
        <v>-117.86213499999999</v>
      </c>
      <c r="D792">
        <f t="shared" si="50"/>
        <v>45</v>
      </c>
      <c r="E792">
        <v>129.49799999999999</v>
      </c>
      <c r="F792">
        <f t="shared" si="51"/>
        <v>-84.49799999999999</v>
      </c>
      <c r="G792">
        <v>52.883000000000003</v>
      </c>
      <c r="H792">
        <v>1.9370000000000001</v>
      </c>
      <c r="I792">
        <v>3.6669999999999998</v>
      </c>
      <c r="J792">
        <v>5</v>
      </c>
      <c r="K792">
        <v>25</v>
      </c>
      <c r="L792">
        <v>13</v>
      </c>
      <c r="M792">
        <v>2.9860000000000002</v>
      </c>
    </row>
    <row r="793" spans="1:13" ht="15" customHeight="1">
      <c r="A793" t="s">
        <v>15</v>
      </c>
      <c r="B793">
        <f t="shared" si="48"/>
        <v>33.705415000000002</v>
      </c>
      <c r="C793">
        <f t="shared" si="49"/>
        <v>-117.86213499999999</v>
      </c>
      <c r="D793">
        <f t="shared" si="50"/>
        <v>45</v>
      </c>
      <c r="E793">
        <v>130.49799999999999</v>
      </c>
      <c r="F793">
        <f t="shared" si="51"/>
        <v>-85.49799999999999</v>
      </c>
      <c r="G793">
        <v>127.9</v>
      </c>
      <c r="H793">
        <v>4.93</v>
      </c>
      <c r="I793">
        <v>3.855</v>
      </c>
      <c r="J793">
        <v>6</v>
      </c>
      <c r="K793">
        <v>49</v>
      </c>
      <c r="L793">
        <v>25</v>
      </c>
      <c r="M793">
        <v>7.9870000000000001</v>
      </c>
    </row>
    <row r="794" spans="1:13" ht="15" customHeight="1">
      <c r="A794" t="s">
        <v>16</v>
      </c>
      <c r="B794">
        <f t="shared" si="48"/>
        <v>33.704889999999999</v>
      </c>
      <c r="C794">
        <f t="shared" si="49"/>
        <v>-117.861451</v>
      </c>
      <c r="D794">
        <f t="shared" si="50"/>
        <v>45</v>
      </c>
      <c r="E794">
        <v>0.5</v>
      </c>
      <c r="F794">
        <f t="shared" si="51"/>
        <v>44.5</v>
      </c>
      <c r="G794">
        <v>3.617</v>
      </c>
      <c r="H794">
        <v>0.05</v>
      </c>
      <c r="I794">
        <v>1.3819999999999999</v>
      </c>
      <c r="J794">
        <v>1</v>
      </c>
      <c r="K794">
        <v>2</v>
      </c>
      <c r="L794">
        <v>3</v>
      </c>
      <c r="M794">
        <v>0.23899999999999999</v>
      </c>
    </row>
    <row r="795" spans="1:13" ht="15" customHeight="1">
      <c r="A795" t="s">
        <v>16</v>
      </c>
      <c r="B795">
        <f t="shared" si="48"/>
        <v>33.704889999999999</v>
      </c>
      <c r="C795">
        <f t="shared" si="49"/>
        <v>-117.861451</v>
      </c>
      <c r="D795">
        <f t="shared" si="50"/>
        <v>45</v>
      </c>
      <c r="E795">
        <v>1.5</v>
      </c>
      <c r="F795">
        <f t="shared" si="51"/>
        <v>43.5</v>
      </c>
      <c r="G795">
        <v>4.7169999999999996</v>
      </c>
      <c r="H795">
        <v>0.06</v>
      </c>
      <c r="I795">
        <v>1.272</v>
      </c>
      <c r="J795">
        <v>1</v>
      </c>
      <c r="K795">
        <v>2</v>
      </c>
      <c r="L795">
        <v>3</v>
      </c>
      <c r="M795">
        <v>0.309</v>
      </c>
    </row>
    <row r="796" spans="1:13" ht="15" customHeight="1">
      <c r="A796" t="s">
        <v>16</v>
      </c>
      <c r="B796">
        <f t="shared" si="48"/>
        <v>33.704889999999999</v>
      </c>
      <c r="C796">
        <f t="shared" si="49"/>
        <v>-117.861451</v>
      </c>
      <c r="D796">
        <f t="shared" si="50"/>
        <v>45</v>
      </c>
      <c r="E796">
        <v>2.5</v>
      </c>
      <c r="F796">
        <f t="shared" si="51"/>
        <v>42.5</v>
      </c>
      <c r="G796">
        <v>10.95</v>
      </c>
      <c r="H796">
        <v>0.317</v>
      </c>
      <c r="I796">
        <v>2.8919999999999999</v>
      </c>
      <c r="J796">
        <v>4</v>
      </c>
      <c r="K796">
        <v>7</v>
      </c>
      <c r="L796">
        <v>11</v>
      </c>
      <c r="M796">
        <v>0.72099999999999997</v>
      </c>
    </row>
    <row r="797" spans="1:13" ht="15" customHeight="1">
      <c r="A797" t="s">
        <v>16</v>
      </c>
      <c r="B797">
        <f t="shared" si="48"/>
        <v>33.704889999999999</v>
      </c>
      <c r="C797">
        <f t="shared" si="49"/>
        <v>-117.861451</v>
      </c>
      <c r="D797">
        <f t="shared" si="50"/>
        <v>45</v>
      </c>
      <c r="E797">
        <v>3.5</v>
      </c>
      <c r="F797">
        <f t="shared" si="51"/>
        <v>41.5</v>
      </c>
      <c r="G797">
        <v>13.8</v>
      </c>
      <c r="H797">
        <v>0.47</v>
      </c>
      <c r="I797">
        <v>3.4060000000000001</v>
      </c>
      <c r="J797">
        <v>4</v>
      </c>
      <c r="K797">
        <v>9</v>
      </c>
      <c r="L797">
        <v>14</v>
      </c>
      <c r="M797">
        <v>0.90700000000000003</v>
      </c>
    </row>
    <row r="798" spans="1:13" ht="15" customHeight="1">
      <c r="A798" t="s">
        <v>16</v>
      </c>
      <c r="B798">
        <f t="shared" si="48"/>
        <v>33.704889999999999</v>
      </c>
      <c r="C798">
        <f t="shared" si="49"/>
        <v>-117.861451</v>
      </c>
      <c r="D798">
        <f t="shared" si="50"/>
        <v>45</v>
      </c>
      <c r="E798">
        <v>4.5</v>
      </c>
      <c r="F798">
        <f t="shared" si="51"/>
        <v>40.5</v>
      </c>
      <c r="G798">
        <v>12.132999999999999</v>
      </c>
      <c r="H798">
        <v>0.377</v>
      </c>
      <c r="I798">
        <v>3.109</v>
      </c>
      <c r="J798">
        <v>4</v>
      </c>
      <c r="K798">
        <v>8</v>
      </c>
      <c r="L798">
        <v>12</v>
      </c>
      <c r="M798">
        <v>0.79100000000000004</v>
      </c>
    </row>
    <row r="799" spans="1:13" ht="15" customHeight="1">
      <c r="A799" t="s">
        <v>16</v>
      </c>
      <c r="B799">
        <f t="shared" si="48"/>
        <v>33.704889999999999</v>
      </c>
      <c r="C799">
        <f t="shared" si="49"/>
        <v>-117.861451</v>
      </c>
      <c r="D799">
        <f t="shared" si="50"/>
        <v>45</v>
      </c>
      <c r="E799">
        <v>5.5</v>
      </c>
      <c r="F799">
        <f t="shared" si="51"/>
        <v>39.5</v>
      </c>
      <c r="G799">
        <v>16.716999999999999</v>
      </c>
      <c r="H799">
        <v>0.66200000000000003</v>
      </c>
      <c r="I799">
        <v>3.9580000000000002</v>
      </c>
      <c r="J799">
        <v>4</v>
      </c>
      <c r="K799">
        <v>11</v>
      </c>
      <c r="L799">
        <v>17</v>
      </c>
      <c r="M799">
        <v>1.093</v>
      </c>
    </row>
    <row r="800" spans="1:13" ht="15" customHeight="1">
      <c r="A800" t="s">
        <v>16</v>
      </c>
      <c r="B800">
        <f t="shared" si="48"/>
        <v>33.704889999999999</v>
      </c>
      <c r="C800">
        <f t="shared" si="49"/>
        <v>-117.861451</v>
      </c>
      <c r="D800">
        <f t="shared" si="50"/>
        <v>45</v>
      </c>
      <c r="E800">
        <v>6.5</v>
      </c>
      <c r="F800">
        <f t="shared" si="51"/>
        <v>38.5</v>
      </c>
      <c r="G800">
        <v>17.132999999999999</v>
      </c>
      <c r="H800">
        <v>0.68</v>
      </c>
      <c r="I800">
        <v>3.9569999999999999</v>
      </c>
      <c r="J800">
        <v>4</v>
      </c>
      <c r="K800">
        <v>11</v>
      </c>
      <c r="L800">
        <v>17</v>
      </c>
      <c r="M800">
        <v>1.121</v>
      </c>
    </row>
    <row r="801" spans="1:13" ht="15" customHeight="1">
      <c r="A801" t="s">
        <v>16</v>
      </c>
      <c r="B801">
        <f t="shared" si="48"/>
        <v>33.704889999999999</v>
      </c>
      <c r="C801">
        <f t="shared" si="49"/>
        <v>-117.861451</v>
      </c>
      <c r="D801">
        <f t="shared" si="50"/>
        <v>45</v>
      </c>
      <c r="E801">
        <v>7.5</v>
      </c>
      <c r="F801">
        <f t="shared" si="51"/>
        <v>37.5</v>
      </c>
      <c r="G801">
        <v>12.632999999999999</v>
      </c>
      <c r="H801">
        <v>0.53300000000000003</v>
      </c>
      <c r="I801">
        <v>4.194</v>
      </c>
      <c r="J801">
        <v>3</v>
      </c>
      <c r="K801">
        <v>12</v>
      </c>
      <c r="L801">
        <v>18</v>
      </c>
      <c r="M801">
        <v>0.81899999999999995</v>
      </c>
    </row>
    <row r="802" spans="1:13" ht="15" customHeight="1">
      <c r="A802" t="s">
        <v>16</v>
      </c>
      <c r="B802">
        <f t="shared" si="48"/>
        <v>33.704889999999999</v>
      </c>
      <c r="C802">
        <f t="shared" si="49"/>
        <v>-117.861451</v>
      </c>
      <c r="D802">
        <f t="shared" si="50"/>
        <v>45</v>
      </c>
      <c r="E802">
        <v>8.5</v>
      </c>
      <c r="F802">
        <f t="shared" si="51"/>
        <v>36.5</v>
      </c>
      <c r="G802">
        <v>10.4</v>
      </c>
      <c r="H802">
        <v>0.52500000000000002</v>
      </c>
      <c r="I802">
        <v>5.024</v>
      </c>
      <c r="J802">
        <v>3</v>
      </c>
      <c r="K802">
        <v>10</v>
      </c>
      <c r="L802">
        <v>15</v>
      </c>
      <c r="M802">
        <v>0.66300000000000003</v>
      </c>
    </row>
    <row r="803" spans="1:13" ht="15" customHeight="1">
      <c r="A803" t="s">
        <v>16</v>
      </c>
      <c r="B803">
        <f t="shared" si="48"/>
        <v>33.704889999999999</v>
      </c>
      <c r="C803">
        <f t="shared" si="49"/>
        <v>-117.861451</v>
      </c>
      <c r="D803">
        <f t="shared" si="50"/>
        <v>45</v>
      </c>
      <c r="E803">
        <v>9.5</v>
      </c>
      <c r="F803">
        <f t="shared" si="51"/>
        <v>35.5</v>
      </c>
      <c r="G803">
        <v>12.45</v>
      </c>
      <c r="H803">
        <v>0.48499999999999999</v>
      </c>
      <c r="I803">
        <v>3.875</v>
      </c>
      <c r="J803">
        <v>3</v>
      </c>
      <c r="K803">
        <v>12</v>
      </c>
      <c r="L803">
        <v>18</v>
      </c>
      <c r="M803">
        <v>0.79700000000000004</v>
      </c>
    </row>
    <row r="804" spans="1:13" ht="15" customHeight="1">
      <c r="A804" t="s">
        <v>16</v>
      </c>
      <c r="B804">
        <f t="shared" si="48"/>
        <v>33.704889999999999</v>
      </c>
      <c r="C804">
        <f t="shared" si="49"/>
        <v>-117.861451</v>
      </c>
      <c r="D804">
        <f t="shared" si="50"/>
        <v>45</v>
      </c>
      <c r="E804">
        <v>10.5</v>
      </c>
      <c r="F804">
        <f t="shared" si="51"/>
        <v>34.5</v>
      </c>
      <c r="G804">
        <v>13.314</v>
      </c>
      <c r="H804">
        <v>0.58399999999999996</v>
      </c>
      <c r="I804">
        <v>4.3979999999999997</v>
      </c>
      <c r="J804">
        <v>3</v>
      </c>
      <c r="K804">
        <v>13</v>
      </c>
      <c r="L804">
        <v>19</v>
      </c>
      <c r="M804">
        <v>0.84399999999999997</v>
      </c>
    </row>
    <row r="805" spans="1:13" ht="15" customHeight="1">
      <c r="A805" t="s">
        <v>16</v>
      </c>
      <c r="B805">
        <f t="shared" si="48"/>
        <v>33.704889999999999</v>
      </c>
      <c r="C805">
        <f t="shared" si="49"/>
        <v>-117.861451</v>
      </c>
      <c r="D805">
        <f t="shared" si="50"/>
        <v>45</v>
      </c>
      <c r="E805">
        <v>11.5</v>
      </c>
      <c r="F805">
        <f t="shared" si="51"/>
        <v>33.5</v>
      </c>
      <c r="G805">
        <v>14.382999999999999</v>
      </c>
      <c r="H805">
        <v>0.61699999999999999</v>
      </c>
      <c r="I805">
        <v>4.2869999999999999</v>
      </c>
      <c r="J805">
        <v>3</v>
      </c>
      <c r="K805">
        <v>14</v>
      </c>
      <c r="L805">
        <v>19</v>
      </c>
      <c r="M805">
        <v>0.91300000000000003</v>
      </c>
    </row>
    <row r="806" spans="1:13" ht="15" customHeight="1">
      <c r="A806" t="s">
        <v>16</v>
      </c>
      <c r="B806">
        <f t="shared" si="48"/>
        <v>33.704889999999999</v>
      </c>
      <c r="C806">
        <f t="shared" si="49"/>
        <v>-117.861451</v>
      </c>
      <c r="D806">
        <f t="shared" si="50"/>
        <v>45</v>
      </c>
      <c r="E806">
        <v>12.5</v>
      </c>
      <c r="F806">
        <f t="shared" si="51"/>
        <v>32.5</v>
      </c>
      <c r="G806">
        <v>12.667</v>
      </c>
      <c r="H806">
        <v>0.443</v>
      </c>
      <c r="I806">
        <v>3.4950000000000001</v>
      </c>
      <c r="J806">
        <v>4</v>
      </c>
      <c r="K806">
        <v>8</v>
      </c>
      <c r="L806">
        <v>10</v>
      </c>
      <c r="M806">
        <v>0.79600000000000004</v>
      </c>
    </row>
    <row r="807" spans="1:13" ht="15" customHeight="1">
      <c r="A807" t="s">
        <v>16</v>
      </c>
      <c r="B807">
        <f t="shared" si="48"/>
        <v>33.704889999999999</v>
      </c>
      <c r="C807">
        <f t="shared" si="49"/>
        <v>-117.861451</v>
      </c>
      <c r="D807">
        <f t="shared" si="50"/>
        <v>45</v>
      </c>
      <c r="E807">
        <v>13.5</v>
      </c>
      <c r="F807">
        <f t="shared" si="51"/>
        <v>31.5</v>
      </c>
      <c r="G807">
        <v>13.266999999999999</v>
      </c>
      <c r="H807">
        <v>0.45</v>
      </c>
      <c r="I807">
        <v>3.371</v>
      </c>
      <c r="J807">
        <v>4</v>
      </c>
      <c r="K807">
        <v>9</v>
      </c>
      <c r="L807">
        <v>11</v>
      </c>
      <c r="M807">
        <v>0.83599999999999997</v>
      </c>
    </row>
    <row r="808" spans="1:13" ht="15" customHeight="1">
      <c r="A808" t="s">
        <v>16</v>
      </c>
      <c r="B808">
        <f t="shared" si="48"/>
        <v>33.704889999999999</v>
      </c>
      <c r="C808">
        <f t="shared" si="49"/>
        <v>-117.861451</v>
      </c>
      <c r="D808">
        <f t="shared" si="50"/>
        <v>45</v>
      </c>
      <c r="E808">
        <v>14.5</v>
      </c>
      <c r="F808">
        <f t="shared" si="51"/>
        <v>30.5</v>
      </c>
      <c r="G808">
        <v>11.032999999999999</v>
      </c>
      <c r="H808">
        <v>0.32500000000000001</v>
      </c>
      <c r="I808">
        <v>2.919</v>
      </c>
      <c r="J808">
        <v>4</v>
      </c>
      <c r="K808">
        <v>7</v>
      </c>
      <c r="L808">
        <v>8</v>
      </c>
      <c r="M808">
        <v>0.68400000000000005</v>
      </c>
    </row>
    <row r="809" spans="1:13" ht="15" customHeight="1">
      <c r="A809" t="s">
        <v>16</v>
      </c>
      <c r="B809">
        <f t="shared" si="48"/>
        <v>33.704889999999999</v>
      </c>
      <c r="C809">
        <f t="shared" si="49"/>
        <v>-117.861451</v>
      </c>
      <c r="D809">
        <f t="shared" si="50"/>
        <v>45</v>
      </c>
      <c r="E809">
        <v>15.5</v>
      </c>
      <c r="F809">
        <f t="shared" si="51"/>
        <v>29.5</v>
      </c>
      <c r="G809">
        <v>10.35</v>
      </c>
      <c r="H809">
        <v>0.26700000000000002</v>
      </c>
      <c r="I809">
        <v>2.552</v>
      </c>
      <c r="J809">
        <v>4</v>
      </c>
      <c r="K809">
        <v>7</v>
      </c>
      <c r="L809">
        <v>7</v>
      </c>
      <c r="M809">
        <v>0.63500000000000001</v>
      </c>
    </row>
    <row r="810" spans="1:13" ht="15" customHeight="1">
      <c r="A810" t="s">
        <v>16</v>
      </c>
      <c r="B810">
        <f t="shared" si="48"/>
        <v>33.704889999999999</v>
      </c>
      <c r="C810">
        <f t="shared" si="49"/>
        <v>-117.861451</v>
      </c>
      <c r="D810">
        <f t="shared" si="50"/>
        <v>45</v>
      </c>
      <c r="E810">
        <v>16.5</v>
      </c>
      <c r="F810">
        <f t="shared" si="51"/>
        <v>28.5</v>
      </c>
      <c r="G810">
        <v>18.632999999999999</v>
      </c>
      <c r="H810">
        <v>0.51800000000000002</v>
      </c>
      <c r="I810">
        <v>2.774</v>
      </c>
      <c r="J810">
        <v>5</v>
      </c>
      <c r="K810">
        <v>9</v>
      </c>
      <c r="L810">
        <v>9</v>
      </c>
      <c r="M810">
        <v>1.18</v>
      </c>
    </row>
    <row r="811" spans="1:13" ht="15" customHeight="1">
      <c r="A811" t="s">
        <v>16</v>
      </c>
      <c r="B811">
        <f t="shared" si="48"/>
        <v>33.704889999999999</v>
      </c>
      <c r="C811">
        <f t="shared" si="49"/>
        <v>-117.861451</v>
      </c>
      <c r="D811">
        <f t="shared" si="50"/>
        <v>45</v>
      </c>
      <c r="E811">
        <v>17.5</v>
      </c>
      <c r="F811">
        <f t="shared" si="51"/>
        <v>27.5</v>
      </c>
      <c r="G811">
        <v>13.9</v>
      </c>
      <c r="H811">
        <v>0.6</v>
      </c>
      <c r="I811">
        <v>4.3479999999999999</v>
      </c>
      <c r="J811">
        <v>3</v>
      </c>
      <c r="K811">
        <v>13</v>
      </c>
      <c r="L811">
        <v>13</v>
      </c>
      <c r="M811">
        <v>0.85</v>
      </c>
    </row>
    <row r="812" spans="1:13" ht="15" customHeight="1">
      <c r="A812" t="s">
        <v>16</v>
      </c>
      <c r="B812">
        <f t="shared" si="48"/>
        <v>33.704889999999999</v>
      </c>
      <c r="C812">
        <f t="shared" si="49"/>
        <v>-117.861451</v>
      </c>
      <c r="D812">
        <f t="shared" si="50"/>
        <v>45</v>
      </c>
      <c r="E812">
        <v>18.5</v>
      </c>
      <c r="F812">
        <f t="shared" si="51"/>
        <v>26.5</v>
      </c>
      <c r="G812">
        <v>8.5500000000000007</v>
      </c>
      <c r="H812">
        <v>0.29199999999999998</v>
      </c>
      <c r="I812">
        <v>3.452</v>
      </c>
      <c r="J812">
        <v>3</v>
      </c>
      <c r="K812">
        <v>8</v>
      </c>
      <c r="L812">
        <v>7</v>
      </c>
      <c r="M812">
        <v>0.48899999999999999</v>
      </c>
    </row>
    <row r="813" spans="1:13" ht="15" customHeight="1">
      <c r="A813" t="s">
        <v>16</v>
      </c>
      <c r="B813">
        <f t="shared" si="48"/>
        <v>33.704889999999999</v>
      </c>
      <c r="C813">
        <f t="shared" si="49"/>
        <v>-117.861451</v>
      </c>
      <c r="D813">
        <f t="shared" si="50"/>
        <v>45</v>
      </c>
      <c r="E813">
        <v>19.5</v>
      </c>
      <c r="F813">
        <f t="shared" si="51"/>
        <v>25.5</v>
      </c>
      <c r="G813">
        <v>8.7330000000000005</v>
      </c>
      <c r="H813">
        <v>0.30499999999999999</v>
      </c>
      <c r="I813">
        <v>3.5259999999999998</v>
      </c>
      <c r="J813">
        <v>3</v>
      </c>
      <c r="K813">
        <v>8</v>
      </c>
      <c r="L813">
        <v>7</v>
      </c>
      <c r="M813">
        <v>0.499</v>
      </c>
    </row>
    <row r="814" spans="1:13" ht="15" customHeight="1">
      <c r="A814" t="s">
        <v>16</v>
      </c>
      <c r="B814">
        <f t="shared" si="48"/>
        <v>33.704889999999999</v>
      </c>
      <c r="C814">
        <f t="shared" si="49"/>
        <v>-117.861451</v>
      </c>
      <c r="D814">
        <f t="shared" si="50"/>
        <v>45</v>
      </c>
      <c r="E814">
        <v>20.5</v>
      </c>
      <c r="F814">
        <f t="shared" si="51"/>
        <v>24.5</v>
      </c>
      <c r="G814">
        <v>10.371</v>
      </c>
      <c r="H814">
        <v>0.36099999999999999</v>
      </c>
      <c r="I814">
        <v>3.4990000000000001</v>
      </c>
      <c r="J814">
        <v>3</v>
      </c>
      <c r="K814">
        <v>10</v>
      </c>
      <c r="L814">
        <v>9</v>
      </c>
      <c r="M814">
        <v>0.60699999999999998</v>
      </c>
    </row>
    <row r="815" spans="1:13" ht="15" customHeight="1">
      <c r="A815" t="s">
        <v>16</v>
      </c>
      <c r="B815">
        <f t="shared" si="48"/>
        <v>33.704889999999999</v>
      </c>
      <c r="C815">
        <f t="shared" si="49"/>
        <v>-117.861451</v>
      </c>
      <c r="D815">
        <f t="shared" si="50"/>
        <v>45</v>
      </c>
      <c r="E815">
        <v>21.5</v>
      </c>
      <c r="F815">
        <f t="shared" si="51"/>
        <v>23.5</v>
      </c>
      <c r="G815">
        <v>11.4</v>
      </c>
      <c r="H815">
        <v>0.51200000000000001</v>
      </c>
      <c r="I815">
        <v>4.5279999999999996</v>
      </c>
      <c r="J815">
        <v>3</v>
      </c>
      <c r="K815">
        <v>11</v>
      </c>
      <c r="L815">
        <v>9</v>
      </c>
      <c r="M815">
        <v>0.66700000000000004</v>
      </c>
    </row>
    <row r="816" spans="1:13" ht="15" customHeight="1">
      <c r="A816" t="s">
        <v>16</v>
      </c>
      <c r="B816">
        <f t="shared" si="48"/>
        <v>33.704889999999999</v>
      </c>
      <c r="C816">
        <f t="shared" si="49"/>
        <v>-117.861451</v>
      </c>
      <c r="D816">
        <f t="shared" si="50"/>
        <v>45</v>
      </c>
      <c r="E816">
        <v>22.5</v>
      </c>
      <c r="F816">
        <f t="shared" si="51"/>
        <v>22.5</v>
      </c>
      <c r="G816">
        <v>15.417</v>
      </c>
      <c r="H816">
        <v>0.65700000000000003</v>
      </c>
      <c r="I816">
        <v>4.2830000000000004</v>
      </c>
      <c r="J816">
        <v>3</v>
      </c>
      <c r="K816">
        <v>15</v>
      </c>
      <c r="L816">
        <v>12</v>
      </c>
      <c r="M816">
        <v>0.93200000000000005</v>
      </c>
    </row>
    <row r="817" spans="1:13" ht="15" customHeight="1">
      <c r="A817" t="s">
        <v>16</v>
      </c>
      <c r="B817">
        <f t="shared" si="48"/>
        <v>33.704889999999999</v>
      </c>
      <c r="C817">
        <f t="shared" si="49"/>
        <v>-117.861451</v>
      </c>
      <c r="D817">
        <f t="shared" si="50"/>
        <v>45</v>
      </c>
      <c r="E817">
        <v>23.5</v>
      </c>
      <c r="F817">
        <f t="shared" si="51"/>
        <v>21.5</v>
      </c>
      <c r="G817">
        <v>23.132999999999999</v>
      </c>
      <c r="H817">
        <v>0.78500000000000003</v>
      </c>
      <c r="I817">
        <v>3.403</v>
      </c>
      <c r="J817">
        <v>5</v>
      </c>
      <c r="K817">
        <v>11</v>
      </c>
      <c r="L817">
        <v>8</v>
      </c>
      <c r="M817">
        <v>1.4430000000000001</v>
      </c>
    </row>
    <row r="818" spans="1:13" ht="15" customHeight="1">
      <c r="A818" t="s">
        <v>16</v>
      </c>
      <c r="B818">
        <f t="shared" si="48"/>
        <v>33.704889999999999</v>
      </c>
      <c r="C818">
        <f t="shared" si="49"/>
        <v>-117.861451</v>
      </c>
      <c r="D818">
        <f t="shared" si="50"/>
        <v>45</v>
      </c>
      <c r="E818">
        <v>24.5</v>
      </c>
      <c r="F818">
        <f t="shared" si="51"/>
        <v>20.5</v>
      </c>
      <c r="G818">
        <v>54.7</v>
      </c>
      <c r="H818">
        <v>2.105</v>
      </c>
      <c r="I818">
        <v>3.8479999999999999</v>
      </c>
      <c r="J818">
        <v>5</v>
      </c>
      <c r="K818">
        <v>26</v>
      </c>
      <c r="L818">
        <v>19</v>
      </c>
      <c r="M818">
        <v>3.548</v>
      </c>
    </row>
    <row r="819" spans="1:13" ht="15" customHeight="1">
      <c r="A819" t="s">
        <v>16</v>
      </c>
      <c r="B819">
        <f t="shared" si="48"/>
        <v>33.704889999999999</v>
      </c>
      <c r="C819">
        <f t="shared" si="49"/>
        <v>-117.861451</v>
      </c>
      <c r="D819">
        <f t="shared" si="50"/>
        <v>45</v>
      </c>
      <c r="E819">
        <v>25.5</v>
      </c>
      <c r="F819">
        <f t="shared" si="51"/>
        <v>19.5</v>
      </c>
      <c r="G819">
        <v>44.116999999999997</v>
      </c>
      <c r="H819">
        <v>2.2269999999999999</v>
      </c>
      <c r="I819">
        <v>5.0570000000000004</v>
      </c>
      <c r="J819">
        <v>3</v>
      </c>
      <c r="K819">
        <v>42</v>
      </c>
      <c r="L819">
        <v>30</v>
      </c>
      <c r="M819">
        <v>2.8330000000000002</v>
      </c>
    </row>
    <row r="820" spans="1:13" ht="15" customHeight="1">
      <c r="A820" t="s">
        <v>16</v>
      </c>
      <c r="B820">
        <f t="shared" si="48"/>
        <v>33.704889999999999</v>
      </c>
      <c r="C820">
        <f t="shared" si="49"/>
        <v>-117.861451</v>
      </c>
      <c r="D820">
        <f t="shared" si="50"/>
        <v>45</v>
      </c>
      <c r="E820">
        <v>26.5</v>
      </c>
      <c r="F820">
        <f t="shared" si="51"/>
        <v>18.5</v>
      </c>
      <c r="G820">
        <v>36.5</v>
      </c>
      <c r="H820">
        <v>1.883</v>
      </c>
      <c r="I820">
        <v>5.1740000000000004</v>
      </c>
      <c r="J820">
        <v>3</v>
      </c>
      <c r="K820">
        <v>35</v>
      </c>
      <c r="L820">
        <v>25</v>
      </c>
      <c r="M820">
        <v>2.3199999999999998</v>
      </c>
    </row>
    <row r="821" spans="1:13" ht="15" customHeight="1">
      <c r="A821" t="s">
        <v>16</v>
      </c>
      <c r="B821">
        <f t="shared" si="48"/>
        <v>33.704889999999999</v>
      </c>
      <c r="C821">
        <f t="shared" si="49"/>
        <v>-117.861451</v>
      </c>
      <c r="D821">
        <f t="shared" si="50"/>
        <v>45</v>
      </c>
      <c r="E821">
        <v>27.5</v>
      </c>
      <c r="F821">
        <f t="shared" si="51"/>
        <v>17.5</v>
      </c>
      <c r="G821">
        <v>24.85</v>
      </c>
      <c r="H821">
        <v>1.482</v>
      </c>
      <c r="I821">
        <v>5.9870000000000001</v>
      </c>
      <c r="J821">
        <v>3</v>
      </c>
      <c r="K821">
        <v>24</v>
      </c>
      <c r="L821">
        <v>17</v>
      </c>
      <c r="M821">
        <v>1.5389999999999999</v>
      </c>
    </row>
    <row r="822" spans="1:13" ht="15" customHeight="1">
      <c r="A822" t="s">
        <v>16</v>
      </c>
      <c r="B822">
        <f t="shared" si="48"/>
        <v>33.704889999999999</v>
      </c>
      <c r="C822">
        <f t="shared" si="49"/>
        <v>-117.861451</v>
      </c>
      <c r="D822">
        <f t="shared" si="50"/>
        <v>45</v>
      </c>
      <c r="E822">
        <v>28.5</v>
      </c>
      <c r="F822">
        <f t="shared" si="51"/>
        <v>16.5</v>
      </c>
      <c r="G822">
        <v>22.317</v>
      </c>
      <c r="H822">
        <v>0.998</v>
      </c>
      <c r="I822">
        <v>4.4939999999999998</v>
      </c>
      <c r="J822">
        <v>3</v>
      </c>
      <c r="K822">
        <v>21</v>
      </c>
      <c r="L822">
        <v>14</v>
      </c>
      <c r="M822">
        <v>1.3660000000000001</v>
      </c>
    </row>
    <row r="823" spans="1:13" ht="15" customHeight="1">
      <c r="A823" t="s">
        <v>16</v>
      </c>
      <c r="B823">
        <f t="shared" si="48"/>
        <v>33.704889999999999</v>
      </c>
      <c r="C823">
        <f t="shared" si="49"/>
        <v>-117.861451</v>
      </c>
      <c r="D823">
        <f t="shared" si="50"/>
        <v>45</v>
      </c>
      <c r="E823">
        <v>29.5</v>
      </c>
      <c r="F823">
        <f t="shared" si="51"/>
        <v>15.5</v>
      </c>
      <c r="G823">
        <v>45.767000000000003</v>
      </c>
      <c r="H823">
        <v>1.3819999999999999</v>
      </c>
      <c r="I823">
        <v>3.028</v>
      </c>
      <c r="J823">
        <v>6</v>
      </c>
      <c r="K823">
        <v>17</v>
      </c>
      <c r="L823">
        <v>12</v>
      </c>
      <c r="M823">
        <v>2.923</v>
      </c>
    </row>
    <row r="824" spans="1:13" ht="15" customHeight="1">
      <c r="A824" t="s">
        <v>16</v>
      </c>
      <c r="B824">
        <f t="shared" si="48"/>
        <v>33.704889999999999</v>
      </c>
      <c r="C824">
        <f t="shared" si="49"/>
        <v>-117.861451</v>
      </c>
      <c r="D824">
        <f t="shared" si="50"/>
        <v>45</v>
      </c>
      <c r="E824">
        <v>30.5</v>
      </c>
      <c r="F824">
        <f t="shared" si="51"/>
        <v>14.5</v>
      </c>
      <c r="G824">
        <v>22.05</v>
      </c>
      <c r="H824">
        <v>0.98199999999999998</v>
      </c>
      <c r="I824">
        <v>4.4859999999999998</v>
      </c>
      <c r="J824">
        <v>3</v>
      </c>
      <c r="K824">
        <v>21</v>
      </c>
      <c r="L824">
        <v>14</v>
      </c>
      <c r="M824">
        <v>1.335</v>
      </c>
    </row>
    <row r="825" spans="1:13" ht="15" customHeight="1">
      <c r="A825" t="s">
        <v>16</v>
      </c>
      <c r="B825">
        <f t="shared" si="48"/>
        <v>33.704889999999999</v>
      </c>
      <c r="C825">
        <f t="shared" si="49"/>
        <v>-117.861451</v>
      </c>
      <c r="D825">
        <f t="shared" si="50"/>
        <v>45</v>
      </c>
      <c r="E825">
        <v>31.5</v>
      </c>
      <c r="F825">
        <f t="shared" si="51"/>
        <v>13.5</v>
      </c>
      <c r="G825">
        <v>88.186000000000007</v>
      </c>
      <c r="H825">
        <v>2.4860000000000002</v>
      </c>
      <c r="I825">
        <v>2.8239999999999998</v>
      </c>
      <c r="J825">
        <v>6</v>
      </c>
      <c r="K825">
        <v>34</v>
      </c>
      <c r="L825">
        <v>22</v>
      </c>
      <c r="M825">
        <v>5.7409999999999997</v>
      </c>
    </row>
    <row r="826" spans="1:13" ht="15" customHeight="1">
      <c r="A826" t="s">
        <v>16</v>
      </c>
      <c r="B826">
        <f t="shared" si="48"/>
        <v>33.704889999999999</v>
      </c>
      <c r="C826">
        <f t="shared" si="49"/>
        <v>-117.861451</v>
      </c>
      <c r="D826">
        <f t="shared" si="50"/>
        <v>45</v>
      </c>
      <c r="E826">
        <v>32.5</v>
      </c>
      <c r="F826">
        <f t="shared" si="51"/>
        <v>12.5</v>
      </c>
      <c r="G826">
        <v>47.55</v>
      </c>
      <c r="H826">
        <v>1.508</v>
      </c>
      <c r="I826">
        <v>3.1850000000000001</v>
      </c>
      <c r="J826">
        <v>5</v>
      </c>
      <c r="K826">
        <v>23</v>
      </c>
      <c r="L826">
        <v>15</v>
      </c>
      <c r="M826">
        <v>3.0249999999999999</v>
      </c>
    </row>
    <row r="827" spans="1:13" ht="15" customHeight="1">
      <c r="A827" t="s">
        <v>16</v>
      </c>
      <c r="B827">
        <f t="shared" si="48"/>
        <v>33.704889999999999</v>
      </c>
      <c r="C827">
        <f t="shared" si="49"/>
        <v>-117.861451</v>
      </c>
      <c r="D827">
        <f t="shared" si="50"/>
        <v>45</v>
      </c>
      <c r="E827">
        <v>33.5</v>
      </c>
      <c r="F827">
        <f t="shared" si="51"/>
        <v>11.5</v>
      </c>
      <c r="G827">
        <v>48.65</v>
      </c>
      <c r="H827">
        <v>2.077</v>
      </c>
      <c r="I827">
        <v>4.2850000000000001</v>
      </c>
      <c r="J827">
        <v>4</v>
      </c>
      <c r="K827">
        <v>31</v>
      </c>
      <c r="L827">
        <v>20</v>
      </c>
      <c r="M827">
        <v>3.0950000000000002</v>
      </c>
    </row>
    <row r="828" spans="1:13" ht="15" customHeight="1">
      <c r="A828" t="s">
        <v>16</v>
      </c>
      <c r="B828">
        <f t="shared" si="48"/>
        <v>33.704889999999999</v>
      </c>
      <c r="C828">
        <f t="shared" si="49"/>
        <v>-117.861451</v>
      </c>
      <c r="D828">
        <f t="shared" si="50"/>
        <v>45</v>
      </c>
      <c r="E828">
        <v>34.5</v>
      </c>
      <c r="F828">
        <f t="shared" si="51"/>
        <v>10.5</v>
      </c>
      <c r="G828">
        <v>91</v>
      </c>
      <c r="H828">
        <v>1.6679999999999999</v>
      </c>
      <c r="I828">
        <v>1.837</v>
      </c>
      <c r="J828">
        <v>7</v>
      </c>
      <c r="K828">
        <v>29</v>
      </c>
      <c r="L828">
        <v>18</v>
      </c>
      <c r="M828" s="1">
        <v>9000000000</v>
      </c>
    </row>
    <row r="829" spans="1:13" ht="15" customHeight="1">
      <c r="A829" t="s">
        <v>16</v>
      </c>
      <c r="B829">
        <f t="shared" si="48"/>
        <v>33.704889999999999</v>
      </c>
      <c r="C829">
        <f t="shared" si="49"/>
        <v>-117.861451</v>
      </c>
      <c r="D829">
        <f t="shared" si="50"/>
        <v>45</v>
      </c>
      <c r="E829">
        <v>35.5</v>
      </c>
      <c r="F829">
        <f t="shared" si="51"/>
        <v>9.5</v>
      </c>
      <c r="G829">
        <v>124</v>
      </c>
      <c r="H829">
        <v>3.0019999999999998</v>
      </c>
      <c r="I829">
        <v>2.4239999999999999</v>
      </c>
      <c r="J829">
        <v>7</v>
      </c>
      <c r="K829">
        <v>40</v>
      </c>
      <c r="L829">
        <v>25</v>
      </c>
      <c r="M829" s="1">
        <v>9000000000</v>
      </c>
    </row>
    <row r="830" spans="1:13" ht="15" customHeight="1">
      <c r="A830" t="s">
        <v>16</v>
      </c>
      <c r="B830">
        <f t="shared" si="48"/>
        <v>33.704889999999999</v>
      </c>
      <c r="C830">
        <f t="shared" si="49"/>
        <v>-117.861451</v>
      </c>
      <c r="D830">
        <f t="shared" si="50"/>
        <v>45</v>
      </c>
      <c r="E830">
        <v>36.5</v>
      </c>
      <c r="F830">
        <f t="shared" si="51"/>
        <v>8.5</v>
      </c>
      <c r="G830">
        <v>130.19999999999999</v>
      </c>
      <c r="H830">
        <v>1.6679999999999999</v>
      </c>
      <c r="I830">
        <v>1.2829999999999999</v>
      </c>
      <c r="J830">
        <v>8</v>
      </c>
      <c r="K830">
        <v>31</v>
      </c>
      <c r="L830">
        <v>19</v>
      </c>
      <c r="M830" s="1">
        <v>9000000000</v>
      </c>
    </row>
    <row r="831" spans="1:13" ht="15" customHeight="1">
      <c r="A831" t="s">
        <v>16</v>
      </c>
      <c r="B831">
        <f t="shared" si="48"/>
        <v>33.704889999999999</v>
      </c>
      <c r="C831">
        <f t="shared" si="49"/>
        <v>-117.861451</v>
      </c>
      <c r="D831">
        <f t="shared" si="50"/>
        <v>45</v>
      </c>
      <c r="E831">
        <v>37.5</v>
      </c>
      <c r="F831">
        <f t="shared" si="51"/>
        <v>7.5</v>
      </c>
      <c r="G831">
        <v>130.917</v>
      </c>
      <c r="H831">
        <v>2.133</v>
      </c>
      <c r="I831">
        <v>1.6319999999999999</v>
      </c>
      <c r="J831">
        <v>8</v>
      </c>
      <c r="K831">
        <v>31</v>
      </c>
      <c r="L831">
        <v>19</v>
      </c>
      <c r="M831" s="1">
        <v>9000000000</v>
      </c>
    </row>
    <row r="832" spans="1:13" ht="15" customHeight="1">
      <c r="A832" t="s">
        <v>16</v>
      </c>
      <c r="B832">
        <f t="shared" si="48"/>
        <v>33.704889999999999</v>
      </c>
      <c r="C832">
        <f t="shared" si="49"/>
        <v>-117.861451</v>
      </c>
      <c r="D832">
        <f t="shared" si="50"/>
        <v>45</v>
      </c>
      <c r="E832">
        <v>38.5</v>
      </c>
      <c r="F832">
        <f t="shared" si="51"/>
        <v>6.5</v>
      </c>
      <c r="G832">
        <v>96.983000000000004</v>
      </c>
      <c r="H832">
        <v>2.7029999999999998</v>
      </c>
      <c r="I832">
        <v>2.7930000000000001</v>
      </c>
      <c r="J832">
        <v>6</v>
      </c>
      <c r="K832">
        <v>37</v>
      </c>
      <c r="L832">
        <v>22</v>
      </c>
      <c r="M832">
        <v>6.2969999999999997</v>
      </c>
    </row>
    <row r="833" spans="1:13" ht="15" customHeight="1">
      <c r="A833" t="s">
        <v>16</v>
      </c>
      <c r="B833">
        <f t="shared" si="48"/>
        <v>33.704889999999999</v>
      </c>
      <c r="C833">
        <f t="shared" si="49"/>
        <v>-117.861451</v>
      </c>
      <c r="D833">
        <f t="shared" si="50"/>
        <v>45</v>
      </c>
      <c r="E833">
        <v>39.5</v>
      </c>
      <c r="F833">
        <f t="shared" si="51"/>
        <v>5.5</v>
      </c>
      <c r="G833">
        <v>110.75</v>
      </c>
      <c r="H833">
        <v>2.988</v>
      </c>
      <c r="I833">
        <v>2.7029999999999998</v>
      </c>
      <c r="J833">
        <v>6</v>
      </c>
      <c r="K833">
        <v>42</v>
      </c>
      <c r="L833">
        <v>25</v>
      </c>
      <c r="M833">
        <v>7.2089999999999996</v>
      </c>
    </row>
    <row r="834" spans="1:13" ht="15" customHeight="1">
      <c r="A834" t="s">
        <v>16</v>
      </c>
      <c r="B834">
        <f t="shared" ref="B834:B897" si="52">VLOOKUP(A834,XYdata,3,FALSE)</f>
        <v>33.704889999999999</v>
      </c>
      <c r="C834">
        <f t="shared" ref="C834:C897" si="53">VLOOKUP(A834,XYdata,2,FALSE)</f>
        <v>-117.861451</v>
      </c>
      <c r="D834">
        <f t="shared" ref="D834:D897" si="54">VLOOKUP(A834,Elevation,2,FALSE)</f>
        <v>45</v>
      </c>
      <c r="E834">
        <v>40.5</v>
      </c>
      <c r="F834">
        <f t="shared" si="51"/>
        <v>4.5</v>
      </c>
      <c r="G834">
        <v>132.53299999999999</v>
      </c>
      <c r="H834">
        <v>2.605</v>
      </c>
      <c r="I834">
        <v>1.9690000000000001</v>
      </c>
      <c r="J834">
        <v>7</v>
      </c>
      <c r="K834">
        <v>42</v>
      </c>
      <c r="L834">
        <v>25</v>
      </c>
      <c r="M834" s="1">
        <v>9000000000</v>
      </c>
    </row>
    <row r="835" spans="1:13" ht="15" customHeight="1">
      <c r="A835" t="s">
        <v>16</v>
      </c>
      <c r="B835">
        <f t="shared" si="52"/>
        <v>33.704889999999999</v>
      </c>
      <c r="C835">
        <f t="shared" si="53"/>
        <v>-117.861451</v>
      </c>
      <c r="D835">
        <f t="shared" si="54"/>
        <v>45</v>
      </c>
      <c r="E835">
        <v>41.499000000000002</v>
      </c>
      <c r="F835">
        <f t="shared" ref="F835:F898" si="55">D835-E835</f>
        <v>3.5009999999999977</v>
      </c>
      <c r="G835">
        <v>63.914000000000001</v>
      </c>
      <c r="H835">
        <v>2.7010000000000001</v>
      </c>
      <c r="I835">
        <v>4.24</v>
      </c>
      <c r="J835">
        <v>5</v>
      </c>
      <c r="K835">
        <v>31</v>
      </c>
      <c r="L835">
        <v>18</v>
      </c>
      <c r="M835">
        <v>4.0789999999999997</v>
      </c>
    </row>
    <row r="836" spans="1:13" ht="15" customHeight="1">
      <c r="A836" t="s">
        <v>16</v>
      </c>
      <c r="B836">
        <f t="shared" si="52"/>
        <v>33.704889999999999</v>
      </c>
      <c r="C836">
        <f t="shared" si="53"/>
        <v>-117.861451</v>
      </c>
      <c r="D836">
        <f t="shared" si="54"/>
        <v>45</v>
      </c>
      <c r="E836">
        <v>42.499000000000002</v>
      </c>
      <c r="F836">
        <f t="shared" si="55"/>
        <v>2.5009999999999977</v>
      </c>
      <c r="G836">
        <v>49.45</v>
      </c>
      <c r="H836">
        <v>2.1179999999999999</v>
      </c>
      <c r="I836">
        <v>4.3</v>
      </c>
      <c r="J836">
        <v>4</v>
      </c>
      <c r="K836">
        <v>31</v>
      </c>
      <c r="L836">
        <v>18</v>
      </c>
      <c r="M836">
        <v>3.1110000000000002</v>
      </c>
    </row>
    <row r="837" spans="1:13" ht="15" customHeight="1">
      <c r="A837" t="s">
        <v>16</v>
      </c>
      <c r="B837">
        <f t="shared" si="52"/>
        <v>33.704889999999999</v>
      </c>
      <c r="C837">
        <f t="shared" si="53"/>
        <v>-117.861451</v>
      </c>
      <c r="D837">
        <f t="shared" si="54"/>
        <v>45</v>
      </c>
      <c r="E837">
        <v>43.499000000000002</v>
      </c>
      <c r="F837">
        <f t="shared" si="55"/>
        <v>1.5009999999999977</v>
      </c>
      <c r="G837">
        <v>109.467</v>
      </c>
      <c r="H837">
        <v>3.238</v>
      </c>
      <c r="I837">
        <v>2.964</v>
      </c>
      <c r="J837">
        <v>6</v>
      </c>
      <c r="K837">
        <v>42</v>
      </c>
      <c r="L837">
        <v>24</v>
      </c>
      <c r="M837">
        <v>7.1070000000000002</v>
      </c>
    </row>
    <row r="838" spans="1:13" ht="15" customHeight="1">
      <c r="A838" t="s">
        <v>16</v>
      </c>
      <c r="B838">
        <f t="shared" si="52"/>
        <v>33.704889999999999</v>
      </c>
      <c r="C838">
        <f t="shared" si="53"/>
        <v>-117.861451</v>
      </c>
      <c r="D838">
        <f t="shared" si="54"/>
        <v>45</v>
      </c>
      <c r="E838">
        <v>44.499000000000002</v>
      </c>
      <c r="F838">
        <f t="shared" si="55"/>
        <v>0.50099999999999767</v>
      </c>
      <c r="G838">
        <v>135.6</v>
      </c>
      <c r="H838">
        <v>4.9850000000000003</v>
      </c>
      <c r="I838">
        <v>3.6819999999999999</v>
      </c>
      <c r="J838">
        <v>6</v>
      </c>
      <c r="K838">
        <v>52</v>
      </c>
      <c r="L838">
        <v>29</v>
      </c>
      <c r="M838">
        <v>8.8450000000000006</v>
      </c>
    </row>
    <row r="839" spans="1:13" ht="15" customHeight="1">
      <c r="A839" t="s">
        <v>16</v>
      </c>
      <c r="B839">
        <f t="shared" si="52"/>
        <v>33.704889999999999</v>
      </c>
      <c r="C839">
        <f t="shared" si="53"/>
        <v>-117.861451</v>
      </c>
      <c r="D839">
        <f t="shared" si="54"/>
        <v>45</v>
      </c>
      <c r="E839">
        <v>45.499000000000002</v>
      </c>
      <c r="F839">
        <f t="shared" si="55"/>
        <v>-0.49900000000000233</v>
      </c>
      <c r="G839">
        <v>132.68299999999999</v>
      </c>
      <c r="H839">
        <v>2.9079999999999999</v>
      </c>
      <c r="I839">
        <v>2.1949999999999998</v>
      </c>
      <c r="J839">
        <v>7</v>
      </c>
      <c r="K839">
        <v>42</v>
      </c>
      <c r="L839">
        <v>23</v>
      </c>
      <c r="M839" s="1">
        <v>9000000000</v>
      </c>
    </row>
    <row r="840" spans="1:13" ht="15" customHeight="1">
      <c r="A840" t="s">
        <v>16</v>
      </c>
      <c r="B840">
        <f t="shared" si="52"/>
        <v>33.704889999999999</v>
      </c>
      <c r="C840">
        <f t="shared" si="53"/>
        <v>-117.861451</v>
      </c>
      <c r="D840">
        <f t="shared" si="54"/>
        <v>45</v>
      </c>
      <c r="E840">
        <v>46.499000000000002</v>
      </c>
      <c r="F840">
        <f t="shared" si="55"/>
        <v>-1.4990000000000023</v>
      </c>
      <c r="G840">
        <v>127.533</v>
      </c>
      <c r="H840">
        <v>3.2679999999999998</v>
      </c>
      <c r="I840">
        <v>2.5659999999999998</v>
      </c>
      <c r="J840">
        <v>7</v>
      </c>
      <c r="K840">
        <v>41</v>
      </c>
      <c r="L840">
        <v>23</v>
      </c>
      <c r="M840" s="1">
        <v>9000000000</v>
      </c>
    </row>
    <row r="841" spans="1:13" ht="15" customHeight="1">
      <c r="A841" t="s">
        <v>16</v>
      </c>
      <c r="B841">
        <f t="shared" si="52"/>
        <v>33.704889999999999</v>
      </c>
      <c r="C841">
        <f t="shared" si="53"/>
        <v>-117.861451</v>
      </c>
      <c r="D841">
        <f t="shared" si="54"/>
        <v>45</v>
      </c>
      <c r="E841">
        <v>47.499000000000002</v>
      </c>
      <c r="F841">
        <f t="shared" si="55"/>
        <v>-2.4990000000000023</v>
      </c>
      <c r="G841">
        <v>113.05</v>
      </c>
      <c r="H841">
        <v>2.6379999999999999</v>
      </c>
      <c r="I841">
        <v>2.3340000000000001</v>
      </c>
      <c r="J841">
        <v>7</v>
      </c>
      <c r="K841">
        <v>36</v>
      </c>
      <c r="L841">
        <v>20</v>
      </c>
      <c r="M841" s="1">
        <v>9000000000</v>
      </c>
    </row>
    <row r="842" spans="1:13" ht="15" customHeight="1">
      <c r="A842" t="s">
        <v>16</v>
      </c>
      <c r="B842">
        <f t="shared" si="52"/>
        <v>33.704889999999999</v>
      </c>
      <c r="C842">
        <f t="shared" si="53"/>
        <v>-117.861451</v>
      </c>
      <c r="D842">
        <f t="shared" si="54"/>
        <v>45</v>
      </c>
      <c r="E842">
        <v>48.499000000000002</v>
      </c>
      <c r="F842">
        <f t="shared" si="55"/>
        <v>-3.4990000000000023</v>
      </c>
      <c r="G842">
        <v>96.382999999999996</v>
      </c>
      <c r="H842">
        <v>3.6669999999999998</v>
      </c>
      <c r="I842">
        <v>3.806</v>
      </c>
      <c r="J842">
        <v>5</v>
      </c>
      <c r="K842">
        <v>46</v>
      </c>
      <c r="L842">
        <v>25</v>
      </c>
      <c r="M842">
        <v>6.226</v>
      </c>
    </row>
    <row r="843" spans="1:13" ht="15" customHeight="1">
      <c r="A843" t="s">
        <v>16</v>
      </c>
      <c r="B843">
        <f t="shared" si="52"/>
        <v>33.704889999999999</v>
      </c>
      <c r="C843">
        <f t="shared" si="53"/>
        <v>-117.861451</v>
      </c>
      <c r="D843">
        <f t="shared" si="54"/>
        <v>45</v>
      </c>
      <c r="E843">
        <v>49.499000000000002</v>
      </c>
      <c r="F843">
        <f t="shared" si="55"/>
        <v>-4.4990000000000023</v>
      </c>
      <c r="G843">
        <v>274.91699999999997</v>
      </c>
      <c r="H843">
        <v>3.25</v>
      </c>
      <c r="I843">
        <v>1.1830000000000001</v>
      </c>
      <c r="J843">
        <v>9</v>
      </c>
      <c r="K843">
        <v>53</v>
      </c>
      <c r="L843">
        <v>28</v>
      </c>
      <c r="M843" s="1">
        <v>9000000000</v>
      </c>
    </row>
    <row r="844" spans="1:13" ht="15" customHeight="1">
      <c r="A844" t="s">
        <v>16</v>
      </c>
      <c r="B844">
        <f t="shared" si="52"/>
        <v>33.704889999999999</v>
      </c>
      <c r="C844">
        <f t="shared" si="53"/>
        <v>-117.861451</v>
      </c>
      <c r="D844">
        <f t="shared" si="54"/>
        <v>45</v>
      </c>
      <c r="E844">
        <v>50.499000000000002</v>
      </c>
      <c r="F844">
        <f t="shared" si="55"/>
        <v>-5.4990000000000023</v>
      </c>
      <c r="G844">
        <v>128.233</v>
      </c>
      <c r="H844">
        <v>1.6120000000000001</v>
      </c>
      <c r="I844">
        <v>1.256</v>
      </c>
      <c r="J844">
        <v>8</v>
      </c>
      <c r="K844">
        <v>31</v>
      </c>
      <c r="L844">
        <v>16</v>
      </c>
      <c r="M844" s="1">
        <v>9000000000</v>
      </c>
    </row>
    <row r="845" spans="1:13" ht="15" customHeight="1">
      <c r="A845" t="s">
        <v>16</v>
      </c>
      <c r="B845">
        <f t="shared" si="52"/>
        <v>33.704889999999999</v>
      </c>
      <c r="C845">
        <f t="shared" si="53"/>
        <v>-117.861451</v>
      </c>
      <c r="D845">
        <f t="shared" si="54"/>
        <v>45</v>
      </c>
      <c r="E845">
        <v>51.499000000000002</v>
      </c>
      <c r="F845">
        <f t="shared" si="55"/>
        <v>-6.4990000000000023</v>
      </c>
      <c r="G845">
        <v>59.783000000000001</v>
      </c>
      <c r="H845">
        <v>1.7869999999999999</v>
      </c>
      <c r="I845">
        <v>2.9710000000000001</v>
      </c>
      <c r="J845">
        <v>6</v>
      </c>
      <c r="K845">
        <v>23</v>
      </c>
      <c r="L845">
        <v>12</v>
      </c>
      <c r="M845">
        <v>3.7989999999999999</v>
      </c>
    </row>
    <row r="846" spans="1:13" ht="15" customHeight="1">
      <c r="A846" t="s">
        <v>16</v>
      </c>
      <c r="B846">
        <f t="shared" si="52"/>
        <v>33.704889999999999</v>
      </c>
      <c r="C846">
        <f t="shared" si="53"/>
        <v>-117.861451</v>
      </c>
      <c r="D846">
        <f t="shared" si="54"/>
        <v>45</v>
      </c>
      <c r="E846">
        <v>52.499000000000002</v>
      </c>
      <c r="F846">
        <f t="shared" si="55"/>
        <v>-7.4990000000000023</v>
      </c>
      <c r="G846">
        <v>21.742999999999999</v>
      </c>
      <c r="H846">
        <v>0.70299999999999996</v>
      </c>
      <c r="I846">
        <v>3.258</v>
      </c>
      <c r="J846">
        <v>5</v>
      </c>
      <c r="K846">
        <v>10</v>
      </c>
      <c r="L846">
        <v>5</v>
      </c>
      <c r="M846">
        <v>1.224</v>
      </c>
    </row>
    <row r="847" spans="1:13" ht="15" customHeight="1">
      <c r="A847" t="s">
        <v>16</v>
      </c>
      <c r="B847">
        <f t="shared" si="52"/>
        <v>33.704889999999999</v>
      </c>
      <c r="C847">
        <f t="shared" si="53"/>
        <v>-117.861451</v>
      </c>
      <c r="D847">
        <f t="shared" si="54"/>
        <v>45</v>
      </c>
      <c r="E847">
        <v>53.499000000000002</v>
      </c>
      <c r="F847">
        <f t="shared" si="55"/>
        <v>-8.4990000000000023</v>
      </c>
      <c r="G847">
        <v>28</v>
      </c>
      <c r="H847">
        <v>0.82</v>
      </c>
      <c r="I847">
        <v>2.9460000000000002</v>
      </c>
      <c r="J847">
        <v>5</v>
      </c>
      <c r="K847">
        <v>13</v>
      </c>
      <c r="L847">
        <v>7</v>
      </c>
      <c r="M847">
        <v>1.637</v>
      </c>
    </row>
    <row r="848" spans="1:13" ht="15" customHeight="1">
      <c r="A848" t="s">
        <v>16</v>
      </c>
      <c r="B848">
        <f t="shared" si="52"/>
        <v>33.704889999999999</v>
      </c>
      <c r="C848">
        <f t="shared" si="53"/>
        <v>-117.861451</v>
      </c>
      <c r="D848">
        <f t="shared" si="54"/>
        <v>45</v>
      </c>
      <c r="E848">
        <v>54.499000000000002</v>
      </c>
      <c r="F848">
        <f t="shared" si="55"/>
        <v>-9.4990000000000023</v>
      </c>
      <c r="G848">
        <v>23.8</v>
      </c>
      <c r="H848">
        <v>0.72299999999999998</v>
      </c>
      <c r="I848">
        <v>3.056</v>
      </c>
      <c r="J848">
        <v>5</v>
      </c>
      <c r="K848">
        <v>11</v>
      </c>
      <c r="L848">
        <v>6</v>
      </c>
      <c r="M848">
        <v>1.355</v>
      </c>
    </row>
    <row r="849" spans="1:13" ht="15" customHeight="1">
      <c r="A849" t="s">
        <v>16</v>
      </c>
      <c r="B849">
        <f t="shared" si="52"/>
        <v>33.704889999999999</v>
      </c>
      <c r="C849">
        <f t="shared" si="53"/>
        <v>-117.861451</v>
      </c>
      <c r="D849">
        <f t="shared" si="54"/>
        <v>45</v>
      </c>
      <c r="E849">
        <v>55.499000000000002</v>
      </c>
      <c r="F849">
        <f t="shared" si="55"/>
        <v>-10.499000000000002</v>
      </c>
      <c r="G849">
        <v>30.45</v>
      </c>
      <c r="H849">
        <v>0.99299999999999999</v>
      </c>
      <c r="I849">
        <v>3.2690000000000001</v>
      </c>
      <c r="J849">
        <v>5</v>
      </c>
      <c r="K849">
        <v>15</v>
      </c>
      <c r="L849">
        <v>8</v>
      </c>
      <c r="M849">
        <v>1.7989999999999999</v>
      </c>
    </row>
    <row r="850" spans="1:13" ht="15" customHeight="1">
      <c r="A850" t="s">
        <v>16</v>
      </c>
      <c r="B850">
        <f t="shared" si="52"/>
        <v>33.704889999999999</v>
      </c>
      <c r="C850">
        <f t="shared" si="53"/>
        <v>-117.861451</v>
      </c>
      <c r="D850">
        <f t="shared" si="54"/>
        <v>45</v>
      </c>
      <c r="E850">
        <v>56.499000000000002</v>
      </c>
      <c r="F850">
        <f t="shared" si="55"/>
        <v>-11.499000000000002</v>
      </c>
      <c r="G850">
        <v>41.55</v>
      </c>
      <c r="H850">
        <v>1.64</v>
      </c>
      <c r="I850">
        <v>3.9550000000000001</v>
      </c>
      <c r="J850">
        <v>5</v>
      </c>
      <c r="K850">
        <v>20</v>
      </c>
      <c r="L850">
        <v>10</v>
      </c>
      <c r="M850">
        <v>2.5329999999999999</v>
      </c>
    </row>
    <row r="851" spans="1:13" ht="15" customHeight="1">
      <c r="A851" t="s">
        <v>16</v>
      </c>
      <c r="B851">
        <f t="shared" si="52"/>
        <v>33.704889999999999</v>
      </c>
      <c r="C851">
        <f t="shared" si="53"/>
        <v>-117.861451</v>
      </c>
      <c r="D851">
        <f t="shared" si="54"/>
        <v>45</v>
      </c>
      <c r="E851">
        <v>57.499000000000002</v>
      </c>
      <c r="F851">
        <f t="shared" si="55"/>
        <v>-12.499000000000002</v>
      </c>
      <c r="G851">
        <v>21.667000000000002</v>
      </c>
      <c r="H851">
        <v>0.58699999999999997</v>
      </c>
      <c r="I851">
        <v>2.714</v>
      </c>
      <c r="J851">
        <v>5</v>
      </c>
      <c r="K851">
        <v>10</v>
      </c>
      <c r="L851">
        <v>5</v>
      </c>
      <c r="M851">
        <v>1.206</v>
      </c>
    </row>
    <row r="852" spans="1:13" ht="15" customHeight="1">
      <c r="A852" t="s">
        <v>16</v>
      </c>
      <c r="B852">
        <f t="shared" si="52"/>
        <v>33.704889999999999</v>
      </c>
      <c r="C852">
        <f t="shared" si="53"/>
        <v>-117.861451</v>
      </c>
      <c r="D852">
        <f t="shared" si="54"/>
        <v>45</v>
      </c>
      <c r="E852">
        <v>58.499000000000002</v>
      </c>
      <c r="F852">
        <f t="shared" si="55"/>
        <v>-13.499000000000002</v>
      </c>
      <c r="G852">
        <v>26.367000000000001</v>
      </c>
      <c r="H852">
        <v>0.67500000000000004</v>
      </c>
      <c r="I852">
        <v>2.5550000000000002</v>
      </c>
      <c r="J852">
        <v>6</v>
      </c>
      <c r="K852">
        <v>10</v>
      </c>
      <c r="L852">
        <v>5</v>
      </c>
      <c r="M852">
        <v>1.522</v>
      </c>
    </row>
    <row r="853" spans="1:13" ht="15" customHeight="1">
      <c r="A853" t="s">
        <v>16</v>
      </c>
      <c r="B853">
        <f t="shared" si="52"/>
        <v>33.704889999999999</v>
      </c>
      <c r="C853">
        <f t="shared" si="53"/>
        <v>-117.861451</v>
      </c>
      <c r="D853">
        <f t="shared" si="54"/>
        <v>45</v>
      </c>
      <c r="E853">
        <v>59.499000000000002</v>
      </c>
      <c r="F853">
        <f t="shared" si="55"/>
        <v>-14.499000000000002</v>
      </c>
      <c r="G853">
        <v>92.283000000000001</v>
      </c>
      <c r="H853">
        <v>1.8680000000000001</v>
      </c>
      <c r="I853">
        <v>2.0259999999999998</v>
      </c>
      <c r="J853">
        <v>7</v>
      </c>
      <c r="K853">
        <v>29</v>
      </c>
      <c r="L853">
        <v>15</v>
      </c>
      <c r="M853" s="1">
        <v>9000000000</v>
      </c>
    </row>
    <row r="854" spans="1:13" ht="15" customHeight="1">
      <c r="A854" t="s">
        <v>16</v>
      </c>
      <c r="B854">
        <f t="shared" si="52"/>
        <v>33.704889999999999</v>
      </c>
      <c r="C854">
        <f t="shared" si="53"/>
        <v>-117.861451</v>
      </c>
      <c r="D854">
        <f t="shared" si="54"/>
        <v>45</v>
      </c>
      <c r="E854">
        <v>60.499000000000002</v>
      </c>
      <c r="F854">
        <f t="shared" si="55"/>
        <v>-15.499000000000002</v>
      </c>
      <c r="G854">
        <v>38.167000000000002</v>
      </c>
      <c r="H854">
        <v>1.43</v>
      </c>
      <c r="I854">
        <v>3.7629999999999999</v>
      </c>
      <c r="J854">
        <v>5</v>
      </c>
      <c r="K854">
        <v>18</v>
      </c>
      <c r="L854">
        <v>9</v>
      </c>
      <c r="M854">
        <v>2.286</v>
      </c>
    </row>
    <row r="855" spans="1:13" ht="15" customHeight="1">
      <c r="A855" t="s">
        <v>16</v>
      </c>
      <c r="B855">
        <f t="shared" si="52"/>
        <v>33.704889999999999</v>
      </c>
      <c r="C855">
        <f t="shared" si="53"/>
        <v>-117.861451</v>
      </c>
      <c r="D855">
        <f t="shared" si="54"/>
        <v>45</v>
      </c>
      <c r="E855">
        <v>61.499000000000002</v>
      </c>
      <c r="F855">
        <f t="shared" si="55"/>
        <v>-16.499000000000002</v>
      </c>
      <c r="G855">
        <v>21.5</v>
      </c>
      <c r="H855">
        <v>0.54700000000000004</v>
      </c>
      <c r="I855">
        <v>2.5590000000000002</v>
      </c>
      <c r="J855">
        <v>5</v>
      </c>
      <c r="K855">
        <v>10</v>
      </c>
      <c r="L855">
        <v>5</v>
      </c>
      <c r="M855">
        <v>1.173</v>
      </c>
    </row>
    <row r="856" spans="1:13" ht="15" customHeight="1">
      <c r="A856" t="s">
        <v>16</v>
      </c>
      <c r="B856">
        <f t="shared" si="52"/>
        <v>33.704889999999999</v>
      </c>
      <c r="C856">
        <f t="shared" si="53"/>
        <v>-117.861451</v>
      </c>
      <c r="D856">
        <f t="shared" si="54"/>
        <v>45</v>
      </c>
      <c r="E856">
        <v>62.499000000000002</v>
      </c>
      <c r="F856">
        <f t="shared" si="55"/>
        <v>-17.499000000000002</v>
      </c>
      <c r="G856">
        <v>31.3</v>
      </c>
      <c r="H856">
        <v>1.123</v>
      </c>
      <c r="I856">
        <v>3.597</v>
      </c>
      <c r="J856">
        <v>5</v>
      </c>
      <c r="K856">
        <v>15</v>
      </c>
      <c r="L856">
        <v>8</v>
      </c>
      <c r="M856">
        <v>1.825</v>
      </c>
    </row>
    <row r="857" spans="1:13" ht="15" customHeight="1">
      <c r="A857" t="s">
        <v>16</v>
      </c>
      <c r="B857">
        <f t="shared" si="52"/>
        <v>33.704889999999999</v>
      </c>
      <c r="C857">
        <f t="shared" si="53"/>
        <v>-117.861451</v>
      </c>
      <c r="D857">
        <f t="shared" si="54"/>
        <v>45</v>
      </c>
      <c r="E857">
        <v>63.499000000000002</v>
      </c>
      <c r="F857">
        <f t="shared" si="55"/>
        <v>-18.499000000000002</v>
      </c>
      <c r="G857">
        <v>26.75</v>
      </c>
      <c r="H857">
        <v>0.82799999999999996</v>
      </c>
      <c r="I857">
        <v>3.1040000000000001</v>
      </c>
      <c r="J857">
        <v>5</v>
      </c>
      <c r="K857">
        <v>13</v>
      </c>
      <c r="L857">
        <v>7</v>
      </c>
      <c r="M857">
        <v>1.5189999999999999</v>
      </c>
    </row>
    <row r="858" spans="1:13" ht="15" customHeight="1">
      <c r="A858" t="s">
        <v>16</v>
      </c>
      <c r="B858">
        <f t="shared" si="52"/>
        <v>33.704889999999999</v>
      </c>
      <c r="C858">
        <f t="shared" si="53"/>
        <v>-117.861451</v>
      </c>
      <c r="D858">
        <f t="shared" si="54"/>
        <v>45</v>
      </c>
      <c r="E858">
        <v>64.498999999999995</v>
      </c>
      <c r="F858">
        <f t="shared" si="55"/>
        <v>-19.498999999999995</v>
      </c>
      <c r="G858">
        <v>31.183</v>
      </c>
      <c r="H858">
        <v>1.0129999999999999</v>
      </c>
      <c r="I858">
        <v>3.25</v>
      </c>
      <c r="J858">
        <v>5</v>
      </c>
      <c r="K858">
        <v>15</v>
      </c>
      <c r="L858">
        <v>8</v>
      </c>
      <c r="M858">
        <v>1.8149999999999999</v>
      </c>
    </row>
    <row r="859" spans="1:13" ht="15" customHeight="1">
      <c r="A859" t="s">
        <v>16</v>
      </c>
      <c r="B859">
        <f t="shared" si="52"/>
        <v>33.704889999999999</v>
      </c>
      <c r="C859">
        <f t="shared" si="53"/>
        <v>-117.861451</v>
      </c>
      <c r="D859">
        <f t="shared" si="54"/>
        <v>45</v>
      </c>
      <c r="E859">
        <v>65.498999999999995</v>
      </c>
      <c r="F859">
        <f t="shared" si="55"/>
        <v>-20.498999999999995</v>
      </c>
      <c r="G859">
        <v>28.8</v>
      </c>
      <c r="H859">
        <v>0.96799999999999997</v>
      </c>
      <c r="I859">
        <v>3.36</v>
      </c>
      <c r="J859">
        <v>5</v>
      </c>
      <c r="K859">
        <v>14</v>
      </c>
      <c r="L859">
        <v>7</v>
      </c>
      <c r="M859">
        <v>1.653</v>
      </c>
    </row>
    <row r="860" spans="1:13" ht="15" customHeight="1">
      <c r="A860" t="s">
        <v>16</v>
      </c>
      <c r="B860">
        <f t="shared" si="52"/>
        <v>33.704889999999999</v>
      </c>
      <c r="C860">
        <f t="shared" si="53"/>
        <v>-117.861451</v>
      </c>
      <c r="D860">
        <f t="shared" si="54"/>
        <v>45</v>
      </c>
      <c r="E860">
        <v>66.498999999999995</v>
      </c>
      <c r="F860">
        <f t="shared" si="55"/>
        <v>-21.498999999999995</v>
      </c>
      <c r="G860">
        <v>33.133000000000003</v>
      </c>
      <c r="H860">
        <v>1.127</v>
      </c>
      <c r="I860">
        <v>3.3940000000000001</v>
      </c>
      <c r="J860">
        <v>5</v>
      </c>
      <c r="K860">
        <v>16</v>
      </c>
      <c r="L860">
        <v>8</v>
      </c>
      <c r="M860">
        <v>1.9410000000000001</v>
      </c>
    </row>
    <row r="861" spans="1:13" ht="15" customHeight="1">
      <c r="A861" t="s">
        <v>16</v>
      </c>
      <c r="B861">
        <f t="shared" si="52"/>
        <v>33.704889999999999</v>
      </c>
      <c r="C861">
        <f t="shared" si="53"/>
        <v>-117.861451</v>
      </c>
      <c r="D861">
        <f t="shared" si="54"/>
        <v>45</v>
      </c>
      <c r="E861">
        <v>67.498999999999995</v>
      </c>
      <c r="F861">
        <f t="shared" si="55"/>
        <v>-22.498999999999995</v>
      </c>
      <c r="G861">
        <v>28.367000000000001</v>
      </c>
      <c r="H861">
        <v>1.208</v>
      </c>
      <c r="I861">
        <v>4.2080000000000002</v>
      </c>
      <c r="J861">
        <v>4</v>
      </c>
      <c r="K861">
        <v>18</v>
      </c>
      <c r="L861">
        <v>9</v>
      </c>
      <c r="M861">
        <v>1.6379999999999999</v>
      </c>
    </row>
    <row r="862" spans="1:13" ht="15" customHeight="1">
      <c r="A862" t="s">
        <v>16</v>
      </c>
      <c r="B862">
        <f t="shared" si="52"/>
        <v>33.704889999999999</v>
      </c>
      <c r="C862">
        <f t="shared" si="53"/>
        <v>-117.861451</v>
      </c>
      <c r="D862">
        <f t="shared" si="54"/>
        <v>45</v>
      </c>
      <c r="E862">
        <v>68.498999999999995</v>
      </c>
      <c r="F862">
        <f t="shared" si="55"/>
        <v>-23.498999999999995</v>
      </c>
      <c r="G862">
        <v>20.3</v>
      </c>
      <c r="H862">
        <v>0.46800000000000003</v>
      </c>
      <c r="I862">
        <v>2.1880000000000002</v>
      </c>
      <c r="J862">
        <v>6</v>
      </c>
      <c r="K862">
        <v>8</v>
      </c>
      <c r="L862">
        <v>4</v>
      </c>
      <c r="M862">
        <v>1.1459999999999999</v>
      </c>
    </row>
    <row r="863" spans="1:13" ht="15" customHeight="1">
      <c r="A863" t="s">
        <v>16</v>
      </c>
      <c r="B863">
        <f t="shared" si="52"/>
        <v>33.704889999999999</v>
      </c>
      <c r="C863">
        <f t="shared" si="53"/>
        <v>-117.861451</v>
      </c>
      <c r="D863">
        <f t="shared" si="54"/>
        <v>45</v>
      </c>
      <c r="E863">
        <v>69.498999999999995</v>
      </c>
      <c r="F863">
        <f t="shared" si="55"/>
        <v>-24.498999999999995</v>
      </c>
      <c r="G863">
        <v>23.117000000000001</v>
      </c>
      <c r="H863">
        <v>0.56299999999999994</v>
      </c>
      <c r="I863">
        <v>2.258</v>
      </c>
      <c r="J863">
        <v>6</v>
      </c>
      <c r="K863">
        <v>10</v>
      </c>
      <c r="L863">
        <v>5</v>
      </c>
      <c r="M863">
        <v>1.3779999999999999</v>
      </c>
    </row>
    <row r="864" spans="1:13" ht="15" customHeight="1">
      <c r="A864" t="s">
        <v>16</v>
      </c>
      <c r="B864">
        <f t="shared" si="52"/>
        <v>33.704889999999999</v>
      </c>
      <c r="C864">
        <f t="shared" si="53"/>
        <v>-117.861451</v>
      </c>
      <c r="D864">
        <f t="shared" si="54"/>
        <v>45</v>
      </c>
      <c r="E864">
        <v>70.498999999999995</v>
      </c>
      <c r="F864">
        <f t="shared" si="55"/>
        <v>-25.498999999999995</v>
      </c>
      <c r="G864">
        <v>19.7</v>
      </c>
      <c r="H864">
        <v>0.42</v>
      </c>
      <c r="I864">
        <v>1.9690000000000001</v>
      </c>
      <c r="J864">
        <v>6</v>
      </c>
      <c r="K864">
        <v>8</v>
      </c>
      <c r="L864">
        <v>4</v>
      </c>
      <c r="M864">
        <v>1.133</v>
      </c>
    </row>
    <row r="865" spans="1:13" ht="15" customHeight="1">
      <c r="A865" t="s">
        <v>16</v>
      </c>
      <c r="B865">
        <f t="shared" si="52"/>
        <v>33.704889999999999</v>
      </c>
      <c r="C865">
        <f t="shared" si="53"/>
        <v>-117.861451</v>
      </c>
      <c r="D865">
        <f t="shared" si="54"/>
        <v>45</v>
      </c>
      <c r="E865">
        <v>71.498999999999995</v>
      </c>
      <c r="F865">
        <f t="shared" si="55"/>
        <v>-26.498999999999995</v>
      </c>
      <c r="G865">
        <v>18.667000000000002</v>
      </c>
      <c r="H865">
        <v>0.55500000000000005</v>
      </c>
      <c r="I865">
        <v>2.766</v>
      </c>
      <c r="J865">
        <v>5</v>
      </c>
      <c r="K865">
        <v>10</v>
      </c>
      <c r="L865">
        <v>5</v>
      </c>
      <c r="M865">
        <v>1.044</v>
      </c>
    </row>
    <row r="866" spans="1:13" ht="15" customHeight="1">
      <c r="A866" t="s">
        <v>16</v>
      </c>
      <c r="B866">
        <f t="shared" si="52"/>
        <v>33.704889999999999</v>
      </c>
      <c r="C866">
        <f t="shared" si="53"/>
        <v>-117.861451</v>
      </c>
      <c r="D866">
        <f t="shared" si="54"/>
        <v>45</v>
      </c>
      <c r="E866">
        <v>72.498999999999995</v>
      </c>
      <c r="F866">
        <f t="shared" si="55"/>
        <v>-27.498999999999995</v>
      </c>
      <c r="G866">
        <v>22.8</v>
      </c>
      <c r="H866">
        <v>0.82399999999999995</v>
      </c>
      <c r="I866">
        <v>3.4820000000000002</v>
      </c>
      <c r="J866">
        <v>5</v>
      </c>
      <c r="K866">
        <v>11</v>
      </c>
      <c r="L866">
        <v>6</v>
      </c>
      <c r="M866">
        <v>1.2809999999999999</v>
      </c>
    </row>
    <row r="867" spans="1:13" ht="15" customHeight="1">
      <c r="A867" t="s">
        <v>16</v>
      </c>
      <c r="B867">
        <f t="shared" si="52"/>
        <v>33.704889999999999</v>
      </c>
      <c r="C867">
        <f t="shared" si="53"/>
        <v>-117.861451</v>
      </c>
      <c r="D867">
        <f t="shared" si="54"/>
        <v>45</v>
      </c>
      <c r="E867">
        <v>73.498999999999995</v>
      </c>
      <c r="F867">
        <f t="shared" si="55"/>
        <v>-28.498999999999995</v>
      </c>
      <c r="G867">
        <v>23.1</v>
      </c>
      <c r="H867">
        <v>0.59199999999999997</v>
      </c>
      <c r="I867">
        <v>2.4329999999999998</v>
      </c>
      <c r="J867">
        <v>6</v>
      </c>
      <c r="K867">
        <v>9</v>
      </c>
      <c r="L867">
        <v>5</v>
      </c>
      <c r="M867">
        <v>1.32</v>
      </c>
    </row>
    <row r="868" spans="1:13" ht="15" customHeight="1">
      <c r="A868" t="s">
        <v>16</v>
      </c>
      <c r="B868">
        <f t="shared" si="52"/>
        <v>33.704889999999999</v>
      </c>
      <c r="C868">
        <f t="shared" si="53"/>
        <v>-117.861451</v>
      </c>
      <c r="D868">
        <f t="shared" si="54"/>
        <v>45</v>
      </c>
      <c r="E868">
        <v>74.498999999999995</v>
      </c>
      <c r="F868">
        <f t="shared" si="55"/>
        <v>-29.498999999999995</v>
      </c>
      <c r="G868">
        <v>38.35</v>
      </c>
      <c r="H868">
        <v>1.27</v>
      </c>
      <c r="I868">
        <v>3.1920000000000002</v>
      </c>
      <c r="J868">
        <v>5</v>
      </c>
      <c r="K868">
        <v>19</v>
      </c>
      <c r="L868">
        <v>10</v>
      </c>
      <c r="M868">
        <v>2.347</v>
      </c>
    </row>
    <row r="869" spans="1:13" ht="15" customHeight="1">
      <c r="A869" t="s">
        <v>16</v>
      </c>
      <c r="B869">
        <f t="shared" si="52"/>
        <v>33.704889999999999</v>
      </c>
      <c r="C869">
        <f t="shared" si="53"/>
        <v>-117.861451</v>
      </c>
      <c r="D869">
        <f t="shared" si="54"/>
        <v>45</v>
      </c>
      <c r="E869">
        <v>75.498999999999995</v>
      </c>
      <c r="F869">
        <f t="shared" si="55"/>
        <v>-30.498999999999995</v>
      </c>
      <c r="G869">
        <v>75.466999999999999</v>
      </c>
      <c r="H869">
        <v>2.69</v>
      </c>
      <c r="I869">
        <v>3.5449999999999999</v>
      </c>
      <c r="J869">
        <v>5</v>
      </c>
      <c r="K869">
        <v>36</v>
      </c>
      <c r="L869">
        <v>18</v>
      </c>
      <c r="M869">
        <v>4.7489999999999997</v>
      </c>
    </row>
    <row r="870" spans="1:13" ht="15" customHeight="1">
      <c r="A870" t="s">
        <v>16</v>
      </c>
      <c r="B870">
        <f t="shared" si="52"/>
        <v>33.704889999999999</v>
      </c>
      <c r="C870">
        <f t="shared" si="53"/>
        <v>-117.861451</v>
      </c>
      <c r="D870">
        <f t="shared" si="54"/>
        <v>45</v>
      </c>
      <c r="E870">
        <v>76.498999999999995</v>
      </c>
      <c r="F870">
        <f t="shared" si="55"/>
        <v>-31.498999999999995</v>
      </c>
      <c r="G870">
        <v>56.05</v>
      </c>
      <c r="H870">
        <v>1.1080000000000001</v>
      </c>
      <c r="I870">
        <v>1.9830000000000001</v>
      </c>
      <c r="J870">
        <v>7</v>
      </c>
      <c r="K870">
        <v>18</v>
      </c>
      <c r="L870">
        <v>9</v>
      </c>
      <c r="M870" s="1">
        <v>9000000000</v>
      </c>
    </row>
    <row r="871" spans="1:13" ht="15" customHeight="1">
      <c r="A871" t="s">
        <v>16</v>
      </c>
      <c r="B871">
        <f t="shared" si="52"/>
        <v>33.704889999999999</v>
      </c>
      <c r="C871">
        <f t="shared" si="53"/>
        <v>-117.861451</v>
      </c>
      <c r="D871">
        <f t="shared" si="54"/>
        <v>45</v>
      </c>
      <c r="E871">
        <v>77.498999999999995</v>
      </c>
      <c r="F871">
        <f t="shared" si="55"/>
        <v>-32.498999999999995</v>
      </c>
      <c r="G871">
        <v>27.55</v>
      </c>
      <c r="H871">
        <v>0.79</v>
      </c>
      <c r="I871">
        <v>2.8740000000000001</v>
      </c>
      <c r="J871">
        <v>5</v>
      </c>
      <c r="K871">
        <v>13</v>
      </c>
      <c r="L871">
        <v>7</v>
      </c>
      <c r="M871">
        <v>1.514</v>
      </c>
    </row>
    <row r="872" spans="1:13" ht="15" customHeight="1">
      <c r="A872" t="s">
        <v>16</v>
      </c>
      <c r="B872">
        <f t="shared" si="52"/>
        <v>33.704889999999999</v>
      </c>
      <c r="C872">
        <f t="shared" si="53"/>
        <v>-117.861451</v>
      </c>
      <c r="D872">
        <f t="shared" si="54"/>
        <v>45</v>
      </c>
      <c r="E872">
        <v>78.498999999999995</v>
      </c>
      <c r="F872">
        <f t="shared" si="55"/>
        <v>-33.498999999999995</v>
      </c>
      <c r="G872">
        <v>63.482999999999997</v>
      </c>
      <c r="H872">
        <v>2.105</v>
      </c>
      <c r="I872">
        <v>3.3140000000000001</v>
      </c>
      <c r="J872">
        <v>6</v>
      </c>
      <c r="K872">
        <v>24</v>
      </c>
      <c r="L872">
        <v>12</v>
      </c>
      <c r="M872">
        <v>3.9119999999999999</v>
      </c>
    </row>
    <row r="873" spans="1:13" ht="15" customHeight="1">
      <c r="A873" t="s">
        <v>16</v>
      </c>
      <c r="B873">
        <f t="shared" si="52"/>
        <v>33.704889999999999</v>
      </c>
      <c r="C873">
        <f t="shared" si="53"/>
        <v>-117.861451</v>
      </c>
      <c r="D873">
        <f t="shared" si="54"/>
        <v>45</v>
      </c>
      <c r="E873">
        <v>79.498999999999995</v>
      </c>
      <c r="F873">
        <f t="shared" si="55"/>
        <v>-34.498999999999995</v>
      </c>
      <c r="G873">
        <v>119.533</v>
      </c>
      <c r="H873">
        <v>3.5880000000000001</v>
      </c>
      <c r="I873">
        <v>3.0059999999999998</v>
      </c>
      <c r="J873">
        <v>6</v>
      </c>
      <c r="K873">
        <v>46</v>
      </c>
      <c r="L873">
        <v>23</v>
      </c>
      <c r="M873">
        <v>7.6310000000000002</v>
      </c>
    </row>
    <row r="874" spans="1:13" ht="15" customHeight="1">
      <c r="A874" t="s">
        <v>16</v>
      </c>
      <c r="B874">
        <f t="shared" si="52"/>
        <v>33.704889999999999</v>
      </c>
      <c r="C874">
        <f t="shared" si="53"/>
        <v>-117.861451</v>
      </c>
      <c r="D874">
        <f t="shared" si="54"/>
        <v>45</v>
      </c>
      <c r="E874">
        <v>80.498999999999995</v>
      </c>
      <c r="F874">
        <f t="shared" si="55"/>
        <v>-35.498999999999995</v>
      </c>
      <c r="G874">
        <v>237.61699999999999</v>
      </c>
      <c r="H874">
        <v>1.552</v>
      </c>
      <c r="I874">
        <v>0.65300000000000002</v>
      </c>
      <c r="J874">
        <v>9</v>
      </c>
      <c r="K874">
        <v>45</v>
      </c>
      <c r="L874">
        <v>23</v>
      </c>
      <c r="M874" s="1">
        <v>9000000000</v>
      </c>
    </row>
    <row r="875" spans="1:13" ht="15" customHeight="1">
      <c r="A875" t="s">
        <v>16</v>
      </c>
      <c r="B875">
        <f t="shared" si="52"/>
        <v>33.704889999999999</v>
      </c>
      <c r="C875">
        <f t="shared" si="53"/>
        <v>-117.861451</v>
      </c>
      <c r="D875">
        <f t="shared" si="54"/>
        <v>45</v>
      </c>
      <c r="E875">
        <v>81.498999999999995</v>
      </c>
      <c r="F875">
        <f t="shared" si="55"/>
        <v>-36.498999999999995</v>
      </c>
      <c r="G875">
        <v>491.85</v>
      </c>
      <c r="H875">
        <v>2.09</v>
      </c>
      <c r="I875">
        <v>0.42499999999999999</v>
      </c>
      <c r="J875">
        <v>10</v>
      </c>
      <c r="K875">
        <v>79</v>
      </c>
      <c r="L875">
        <v>40</v>
      </c>
      <c r="M875" s="1">
        <v>9000000000</v>
      </c>
    </row>
    <row r="876" spans="1:13" ht="15" customHeight="1">
      <c r="A876" t="s">
        <v>16</v>
      </c>
      <c r="B876">
        <f t="shared" si="52"/>
        <v>33.704889999999999</v>
      </c>
      <c r="C876">
        <f t="shared" si="53"/>
        <v>-117.861451</v>
      </c>
      <c r="D876">
        <f t="shared" si="54"/>
        <v>45</v>
      </c>
      <c r="E876">
        <v>82.498999999999995</v>
      </c>
      <c r="F876">
        <f t="shared" si="55"/>
        <v>-37.498999999999995</v>
      </c>
      <c r="G876">
        <v>541.96699999999998</v>
      </c>
      <c r="H876">
        <v>2.9529999999999998</v>
      </c>
      <c r="I876">
        <v>0.54500000000000004</v>
      </c>
      <c r="J876">
        <v>10</v>
      </c>
      <c r="K876">
        <v>87</v>
      </c>
      <c r="L876">
        <v>44</v>
      </c>
      <c r="M876" s="1">
        <v>9000000000</v>
      </c>
    </row>
    <row r="877" spans="1:13" ht="15" customHeight="1">
      <c r="A877" t="s">
        <v>16</v>
      </c>
      <c r="B877">
        <f t="shared" si="52"/>
        <v>33.704889999999999</v>
      </c>
      <c r="C877">
        <f t="shared" si="53"/>
        <v>-117.861451</v>
      </c>
      <c r="D877">
        <f t="shared" si="54"/>
        <v>45</v>
      </c>
      <c r="E877">
        <v>83.498999999999995</v>
      </c>
      <c r="F877">
        <f t="shared" si="55"/>
        <v>-38.498999999999995</v>
      </c>
      <c r="G877">
        <v>405.5</v>
      </c>
      <c r="H877">
        <v>0</v>
      </c>
      <c r="I877">
        <v>0</v>
      </c>
      <c r="J877">
        <v>10</v>
      </c>
      <c r="K877" s="1">
        <v>9000000000</v>
      </c>
      <c r="L877" s="1">
        <v>9000000000</v>
      </c>
      <c r="M877" s="1">
        <v>9000000000</v>
      </c>
    </row>
    <row r="878" spans="1:13" ht="15" customHeight="1">
      <c r="A878" t="s">
        <v>17</v>
      </c>
      <c r="B878">
        <f t="shared" si="52"/>
        <v>33.704813000000001</v>
      </c>
      <c r="C878">
        <f t="shared" si="53"/>
        <v>-117.860034</v>
      </c>
      <c r="D878">
        <f t="shared" si="54"/>
        <v>45</v>
      </c>
      <c r="E878">
        <v>0.5</v>
      </c>
      <c r="F878">
        <f t="shared" si="55"/>
        <v>44.5</v>
      </c>
      <c r="G878">
        <v>2.5</v>
      </c>
      <c r="H878">
        <v>1.2999999999999999E-2</v>
      </c>
      <c r="I878">
        <v>0.53300000000000003</v>
      </c>
      <c r="J878">
        <v>1</v>
      </c>
      <c r="K878">
        <v>1</v>
      </c>
      <c r="L878">
        <v>2</v>
      </c>
      <c r="M878">
        <v>0.16500000000000001</v>
      </c>
    </row>
    <row r="879" spans="1:13" ht="15" customHeight="1">
      <c r="A879" t="s">
        <v>17</v>
      </c>
      <c r="B879">
        <f t="shared" si="52"/>
        <v>33.704813000000001</v>
      </c>
      <c r="C879">
        <f t="shared" si="53"/>
        <v>-117.860034</v>
      </c>
      <c r="D879">
        <f t="shared" si="54"/>
        <v>45</v>
      </c>
      <c r="E879">
        <v>1.5</v>
      </c>
      <c r="F879">
        <f t="shared" si="55"/>
        <v>43.5</v>
      </c>
      <c r="G879">
        <v>36.716999999999999</v>
      </c>
      <c r="H879">
        <v>0.44</v>
      </c>
      <c r="I879">
        <v>1.198</v>
      </c>
      <c r="J879">
        <v>7</v>
      </c>
      <c r="K879">
        <v>12</v>
      </c>
      <c r="L879">
        <v>18</v>
      </c>
      <c r="M879" s="1">
        <v>9000000000</v>
      </c>
    </row>
    <row r="880" spans="1:13" ht="15" customHeight="1">
      <c r="A880" t="s">
        <v>17</v>
      </c>
      <c r="B880">
        <f t="shared" si="52"/>
        <v>33.704813000000001</v>
      </c>
      <c r="C880">
        <f t="shared" si="53"/>
        <v>-117.860034</v>
      </c>
      <c r="D880">
        <f t="shared" si="54"/>
        <v>45</v>
      </c>
      <c r="E880">
        <v>2.5</v>
      </c>
      <c r="F880">
        <f t="shared" si="55"/>
        <v>42.5</v>
      </c>
      <c r="G880">
        <v>16.2</v>
      </c>
      <c r="H880">
        <v>0.628</v>
      </c>
      <c r="I880">
        <v>3.883</v>
      </c>
      <c r="J880">
        <v>4</v>
      </c>
      <c r="K880">
        <v>10</v>
      </c>
      <c r="L880">
        <v>15</v>
      </c>
      <c r="M880">
        <v>1.07</v>
      </c>
    </row>
    <row r="881" spans="1:13" ht="15" customHeight="1">
      <c r="A881" t="s">
        <v>17</v>
      </c>
      <c r="B881">
        <f t="shared" si="52"/>
        <v>33.704813000000001</v>
      </c>
      <c r="C881">
        <f t="shared" si="53"/>
        <v>-117.860034</v>
      </c>
      <c r="D881">
        <f t="shared" si="54"/>
        <v>45</v>
      </c>
      <c r="E881">
        <v>3.5</v>
      </c>
      <c r="F881">
        <f t="shared" si="55"/>
        <v>41.5</v>
      </c>
      <c r="G881">
        <v>14.483000000000001</v>
      </c>
      <c r="H881">
        <v>0.17499999999999999</v>
      </c>
      <c r="I881">
        <v>1.208</v>
      </c>
      <c r="J881">
        <v>6</v>
      </c>
      <c r="K881">
        <v>6</v>
      </c>
      <c r="L881">
        <v>9</v>
      </c>
      <c r="M881">
        <v>0.95199999999999996</v>
      </c>
    </row>
    <row r="882" spans="1:13" ht="15" customHeight="1">
      <c r="A882" t="s">
        <v>17</v>
      </c>
      <c r="B882">
        <f t="shared" si="52"/>
        <v>33.704813000000001</v>
      </c>
      <c r="C882">
        <f t="shared" si="53"/>
        <v>-117.860034</v>
      </c>
      <c r="D882">
        <f t="shared" si="54"/>
        <v>45</v>
      </c>
      <c r="E882">
        <v>4.5</v>
      </c>
      <c r="F882">
        <f t="shared" si="55"/>
        <v>40.5</v>
      </c>
      <c r="G882">
        <v>9.6999999999999993</v>
      </c>
      <c r="H882">
        <v>0.218</v>
      </c>
      <c r="I882">
        <v>2.2509999999999999</v>
      </c>
      <c r="J882">
        <v>5</v>
      </c>
      <c r="K882">
        <v>5</v>
      </c>
      <c r="L882">
        <v>8</v>
      </c>
      <c r="M882">
        <v>0.629</v>
      </c>
    </row>
    <row r="883" spans="1:13" ht="15" customHeight="1">
      <c r="A883" t="s">
        <v>17</v>
      </c>
      <c r="B883">
        <f t="shared" si="52"/>
        <v>33.704813000000001</v>
      </c>
      <c r="C883">
        <f t="shared" si="53"/>
        <v>-117.860034</v>
      </c>
      <c r="D883">
        <f t="shared" si="54"/>
        <v>45</v>
      </c>
      <c r="E883">
        <v>5.5</v>
      </c>
      <c r="F883">
        <f t="shared" si="55"/>
        <v>39.5</v>
      </c>
      <c r="G883">
        <v>8.0830000000000002</v>
      </c>
      <c r="H883">
        <v>0.20200000000000001</v>
      </c>
      <c r="I883">
        <v>2.4950000000000001</v>
      </c>
      <c r="J883">
        <v>4</v>
      </c>
      <c r="K883">
        <v>5</v>
      </c>
      <c r="L883">
        <v>8</v>
      </c>
      <c r="M883">
        <v>0.51800000000000002</v>
      </c>
    </row>
    <row r="884" spans="1:13" ht="15" customHeight="1">
      <c r="A884" t="s">
        <v>17</v>
      </c>
      <c r="B884">
        <f t="shared" si="52"/>
        <v>33.704813000000001</v>
      </c>
      <c r="C884">
        <f t="shared" si="53"/>
        <v>-117.860034</v>
      </c>
      <c r="D884">
        <f t="shared" si="54"/>
        <v>45</v>
      </c>
      <c r="E884">
        <v>6.5</v>
      </c>
      <c r="F884">
        <f t="shared" si="55"/>
        <v>38.5</v>
      </c>
      <c r="G884">
        <v>9.5670000000000002</v>
      </c>
      <c r="H884">
        <v>0.25800000000000001</v>
      </c>
      <c r="I884">
        <v>2.7149999999999999</v>
      </c>
      <c r="J884">
        <v>4</v>
      </c>
      <c r="K884">
        <v>6</v>
      </c>
      <c r="L884">
        <v>9</v>
      </c>
      <c r="M884">
        <v>0.60899999999999999</v>
      </c>
    </row>
    <row r="885" spans="1:13" ht="15" customHeight="1">
      <c r="A885" t="s">
        <v>17</v>
      </c>
      <c r="B885">
        <f t="shared" si="52"/>
        <v>33.704813000000001</v>
      </c>
      <c r="C885">
        <f t="shared" si="53"/>
        <v>-117.860034</v>
      </c>
      <c r="D885">
        <f t="shared" si="54"/>
        <v>45</v>
      </c>
      <c r="E885">
        <v>7.5</v>
      </c>
      <c r="F885">
        <f t="shared" si="55"/>
        <v>37.5</v>
      </c>
      <c r="G885">
        <v>9.7170000000000005</v>
      </c>
      <c r="H885">
        <v>0.37</v>
      </c>
      <c r="I885">
        <v>3.8279999999999998</v>
      </c>
      <c r="J885">
        <v>3</v>
      </c>
      <c r="K885">
        <v>9</v>
      </c>
      <c r="L885">
        <v>14</v>
      </c>
      <c r="M885">
        <v>0.61499999999999999</v>
      </c>
    </row>
    <row r="886" spans="1:13" ht="15" customHeight="1">
      <c r="A886" t="s">
        <v>17</v>
      </c>
      <c r="B886">
        <f t="shared" si="52"/>
        <v>33.704813000000001</v>
      </c>
      <c r="C886">
        <f t="shared" si="53"/>
        <v>-117.860034</v>
      </c>
      <c r="D886">
        <f t="shared" si="54"/>
        <v>45</v>
      </c>
      <c r="E886">
        <v>8.5</v>
      </c>
      <c r="F886">
        <f t="shared" si="55"/>
        <v>36.5</v>
      </c>
      <c r="G886">
        <v>11.15</v>
      </c>
      <c r="H886">
        <v>0.375</v>
      </c>
      <c r="I886">
        <v>3.3730000000000002</v>
      </c>
      <c r="J886">
        <v>4</v>
      </c>
      <c r="K886">
        <v>7</v>
      </c>
      <c r="L886">
        <v>11</v>
      </c>
      <c r="M886">
        <v>0.70799999999999996</v>
      </c>
    </row>
    <row r="887" spans="1:13" ht="15" customHeight="1">
      <c r="A887" t="s">
        <v>17</v>
      </c>
      <c r="B887">
        <f t="shared" si="52"/>
        <v>33.704813000000001</v>
      </c>
      <c r="C887">
        <f t="shared" si="53"/>
        <v>-117.860034</v>
      </c>
      <c r="D887">
        <f t="shared" si="54"/>
        <v>45</v>
      </c>
      <c r="E887">
        <v>9.5</v>
      </c>
      <c r="F887">
        <f t="shared" si="55"/>
        <v>35.5</v>
      </c>
      <c r="G887">
        <v>14.382999999999999</v>
      </c>
      <c r="H887">
        <v>0.48499999999999999</v>
      </c>
      <c r="I887">
        <v>3.38</v>
      </c>
      <c r="J887">
        <v>4</v>
      </c>
      <c r="K887">
        <v>9</v>
      </c>
      <c r="L887">
        <v>14</v>
      </c>
      <c r="M887">
        <v>0.91900000000000004</v>
      </c>
    </row>
    <row r="888" spans="1:13" ht="15" customHeight="1">
      <c r="A888" t="s">
        <v>17</v>
      </c>
      <c r="B888">
        <f t="shared" si="52"/>
        <v>33.704813000000001</v>
      </c>
      <c r="C888">
        <f t="shared" si="53"/>
        <v>-117.860034</v>
      </c>
      <c r="D888">
        <f t="shared" si="54"/>
        <v>45</v>
      </c>
      <c r="E888">
        <v>10.5</v>
      </c>
      <c r="F888">
        <f t="shared" si="55"/>
        <v>34.5</v>
      </c>
      <c r="G888">
        <v>13.542999999999999</v>
      </c>
      <c r="H888">
        <v>0.51700000000000002</v>
      </c>
      <c r="I888">
        <v>3.835</v>
      </c>
      <c r="J888">
        <v>4</v>
      </c>
      <c r="K888">
        <v>9</v>
      </c>
      <c r="L888">
        <v>13</v>
      </c>
      <c r="M888">
        <v>0.85799999999999998</v>
      </c>
    </row>
    <row r="889" spans="1:13" ht="15" customHeight="1">
      <c r="A889" t="s">
        <v>17</v>
      </c>
      <c r="B889">
        <f t="shared" si="52"/>
        <v>33.704813000000001</v>
      </c>
      <c r="C889">
        <f t="shared" si="53"/>
        <v>-117.860034</v>
      </c>
      <c r="D889">
        <f t="shared" si="54"/>
        <v>45</v>
      </c>
      <c r="E889">
        <v>11.5</v>
      </c>
      <c r="F889">
        <f t="shared" si="55"/>
        <v>33.5</v>
      </c>
      <c r="G889">
        <v>12.217000000000001</v>
      </c>
      <c r="H889">
        <v>0.42299999999999999</v>
      </c>
      <c r="I889">
        <v>3.4790000000000001</v>
      </c>
      <c r="J889">
        <v>4</v>
      </c>
      <c r="K889">
        <v>8</v>
      </c>
      <c r="L889">
        <v>11</v>
      </c>
      <c r="M889">
        <v>0.76600000000000001</v>
      </c>
    </row>
    <row r="890" spans="1:13" ht="15" customHeight="1">
      <c r="A890" t="s">
        <v>17</v>
      </c>
      <c r="B890">
        <f t="shared" si="52"/>
        <v>33.704813000000001</v>
      </c>
      <c r="C890">
        <f t="shared" si="53"/>
        <v>-117.860034</v>
      </c>
      <c r="D890">
        <f t="shared" si="54"/>
        <v>45</v>
      </c>
      <c r="E890">
        <v>12.5</v>
      </c>
      <c r="F890">
        <f t="shared" si="55"/>
        <v>32.5</v>
      </c>
      <c r="G890">
        <v>13.233000000000001</v>
      </c>
      <c r="H890">
        <v>0.498</v>
      </c>
      <c r="I890">
        <v>3.78</v>
      </c>
      <c r="J890">
        <v>4</v>
      </c>
      <c r="K890">
        <v>8</v>
      </c>
      <c r="L890">
        <v>10</v>
      </c>
      <c r="M890">
        <v>0.83</v>
      </c>
    </row>
    <row r="891" spans="1:13" ht="15" customHeight="1">
      <c r="A891" t="s">
        <v>17</v>
      </c>
      <c r="B891">
        <f t="shared" si="52"/>
        <v>33.704813000000001</v>
      </c>
      <c r="C891">
        <f t="shared" si="53"/>
        <v>-117.860034</v>
      </c>
      <c r="D891">
        <f t="shared" si="54"/>
        <v>45</v>
      </c>
      <c r="E891">
        <v>13.5</v>
      </c>
      <c r="F891">
        <f t="shared" si="55"/>
        <v>31.5</v>
      </c>
      <c r="G891">
        <v>13.55</v>
      </c>
      <c r="H891">
        <v>0.44700000000000001</v>
      </c>
      <c r="I891">
        <v>3.3090000000000002</v>
      </c>
      <c r="J891">
        <v>4</v>
      </c>
      <c r="K891">
        <v>9</v>
      </c>
      <c r="L891">
        <v>11</v>
      </c>
      <c r="M891">
        <v>0.84699999999999998</v>
      </c>
    </row>
    <row r="892" spans="1:13" ht="15" customHeight="1">
      <c r="A892" t="s">
        <v>17</v>
      </c>
      <c r="B892">
        <f t="shared" si="52"/>
        <v>33.704813000000001</v>
      </c>
      <c r="C892">
        <f t="shared" si="53"/>
        <v>-117.860034</v>
      </c>
      <c r="D892">
        <f t="shared" si="54"/>
        <v>45</v>
      </c>
      <c r="E892">
        <v>14.5</v>
      </c>
      <c r="F892">
        <f t="shared" si="55"/>
        <v>30.5</v>
      </c>
      <c r="G892">
        <v>14.7</v>
      </c>
      <c r="H892">
        <v>0.47</v>
      </c>
      <c r="I892">
        <v>3.2010000000000001</v>
      </c>
      <c r="J892">
        <v>4</v>
      </c>
      <c r="K892">
        <v>9</v>
      </c>
      <c r="L892">
        <v>10</v>
      </c>
      <c r="M892">
        <v>0.92200000000000004</v>
      </c>
    </row>
    <row r="893" spans="1:13" ht="15" customHeight="1">
      <c r="A893" t="s">
        <v>17</v>
      </c>
      <c r="B893">
        <f t="shared" si="52"/>
        <v>33.704813000000001</v>
      </c>
      <c r="C893">
        <f t="shared" si="53"/>
        <v>-117.860034</v>
      </c>
      <c r="D893">
        <f t="shared" si="54"/>
        <v>45</v>
      </c>
      <c r="E893">
        <v>15.5</v>
      </c>
      <c r="F893">
        <f t="shared" si="55"/>
        <v>29.5</v>
      </c>
      <c r="G893">
        <v>11</v>
      </c>
      <c r="H893">
        <v>0.27300000000000002</v>
      </c>
      <c r="I893">
        <v>2.4769999999999999</v>
      </c>
      <c r="J893">
        <v>5</v>
      </c>
      <c r="K893">
        <v>5</v>
      </c>
      <c r="L893">
        <v>5</v>
      </c>
      <c r="M893">
        <v>0.67400000000000004</v>
      </c>
    </row>
    <row r="894" spans="1:13" ht="15" customHeight="1">
      <c r="A894" t="s">
        <v>17</v>
      </c>
      <c r="B894">
        <f t="shared" si="52"/>
        <v>33.704813000000001</v>
      </c>
      <c r="C894">
        <f t="shared" si="53"/>
        <v>-117.860034</v>
      </c>
      <c r="D894">
        <f t="shared" si="54"/>
        <v>45</v>
      </c>
      <c r="E894">
        <v>16.5</v>
      </c>
      <c r="F894">
        <f t="shared" si="55"/>
        <v>28.5</v>
      </c>
      <c r="G894">
        <v>13.717000000000001</v>
      </c>
      <c r="H894">
        <v>0.26500000000000001</v>
      </c>
      <c r="I894">
        <v>1.92</v>
      </c>
      <c r="J894">
        <v>5</v>
      </c>
      <c r="K894">
        <v>7</v>
      </c>
      <c r="L894">
        <v>7</v>
      </c>
      <c r="M894">
        <v>0.85499999999999998</v>
      </c>
    </row>
    <row r="895" spans="1:13" ht="15" customHeight="1">
      <c r="A895" t="s">
        <v>17</v>
      </c>
      <c r="B895">
        <f t="shared" si="52"/>
        <v>33.704813000000001</v>
      </c>
      <c r="C895">
        <f t="shared" si="53"/>
        <v>-117.860034</v>
      </c>
      <c r="D895">
        <f t="shared" si="54"/>
        <v>45</v>
      </c>
      <c r="E895">
        <v>17.5</v>
      </c>
      <c r="F895">
        <f t="shared" si="55"/>
        <v>27.5</v>
      </c>
      <c r="G895">
        <v>29.466999999999999</v>
      </c>
      <c r="H895">
        <v>0.33200000000000002</v>
      </c>
      <c r="I895">
        <v>1.129</v>
      </c>
      <c r="J895">
        <v>7</v>
      </c>
      <c r="K895">
        <v>9</v>
      </c>
      <c r="L895">
        <v>9</v>
      </c>
      <c r="M895" s="1">
        <v>9000000000</v>
      </c>
    </row>
    <row r="896" spans="1:13" ht="15" customHeight="1">
      <c r="A896" t="s">
        <v>17</v>
      </c>
      <c r="B896">
        <f t="shared" si="52"/>
        <v>33.704813000000001</v>
      </c>
      <c r="C896">
        <f t="shared" si="53"/>
        <v>-117.860034</v>
      </c>
      <c r="D896">
        <f t="shared" si="54"/>
        <v>45</v>
      </c>
      <c r="E896">
        <v>18.5</v>
      </c>
      <c r="F896">
        <f t="shared" si="55"/>
        <v>26.5</v>
      </c>
      <c r="G896">
        <v>10.067</v>
      </c>
      <c r="H896">
        <v>0.24299999999999999</v>
      </c>
      <c r="I896">
        <v>2.4289999999999998</v>
      </c>
      <c r="J896">
        <v>4</v>
      </c>
      <c r="K896">
        <v>6</v>
      </c>
      <c r="L896">
        <v>6</v>
      </c>
      <c r="M896">
        <v>0.59399999999999997</v>
      </c>
    </row>
    <row r="897" spans="1:13" ht="15" customHeight="1">
      <c r="A897" t="s">
        <v>17</v>
      </c>
      <c r="B897">
        <f t="shared" si="52"/>
        <v>33.704813000000001</v>
      </c>
      <c r="C897">
        <f t="shared" si="53"/>
        <v>-117.860034</v>
      </c>
      <c r="D897">
        <f t="shared" si="54"/>
        <v>45</v>
      </c>
      <c r="E897">
        <v>19.5</v>
      </c>
      <c r="F897">
        <f t="shared" si="55"/>
        <v>25.5</v>
      </c>
      <c r="G897">
        <v>8.7669999999999995</v>
      </c>
      <c r="H897">
        <v>0.24199999999999999</v>
      </c>
      <c r="I897">
        <v>2.7309999999999999</v>
      </c>
      <c r="J897">
        <v>4</v>
      </c>
      <c r="K897">
        <v>6</v>
      </c>
      <c r="L897">
        <v>5</v>
      </c>
      <c r="M897">
        <v>0.51300000000000001</v>
      </c>
    </row>
    <row r="898" spans="1:13" ht="15" customHeight="1">
      <c r="A898" t="s">
        <v>17</v>
      </c>
      <c r="B898">
        <f t="shared" ref="B898:B961" si="56">VLOOKUP(A898,XYdata,3,FALSE)</f>
        <v>33.704813000000001</v>
      </c>
      <c r="C898">
        <f t="shared" ref="C898:C961" si="57">VLOOKUP(A898,XYdata,2,FALSE)</f>
        <v>-117.860034</v>
      </c>
      <c r="D898">
        <f t="shared" ref="D898:D961" si="58">VLOOKUP(A898,Elevation,2,FALSE)</f>
        <v>45</v>
      </c>
      <c r="E898">
        <v>20.5</v>
      </c>
      <c r="F898">
        <f t="shared" si="55"/>
        <v>24.5</v>
      </c>
      <c r="G898">
        <v>7.657</v>
      </c>
      <c r="H898">
        <v>0.21099999999999999</v>
      </c>
      <c r="I898">
        <v>2.6859999999999999</v>
      </c>
      <c r="J898">
        <v>4</v>
      </c>
      <c r="K898">
        <v>5</v>
      </c>
      <c r="L898">
        <v>4</v>
      </c>
      <c r="M898">
        <v>0.443</v>
      </c>
    </row>
    <row r="899" spans="1:13" ht="15" customHeight="1">
      <c r="A899" t="s">
        <v>17</v>
      </c>
      <c r="B899">
        <f t="shared" si="56"/>
        <v>33.704813000000001</v>
      </c>
      <c r="C899">
        <f t="shared" si="57"/>
        <v>-117.860034</v>
      </c>
      <c r="D899">
        <f t="shared" si="58"/>
        <v>45</v>
      </c>
      <c r="E899">
        <v>21.5</v>
      </c>
      <c r="F899">
        <f t="shared" ref="F899:F962" si="59">D899-E899</f>
        <v>23.5</v>
      </c>
      <c r="G899">
        <v>13.6</v>
      </c>
      <c r="H899">
        <v>0.27700000000000002</v>
      </c>
      <c r="I899">
        <v>2.0049999999999999</v>
      </c>
      <c r="J899">
        <v>5</v>
      </c>
      <c r="K899">
        <v>7</v>
      </c>
      <c r="L899">
        <v>6</v>
      </c>
      <c r="M899">
        <v>0.83499999999999996</v>
      </c>
    </row>
    <row r="900" spans="1:13" ht="15" customHeight="1">
      <c r="A900" t="s">
        <v>17</v>
      </c>
      <c r="B900">
        <f t="shared" si="56"/>
        <v>33.704813000000001</v>
      </c>
      <c r="C900">
        <f t="shared" si="57"/>
        <v>-117.860034</v>
      </c>
      <c r="D900">
        <f t="shared" si="58"/>
        <v>45</v>
      </c>
      <c r="E900">
        <v>22.5</v>
      </c>
      <c r="F900">
        <f t="shared" si="59"/>
        <v>22.5</v>
      </c>
      <c r="G900">
        <v>24.317</v>
      </c>
      <c r="H900">
        <v>0.71799999999999997</v>
      </c>
      <c r="I900">
        <v>2.944</v>
      </c>
      <c r="J900">
        <v>5</v>
      </c>
      <c r="K900">
        <v>12</v>
      </c>
      <c r="L900">
        <v>10</v>
      </c>
      <c r="M900">
        <v>1.5369999999999999</v>
      </c>
    </row>
    <row r="901" spans="1:13" ht="15" customHeight="1">
      <c r="A901" t="s">
        <v>17</v>
      </c>
      <c r="B901">
        <f t="shared" si="56"/>
        <v>33.704813000000001</v>
      </c>
      <c r="C901">
        <f t="shared" si="57"/>
        <v>-117.860034</v>
      </c>
      <c r="D901">
        <f t="shared" si="58"/>
        <v>45</v>
      </c>
      <c r="E901">
        <v>23.5</v>
      </c>
      <c r="F901">
        <f t="shared" si="59"/>
        <v>21.5</v>
      </c>
      <c r="G901">
        <v>25.382999999999999</v>
      </c>
      <c r="H901">
        <v>0.87</v>
      </c>
      <c r="I901">
        <v>3.427</v>
      </c>
      <c r="J901">
        <v>5</v>
      </c>
      <c r="K901">
        <v>12</v>
      </c>
      <c r="L901">
        <v>9</v>
      </c>
      <c r="M901">
        <v>1.599</v>
      </c>
    </row>
    <row r="902" spans="1:13" ht="15" customHeight="1">
      <c r="A902" t="s">
        <v>17</v>
      </c>
      <c r="B902">
        <f t="shared" si="56"/>
        <v>33.704813000000001</v>
      </c>
      <c r="C902">
        <f t="shared" si="57"/>
        <v>-117.860034</v>
      </c>
      <c r="D902">
        <f t="shared" si="58"/>
        <v>45</v>
      </c>
      <c r="E902">
        <v>24.5</v>
      </c>
      <c r="F902">
        <f t="shared" si="59"/>
        <v>20.5</v>
      </c>
      <c r="G902">
        <v>27.667000000000002</v>
      </c>
      <c r="H902">
        <v>1.06</v>
      </c>
      <c r="I902">
        <v>3.8410000000000002</v>
      </c>
      <c r="J902">
        <v>4</v>
      </c>
      <c r="K902">
        <v>18</v>
      </c>
      <c r="L902">
        <v>13</v>
      </c>
      <c r="M902">
        <v>1.742</v>
      </c>
    </row>
    <row r="903" spans="1:13" ht="15" customHeight="1">
      <c r="A903" t="s">
        <v>17</v>
      </c>
      <c r="B903">
        <f t="shared" si="56"/>
        <v>33.704813000000001</v>
      </c>
      <c r="C903">
        <f t="shared" si="57"/>
        <v>-117.860034</v>
      </c>
      <c r="D903">
        <f t="shared" si="58"/>
        <v>45</v>
      </c>
      <c r="E903">
        <v>25.5</v>
      </c>
      <c r="F903">
        <f t="shared" si="59"/>
        <v>19.5</v>
      </c>
      <c r="G903">
        <v>49.433</v>
      </c>
      <c r="H903">
        <v>1.9379999999999999</v>
      </c>
      <c r="I903">
        <v>3.9239999999999999</v>
      </c>
      <c r="J903">
        <v>5</v>
      </c>
      <c r="K903">
        <v>24</v>
      </c>
      <c r="L903">
        <v>17</v>
      </c>
      <c r="M903">
        <v>3.1909999999999998</v>
      </c>
    </row>
    <row r="904" spans="1:13" ht="15" customHeight="1">
      <c r="A904" t="s">
        <v>17</v>
      </c>
      <c r="B904">
        <f t="shared" si="56"/>
        <v>33.704813000000001</v>
      </c>
      <c r="C904">
        <f t="shared" si="57"/>
        <v>-117.860034</v>
      </c>
      <c r="D904">
        <f t="shared" si="58"/>
        <v>45</v>
      </c>
      <c r="E904">
        <v>26.5</v>
      </c>
      <c r="F904">
        <f t="shared" si="59"/>
        <v>18.5</v>
      </c>
      <c r="G904">
        <v>77.433000000000007</v>
      </c>
      <c r="H904">
        <v>3.1680000000000001</v>
      </c>
      <c r="I904">
        <v>4.093</v>
      </c>
      <c r="J904">
        <v>5</v>
      </c>
      <c r="K904">
        <v>37</v>
      </c>
      <c r="L904">
        <v>26</v>
      </c>
      <c r="M904">
        <v>5.0549999999999997</v>
      </c>
    </row>
    <row r="905" spans="1:13" ht="15" customHeight="1">
      <c r="A905" t="s">
        <v>17</v>
      </c>
      <c r="B905">
        <f t="shared" si="56"/>
        <v>33.704813000000001</v>
      </c>
      <c r="C905">
        <f t="shared" si="57"/>
        <v>-117.860034</v>
      </c>
      <c r="D905">
        <f t="shared" si="58"/>
        <v>45</v>
      </c>
      <c r="E905">
        <v>27.5</v>
      </c>
      <c r="F905">
        <f t="shared" si="59"/>
        <v>17.5</v>
      </c>
      <c r="G905">
        <v>36.866999999999997</v>
      </c>
      <c r="H905">
        <v>1.607</v>
      </c>
      <c r="I905">
        <v>4.3600000000000003</v>
      </c>
      <c r="J905">
        <v>4</v>
      </c>
      <c r="K905">
        <v>24</v>
      </c>
      <c r="L905">
        <v>17</v>
      </c>
      <c r="M905">
        <v>2.3460000000000001</v>
      </c>
    </row>
    <row r="906" spans="1:13" ht="15" customHeight="1">
      <c r="A906" t="s">
        <v>17</v>
      </c>
      <c r="B906">
        <f t="shared" si="56"/>
        <v>33.704813000000001</v>
      </c>
      <c r="C906">
        <f t="shared" si="57"/>
        <v>-117.860034</v>
      </c>
      <c r="D906">
        <f t="shared" si="58"/>
        <v>45</v>
      </c>
      <c r="E906">
        <v>28.5</v>
      </c>
      <c r="F906">
        <f t="shared" si="59"/>
        <v>16.5</v>
      </c>
      <c r="G906">
        <v>44.9</v>
      </c>
      <c r="H906">
        <v>2.1549999999999998</v>
      </c>
      <c r="I906">
        <v>4.8029999999999999</v>
      </c>
      <c r="J906">
        <v>4</v>
      </c>
      <c r="K906">
        <v>29</v>
      </c>
      <c r="L906">
        <v>20</v>
      </c>
      <c r="M906">
        <v>2.8769999999999998</v>
      </c>
    </row>
    <row r="907" spans="1:13" ht="15" customHeight="1">
      <c r="A907" t="s">
        <v>17</v>
      </c>
      <c r="B907">
        <f t="shared" si="56"/>
        <v>33.704813000000001</v>
      </c>
      <c r="C907">
        <f t="shared" si="57"/>
        <v>-117.860034</v>
      </c>
      <c r="D907">
        <f t="shared" si="58"/>
        <v>45</v>
      </c>
      <c r="E907">
        <v>29.5</v>
      </c>
      <c r="F907">
        <f t="shared" si="59"/>
        <v>15.5</v>
      </c>
      <c r="G907">
        <v>33.767000000000003</v>
      </c>
      <c r="H907">
        <v>1.6120000000000001</v>
      </c>
      <c r="I907">
        <v>4.7750000000000004</v>
      </c>
      <c r="J907">
        <v>3</v>
      </c>
      <c r="K907">
        <v>32</v>
      </c>
      <c r="L907">
        <v>22</v>
      </c>
      <c r="M907">
        <v>2.1309999999999998</v>
      </c>
    </row>
    <row r="908" spans="1:13" ht="15" customHeight="1">
      <c r="A908" t="s">
        <v>17</v>
      </c>
      <c r="B908">
        <f t="shared" si="56"/>
        <v>33.704813000000001</v>
      </c>
      <c r="C908">
        <f t="shared" si="57"/>
        <v>-117.860034</v>
      </c>
      <c r="D908">
        <f t="shared" si="58"/>
        <v>45</v>
      </c>
      <c r="E908">
        <v>30.5</v>
      </c>
      <c r="F908">
        <f t="shared" si="59"/>
        <v>14.5</v>
      </c>
      <c r="G908">
        <v>46.6</v>
      </c>
      <c r="H908">
        <v>1.873</v>
      </c>
      <c r="I908">
        <v>4.024</v>
      </c>
      <c r="J908">
        <v>5</v>
      </c>
      <c r="K908">
        <v>22</v>
      </c>
      <c r="L908">
        <v>15</v>
      </c>
      <c r="M908">
        <v>2.9809999999999999</v>
      </c>
    </row>
    <row r="909" spans="1:13" ht="15" customHeight="1">
      <c r="A909" t="s">
        <v>17</v>
      </c>
      <c r="B909">
        <f t="shared" si="56"/>
        <v>33.704813000000001</v>
      </c>
      <c r="C909">
        <f t="shared" si="57"/>
        <v>-117.860034</v>
      </c>
      <c r="D909">
        <f t="shared" si="58"/>
        <v>45</v>
      </c>
      <c r="E909">
        <v>31.5</v>
      </c>
      <c r="F909">
        <f t="shared" si="59"/>
        <v>13.5</v>
      </c>
      <c r="G909">
        <v>56.485999999999997</v>
      </c>
      <c r="H909">
        <v>1.627</v>
      </c>
      <c r="I909">
        <v>2.8879999999999999</v>
      </c>
      <c r="J909">
        <v>6</v>
      </c>
      <c r="K909">
        <v>22</v>
      </c>
      <c r="L909">
        <v>15</v>
      </c>
      <c r="M909">
        <v>3.629</v>
      </c>
    </row>
    <row r="910" spans="1:13" ht="15" customHeight="1">
      <c r="A910" t="s">
        <v>17</v>
      </c>
      <c r="B910">
        <f t="shared" si="56"/>
        <v>33.704813000000001</v>
      </c>
      <c r="C910">
        <f t="shared" si="57"/>
        <v>-117.860034</v>
      </c>
      <c r="D910">
        <f t="shared" si="58"/>
        <v>45</v>
      </c>
      <c r="E910">
        <v>32.5</v>
      </c>
      <c r="F910">
        <f t="shared" si="59"/>
        <v>12.5</v>
      </c>
      <c r="G910">
        <v>75.033000000000001</v>
      </c>
      <c r="H910">
        <v>1.8819999999999999</v>
      </c>
      <c r="I910">
        <v>2.5110000000000001</v>
      </c>
      <c r="J910">
        <v>6</v>
      </c>
      <c r="K910">
        <v>29</v>
      </c>
      <c r="L910">
        <v>19</v>
      </c>
      <c r="M910">
        <v>4.8639999999999999</v>
      </c>
    </row>
    <row r="911" spans="1:13" ht="15" customHeight="1">
      <c r="A911" t="s">
        <v>17</v>
      </c>
      <c r="B911">
        <f t="shared" si="56"/>
        <v>33.704813000000001</v>
      </c>
      <c r="C911">
        <f t="shared" si="57"/>
        <v>-117.860034</v>
      </c>
      <c r="D911">
        <f t="shared" si="58"/>
        <v>45</v>
      </c>
      <c r="E911">
        <v>33.5</v>
      </c>
      <c r="F911">
        <f t="shared" si="59"/>
        <v>11.5</v>
      </c>
      <c r="G911">
        <v>48.533000000000001</v>
      </c>
      <c r="H911">
        <v>1.847</v>
      </c>
      <c r="I911">
        <v>3.802</v>
      </c>
      <c r="J911">
        <v>5</v>
      </c>
      <c r="K911">
        <v>23</v>
      </c>
      <c r="L911">
        <v>15</v>
      </c>
      <c r="M911">
        <v>3.1019999999999999</v>
      </c>
    </row>
    <row r="912" spans="1:13" ht="15" customHeight="1">
      <c r="A912" t="s">
        <v>17</v>
      </c>
      <c r="B912">
        <f t="shared" si="56"/>
        <v>33.704813000000001</v>
      </c>
      <c r="C912">
        <f t="shared" si="57"/>
        <v>-117.860034</v>
      </c>
      <c r="D912">
        <f t="shared" si="58"/>
        <v>45</v>
      </c>
      <c r="E912">
        <v>34.5</v>
      </c>
      <c r="F912">
        <f t="shared" si="59"/>
        <v>10.5</v>
      </c>
      <c r="G912">
        <v>25.9</v>
      </c>
      <c r="H912">
        <v>1.377</v>
      </c>
      <c r="I912">
        <v>5.3120000000000003</v>
      </c>
      <c r="J912">
        <v>3</v>
      </c>
      <c r="K912">
        <v>25</v>
      </c>
      <c r="L912">
        <v>16</v>
      </c>
      <c r="M912">
        <v>1.5880000000000001</v>
      </c>
    </row>
    <row r="913" spans="1:13" ht="15" customHeight="1">
      <c r="A913" t="s">
        <v>17</v>
      </c>
      <c r="B913">
        <f t="shared" si="56"/>
        <v>33.704813000000001</v>
      </c>
      <c r="C913">
        <f t="shared" si="57"/>
        <v>-117.860034</v>
      </c>
      <c r="D913">
        <f t="shared" si="58"/>
        <v>45</v>
      </c>
      <c r="E913">
        <v>35.5</v>
      </c>
      <c r="F913">
        <f t="shared" si="59"/>
        <v>9.5</v>
      </c>
      <c r="G913">
        <v>29.15</v>
      </c>
      <c r="H913">
        <v>1.498</v>
      </c>
      <c r="I913">
        <v>5.1310000000000002</v>
      </c>
      <c r="J913">
        <v>3</v>
      </c>
      <c r="K913">
        <v>28</v>
      </c>
      <c r="L913">
        <v>18</v>
      </c>
      <c r="M913">
        <v>1.8029999999999999</v>
      </c>
    </row>
    <row r="914" spans="1:13" ht="15" customHeight="1">
      <c r="A914" t="s">
        <v>17</v>
      </c>
      <c r="B914">
        <f t="shared" si="56"/>
        <v>33.704813000000001</v>
      </c>
      <c r="C914">
        <f t="shared" si="57"/>
        <v>-117.860034</v>
      </c>
      <c r="D914">
        <f t="shared" si="58"/>
        <v>45</v>
      </c>
      <c r="E914">
        <v>36.5</v>
      </c>
      <c r="F914">
        <f t="shared" si="59"/>
        <v>8.5</v>
      </c>
      <c r="G914">
        <v>74.7</v>
      </c>
      <c r="H914">
        <v>2.4670000000000001</v>
      </c>
      <c r="I914">
        <v>3.3050000000000002</v>
      </c>
      <c r="J914">
        <v>6</v>
      </c>
      <c r="K914">
        <v>29</v>
      </c>
      <c r="L914">
        <v>18</v>
      </c>
      <c r="M914">
        <v>4.8280000000000003</v>
      </c>
    </row>
    <row r="915" spans="1:13" ht="15" customHeight="1">
      <c r="A915" t="s">
        <v>17</v>
      </c>
      <c r="B915">
        <f t="shared" si="56"/>
        <v>33.704813000000001</v>
      </c>
      <c r="C915">
        <f t="shared" si="57"/>
        <v>-117.860034</v>
      </c>
      <c r="D915">
        <f t="shared" si="58"/>
        <v>45</v>
      </c>
      <c r="E915">
        <v>37.5</v>
      </c>
      <c r="F915">
        <f t="shared" si="59"/>
        <v>7.5</v>
      </c>
      <c r="G915">
        <v>152.917</v>
      </c>
      <c r="H915">
        <v>2.16</v>
      </c>
      <c r="I915">
        <v>1.4139999999999999</v>
      </c>
      <c r="J915">
        <v>8</v>
      </c>
      <c r="K915">
        <v>37</v>
      </c>
      <c r="L915">
        <v>23</v>
      </c>
      <c r="M915" s="1">
        <v>9000000000</v>
      </c>
    </row>
    <row r="916" spans="1:13" ht="15" customHeight="1">
      <c r="A916" t="s">
        <v>17</v>
      </c>
      <c r="B916">
        <f t="shared" si="56"/>
        <v>33.704813000000001</v>
      </c>
      <c r="C916">
        <f t="shared" si="57"/>
        <v>-117.860034</v>
      </c>
      <c r="D916">
        <f t="shared" si="58"/>
        <v>45</v>
      </c>
      <c r="E916">
        <v>38.5</v>
      </c>
      <c r="F916">
        <f t="shared" si="59"/>
        <v>6.5</v>
      </c>
      <c r="G916">
        <v>73.099999999999994</v>
      </c>
      <c r="H916">
        <v>3.2320000000000002</v>
      </c>
      <c r="I916">
        <v>4.43</v>
      </c>
      <c r="J916">
        <v>5</v>
      </c>
      <c r="K916">
        <v>35</v>
      </c>
      <c r="L916">
        <v>21</v>
      </c>
      <c r="M916">
        <v>4.7069999999999999</v>
      </c>
    </row>
    <row r="917" spans="1:13" ht="15" customHeight="1">
      <c r="A917" t="s">
        <v>17</v>
      </c>
      <c r="B917">
        <f t="shared" si="56"/>
        <v>33.704813000000001</v>
      </c>
      <c r="C917">
        <f t="shared" si="57"/>
        <v>-117.860034</v>
      </c>
      <c r="D917">
        <f t="shared" si="58"/>
        <v>45</v>
      </c>
      <c r="E917">
        <v>39.5</v>
      </c>
      <c r="F917">
        <f t="shared" si="59"/>
        <v>5.5</v>
      </c>
      <c r="G917">
        <v>56.5</v>
      </c>
      <c r="H917">
        <v>2.2770000000000001</v>
      </c>
      <c r="I917">
        <v>4.0380000000000003</v>
      </c>
      <c r="J917">
        <v>5</v>
      </c>
      <c r="K917">
        <v>27</v>
      </c>
      <c r="L917">
        <v>16</v>
      </c>
      <c r="M917">
        <v>3.5990000000000002</v>
      </c>
    </row>
    <row r="918" spans="1:13" ht="15" customHeight="1">
      <c r="A918" t="s">
        <v>17</v>
      </c>
      <c r="B918">
        <f t="shared" si="56"/>
        <v>33.704813000000001</v>
      </c>
      <c r="C918">
        <f t="shared" si="57"/>
        <v>-117.860034</v>
      </c>
      <c r="D918">
        <f t="shared" si="58"/>
        <v>45</v>
      </c>
      <c r="E918">
        <v>40.5</v>
      </c>
      <c r="F918">
        <f t="shared" si="59"/>
        <v>4.5</v>
      </c>
      <c r="G918">
        <v>48.9</v>
      </c>
      <c r="H918">
        <v>1.887</v>
      </c>
      <c r="I918">
        <v>3.87</v>
      </c>
      <c r="J918">
        <v>5</v>
      </c>
      <c r="K918">
        <v>23</v>
      </c>
      <c r="L918">
        <v>14</v>
      </c>
      <c r="M918">
        <v>3.0859999999999999</v>
      </c>
    </row>
    <row r="919" spans="1:13" ht="15" customHeight="1">
      <c r="A919" t="s">
        <v>17</v>
      </c>
      <c r="B919">
        <f t="shared" si="56"/>
        <v>33.704813000000001</v>
      </c>
      <c r="C919">
        <f t="shared" si="57"/>
        <v>-117.860034</v>
      </c>
      <c r="D919">
        <f t="shared" si="58"/>
        <v>45</v>
      </c>
      <c r="E919">
        <v>41.499000000000002</v>
      </c>
      <c r="F919">
        <f t="shared" si="59"/>
        <v>3.5009999999999977</v>
      </c>
      <c r="G919">
        <v>31.029</v>
      </c>
      <c r="H919">
        <v>1.37</v>
      </c>
      <c r="I919">
        <v>4.4340000000000002</v>
      </c>
      <c r="J919">
        <v>4</v>
      </c>
      <c r="K919">
        <v>20</v>
      </c>
      <c r="L919">
        <v>12</v>
      </c>
      <c r="M919">
        <v>1.891</v>
      </c>
    </row>
    <row r="920" spans="1:13" ht="15" customHeight="1">
      <c r="A920" t="s">
        <v>17</v>
      </c>
      <c r="B920">
        <f t="shared" si="56"/>
        <v>33.704813000000001</v>
      </c>
      <c r="C920">
        <f t="shared" si="57"/>
        <v>-117.860034</v>
      </c>
      <c r="D920">
        <f t="shared" si="58"/>
        <v>45</v>
      </c>
      <c r="E920">
        <v>42.499000000000002</v>
      </c>
      <c r="F920">
        <f t="shared" si="59"/>
        <v>2.5009999999999977</v>
      </c>
      <c r="G920">
        <v>52.283000000000001</v>
      </c>
      <c r="H920">
        <v>1.6679999999999999</v>
      </c>
      <c r="I920">
        <v>3.2010000000000001</v>
      </c>
      <c r="J920">
        <v>6</v>
      </c>
      <c r="K920">
        <v>20</v>
      </c>
      <c r="L920">
        <v>12</v>
      </c>
      <c r="M920">
        <v>3.302</v>
      </c>
    </row>
    <row r="921" spans="1:13" ht="15" customHeight="1">
      <c r="A921" t="s">
        <v>17</v>
      </c>
      <c r="B921">
        <f t="shared" si="56"/>
        <v>33.704813000000001</v>
      </c>
      <c r="C921">
        <f t="shared" si="57"/>
        <v>-117.860034</v>
      </c>
      <c r="D921">
        <f t="shared" si="58"/>
        <v>45</v>
      </c>
      <c r="E921">
        <v>43.499000000000002</v>
      </c>
      <c r="F921">
        <f t="shared" si="59"/>
        <v>1.5009999999999977</v>
      </c>
      <c r="G921">
        <v>96.05</v>
      </c>
      <c r="H921">
        <v>2.177</v>
      </c>
      <c r="I921">
        <v>2.27</v>
      </c>
      <c r="J921">
        <v>7</v>
      </c>
      <c r="K921">
        <v>31</v>
      </c>
      <c r="L921">
        <v>18</v>
      </c>
      <c r="M921" s="1">
        <v>9000000000</v>
      </c>
    </row>
    <row r="922" spans="1:13" ht="15" customHeight="1">
      <c r="A922" t="s">
        <v>17</v>
      </c>
      <c r="B922">
        <f t="shared" si="56"/>
        <v>33.704813000000001</v>
      </c>
      <c r="C922">
        <f t="shared" si="57"/>
        <v>-117.860034</v>
      </c>
      <c r="D922">
        <f t="shared" si="58"/>
        <v>45</v>
      </c>
      <c r="E922">
        <v>44.499000000000002</v>
      </c>
      <c r="F922">
        <f t="shared" si="59"/>
        <v>0.50099999999999767</v>
      </c>
      <c r="G922">
        <v>318.06700000000001</v>
      </c>
      <c r="H922">
        <v>1.768</v>
      </c>
      <c r="I922">
        <v>0.55600000000000005</v>
      </c>
      <c r="J922">
        <v>10</v>
      </c>
      <c r="K922">
        <v>51</v>
      </c>
      <c r="L922">
        <v>29</v>
      </c>
      <c r="M922" s="1">
        <v>9000000000</v>
      </c>
    </row>
    <row r="923" spans="1:13" ht="15" customHeight="1">
      <c r="A923" t="s">
        <v>17</v>
      </c>
      <c r="B923">
        <f t="shared" si="56"/>
        <v>33.704813000000001</v>
      </c>
      <c r="C923">
        <f t="shared" si="57"/>
        <v>-117.860034</v>
      </c>
      <c r="D923">
        <f t="shared" si="58"/>
        <v>45</v>
      </c>
      <c r="E923">
        <v>45.499000000000002</v>
      </c>
      <c r="F923">
        <f t="shared" si="59"/>
        <v>-0.49900000000000233</v>
      </c>
      <c r="G923">
        <v>311.983</v>
      </c>
      <c r="H923">
        <v>1.5429999999999999</v>
      </c>
      <c r="I923">
        <v>0.495</v>
      </c>
      <c r="J923">
        <v>10</v>
      </c>
      <c r="K923">
        <v>50</v>
      </c>
      <c r="L923">
        <v>28</v>
      </c>
      <c r="M923" s="1">
        <v>9000000000</v>
      </c>
    </row>
    <row r="924" spans="1:13" ht="15" customHeight="1">
      <c r="A924" t="s">
        <v>17</v>
      </c>
      <c r="B924">
        <f t="shared" si="56"/>
        <v>33.704813000000001</v>
      </c>
      <c r="C924">
        <f t="shared" si="57"/>
        <v>-117.860034</v>
      </c>
      <c r="D924">
        <f t="shared" si="58"/>
        <v>45</v>
      </c>
      <c r="E924">
        <v>46.499000000000002</v>
      </c>
      <c r="F924">
        <f t="shared" si="59"/>
        <v>-1.4990000000000023</v>
      </c>
      <c r="G924">
        <v>309.2</v>
      </c>
      <c r="H924">
        <v>1.4730000000000001</v>
      </c>
      <c r="I924">
        <v>0.47599999999999998</v>
      </c>
      <c r="J924">
        <v>10</v>
      </c>
      <c r="K924">
        <v>49</v>
      </c>
      <c r="L924">
        <v>27</v>
      </c>
      <c r="M924" s="1">
        <v>9000000000</v>
      </c>
    </row>
    <row r="925" spans="1:13" ht="15" customHeight="1">
      <c r="A925" t="s">
        <v>17</v>
      </c>
      <c r="B925">
        <f t="shared" si="56"/>
        <v>33.704813000000001</v>
      </c>
      <c r="C925">
        <f t="shared" si="57"/>
        <v>-117.860034</v>
      </c>
      <c r="D925">
        <f t="shared" si="58"/>
        <v>45</v>
      </c>
      <c r="E925">
        <v>47.499000000000002</v>
      </c>
      <c r="F925">
        <f t="shared" si="59"/>
        <v>-2.4990000000000023</v>
      </c>
      <c r="G925">
        <v>332.33300000000003</v>
      </c>
      <c r="H925">
        <v>1.7529999999999999</v>
      </c>
      <c r="I925">
        <v>0.52700000000000002</v>
      </c>
      <c r="J925">
        <v>10</v>
      </c>
      <c r="K925">
        <v>53</v>
      </c>
      <c r="L925">
        <v>29</v>
      </c>
      <c r="M925" s="1">
        <v>9000000000</v>
      </c>
    </row>
    <row r="926" spans="1:13" ht="15" customHeight="1">
      <c r="A926" t="s">
        <v>17</v>
      </c>
      <c r="B926">
        <f t="shared" si="56"/>
        <v>33.704813000000001</v>
      </c>
      <c r="C926">
        <f t="shared" si="57"/>
        <v>-117.860034</v>
      </c>
      <c r="D926">
        <f t="shared" si="58"/>
        <v>45</v>
      </c>
      <c r="E926">
        <v>48.499000000000002</v>
      </c>
      <c r="F926">
        <f t="shared" si="59"/>
        <v>-3.4990000000000023</v>
      </c>
      <c r="G926">
        <v>327.08300000000003</v>
      </c>
      <c r="H926">
        <v>2.0169999999999999</v>
      </c>
      <c r="I926">
        <v>0.61599999999999999</v>
      </c>
      <c r="J926">
        <v>10</v>
      </c>
      <c r="K926">
        <v>52</v>
      </c>
      <c r="L926">
        <v>28</v>
      </c>
      <c r="M926" s="1">
        <v>9000000000</v>
      </c>
    </row>
    <row r="927" spans="1:13" ht="15" customHeight="1">
      <c r="A927" t="s">
        <v>17</v>
      </c>
      <c r="B927">
        <f t="shared" si="56"/>
        <v>33.704813000000001</v>
      </c>
      <c r="C927">
        <f t="shared" si="57"/>
        <v>-117.860034</v>
      </c>
      <c r="D927">
        <f t="shared" si="58"/>
        <v>45</v>
      </c>
      <c r="E927">
        <v>49.499000000000002</v>
      </c>
      <c r="F927">
        <f t="shared" si="59"/>
        <v>-4.4990000000000023</v>
      </c>
      <c r="G927">
        <v>151.05000000000001</v>
      </c>
      <c r="H927">
        <v>1.607</v>
      </c>
      <c r="I927">
        <v>1.0629999999999999</v>
      </c>
      <c r="J927">
        <v>9</v>
      </c>
      <c r="K927">
        <v>29</v>
      </c>
      <c r="L927">
        <v>15</v>
      </c>
      <c r="M927" s="1">
        <v>9000000000</v>
      </c>
    </row>
    <row r="928" spans="1:13" ht="15" customHeight="1">
      <c r="A928" t="s">
        <v>17</v>
      </c>
      <c r="B928">
        <f t="shared" si="56"/>
        <v>33.704813000000001</v>
      </c>
      <c r="C928">
        <f t="shared" si="57"/>
        <v>-117.860034</v>
      </c>
      <c r="D928">
        <f t="shared" si="58"/>
        <v>45</v>
      </c>
      <c r="E928">
        <v>50.499000000000002</v>
      </c>
      <c r="F928">
        <f t="shared" si="59"/>
        <v>-5.4990000000000023</v>
      </c>
      <c r="G928">
        <v>132.9</v>
      </c>
      <c r="H928">
        <v>1.363</v>
      </c>
      <c r="I928">
        <v>1.026</v>
      </c>
      <c r="J928">
        <v>8</v>
      </c>
      <c r="K928">
        <v>32</v>
      </c>
      <c r="L928">
        <v>17</v>
      </c>
      <c r="M928" s="1">
        <v>9000000000</v>
      </c>
    </row>
    <row r="929" spans="1:13" ht="15" customHeight="1">
      <c r="A929" t="s">
        <v>17</v>
      </c>
      <c r="B929">
        <f t="shared" si="56"/>
        <v>33.704813000000001</v>
      </c>
      <c r="C929">
        <f t="shared" si="57"/>
        <v>-117.860034</v>
      </c>
      <c r="D929">
        <f t="shared" si="58"/>
        <v>45</v>
      </c>
      <c r="E929">
        <v>51.499000000000002</v>
      </c>
      <c r="F929">
        <f t="shared" si="59"/>
        <v>-6.4990000000000023</v>
      </c>
      <c r="G929">
        <v>301.31700000000001</v>
      </c>
      <c r="H929">
        <v>1.6319999999999999</v>
      </c>
      <c r="I929">
        <v>0.54100000000000004</v>
      </c>
      <c r="J929">
        <v>10</v>
      </c>
      <c r="K929">
        <v>48</v>
      </c>
      <c r="L929">
        <v>25</v>
      </c>
      <c r="M929" s="1">
        <v>9000000000</v>
      </c>
    </row>
    <row r="930" spans="1:13" ht="15" customHeight="1">
      <c r="A930" t="s">
        <v>17</v>
      </c>
      <c r="B930">
        <f t="shared" si="56"/>
        <v>33.704813000000001</v>
      </c>
      <c r="C930">
        <f t="shared" si="57"/>
        <v>-117.860034</v>
      </c>
      <c r="D930">
        <f t="shared" si="58"/>
        <v>45</v>
      </c>
      <c r="E930">
        <v>52.499000000000002</v>
      </c>
      <c r="F930">
        <f t="shared" si="59"/>
        <v>-7.4990000000000023</v>
      </c>
      <c r="G930">
        <v>321.529</v>
      </c>
      <c r="H930">
        <v>1.9790000000000001</v>
      </c>
      <c r="I930">
        <v>0.61499999999999999</v>
      </c>
      <c r="J930">
        <v>10</v>
      </c>
      <c r="K930">
        <v>51</v>
      </c>
      <c r="L930">
        <v>26</v>
      </c>
      <c r="M930" s="1">
        <v>9000000000</v>
      </c>
    </row>
    <row r="931" spans="1:13" ht="15" customHeight="1">
      <c r="A931" t="s">
        <v>17</v>
      </c>
      <c r="B931">
        <f t="shared" si="56"/>
        <v>33.704813000000001</v>
      </c>
      <c r="C931">
        <f t="shared" si="57"/>
        <v>-117.860034</v>
      </c>
      <c r="D931">
        <f t="shared" si="58"/>
        <v>45</v>
      </c>
      <c r="E931">
        <v>53.499000000000002</v>
      </c>
      <c r="F931">
        <f t="shared" si="59"/>
        <v>-8.4990000000000023</v>
      </c>
      <c r="G931">
        <v>334.43299999999999</v>
      </c>
      <c r="H931">
        <v>1.708</v>
      </c>
      <c r="I931">
        <v>0.51100000000000001</v>
      </c>
      <c r="J931">
        <v>10</v>
      </c>
      <c r="K931">
        <v>53</v>
      </c>
      <c r="L931">
        <v>27</v>
      </c>
      <c r="M931" s="1">
        <v>9000000000</v>
      </c>
    </row>
    <row r="932" spans="1:13" ht="15" customHeight="1">
      <c r="A932" t="s">
        <v>17</v>
      </c>
      <c r="B932">
        <f t="shared" si="56"/>
        <v>33.704813000000001</v>
      </c>
      <c r="C932">
        <f t="shared" si="57"/>
        <v>-117.860034</v>
      </c>
      <c r="D932">
        <f t="shared" si="58"/>
        <v>45</v>
      </c>
      <c r="E932">
        <v>54.499000000000002</v>
      </c>
      <c r="F932">
        <f t="shared" si="59"/>
        <v>-9.4990000000000023</v>
      </c>
      <c r="G932">
        <v>305.233</v>
      </c>
      <c r="H932">
        <v>1.5349999999999999</v>
      </c>
      <c r="I932">
        <v>0.503</v>
      </c>
      <c r="J932">
        <v>10</v>
      </c>
      <c r="K932">
        <v>49</v>
      </c>
      <c r="L932">
        <v>25</v>
      </c>
      <c r="M932" s="1">
        <v>9000000000</v>
      </c>
    </row>
    <row r="933" spans="1:13" ht="15" customHeight="1">
      <c r="A933" t="s">
        <v>17</v>
      </c>
      <c r="B933">
        <f t="shared" si="56"/>
        <v>33.704813000000001</v>
      </c>
      <c r="C933">
        <f t="shared" si="57"/>
        <v>-117.860034</v>
      </c>
      <c r="D933">
        <f t="shared" si="58"/>
        <v>45</v>
      </c>
      <c r="E933">
        <v>55.499000000000002</v>
      </c>
      <c r="F933">
        <f t="shared" si="59"/>
        <v>-10.499000000000002</v>
      </c>
      <c r="G933">
        <v>325.483</v>
      </c>
      <c r="H933">
        <v>1.8480000000000001</v>
      </c>
      <c r="I933">
        <v>0.56799999999999995</v>
      </c>
      <c r="J933">
        <v>10</v>
      </c>
      <c r="K933">
        <v>52</v>
      </c>
      <c r="L933">
        <v>26</v>
      </c>
      <c r="M933" s="1">
        <v>9000000000</v>
      </c>
    </row>
    <row r="934" spans="1:13" ht="15" customHeight="1">
      <c r="A934" t="s">
        <v>17</v>
      </c>
      <c r="B934">
        <f t="shared" si="56"/>
        <v>33.704813000000001</v>
      </c>
      <c r="C934">
        <f t="shared" si="57"/>
        <v>-117.860034</v>
      </c>
      <c r="D934">
        <f t="shared" si="58"/>
        <v>45</v>
      </c>
      <c r="E934">
        <v>56.499000000000002</v>
      </c>
      <c r="F934">
        <f t="shared" si="59"/>
        <v>-11.499000000000002</v>
      </c>
      <c r="G934">
        <v>361.86700000000002</v>
      </c>
      <c r="H934">
        <v>1.915</v>
      </c>
      <c r="I934">
        <v>0.52900000000000003</v>
      </c>
      <c r="J934">
        <v>10</v>
      </c>
      <c r="K934">
        <v>58</v>
      </c>
      <c r="L934">
        <v>29</v>
      </c>
      <c r="M934" s="1">
        <v>9000000000</v>
      </c>
    </row>
    <row r="935" spans="1:13" ht="15" customHeight="1">
      <c r="A935" t="s">
        <v>17</v>
      </c>
      <c r="B935">
        <f t="shared" si="56"/>
        <v>33.704813000000001</v>
      </c>
      <c r="C935">
        <f t="shared" si="57"/>
        <v>-117.860034</v>
      </c>
      <c r="D935">
        <f t="shared" si="58"/>
        <v>45</v>
      </c>
      <c r="E935">
        <v>57.499000000000002</v>
      </c>
      <c r="F935">
        <f t="shared" si="59"/>
        <v>-12.499000000000002</v>
      </c>
      <c r="G935">
        <v>321.733</v>
      </c>
      <c r="H935">
        <v>1.7330000000000001</v>
      </c>
      <c r="I935">
        <v>0.53800000000000003</v>
      </c>
      <c r="J935">
        <v>10</v>
      </c>
      <c r="K935">
        <v>51</v>
      </c>
      <c r="L935">
        <v>26</v>
      </c>
      <c r="M935" s="1">
        <v>9000000000</v>
      </c>
    </row>
    <row r="936" spans="1:13" ht="15" customHeight="1">
      <c r="A936" t="s">
        <v>17</v>
      </c>
      <c r="B936">
        <f t="shared" si="56"/>
        <v>33.704813000000001</v>
      </c>
      <c r="C936">
        <f t="shared" si="57"/>
        <v>-117.860034</v>
      </c>
      <c r="D936">
        <f t="shared" si="58"/>
        <v>45</v>
      </c>
      <c r="E936">
        <v>58.499000000000002</v>
      </c>
      <c r="F936">
        <f t="shared" si="59"/>
        <v>-13.499000000000002</v>
      </c>
      <c r="G936">
        <v>272.8</v>
      </c>
      <c r="H936">
        <v>1.4430000000000001</v>
      </c>
      <c r="I936">
        <v>0.52900000000000003</v>
      </c>
      <c r="J936">
        <v>10</v>
      </c>
      <c r="K936">
        <v>44</v>
      </c>
      <c r="L936">
        <v>22</v>
      </c>
      <c r="M936" s="1">
        <v>9000000000</v>
      </c>
    </row>
    <row r="937" spans="1:13" ht="15" customHeight="1">
      <c r="A937" t="s">
        <v>17</v>
      </c>
      <c r="B937">
        <f t="shared" si="56"/>
        <v>33.704813000000001</v>
      </c>
      <c r="C937">
        <f t="shared" si="57"/>
        <v>-117.860034</v>
      </c>
      <c r="D937">
        <f t="shared" si="58"/>
        <v>45</v>
      </c>
      <c r="E937">
        <v>59.499000000000002</v>
      </c>
      <c r="F937">
        <f t="shared" si="59"/>
        <v>-14.499000000000002</v>
      </c>
      <c r="G937">
        <v>253.767</v>
      </c>
      <c r="H937">
        <v>1.222</v>
      </c>
      <c r="I937">
        <v>0.48099999999999998</v>
      </c>
      <c r="J937">
        <v>9</v>
      </c>
      <c r="K937">
        <v>49</v>
      </c>
      <c r="L937">
        <v>25</v>
      </c>
      <c r="M937" s="1">
        <v>9000000000</v>
      </c>
    </row>
    <row r="938" spans="1:13" ht="15" customHeight="1">
      <c r="A938" t="s">
        <v>17</v>
      </c>
      <c r="B938">
        <f t="shared" si="56"/>
        <v>33.704813000000001</v>
      </c>
      <c r="C938">
        <f t="shared" si="57"/>
        <v>-117.860034</v>
      </c>
      <c r="D938">
        <f t="shared" si="58"/>
        <v>45</v>
      </c>
      <c r="E938">
        <v>60.499000000000002</v>
      </c>
      <c r="F938">
        <f t="shared" si="59"/>
        <v>-15.499000000000002</v>
      </c>
      <c r="G938">
        <v>260.5</v>
      </c>
      <c r="H938">
        <v>0.89</v>
      </c>
      <c r="I938">
        <v>0.34100000000000003</v>
      </c>
      <c r="J938">
        <v>10</v>
      </c>
      <c r="K938">
        <v>42</v>
      </c>
      <c r="L938">
        <v>21</v>
      </c>
      <c r="M938" s="1">
        <v>9000000000</v>
      </c>
    </row>
    <row r="939" spans="1:13" ht="15" customHeight="1">
      <c r="A939" t="s">
        <v>17</v>
      </c>
      <c r="B939">
        <f t="shared" si="56"/>
        <v>33.704813000000001</v>
      </c>
      <c r="C939">
        <f t="shared" si="57"/>
        <v>-117.860034</v>
      </c>
      <c r="D939">
        <f t="shared" si="58"/>
        <v>45</v>
      </c>
      <c r="E939">
        <v>61.499000000000002</v>
      </c>
      <c r="F939">
        <f t="shared" si="59"/>
        <v>-16.499000000000002</v>
      </c>
      <c r="G939">
        <v>294.85000000000002</v>
      </c>
      <c r="H939">
        <v>0.95299999999999996</v>
      </c>
      <c r="I939">
        <v>0.32300000000000001</v>
      </c>
      <c r="J939">
        <v>10</v>
      </c>
      <c r="K939">
        <v>47</v>
      </c>
      <c r="L939">
        <v>24</v>
      </c>
      <c r="M939" s="1">
        <v>9000000000</v>
      </c>
    </row>
    <row r="940" spans="1:13" ht="15" customHeight="1">
      <c r="A940" t="s">
        <v>17</v>
      </c>
      <c r="B940">
        <f t="shared" si="56"/>
        <v>33.704813000000001</v>
      </c>
      <c r="C940">
        <f t="shared" si="57"/>
        <v>-117.860034</v>
      </c>
      <c r="D940">
        <f t="shared" si="58"/>
        <v>45</v>
      </c>
      <c r="E940">
        <v>62.499000000000002</v>
      </c>
      <c r="F940">
        <f t="shared" si="59"/>
        <v>-17.499000000000002</v>
      </c>
      <c r="G940">
        <v>272.714</v>
      </c>
      <c r="H940">
        <v>0.997</v>
      </c>
      <c r="I940">
        <v>0.36499999999999999</v>
      </c>
      <c r="J940">
        <v>10</v>
      </c>
      <c r="K940">
        <v>44</v>
      </c>
      <c r="L940">
        <v>22</v>
      </c>
      <c r="M940" s="1">
        <v>9000000000</v>
      </c>
    </row>
    <row r="941" spans="1:13" ht="15" customHeight="1">
      <c r="A941" t="s">
        <v>17</v>
      </c>
      <c r="B941">
        <f t="shared" si="56"/>
        <v>33.704813000000001</v>
      </c>
      <c r="C941">
        <f t="shared" si="57"/>
        <v>-117.860034</v>
      </c>
      <c r="D941">
        <f t="shared" si="58"/>
        <v>45</v>
      </c>
      <c r="E941">
        <v>63.499000000000002</v>
      </c>
      <c r="F941">
        <f t="shared" si="59"/>
        <v>-18.499000000000002</v>
      </c>
      <c r="G941">
        <v>304.28300000000002</v>
      </c>
      <c r="H941">
        <v>0.92300000000000004</v>
      </c>
      <c r="I941">
        <v>0.30299999999999999</v>
      </c>
      <c r="J941">
        <v>10</v>
      </c>
      <c r="K941">
        <v>49</v>
      </c>
      <c r="L941">
        <v>25</v>
      </c>
      <c r="M941" s="1">
        <v>9000000000</v>
      </c>
    </row>
    <row r="942" spans="1:13" ht="15" customHeight="1">
      <c r="A942" t="s">
        <v>17</v>
      </c>
      <c r="B942">
        <f t="shared" si="56"/>
        <v>33.704813000000001</v>
      </c>
      <c r="C942">
        <f t="shared" si="57"/>
        <v>-117.860034</v>
      </c>
      <c r="D942">
        <f t="shared" si="58"/>
        <v>45</v>
      </c>
      <c r="E942">
        <v>64.498999999999995</v>
      </c>
      <c r="F942">
        <f t="shared" si="59"/>
        <v>-19.498999999999995</v>
      </c>
      <c r="G942">
        <v>272.733</v>
      </c>
      <c r="H942">
        <v>1.3029999999999999</v>
      </c>
      <c r="I942">
        <v>0.47699999999999998</v>
      </c>
      <c r="J942">
        <v>10</v>
      </c>
      <c r="K942">
        <v>44</v>
      </c>
      <c r="L942">
        <v>22</v>
      </c>
      <c r="M942" s="1">
        <v>9000000000</v>
      </c>
    </row>
    <row r="943" spans="1:13" ht="15" customHeight="1">
      <c r="A943" t="s">
        <v>17</v>
      </c>
      <c r="B943">
        <f t="shared" si="56"/>
        <v>33.704813000000001</v>
      </c>
      <c r="C943">
        <f t="shared" si="57"/>
        <v>-117.860034</v>
      </c>
      <c r="D943">
        <f t="shared" si="58"/>
        <v>45</v>
      </c>
      <c r="E943">
        <v>65.498999999999995</v>
      </c>
      <c r="F943">
        <f t="shared" si="59"/>
        <v>-20.498999999999995</v>
      </c>
      <c r="G943">
        <v>319.483</v>
      </c>
      <c r="H943">
        <v>1.6850000000000001</v>
      </c>
      <c r="I943">
        <v>0.52700000000000002</v>
      </c>
      <c r="J943">
        <v>10</v>
      </c>
      <c r="K943">
        <v>51</v>
      </c>
      <c r="L943">
        <v>26</v>
      </c>
      <c r="M943" s="1">
        <v>9000000000</v>
      </c>
    </row>
    <row r="944" spans="1:13" ht="15" customHeight="1">
      <c r="A944" t="s">
        <v>17</v>
      </c>
      <c r="B944">
        <f t="shared" si="56"/>
        <v>33.704813000000001</v>
      </c>
      <c r="C944">
        <f t="shared" si="57"/>
        <v>-117.860034</v>
      </c>
      <c r="D944">
        <f t="shared" si="58"/>
        <v>45</v>
      </c>
      <c r="E944">
        <v>66.498999999999995</v>
      </c>
      <c r="F944">
        <f t="shared" si="59"/>
        <v>-21.498999999999995</v>
      </c>
      <c r="G944">
        <v>339.83300000000003</v>
      </c>
      <c r="H944">
        <v>3.7549999999999999</v>
      </c>
      <c r="I944">
        <v>1.1040000000000001</v>
      </c>
      <c r="J944">
        <v>9</v>
      </c>
      <c r="K944">
        <v>65</v>
      </c>
      <c r="L944">
        <v>33</v>
      </c>
      <c r="M944" s="1">
        <v>9000000000</v>
      </c>
    </row>
    <row r="945" spans="1:13" ht="15" customHeight="1">
      <c r="A945" t="s">
        <v>17</v>
      </c>
      <c r="B945">
        <f t="shared" si="56"/>
        <v>33.704813000000001</v>
      </c>
      <c r="C945">
        <f t="shared" si="57"/>
        <v>-117.860034</v>
      </c>
      <c r="D945">
        <f t="shared" si="58"/>
        <v>45</v>
      </c>
      <c r="E945">
        <v>67.498999999999995</v>
      </c>
      <c r="F945">
        <f t="shared" si="59"/>
        <v>-22.498999999999995</v>
      </c>
      <c r="G945">
        <v>321.60000000000002</v>
      </c>
      <c r="H945">
        <v>3.3580000000000001</v>
      </c>
      <c r="I945">
        <v>1.044</v>
      </c>
      <c r="J945">
        <v>9</v>
      </c>
      <c r="K945">
        <v>62</v>
      </c>
      <c r="L945">
        <v>31</v>
      </c>
      <c r="M945" s="1">
        <v>9000000000</v>
      </c>
    </row>
    <row r="946" spans="1:13" ht="15" customHeight="1">
      <c r="A946" t="s">
        <v>17</v>
      </c>
      <c r="B946">
        <f t="shared" si="56"/>
        <v>33.704813000000001</v>
      </c>
      <c r="C946">
        <f t="shared" si="57"/>
        <v>-117.860034</v>
      </c>
      <c r="D946">
        <f t="shared" si="58"/>
        <v>45</v>
      </c>
      <c r="E946">
        <v>68.498999999999995</v>
      </c>
      <c r="F946">
        <f t="shared" si="59"/>
        <v>-23.498999999999995</v>
      </c>
      <c r="G946">
        <v>171.017</v>
      </c>
      <c r="H946">
        <v>1.79</v>
      </c>
      <c r="I946">
        <v>1.0449999999999999</v>
      </c>
      <c r="J946">
        <v>9</v>
      </c>
      <c r="K946">
        <v>33</v>
      </c>
      <c r="L946">
        <v>17</v>
      </c>
      <c r="M946" s="1">
        <v>9000000000</v>
      </c>
    </row>
    <row r="947" spans="1:13" ht="15" customHeight="1">
      <c r="A947" t="s">
        <v>17</v>
      </c>
      <c r="B947">
        <f t="shared" si="56"/>
        <v>33.704813000000001</v>
      </c>
      <c r="C947">
        <f t="shared" si="57"/>
        <v>-117.860034</v>
      </c>
      <c r="D947">
        <f t="shared" si="58"/>
        <v>45</v>
      </c>
      <c r="E947">
        <v>69.498999999999995</v>
      </c>
      <c r="F947">
        <f t="shared" si="59"/>
        <v>-24.498999999999995</v>
      </c>
      <c r="G947">
        <v>28.417000000000002</v>
      </c>
      <c r="H947">
        <v>0.47699999999999998</v>
      </c>
      <c r="I947">
        <v>1.554</v>
      </c>
      <c r="J947">
        <v>6</v>
      </c>
      <c r="K947">
        <v>12</v>
      </c>
      <c r="L947">
        <v>6</v>
      </c>
      <c r="M947">
        <v>1.7569999999999999</v>
      </c>
    </row>
    <row r="948" spans="1:13" ht="15" customHeight="1">
      <c r="A948" t="s">
        <v>17</v>
      </c>
      <c r="B948">
        <f t="shared" si="56"/>
        <v>33.704813000000001</v>
      </c>
      <c r="C948">
        <f t="shared" si="57"/>
        <v>-117.860034</v>
      </c>
      <c r="D948">
        <f t="shared" si="58"/>
        <v>45</v>
      </c>
      <c r="E948">
        <v>70.498999999999995</v>
      </c>
      <c r="F948">
        <f t="shared" si="59"/>
        <v>-25.498999999999995</v>
      </c>
      <c r="G948">
        <v>23.132999999999999</v>
      </c>
      <c r="H948">
        <v>0.44800000000000001</v>
      </c>
      <c r="I948">
        <v>1.77</v>
      </c>
      <c r="J948">
        <v>6</v>
      </c>
      <c r="K948">
        <v>10</v>
      </c>
      <c r="L948">
        <v>5</v>
      </c>
      <c r="M948">
        <v>1.3959999999999999</v>
      </c>
    </row>
    <row r="949" spans="1:13" ht="15" customHeight="1">
      <c r="A949" t="s">
        <v>17</v>
      </c>
      <c r="B949">
        <f t="shared" si="56"/>
        <v>33.704813000000001</v>
      </c>
      <c r="C949">
        <f t="shared" si="57"/>
        <v>-117.860034</v>
      </c>
      <c r="D949">
        <f t="shared" si="58"/>
        <v>45</v>
      </c>
      <c r="E949">
        <v>71.498999999999995</v>
      </c>
      <c r="F949">
        <f t="shared" si="59"/>
        <v>-26.498999999999995</v>
      </c>
      <c r="G949">
        <v>31.332999999999998</v>
      </c>
      <c r="H949">
        <v>0.85</v>
      </c>
      <c r="I949">
        <v>2.6019999999999999</v>
      </c>
      <c r="J949">
        <v>6</v>
      </c>
      <c r="K949">
        <v>13</v>
      </c>
      <c r="L949">
        <v>7</v>
      </c>
      <c r="M949">
        <v>1.881</v>
      </c>
    </row>
    <row r="950" spans="1:13" ht="15" customHeight="1">
      <c r="A950" t="s">
        <v>17</v>
      </c>
      <c r="B950">
        <f t="shared" si="56"/>
        <v>33.704813000000001</v>
      </c>
      <c r="C950">
        <f t="shared" si="57"/>
        <v>-117.860034</v>
      </c>
      <c r="D950">
        <f t="shared" si="58"/>
        <v>45</v>
      </c>
      <c r="E950">
        <v>72.498999999999995</v>
      </c>
      <c r="F950">
        <f t="shared" si="59"/>
        <v>-27.498999999999995</v>
      </c>
      <c r="G950">
        <v>30.9</v>
      </c>
      <c r="H950">
        <v>0.86299999999999999</v>
      </c>
      <c r="I950">
        <v>2.6859999999999999</v>
      </c>
      <c r="J950">
        <v>6</v>
      </c>
      <c r="K950">
        <v>12</v>
      </c>
      <c r="L950">
        <v>6</v>
      </c>
      <c r="M950">
        <v>1.841</v>
      </c>
    </row>
    <row r="951" spans="1:13" ht="15" customHeight="1">
      <c r="A951" t="s">
        <v>17</v>
      </c>
      <c r="B951">
        <f t="shared" si="56"/>
        <v>33.704813000000001</v>
      </c>
      <c r="C951">
        <f t="shared" si="57"/>
        <v>-117.860034</v>
      </c>
      <c r="D951">
        <f t="shared" si="58"/>
        <v>45</v>
      </c>
      <c r="E951">
        <v>73.498999999999995</v>
      </c>
      <c r="F951">
        <f t="shared" si="59"/>
        <v>-28.498999999999995</v>
      </c>
      <c r="G951">
        <v>29.832999999999998</v>
      </c>
      <c r="H951">
        <v>0.56699999999999995</v>
      </c>
      <c r="I951">
        <v>1.768</v>
      </c>
      <c r="J951">
        <v>6</v>
      </c>
      <c r="K951">
        <v>12</v>
      </c>
      <c r="L951">
        <v>6</v>
      </c>
      <c r="M951">
        <v>1.8320000000000001</v>
      </c>
    </row>
    <row r="952" spans="1:13" ht="15" customHeight="1">
      <c r="A952" t="s">
        <v>17</v>
      </c>
      <c r="B952">
        <f t="shared" si="56"/>
        <v>33.704813000000001</v>
      </c>
      <c r="C952">
        <f t="shared" si="57"/>
        <v>-117.860034</v>
      </c>
      <c r="D952">
        <f t="shared" si="58"/>
        <v>45</v>
      </c>
      <c r="E952">
        <v>74.498999999999995</v>
      </c>
      <c r="F952">
        <f t="shared" si="59"/>
        <v>-29.498999999999995</v>
      </c>
      <c r="G952">
        <v>28.233000000000001</v>
      </c>
      <c r="H952">
        <v>0.56200000000000006</v>
      </c>
      <c r="I952">
        <v>1.8220000000000001</v>
      </c>
      <c r="J952">
        <v>6</v>
      </c>
      <c r="K952">
        <v>12</v>
      </c>
      <c r="L952">
        <v>6</v>
      </c>
      <c r="M952">
        <v>1.746</v>
      </c>
    </row>
    <row r="953" spans="1:13" ht="15" customHeight="1">
      <c r="A953" t="s">
        <v>17</v>
      </c>
      <c r="B953">
        <f t="shared" si="56"/>
        <v>33.704813000000001</v>
      </c>
      <c r="C953">
        <f t="shared" si="57"/>
        <v>-117.860034</v>
      </c>
      <c r="D953">
        <f t="shared" si="58"/>
        <v>45</v>
      </c>
      <c r="E953">
        <v>75.498999999999995</v>
      </c>
      <c r="F953">
        <f t="shared" si="59"/>
        <v>-30.498999999999995</v>
      </c>
      <c r="G953">
        <v>26.7</v>
      </c>
      <c r="H953">
        <v>0.64200000000000002</v>
      </c>
      <c r="I953">
        <v>2.2290000000000001</v>
      </c>
      <c r="J953">
        <v>6</v>
      </c>
      <c r="K953">
        <v>11</v>
      </c>
      <c r="L953">
        <v>6</v>
      </c>
      <c r="M953">
        <v>1.6060000000000001</v>
      </c>
    </row>
    <row r="954" spans="1:13" ht="15" customHeight="1">
      <c r="A954" t="s">
        <v>17</v>
      </c>
      <c r="B954">
        <f t="shared" si="56"/>
        <v>33.704813000000001</v>
      </c>
      <c r="C954">
        <f t="shared" si="57"/>
        <v>-117.860034</v>
      </c>
      <c r="D954">
        <f t="shared" si="58"/>
        <v>45</v>
      </c>
      <c r="E954">
        <v>76.498999999999995</v>
      </c>
      <c r="F954">
        <f t="shared" si="59"/>
        <v>-31.498999999999995</v>
      </c>
      <c r="G954">
        <v>28.683</v>
      </c>
      <c r="H954">
        <v>0.82199999999999995</v>
      </c>
      <c r="I954">
        <v>2.7330000000000001</v>
      </c>
      <c r="J954">
        <v>6</v>
      </c>
      <c r="K954">
        <v>12</v>
      </c>
      <c r="L954">
        <v>6</v>
      </c>
      <c r="M954">
        <v>1.6870000000000001</v>
      </c>
    </row>
    <row r="955" spans="1:13" ht="15" customHeight="1">
      <c r="A955" t="s">
        <v>17</v>
      </c>
      <c r="B955">
        <f t="shared" si="56"/>
        <v>33.704813000000001</v>
      </c>
      <c r="C955">
        <f t="shared" si="57"/>
        <v>-117.860034</v>
      </c>
      <c r="D955">
        <f t="shared" si="58"/>
        <v>45</v>
      </c>
      <c r="E955">
        <v>77.498999999999995</v>
      </c>
      <c r="F955">
        <f t="shared" si="59"/>
        <v>-32.498999999999995</v>
      </c>
      <c r="G955">
        <v>29.5</v>
      </c>
      <c r="H955">
        <v>0.89800000000000002</v>
      </c>
      <c r="I955">
        <v>2.9340000000000002</v>
      </c>
      <c r="J955">
        <v>5</v>
      </c>
      <c r="K955">
        <v>15</v>
      </c>
      <c r="L955">
        <v>8</v>
      </c>
      <c r="M955">
        <v>1.7190000000000001</v>
      </c>
    </row>
    <row r="956" spans="1:13" ht="15" customHeight="1">
      <c r="A956" t="s">
        <v>17</v>
      </c>
      <c r="B956">
        <f t="shared" si="56"/>
        <v>33.704813000000001</v>
      </c>
      <c r="C956">
        <f t="shared" si="57"/>
        <v>-117.860034</v>
      </c>
      <c r="D956">
        <f t="shared" si="58"/>
        <v>45</v>
      </c>
      <c r="E956">
        <v>78.498999999999995</v>
      </c>
      <c r="F956">
        <f t="shared" si="59"/>
        <v>-33.498999999999995</v>
      </c>
      <c r="G956">
        <v>26.716999999999999</v>
      </c>
      <c r="H956">
        <v>0.57199999999999995</v>
      </c>
      <c r="I956">
        <v>2.0270000000000001</v>
      </c>
      <c r="J956">
        <v>6</v>
      </c>
      <c r="K956">
        <v>11</v>
      </c>
      <c r="L956">
        <v>6</v>
      </c>
      <c r="M956">
        <v>1.554</v>
      </c>
    </row>
    <row r="957" spans="1:13" ht="15" customHeight="1">
      <c r="A957" t="s">
        <v>17</v>
      </c>
      <c r="B957">
        <f t="shared" si="56"/>
        <v>33.704813000000001</v>
      </c>
      <c r="C957">
        <f t="shared" si="57"/>
        <v>-117.860034</v>
      </c>
      <c r="D957">
        <f t="shared" si="58"/>
        <v>45</v>
      </c>
      <c r="E957">
        <v>79.498999999999995</v>
      </c>
      <c r="F957">
        <f t="shared" si="59"/>
        <v>-34.498999999999995</v>
      </c>
      <c r="G957">
        <v>26.082999999999998</v>
      </c>
      <c r="H957">
        <v>0.60799999999999998</v>
      </c>
      <c r="I957">
        <v>2.17</v>
      </c>
      <c r="J957">
        <v>6</v>
      </c>
      <c r="K957">
        <v>11</v>
      </c>
      <c r="L957">
        <v>6</v>
      </c>
      <c r="M957">
        <v>1.5389999999999999</v>
      </c>
    </row>
    <row r="958" spans="1:13" ht="15" customHeight="1">
      <c r="A958" t="s">
        <v>17</v>
      </c>
      <c r="B958">
        <f t="shared" si="56"/>
        <v>33.704813000000001</v>
      </c>
      <c r="C958">
        <f t="shared" si="57"/>
        <v>-117.860034</v>
      </c>
      <c r="D958">
        <f t="shared" si="58"/>
        <v>45</v>
      </c>
      <c r="E958">
        <v>80.498999999999995</v>
      </c>
      <c r="F958">
        <f t="shared" si="59"/>
        <v>-35.498999999999995</v>
      </c>
      <c r="G958">
        <v>26.5</v>
      </c>
      <c r="H958">
        <v>0.76700000000000002</v>
      </c>
      <c r="I958">
        <v>2.7250000000000001</v>
      </c>
      <c r="J958">
        <v>6</v>
      </c>
      <c r="K958">
        <v>11</v>
      </c>
      <c r="L958">
        <v>6</v>
      </c>
      <c r="M958">
        <v>1.5409999999999999</v>
      </c>
    </row>
    <row r="959" spans="1:13" ht="15" customHeight="1">
      <c r="A959" t="s">
        <v>17</v>
      </c>
      <c r="B959">
        <f t="shared" si="56"/>
        <v>33.704813000000001</v>
      </c>
      <c r="C959">
        <f t="shared" si="57"/>
        <v>-117.860034</v>
      </c>
      <c r="D959">
        <f t="shared" si="58"/>
        <v>45</v>
      </c>
      <c r="E959">
        <v>81.498999999999995</v>
      </c>
      <c r="F959">
        <f t="shared" si="59"/>
        <v>-36.498999999999995</v>
      </c>
      <c r="G959">
        <v>25.2</v>
      </c>
      <c r="H959">
        <v>0.505</v>
      </c>
      <c r="I959">
        <v>1.839</v>
      </c>
      <c r="J959">
        <v>6</v>
      </c>
      <c r="K959">
        <v>11</v>
      </c>
      <c r="L959">
        <v>6</v>
      </c>
      <c r="M959">
        <v>1.4930000000000001</v>
      </c>
    </row>
    <row r="960" spans="1:13" ht="15" customHeight="1">
      <c r="A960" t="s">
        <v>17</v>
      </c>
      <c r="B960">
        <f t="shared" si="56"/>
        <v>33.704813000000001</v>
      </c>
      <c r="C960">
        <f t="shared" si="57"/>
        <v>-117.860034</v>
      </c>
      <c r="D960">
        <f t="shared" si="58"/>
        <v>45</v>
      </c>
      <c r="E960">
        <v>82.498999999999995</v>
      </c>
      <c r="F960">
        <f t="shared" si="59"/>
        <v>-37.498999999999995</v>
      </c>
      <c r="G960">
        <v>38.667000000000002</v>
      </c>
      <c r="H960">
        <v>0.92</v>
      </c>
      <c r="I960">
        <v>2.2610000000000001</v>
      </c>
      <c r="J960">
        <v>6</v>
      </c>
      <c r="K960">
        <v>16</v>
      </c>
      <c r="L960">
        <v>8</v>
      </c>
      <c r="M960">
        <v>2.37</v>
      </c>
    </row>
    <row r="961" spans="1:13" ht="15" customHeight="1">
      <c r="A961" t="s">
        <v>17</v>
      </c>
      <c r="B961">
        <f t="shared" si="56"/>
        <v>33.704813000000001</v>
      </c>
      <c r="C961">
        <f t="shared" si="57"/>
        <v>-117.860034</v>
      </c>
      <c r="D961">
        <f t="shared" si="58"/>
        <v>45</v>
      </c>
      <c r="E961">
        <v>83.498999999999995</v>
      </c>
      <c r="F961">
        <f t="shared" si="59"/>
        <v>-38.498999999999995</v>
      </c>
      <c r="G961">
        <v>26</v>
      </c>
      <c r="H961">
        <v>0.59899999999999998</v>
      </c>
      <c r="I961">
        <v>2.141</v>
      </c>
      <c r="J961">
        <v>6</v>
      </c>
      <c r="K961">
        <v>11</v>
      </c>
      <c r="L961">
        <v>6</v>
      </c>
      <c r="M961">
        <v>1.5169999999999999</v>
      </c>
    </row>
    <row r="962" spans="1:13" ht="15" customHeight="1">
      <c r="A962" t="s">
        <v>17</v>
      </c>
      <c r="B962">
        <f t="shared" ref="B962:B1025" si="60">VLOOKUP(A962,XYdata,3,FALSE)</f>
        <v>33.704813000000001</v>
      </c>
      <c r="C962">
        <f t="shared" ref="C962:C1025" si="61">VLOOKUP(A962,XYdata,2,FALSE)</f>
        <v>-117.860034</v>
      </c>
      <c r="D962">
        <f t="shared" ref="D962:D1025" si="62">VLOOKUP(A962,Elevation,2,FALSE)</f>
        <v>45</v>
      </c>
      <c r="E962">
        <v>84.498999999999995</v>
      </c>
      <c r="F962">
        <f t="shared" si="59"/>
        <v>-39.498999999999995</v>
      </c>
      <c r="G962">
        <v>119.967</v>
      </c>
      <c r="H962">
        <v>1.155</v>
      </c>
      <c r="I962">
        <v>0.95699999999999996</v>
      </c>
      <c r="J962">
        <v>8</v>
      </c>
      <c r="K962">
        <v>29</v>
      </c>
      <c r="L962">
        <v>15</v>
      </c>
      <c r="M962" s="1">
        <v>9000000000</v>
      </c>
    </row>
    <row r="963" spans="1:13" ht="15" customHeight="1">
      <c r="A963" t="s">
        <v>17</v>
      </c>
      <c r="B963">
        <f t="shared" si="60"/>
        <v>33.704813000000001</v>
      </c>
      <c r="C963">
        <f t="shared" si="61"/>
        <v>-117.860034</v>
      </c>
      <c r="D963">
        <f t="shared" si="62"/>
        <v>45</v>
      </c>
      <c r="E963">
        <v>85.498999999999995</v>
      </c>
      <c r="F963">
        <f t="shared" ref="F963:F1026" si="63">D963-E963</f>
        <v>-40.498999999999995</v>
      </c>
      <c r="G963">
        <v>99.75</v>
      </c>
      <c r="H963">
        <v>1.7629999999999999</v>
      </c>
      <c r="I963">
        <v>1.7629999999999999</v>
      </c>
      <c r="J963">
        <v>7</v>
      </c>
      <c r="K963">
        <v>32</v>
      </c>
      <c r="L963">
        <v>16</v>
      </c>
      <c r="M963" s="1">
        <v>9000000000</v>
      </c>
    </row>
    <row r="964" spans="1:13" ht="15" customHeight="1">
      <c r="A964" t="s">
        <v>17</v>
      </c>
      <c r="B964">
        <f t="shared" si="60"/>
        <v>33.704813000000001</v>
      </c>
      <c r="C964">
        <f t="shared" si="61"/>
        <v>-117.860034</v>
      </c>
      <c r="D964">
        <f t="shared" si="62"/>
        <v>45</v>
      </c>
      <c r="E964">
        <v>86.498999999999995</v>
      </c>
      <c r="F964">
        <f t="shared" si="63"/>
        <v>-41.498999999999995</v>
      </c>
      <c r="G964">
        <v>46.433</v>
      </c>
      <c r="H964">
        <v>1.45</v>
      </c>
      <c r="I964">
        <v>3.0459999999999998</v>
      </c>
      <c r="J964">
        <v>6</v>
      </c>
      <c r="K964">
        <v>18</v>
      </c>
      <c r="L964">
        <v>9</v>
      </c>
      <c r="M964">
        <v>2.8140000000000001</v>
      </c>
    </row>
    <row r="965" spans="1:13" ht="15" customHeight="1">
      <c r="A965" t="s">
        <v>17</v>
      </c>
      <c r="B965">
        <f t="shared" si="60"/>
        <v>33.704813000000001</v>
      </c>
      <c r="C965">
        <f t="shared" si="61"/>
        <v>-117.860034</v>
      </c>
      <c r="D965">
        <f t="shared" si="62"/>
        <v>45</v>
      </c>
      <c r="E965">
        <v>87.498999999999995</v>
      </c>
      <c r="F965">
        <f t="shared" si="63"/>
        <v>-42.498999999999995</v>
      </c>
      <c r="G965">
        <v>39.4</v>
      </c>
      <c r="H965">
        <v>1.39</v>
      </c>
      <c r="I965">
        <v>3.472</v>
      </c>
      <c r="J965">
        <v>5</v>
      </c>
      <c r="K965">
        <v>19</v>
      </c>
      <c r="L965">
        <v>10</v>
      </c>
      <c r="M965">
        <v>2.306</v>
      </c>
    </row>
    <row r="966" spans="1:13" ht="15" customHeight="1">
      <c r="A966" t="s">
        <v>17</v>
      </c>
      <c r="B966">
        <f t="shared" si="60"/>
        <v>33.704813000000001</v>
      </c>
      <c r="C966">
        <f t="shared" si="61"/>
        <v>-117.860034</v>
      </c>
      <c r="D966">
        <f t="shared" si="62"/>
        <v>45</v>
      </c>
      <c r="E966">
        <v>88.498999999999995</v>
      </c>
      <c r="F966">
        <f t="shared" si="63"/>
        <v>-43.498999999999995</v>
      </c>
      <c r="G966">
        <v>43.633000000000003</v>
      </c>
      <c r="H966">
        <v>1.3180000000000001</v>
      </c>
      <c r="I966">
        <v>2.9769999999999999</v>
      </c>
      <c r="J966">
        <v>6</v>
      </c>
      <c r="K966">
        <v>17</v>
      </c>
      <c r="L966">
        <v>9</v>
      </c>
      <c r="M966">
        <v>2.585</v>
      </c>
    </row>
    <row r="967" spans="1:13" ht="15" customHeight="1">
      <c r="A967" t="s">
        <v>17</v>
      </c>
      <c r="B967">
        <f t="shared" si="60"/>
        <v>33.704813000000001</v>
      </c>
      <c r="C967">
        <f t="shared" si="61"/>
        <v>-117.860034</v>
      </c>
      <c r="D967">
        <f t="shared" si="62"/>
        <v>45</v>
      </c>
      <c r="E967">
        <v>89.498999999999995</v>
      </c>
      <c r="F967">
        <f t="shared" si="63"/>
        <v>-44.498999999999995</v>
      </c>
      <c r="G967">
        <v>49.383000000000003</v>
      </c>
      <c r="H967">
        <v>1.72</v>
      </c>
      <c r="I967">
        <v>3.3690000000000002</v>
      </c>
      <c r="J967">
        <v>5</v>
      </c>
      <c r="K967">
        <v>24</v>
      </c>
      <c r="L967">
        <v>12</v>
      </c>
      <c r="M967">
        <v>3.032</v>
      </c>
    </row>
    <row r="968" spans="1:13" ht="15" customHeight="1">
      <c r="A968" t="s">
        <v>17</v>
      </c>
      <c r="B968">
        <f t="shared" si="60"/>
        <v>33.704813000000001</v>
      </c>
      <c r="C968">
        <f t="shared" si="61"/>
        <v>-117.860034</v>
      </c>
      <c r="D968">
        <f t="shared" si="62"/>
        <v>45</v>
      </c>
      <c r="E968">
        <v>90.498999999999995</v>
      </c>
      <c r="F968">
        <f t="shared" si="63"/>
        <v>-45.498999999999995</v>
      </c>
      <c r="G968">
        <v>103.9</v>
      </c>
      <c r="H968">
        <v>3.32</v>
      </c>
      <c r="I968">
        <v>3.1930000000000001</v>
      </c>
      <c r="J968">
        <v>6</v>
      </c>
      <c r="K968">
        <v>40</v>
      </c>
      <c r="L968">
        <v>20</v>
      </c>
      <c r="M968">
        <v>6.5549999999999997</v>
      </c>
    </row>
    <row r="969" spans="1:13" ht="15" customHeight="1">
      <c r="A969" t="s">
        <v>17</v>
      </c>
      <c r="B969">
        <f t="shared" si="60"/>
        <v>33.704813000000001</v>
      </c>
      <c r="C969">
        <f t="shared" si="61"/>
        <v>-117.860034</v>
      </c>
      <c r="D969">
        <f t="shared" si="62"/>
        <v>45</v>
      </c>
      <c r="E969">
        <v>91.498999999999995</v>
      </c>
      <c r="F969">
        <f t="shared" si="63"/>
        <v>-46.498999999999995</v>
      </c>
      <c r="G969">
        <v>175.3</v>
      </c>
      <c r="H969">
        <v>2.17</v>
      </c>
      <c r="I969">
        <v>1.2390000000000001</v>
      </c>
      <c r="J969">
        <v>8</v>
      </c>
      <c r="K969">
        <v>42</v>
      </c>
      <c r="L969">
        <v>21</v>
      </c>
      <c r="M969" s="1">
        <v>9000000000</v>
      </c>
    </row>
    <row r="970" spans="1:13" ht="15" customHeight="1">
      <c r="A970" t="s">
        <v>17</v>
      </c>
      <c r="B970">
        <f t="shared" si="60"/>
        <v>33.704813000000001</v>
      </c>
      <c r="C970">
        <f t="shared" si="61"/>
        <v>-117.860034</v>
      </c>
      <c r="D970">
        <f t="shared" si="62"/>
        <v>45</v>
      </c>
      <c r="E970">
        <v>92.498999999999995</v>
      </c>
      <c r="F970">
        <f t="shared" si="63"/>
        <v>-47.498999999999995</v>
      </c>
      <c r="G970">
        <v>487.3</v>
      </c>
      <c r="H970">
        <v>1.73</v>
      </c>
      <c r="I970">
        <v>0.35499999999999998</v>
      </c>
      <c r="J970">
        <v>10</v>
      </c>
      <c r="K970">
        <v>78</v>
      </c>
      <c r="L970">
        <v>39</v>
      </c>
      <c r="M970" s="1">
        <v>9000000000</v>
      </c>
    </row>
    <row r="971" spans="1:13" ht="15" customHeight="1">
      <c r="A971" t="s">
        <v>17</v>
      </c>
      <c r="B971">
        <f t="shared" si="60"/>
        <v>33.704813000000001</v>
      </c>
      <c r="C971">
        <f t="shared" si="61"/>
        <v>-117.860034</v>
      </c>
      <c r="D971">
        <f t="shared" si="62"/>
        <v>45</v>
      </c>
      <c r="E971">
        <v>93.498999999999995</v>
      </c>
      <c r="F971">
        <f t="shared" si="63"/>
        <v>-48.498999999999995</v>
      </c>
      <c r="G971">
        <v>467.6</v>
      </c>
      <c r="H971">
        <v>2.581</v>
      </c>
      <c r="I971">
        <v>0.55200000000000005</v>
      </c>
      <c r="J971">
        <v>10</v>
      </c>
      <c r="K971">
        <v>75</v>
      </c>
      <c r="L971">
        <v>38</v>
      </c>
      <c r="M971" s="1">
        <v>9000000000</v>
      </c>
    </row>
    <row r="972" spans="1:13" ht="15" customHeight="1">
      <c r="A972" t="s">
        <v>17</v>
      </c>
      <c r="B972">
        <f t="shared" si="60"/>
        <v>33.704813000000001</v>
      </c>
      <c r="C972">
        <f t="shared" si="61"/>
        <v>-117.860034</v>
      </c>
      <c r="D972">
        <f t="shared" si="62"/>
        <v>45</v>
      </c>
      <c r="E972">
        <v>94.498999999999995</v>
      </c>
      <c r="F972">
        <f t="shared" si="63"/>
        <v>-49.498999999999995</v>
      </c>
      <c r="G972">
        <v>406.9</v>
      </c>
      <c r="H972">
        <v>2.4300000000000002</v>
      </c>
      <c r="I972">
        <v>0.59599999999999997</v>
      </c>
      <c r="J972">
        <v>10</v>
      </c>
      <c r="K972">
        <v>65</v>
      </c>
      <c r="L972">
        <v>33</v>
      </c>
      <c r="M972" s="1">
        <v>9000000000</v>
      </c>
    </row>
    <row r="973" spans="1:13" ht="15" customHeight="1">
      <c r="A973" t="s">
        <v>17</v>
      </c>
      <c r="B973">
        <f t="shared" si="60"/>
        <v>33.704813000000001</v>
      </c>
      <c r="C973">
        <f t="shared" si="61"/>
        <v>-117.860034</v>
      </c>
      <c r="D973">
        <f t="shared" si="62"/>
        <v>45</v>
      </c>
      <c r="E973">
        <v>95.498999999999995</v>
      </c>
      <c r="F973">
        <f t="shared" si="63"/>
        <v>-50.498999999999995</v>
      </c>
      <c r="G973">
        <v>244.017</v>
      </c>
      <c r="H973">
        <v>2.19</v>
      </c>
      <c r="I973">
        <v>0.89700000000000002</v>
      </c>
      <c r="J973">
        <v>9</v>
      </c>
      <c r="K973">
        <v>47</v>
      </c>
      <c r="L973">
        <v>24</v>
      </c>
      <c r="M973" s="1">
        <v>9000000000</v>
      </c>
    </row>
    <row r="974" spans="1:13" ht="15" customHeight="1">
      <c r="A974" t="s">
        <v>17</v>
      </c>
      <c r="B974">
        <f t="shared" si="60"/>
        <v>33.704813000000001</v>
      </c>
      <c r="C974">
        <f t="shared" si="61"/>
        <v>-117.860034</v>
      </c>
      <c r="D974">
        <f t="shared" si="62"/>
        <v>45</v>
      </c>
      <c r="E974">
        <v>96.498999999999995</v>
      </c>
      <c r="F974">
        <f t="shared" si="63"/>
        <v>-51.498999999999995</v>
      </c>
      <c r="G974">
        <v>49.366999999999997</v>
      </c>
      <c r="H974">
        <v>0.98</v>
      </c>
      <c r="I974">
        <v>1.968</v>
      </c>
      <c r="J974">
        <v>7</v>
      </c>
      <c r="K974">
        <v>16</v>
      </c>
      <c r="L974">
        <v>8</v>
      </c>
      <c r="M974" s="1">
        <v>9000000000</v>
      </c>
    </row>
    <row r="975" spans="1:13" ht="15" customHeight="1">
      <c r="A975" t="s">
        <v>17</v>
      </c>
      <c r="B975">
        <f t="shared" si="60"/>
        <v>33.704813000000001</v>
      </c>
      <c r="C975">
        <f t="shared" si="61"/>
        <v>-117.860034</v>
      </c>
      <c r="D975">
        <f t="shared" si="62"/>
        <v>45</v>
      </c>
      <c r="E975">
        <v>97.498999999999995</v>
      </c>
      <c r="F975">
        <f t="shared" si="63"/>
        <v>-52.498999999999995</v>
      </c>
      <c r="G975">
        <v>42.45</v>
      </c>
      <c r="H975">
        <v>1.08</v>
      </c>
      <c r="I975">
        <v>2.4449999999999998</v>
      </c>
      <c r="J975">
        <v>6</v>
      </c>
      <c r="K975">
        <v>17</v>
      </c>
      <c r="L975">
        <v>9</v>
      </c>
      <c r="M975">
        <v>2.5390000000000001</v>
      </c>
    </row>
    <row r="976" spans="1:13" ht="15" customHeight="1">
      <c r="A976" t="s">
        <v>17</v>
      </c>
      <c r="B976">
        <f t="shared" si="60"/>
        <v>33.704813000000001</v>
      </c>
      <c r="C976">
        <f t="shared" si="61"/>
        <v>-117.860034</v>
      </c>
      <c r="D976">
        <f t="shared" si="62"/>
        <v>45</v>
      </c>
      <c r="E976">
        <v>98.498999999999995</v>
      </c>
      <c r="F976">
        <f t="shared" si="63"/>
        <v>-53.498999999999995</v>
      </c>
      <c r="G976">
        <v>72.516999999999996</v>
      </c>
      <c r="H976">
        <v>3.1419999999999999</v>
      </c>
      <c r="I976">
        <v>4.298</v>
      </c>
      <c r="J976">
        <v>5</v>
      </c>
      <c r="K976">
        <v>35</v>
      </c>
      <c r="L976">
        <v>18</v>
      </c>
      <c r="M976">
        <v>4.4640000000000004</v>
      </c>
    </row>
    <row r="977" spans="1:13" ht="15" customHeight="1">
      <c r="A977" t="s">
        <v>17</v>
      </c>
      <c r="B977">
        <f t="shared" si="60"/>
        <v>33.704813000000001</v>
      </c>
      <c r="C977">
        <f t="shared" si="61"/>
        <v>-117.860034</v>
      </c>
      <c r="D977">
        <f t="shared" si="62"/>
        <v>45</v>
      </c>
      <c r="E977">
        <v>99.498999999999995</v>
      </c>
      <c r="F977">
        <f t="shared" si="63"/>
        <v>-54.498999999999995</v>
      </c>
      <c r="G977">
        <v>141.63300000000001</v>
      </c>
      <c r="H977">
        <v>4.093</v>
      </c>
      <c r="I977">
        <v>2.8929999999999998</v>
      </c>
      <c r="J977">
        <v>6</v>
      </c>
      <c r="K977">
        <v>54</v>
      </c>
      <c r="L977">
        <v>27</v>
      </c>
      <c r="M977">
        <v>9.0180000000000007</v>
      </c>
    </row>
    <row r="978" spans="1:13" ht="15" customHeight="1">
      <c r="A978" t="s">
        <v>17</v>
      </c>
      <c r="B978">
        <f t="shared" si="60"/>
        <v>33.704813000000001</v>
      </c>
      <c r="C978">
        <f t="shared" si="61"/>
        <v>-117.860034</v>
      </c>
      <c r="D978">
        <f t="shared" si="62"/>
        <v>45</v>
      </c>
      <c r="E978">
        <v>100.499</v>
      </c>
      <c r="F978">
        <f t="shared" si="63"/>
        <v>-55.498999999999995</v>
      </c>
      <c r="G978">
        <v>293.64999999999998</v>
      </c>
      <c r="H978">
        <v>1.3149999999999999</v>
      </c>
      <c r="I978">
        <v>0.44800000000000001</v>
      </c>
      <c r="J978">
        <v>10</v>
      </c>
      <c r="K978">
        <v>47</v>
      </c>
      <c r="L978">
        <v>24</v>
      </c>
      <c r="M978" s="1">
        <v>9000000000</v>
      </c>
    </row>
    <row r="979" spans="1:13" ht="15" customHeight="1">
      <c r="A979" t="s">
        <v>17</v>
      </c>
      <c r="B979">
        <f t="shared" si="60"/>
        <v>33.704813000000001</v>
      </c>
      <c r="C979">
        <f t="shared" si="61"/>
        <v>-117.860034</v>
      </c>
      <c r="D979">
        <f t="shared" si="62"/>
        <v>45</v>
      </c>
      <c r="E979">
        <v>101.499</v>
      </c>
      <c r="F979">
        <f t="shared" si="63"/>
        <v>-56.498999999999995</v>
      </c>
      <c r="G979">
        <v>396.16699999999997</v>
      </c>
      <c r="H979">
        <v>1.4970000000000001</v>
      </c>
      <c r="I979">
        <v>0.378</v>
      </c>
      <c r="J979">
        <v>10</v>
      </c>
      <c r="K979">
        <v>63</v>
      </c>
      <c r="L979">
        <v>32</v>
      </c>
      <c r="M979" s="1">
        <v>9000000000</v>
      </c>
    </row>
    <row r="980" spans="1:13" ht="15" customHeight="1">
      <c r="A980" t="s">
        <v>17</v>
      </c>
      <c r="B980">
        <f t="shared" si="60"/>
        <v>33.704813000000001</v>
      </c>
      <c r="C980">
        <f t="shared" si="61"/>
        <v>-117.860034</v>
      </c>
      <c r="D980">
        <f t="shared" si="62"/>
        <v>45</v>
      </c>
      <c r="E980">
        <v>102.499</v>
      </c>
      <c r="F980">
        <f t="shared" si="63"/>
        <v>-57.498999999999995</v>
      </c>
      <c r="G980">
        <v>413.58300000000003</v>
      </c>
      <c r="H980">
        <v>1.917</v>
      </c>
      <c r="I980">
        <v>0.46300000000000002</v>
      </c>
      <c r="J980">
        <v>10</v>
      </c>
      <c r="K980">
        <v>66</v>
      </c>
      <c r="L980">
        <v>33</v>
      </c>
      <c r="M980" s="1">
        <v>9000000000</v>
      </c>
    </row>
    <row r="981" spans="1:13" ht="15" customHeight="1">
      <c r="A981" t="s">
        <v>17</v>
      </c>
      <c r="B981">
        <f t="shared" si="60"/>
        <v>33.704813000000001</v>
      </c>
      <c r="C981">
        <f t="shared" si="61"/>
        <v>-117.860034</v>
      </c>
      <c r="D981">
        <f t="shared" si="62"/>
        <v>45</v>
      </c>
      <c r="E981">
        <v>103.499</v>
      </c>
      <c r="F981">
        <f t="shared" si="63"/>
        <v>-58.498999999999995</v>
      </c>
      <c r="G981">
        <v>396.85</v>
      </c>
      <c r="H981">
        <v>2.448</v>
      </c>
      <c r="I981">
        <v>0.61699999999999999</v>
      </c>
      <c r="J981">
        <v>10</v>
      </c>
      <c r="K981">
        <v>63</v>
      </c>
      <c r="L981">
        <v>32</v>
      </c>
      <c r="M981" s="1">
        <v>9000000000</v>
      </c>
    </row>
    <row r="982" spans="1:13" ht="15" customHeight="1">
      <c r="A982" t="s">
        <v>17</v>
      </c>
      <c r="B982">
        <f t="shared" si="60"/>
        <v>33.704813000000001</v>
      </c>
      <c r="C982">
        <f t="shared" si="61"/>
        <v>-117.860034</v>
      </c>
      <c r="D982">
        <f t="shared" si="62"/>
        <v>45</v>
      </c>
      <c r="E982">
        <v>104.499</v>
      </c>
      <c r="F982">
        <f t="shared" si="63"/>
        <v>-59.498999999999995</v>
      </c>
      <c r="G982">
        <v>417.65699999999998</v>
      </c>
      <c r="H982">
        <v>2.871</v>
      </c>
      <c r="I982">
        <v>0.68700000000000006</v>
      </c>
      <c r="J982">
        <v>10</v>
      </c>
      <c r="K982">
        <v>67</v>
      </c>
      <c r="L982">
        <v>34</v>
      </c>
      <c r="M982" s="1">
        <v>9000000000</v>
      </c>
    </row>
    <row r="983" spans="1:13" ht="15" customHeight="1">
      <c r="A983" t="s">
        <v>17</v>
      </c>
      <c r="B983">
        <f t="shared" si="60"/>
        <v>33.704813000000001</v>
      </c>
      <c r="C983">
        <f t="shared" si="61"/>
        <v>-117.860034</v>
      </c>
      <c r="D983">
        <f t="shared" si="62"/>
        <v>45</v>
      </c>
      <c r="E983">
        <v>105.499</v>
      </c>
      <c r="F983">
        <f t="shared" si="63"/>
        <v>-60.498999999999995</v>
      </c>
      <c r="G983">
        <v>440.53300000000002</v>
      </c>
      <c r="H983">
        <v>2.8029999999999999</v>
      </c>
      <c r="I983">
        <v>0.63600000000000001</v>
      </c>
      <c r="J983">
        <v>10</v>
      </c>
      <c r="K983">
        <v>70</v>
      </c>
      <c r="L983">
        <v>35</v>
      </c>
      <c r="M983" s="1">
        <v>9000000000</v>
      </c>
    </row>
    <row r="984" spans="1:13" ht="15" customHeight="1">
      <c r="A984" t="s">
        <v>17</v>
      </c>
      <c r="B984">
        <f t="shared" si="60"/>
        <v>33.704813000000001</v>
      </c>
      <c r="C984">
        <f t="shared" si="61"/>
        <v>-117.860034</v>
      </c>
      <c r="D984">
        <f t="shared" si="62"/>
        <v>45</v>
      </c>
      <c r="E984">
        <v>106.499</v>
      </c>
      <c r="F984">
        <f t="shared" si="63"/>
        <v>-61.498999999999995</v>
      </c>
      <c r="G984">
        <v>426.9</v>
      </c>
      <c r="H984">
        <v>3.31</v>
      </c>
      <c r="I984">
        <v>0.77400000000000002</v>
      </c>
      <c r="J984">
        <v>10</v>
      </c>
      <c r="K984">
        <v>68</v>
      </c>
      <c r="L984">
        <v>34</v>
      </c>
      <c r="M984" s="1">
        <v>9000000000</v>
      </c>
    </row>
    <row r="985" spans="1:13" ht="15" customHeight="1">
      <c r="A985" t="s">
        <v>18</v>
      </c>
      <c r="B985">
        <f t="shared" si="60"/>
        <v>33.703176999999997</v>
      </c>
      <c r="C985">
        <f t="shared" si="61"/>
        <v>-117.862573</v>
      </c>
      <c r="D985">
        <f t="shared" si="62"/>
        <v>46</v>
      </c>
      <c r="E985">
        <v>0.5</v>
      </c>
      <c r="F985">
        <f t="shared" si="63"/>
        <v>45.5</v>
      </c>
      <c r="G985">
        <v>1.383</v>
      </c>
      <c r="H985">
        <v>8.0000000000000002E-3</v>
      </c>
      <c r="I985">
        <v>0.60199999999999998</v>
      </c>
      <c r="J985">
        <v>1</v>
      </c>
      <c r="K985">
        <v>1</v>
      </c>
      <c r="L985">
        <v>2</v>
      </c>
      <c r="M985">
        <v>9.0999999999999998E-2</v>
      </c>
    </row>
    <row r="986" spans="1:13" ht="15" customHeight="1">
      <c r="A986" t="s">
        <v>18</v>
      </c>
      <c r="B986">
        <f t="shared" si="60"/>
        <v>33.703176999999997</v>
      </c>
      <c r="C986">
        <f t="shared" si="61"/>
        <v>-117.862573</v>
      </c>
      <c r="D986">
        <f t="shared" si="62"/>
        <v>46</v>
      </c>
      <c r="E986">
        <v>1.5</v>
      </c>
      <c r="F986">
        <f t="shared" si="63"/>
        <v>44.5</v>
      </c>
      <c r="G986">
        <v>8.6999999999999993</v>
      </c>
      <c r="H986">
        <v>0.38500000000000001</v>
      </c>
      <c r="I986">
        <v>4.4169999999999998</v>
      </c>
      <c r="J986">
        <v>3</v>
      </c>
      <c r="K986">
        <v>8</v>
      </c>
      <c r="L986">
        <v>12</v>
      </c>
      <c r="M986">
        <v>0.57599999999999996</v>
      </c>
    </row>
    <row r="987" spans="1:13" ht="15" customHeight="1">
      <c r="A987" t="s">
        <v>18</v>
      </c>
      <c r="B987">
        <f t="shared" si="60"/>
        <v>33.703176999999997</v>
      </c>
      <c r="C987">
        <f t="shared" si="61"/>
        <v>-117.862573</v>
      </c>
      <c r="D987">
        <f t="shared" si="62"/>
        <v>46</v>
      </c>
      <c r="E987">
        <v>2.5</v>
      </c>
      <c r="F987">
        <f t="shared" si="63"/>
        <v>43.5</v>
      </c>
      <c r="G987">
        <v>16.817</v>
      </c>
      <c r="H987">
        <v>0.752</v>
      </c>
      <c r="I987">
        <v>4.4429999999999996</v>
      </c>
      <c r="J987">
        <v>3</v>
      </c>
      <c r="K987">
        <v>16</v>
      </c>
      <c r="L987">
        <v>24</v>
      </c>
      <c r="M987">
        <v>1.1180000000000001</v>
      </c>
    </row>
    <row r="988" spans="1:13" ht="15" customHeight="1">
      <c r="A988" t="s">
        <v>18</v>
      </c>
      <c r="B988">
        <f t="shared" si="60"/>
        <v>33.703176999999997</v>
      </c>
      <c r="C988">
        <f t="shared" si="61"/>
        <v>-117.862573</v>
      </c>
      <c r="D988">
        <f t="shared" si="62"/>
        <v>46</v>
      </c>
      <c r="E988">
        <v>3.5</v>
      </c>
      <c r="F988">
        <f t="shared" si="63"/>
        <v>42.5</v>
      </c>
      <c r="G988">
        <v>8.0670000000000002</v>
      </c>
      <c r="H988">
        <v>0.47299999999999998</v>
      </c>
      <c r="I988">
        <v>5.8559999999999999</v>
      </c>
      <c r="J988">
        <v>3</v>
      </c>
      <c r="K988">
        <v>8</v>
      </c>
      <c r="L988">
        <v>12</v>
      </c>
      <c r="M988">
        <v>0.52500000000000002</v>
      </c>
    </row>
    <row r="989" spans="1:13" ht="15" customHeight="1">
      <c r="A989" t="s">
        <v>18</v>
      </c>
      <c r="B989">
        <f t="shared" si="60"/>
        <v>33.703176999999997</v>
      </c>
      <c r="C989">
        <f t="shared" si="61"/>
        <v>-117.862573</v>
      </c>
      <c r="D989">
        <f t="shared" si="62"/>
        <v>46</v>
      </c>
      <c r="E989">
        <v>4.5</v>
      </c>
      <c r="F989">
        <f t="shared" si="63"/>
        <v>41.5</v>
      </c>
      <c r="G989">
        <v>7.1829999999999998</v>
      </c>
      <c r="H989">
        <v>0.29699999999999999</v>
      </c>
      <c r="I989">
        <v>4.13</v>
      </c>
      <c r="J989">
        <v>3</v>
      </c>
      <c r="K989">
        <v>7</v>
      </c>
      <c r="L989">
        <v>11</v>
      </c>
      <c r="M989">
        <v>0.46100000000000002</v>
      </c>
    </row>
    <row r="990" spans="1:13" ht="15" customHeight="1">
      <c r="A990" t="s">
        <v>18</v>
      </c>
      <c r="B990">
        <f t="shared" si="60"/>
        <v>33.703176999999997</v>
      </c>
      <c r="C990">
        <f t="shared" si="61"/>
        <v>-117.862573</v>
      </c>
      <c r="D990">
        <f t="shared" si="62"/>
        <v>46</v>
      </c>
      <c r="E990">
        <v>5.5</v>
      </c>
      <c r="F990">
        <f t="shared" si="63"/>
        <v>40.5</v>
      </c>
      <c r="G990">
        <v>9.3670000000000009</v>
      </c>
      <c r="H990">
        <v>0.42199999999999999</v>
      </c>
      <c r="I990">
        <v>4.5019999999999998</v>
      </c>
      <c r="J990">
        <v>3</v>
      </c>
      <c r="K990">
        <v>9</v>
      </c>
      <c r="L990">
        <v>14</v>
      </c>
      <c r="M990">
        <v>0.60299999999999998</v>
      </c>
    </row>
    <row r="991" spans="1:13" ht="15" customHeight="1">
      <c r="A991" t="s">
        <v>18</v>
      </c>
      <c r="B991">
        <f t="shared" si="60"/>
        <v>33.703176999999997</v>
      </c>
      <c r="C991">
        <f t="shared" si="61"/>
        <v>-117.862573</v>
      </c>
      <c r="D991">
        <f t="shared" si="62"/>
        <v>46</v>
      </c>
      <c r="E991">
        <v>6.5</v>
      </c>
      <c r="F991">
        <f t="shared" si="63"/>
        <v>39.5</v>
      </c>
      <c r="G991">
        <v>10.217000000000001</v>
      </c>
      <c r="H991">
        <v>0.5</v>
      </c>
      <c r="I991">
        <v>4.8780000000000001</v>
      </c>
      <c r="J991">
        <v>3</v>
      </c>
      <c r="K991">
        <v>10</v>
      </c>
      <c r="L991">
        <v>15</v>
      </c>
      <c r="M991">
        <v>0.65800000000000003</v>
      </c>
    </row>
    <row r="992" spans="1:13" ht="15" customHeight="1">
      <c r="A992" t="s">
        <v>18</v>
      </c>
      <c r="B992">
        <f t="shared" si="60"/>
        <v>33.703176999999997</v>
      </c>
      <c r="C992">
        <f t="shared" si="61"/>
        <v>-117.862573</v>
      </c>
      <c r="D992">
        <f t="shared" si="62"/>
        <v>46</v>
      </c>
      <c r="E992">
        <v>7.5</v>
      </c>
      <c r="F992">
        <f t="shared" si="63"/>
        <v>38.5</v>
      </c>
      <c r="G992">
        <v>8.8829999999999991</v>
      </c>
      <c r="H992">
        <v>0.47799999999999998</v>
      </c>
      <c r="I992">
        <v>5.375</v>
      </c>
      <c r="J992">
        <v>3</v>
      </c>
      <c r="K992">
        <v>9</v>
      </c>
      <c r="L992">
        <v>14</v>
      </c>
      <c r="M992">
        <v>0.56399999999999995</v>
      </c>
    </row>
    <row r="993" spans="1:13" ht="15" customHeight="1">
      <c r="A993" t="s">
        <v>18</v>
      </c>
      <c r="B993">
        <f t="shared" si="60"/>
        <v>33.703176999999997</v>
      </c>
      <c r="C993">
        <f t="shared" si="61"/>
        <v>-117.862573</v>
      </c>
      <c r="D993">
        <f t="shared" si="62"/>
        <v>46</v>
      </c>
      <c r="E993">
        <v>8.5</v>
      </c>
      <c r="F993">
        <f t="shared" si="63"/>
        <v>37.5</v>
      </c>
      <c r="G993">
        <v>11.65</v>
      </c>
      <c r="H993">
        <v>0.60299999999999998</v>
      </c>
      <c r="I993">
        <v>5.1790000000000003</v>
      </c>
      <c r="J993">
        <v>3</v>
      </c>
      <c r="K993">
        <v>11</v>
      </c>
      <c r="L993">
        <v>17</v>
      </c>
      <c r="M993">
        <v>0.74299999999999999</v>
      </c>
    </row>
    <row r="994" spans="1:13" ht="15" customHeight="1">
      <c r="A994" t="s">
        <v>18</v>
      </c>
      <c r="B994">
        <f t="shared" si="60"/>
        <v>33.703176999999997</v>
      </c>
      <c r="C994">
        <f t="shared" si="61"/>
        <v>-117.862573</v>
      </c>
      <c r="D994">
        <f t="shared" si="62"/>
        <v>46</v>
      </c>
      <c r="E994">
        <v>9.5</v>
      </c>
      <c r="F994">
        <f t="shared" si="63"/>
        <v>36.5</v>
      </c>
      <c r="G994">
        <v>15.65</v>
      </c>
      <c r="H994">
        <v>0.86</v>
      </c>
      <c r="I994">
        <v>5.4660000000000002</v>
      </c>
      <c r="J994">
        <v>3</v>
      </c>
      <c r="K994">
        <v>15</v>
      </c>
      <c r="L994">
        <v>23</v>
      </c>
      <c r="M994">
        <v>1.0109999999999999</v>
      </c>
    </row>
    <row r="995" spans="1:13" ht="15" customHeight="1">
      <c r="A995" t="s">
        <v>18</v>
      </c>
      <c r="B995">
        <f t="shared" si="60"/>
        <v>33.703176999999997</v>
      </c>
      <c r="C995">
        <f t="shared" si="61"/>
        <v>-117.862573</v>
      </c>
      <c r="D995">
        <f t="shared" si="62"/>
        <v>46</v>
      </c>
      <c r="E995">
        <v>10.5</v>
      </c>
      <c r="F995">
        <f t="shared" si="63"/>
        <v>35.5</v>
      </c>
      <c r="G995">
        <v>13.5</v>
      </c>
      <c r="H995">
        <v>0.76</v>
      </c>
      <c r="I995">
        <v>5.6120000000000001</v>
      </c>
      <c r="J995">
        <v>3</v>
      </c>
      <c r="K995">
        <v>13</v>
      </c>
      <c r="L995">
        <v>19</v>
      </c>
      <c r="M995">
        <v>0.86099999999999999</v>
      </c>
    </row>
    <row r="996" spans="1:13" ht="15" customHeight="1">
      <c r="A996" t="s">
        <v>18</v>
      </c>
      <c r="B996">
        <f t="shared" si="60"/>
        <v>33.703176999999997</v>
      </c>
      <c r="C996">
        <f t="shared" si="61"/>
        <v>-117.862573</v>
      </c>
      <c r="D996">
        <f t="shared" si="62"/>
        <v>46</v>
      </c>
      <c r="E996">
        <v>11.5</v>
      </c>
      <c r="F996">
        <f t="shared" si="63"/>
        <v>34.5</v>
      </c>
      <c r="G996">
        <v>11.083</v>
      </c>
      <c r="H996">
        <v>0.59199999999999997</v>
      </c>
      <c r="I996">
        <v>5.3220000000000001</v>
      </c>
      <c r="J996">
        <v>3</v>
      </c>
      <c r="K996">
        <v>11</v>
      </c>
      <c r="L996">
        <v>15</v>
      </c>
      <c r="M996">
        <v>0.69499999999999995</v>
      </c>
    </row>
    <row r="997" spans="1:13" ht="15" customHeight="1">
      <c r="A997" t="s">
        <v>18</v>
      </c>
      <c r="B997">
        <f t="shared" si="60"/>
        <v>33.703176999999997</v>
      </c>
      <c r="C997">
        <f t="shared" si="61"/>
        <v>-117.862573</v>
      </c>
      <c r="D997">
        <f t="shared" si="62"/>
        <v>46</v>
      </c>
      <c r="E997">
        <v>12.5</v>
      </c>
      <c r="F997">
        <f t="shared" si="63"/>
        <v>33.5</v>
      </c>
      <c r="G997">
        <v>12.117000000000001</v>
      </c>
      <c r="H997">
        <v>0.49</v>
      </c>
      <c r="I997">
        <v>4.0380000000000003</v>
      </c>
      <c r="J997">
        <v>3</v>
      </c>
      <c r="K997">
        <v>12</v>
      </c>
      <c r="L997">
        <v>15</v>
      </c>
      <c r="M997">
        <v>0.75900000000000001</v>
      </c>
    </row>
    <row r="998" spans="1:13" ht="15" customHeight="1">
      <c r="A998" t="s">
        <v>18</v>
      </c>
      <c r="B998">
        <f t="shared" si="60"/>
        <v>33.703176999999997</v>
      </c>
      <c r="C998">
        <f t="shared" si="61"/>
        <v>-117.862573</v>
      </c>
      <c r="D998">
        <f t="shared" si="62"/>
        <v>46</v>
      </c>
      <c r="E998">
        <v>13.5</v>
      </c>
      <c r="F998">
        <f t="shared" si="63"/>
        <v>32.5</v>
      </c>
      <c r="G998">
        <v>12.95</v>
      </c>
      <c r="H998">
        <v>0.59299999999999997</v>
      </c>
      <c r="I998">
        <v>4.57</v>
      </c>
      <c r="J998">
        <v>3</v>
      </c>
      <c r="K998">
        <v>12</v>
      </c>
      <c r="L998">
        <v>14</v>
      </c>
      <c r="M998">
        <v>0.81100000000000005</v>
      </c>
    </row>
    <row r="999" spans="1:13" ht="15" customHeight="1">
      <c r="A999" t="s">
        <v>18</v>
      </c>
      <c r="B999">
        <f t="shared" si="60"/>
        <v>33.703176999999997</v>
      </c>
      <c r="C999">
        <f t="shared" si="61"/>
        <v>-117.862573</v>
      </c>
      <c r="D999">
        <f t="shared" si="62"/>
        <v>46</v>
      </c>
      <c r="E999">
        <v>14.5</v>
      </c>
      <c r="F999">
        <f t="shared" si="63"/>
        <v>31.5</v>
      </c>
      <c r="G999">
        <v>11.933</v>
      </c>
      <c r="H999">
        <v>0.52</v>
      </c>
      <c r="I999">
        <v>4.327</v>
      </c>
      <c r="J999">
        <v>3</v>
      </c>
      <c r="K999">
        <v>12</v>
      </c>
      <c r="L999">
        <v>13</v>
      </c>
      <c r="M999">
        <v>0.74299999999999999</v>
      </c>
    </row>
    <row r="1000" spans="1:13" ht="15" customHeight="1">
      <c r="A1000" t="s">
        <v>18</v>
      </c>
      <c r="B1000">
        <f t="shared" si="60"/>
        <v>33.703176999999997</v>
      </c>
      <c r="C1000">
        <f t="shared" si="61"/>
        <v>-117.862573</v>
      </c>
      <c r="D1000">
        <f t="shared" si="62"/>
        <v>46</v>
      </c>
      <c r="E1000">
        <v>15.5</v>
      </c>
      <c r="F1000">
        <f t="shared" si="63"/>
        <v>30.5</v>
      </c>
      <c r="G1000">
        <v>10.167</v>
      </c>
      <c r="H1000">
        <v>0.40799999999999997</v>
      </c>
      <c r="I1000">
        <v>3.984</v>
      </c>
      <c r="J1000">
        <v>3</v>
      </c>
      <c r="K1000">
        <v>10</v>
      </c>
      <c r="L1000">
        <v>10</v>
      </c>
      <c r="M1000">
        <v>0.621</v>
      </c>
    </row>
    <row r="1001" spans="1:13" ht="15" customHeight="1">
      <c r="A1001" t="s">
        <v>18</v>
      </c>
      <c r="B1001">
        <f t="shared" si="60"/>
        <v>33.703176999999997</v>
      </c>
      <c r="C1001">
        <f t="shared" si="61"/>
        <v>-117.862573</v>
      </c>
      <c r="D1001">
        <f t="shared" si="62"/>
        <v>46</v>
      </c>
      <c r="E1001">
        <v>16.5</v>
      </c>
      <c r="F1001">
        <f t="shared" si="63"/>
        <v>29.5</v>
      </c>
      <c r="G1001">
        <v>9.9169999999999998</v>
      </c>
      <c r="H1001">
        <v>0.35499999999999998</v>
      </c>
      <c r="I1001">
        <v>3.55</v>
      </c>
      <c r="J1001">
        <v>3</v>
      </c>
      <c r="K1001">
        <v>10</v>
      </c>
      <c r="L1001">
        <v>10</v>
      </c>
      <c r="M1001">
        <v>0.6</v>
      </c>
    </row>
    <row r="1002" spans="1:13" ht="15" customHeight="1">
      <c r="A1002" t="s">
        <v>18</v>
      </c>
      <c r="B1002">
        <f t="shared" si="60"/>
        <v>33.703176999999997</v>
      </c>
      <c r="C1002">
        <f t="shared" si="61"/>
        <v>-117.862573</v>
      </c>
      <c r="D1002">
        <f t="shared" si="62"/>
        <v>46</v>
      </c>
      <c r="E1002">
        <v>17.5</v>
      </c>
      <c r="F1002">
        <f t="shared" si="63"/>
        <v>28.5</v>
      </c>
      <c r="G1002">
        <v>18.332999999999998</v>
      </c>
      <c r="H1002">
        <v>0.26</v>
      </c>
      <c r="I1002">
        <v>1.4179999999999999</v>
      </c>
      <c r="J1002">
        <v>6</v>
      </c>
      <c r="K1002">
        <v>7</v>
      </c>
      <c r="L1002">
        <v>7</v>
      </c>
      <c r="M1002">
        <v>1.1519999999999999</v>
      </c>
    </row>
    <row r="1003" spans="1:13" ht="15" customHeight="1">
      <c r="A1003" t="s">
        <v>18</v>
      </c>
      <c r="B1003">
        <f t="shared" si="60"/>
        <v>33.703176999999997</v>
      </c>
      <c r="C1003">
        <f t="shared" si="61"/>
        <v>-117.862573</v>
      </c>
      <c r="D1003">
        <f t="shared" si="62"/>
        <v>46</v>
      </c>
      <c r="E1003">
        <v>18.5</v>
      </c>
      <c r="F1003">
        <f t="shared" si="63"/>
        <v>27.5</v>
      </c>
      <c r="G1003">
        <v>8.4670000000000005</v>
      </c>
      <c r="H1003">
        <v>0.18</v>
      </c>
      <c r="I1003">
        <v>2.1389999999999998</v>
      </c>
      <c r="J1003">
        <v>4</v>
      </c>
      <c r="K1003">
        <v>5</v>
      </c>
      <c r="L1003">
        <v>5</v>
      </c>
      <c r="M1003">
        <v>0.48599999999999999</v>
      </c>
    </row>
    <row r="1004" spans="1:13" ht="15" customHeight="1">
      <c r="A1004" t="s">
        <v>18</v>
      </c>
      <c r="B1004">
        <f t="shared" si="60"/>
        <v>33.703176999999997</v>
      </c>
      <c r="C1004">
        <f t="shared" si="61"/>
        <v>-117.862573</v>
      </c>
      <c r="D1004">
        <f t="shared" si="62"/>
        <v>46</v>
      </c>
      <c r="E1004">
        <v>19.5</v>
      </c>
      <c r="F1004">
        <f t="shared" si="63"/>
        <v>26.5</v>
      </c>
      <c r="G1004">
        <v>8.4499999999999993</v>
      </c>
      <c r="H1004">
        <v>0.23699999999999999</v>
      </c>
      <c r="I1004">
        <v>2.7839999999999998</v>
      </c>
      <c r="J1004">
        <v>4</v>
      </c>
      <c r="K1004">
        <v>5</v>
      </c>
      <c r="L1004">
        <v>4</v>
      </c>
      <c r="M1004">
        <v>0.48799999999999999</v>
      </c>
    </row>
    <row r="1005" spans="1:13" ht="15" customHeight="1">
      <c r="A1005" t="s">
        <v>18</v>
      </c>
      <c r="B1005">
        <f t="shared" si="60"/>
        <v>33.703176999999997</v>
      </c>
      <c r="C1005">
        <f t="shared" si="61"/>
        <v>-117.862573</v>
      </c>
      <c r="D1005">
        <f t="shared" si="62"/>
        <v>46</v>
      </c>
      <c r="E1005">
        <v>20.5</v>
      </c>
      <c r="F1005">
        <f t="shared" si="63"/>
        <v>25.5</v>
      </c>
      <c r="G1005">
        <v>13.157</v>
      </c>
      <c r="H1005">
        <v>0.32600000000000001</v>
      </c>
      <c r="I1005">
        <v>2.4620000000000002</v>
      </c>
      <c r="J1005">
        <v>5</v>
      </c>
      <c r="K1005">
        <v>6</v>
      </c>
      <c r="L1005">
        <v>5</v>
      </c>
      <c r="M1005">
        <v>0.79900000000000004</v>
      </c>
    </row>
    <row r="1006" spans="1:13" ht="15" customHeight="1">
      <c r="A1006" t="s">
        <v>18</v>
      </c>
      <c r="B1006">
        <f t="shared" si="60"/>
        <v>33.703176999999997</v>
      </c>
      <c r="C1006">
        <f t="shared" si="61"/>
        <v>-117.862573</v>
      </c>
      <c r="D1006">
        <f t="shared" si="62"/>
        <v>46</v>
      </c>
      <c r="E1006">
        <v>21.5</v>
      </c>
      <c r="F1006">
        <f t="shared" si="63"/>
        <v>24.5</v>
      </c>
      <c r="G1006">
        <v>14.8</v>
      </c>
      <c r="H1006">
        <v>0.188</v>
      </c>
      <c r="I1006">
        <v>1.258</v>
      </c>
      <c r="J1006">
        <v>6</v>
      </c>
      <c r="K1006">
        <v>6</v>
      </c>
      <c r="L1006">
        <v>5</v>
      </c>
      <c r="M1006">
        <v>0.91100000000000003</v>
      </c>
    </row>
    <row r="1007" spans="1:13" ht="15" customHeight="1">
      <c r="A1007" t="s">
        <v>18</v>
      </c>
      <c r="B1007">
        <f t="shared" si="60"/>
        <v>33.703176999999997</v>
      </c>
      <c r="C1007">
        <f t="shared" si="61"/>
        <v>-117.862573</v>
      </c>
      <c r="D1007">
        <f t="shared" si="62"/>
        <v>46</v>
      </c>
      <c r="E1007">
        <v>22.5</v>
      </c>
      <c r="F1007">
        <f t="shared" si="63"/>
        <v>23.5</v>
      </c>
      <c r="G1007">
        <v>11.967000000000001</v>
      </c>
      <c r="H1007">
        <v>0.12</v>
      </c>
      <c r="I1007">
        <v>0.98599999999999999</v>
      </c>
      <c r="J1007">
        <v>6</v>
      </c>
      <c r="K1007">
        <v>5</v>
      </c>
      <c r="L1007">
        <v>4</v>
      </c>
      <c r="M1007">
        <v>0.72</v>
      </c>
    </row>
    <row r="1008" spans="1:13" ht="15" customHeight="1">
      <c r="A1008" t="s">
        <v>18</v>
      </c>
      <c r="B1008">
        <f t="shared" si="60"/>
        <v>33.703176999999997</v>
      </c>
      <c r="C1008">
        <f t="shared" si="61"/>
        <v>-117.862573</v>
      </c>
      <c r="D1008">
        <f t="shared" si="62"/>
        <v>46</v>
      </c>
      <c r="E1008">
        <v>23.5</v>
      </c>
      <c r="F1008">
        <f t="shared" si="63"/>
        <v>22.5</v>
      </c>
      <c r="G1008">
        <v>17.117000000000001</v>
      </c>
      <c r="H1008">
        <v>0.17699999999999999</v>
      </c>
      <c r="I1008">
        <v>1.01</v>
      </c>
      <c r="J1008">
        <v>6</v>
      </c>
      <c r="K1008">
        <v>7</v>
      </c>
      <c r="L1008">
        <v>5</v>
      </c>
      <c r="M1008">
        <v>1.071</v>
      </c>
    </row>
    <row r="1009" spans="1:13" ht="15" customHeight="1">
      <c r="A1009" t="s">
        <v>18</v>
      </c>
      <c r="B1009">
        <f t="shared" si="60"/>
        <v>33.703176999999997</v>
      </c>
      <c r="C1009">
        <f t="shared" si="61"/>
        <v>-117.862573</v>
      </c>
      <c r="D1009">
        <f t="shared" si="62"/>
        <v>46</v>
      </c>
      <c r="E1009">
        <v>24.5</v>
      </c>
      <c r="F1009">
        <f t="shared" si="63"/>
        <v>21.5</v>
      </c>
      <c r="G1009">
        <v>61.567</v>
      </c>
      <c r="H1009">
        <v>1.7769999999999999</v>
      </c>
      <c r="I1009">
        <v>2.8780000000000001</v>
      </c>
      <c r="J1009">
        <v>6</v>
      </c>
      <c r="K1009">
        <v>24</v>
      </c>
      <c r="L1009">
        <v>18</v>
      </c>
      <c r="M1009">
        <v>4.0170000000000003</v>
      </c>
    </row>
    <row r="1010" spans="1:13" ht="15" customHeight="1">
      <c r="A1010" t="s">
        <v>18</v>
      </c>
      <c r="B1010">
        <f t="shared" si="60"/>
        <v>33.703176999999997</v>
      </c>
      <c r="C1010">
        <f t="shared" si="61"/>
        <v>-117.862573</v>
      </c>
      <c r="D1010">
        <f t="shared" si="62"/>
        <v>46</v>
      </c>
      <c r="E1010">
        <v>25.5</v>
      </c>
      <c r="F1010">
        <f t="shared" si="63"/>
        <v>20.5</v>
      </c>
      <c r="G1010">
        <v>189.95</v>
      </c>
      <c r="H1010">
        <v>2.3330000000000002</v>
      </c>
      <c r="I1010">
        <v>1.2290000000000001</v>
      </c>
      <c r="J1010">
        <v>8</v>
      </c>
      <c r="K1010">
        <v>45</v>
      </c>
      <c r="L1010">
        <v>32</v>
      </c>
      <c r="M1010" s="1">
        <v>9000000000</v>
      </c>
    </row>
    <row r="1011" spans="1:13" ht="15" customHeight="1">
      <c r="A1011" t="s">
        <v>18</v>
      </c>
      <c r="B1011">
        <f t="shared" si="60"/>
        <v>33.703176999999997</v>
      </c>
      <c r="C1011">
        <f t="shared" si="61"/>
        <v>-117.862573</v>
      </c>
      <c r="D1011">
        <f t="shared" si="62"/>
        <v>46</v>
      </c>
      <c r="E1011">
        <v>26.5</v>
      </c>
      <c r="F1011">
        <f t="shared" si="63"/>
        <v>19.5</v>
      </c>
      <c r="G1011">
        <v>249.667</v>
      </c>
      <c r="H1011">
        <v>1.75</v>
      </c>
      <c r="I1011">
        <v>0.70099999999999996</v>
      </c>
      <c r="J1011">
        <v>9</v>
      </c>
      <c r="K1011">
        <v>48</v>
      </c>
      <c r="L1011">
        <v>34</v>
      </c>
      <c r="M1011" s="1">
        <v>9000000000</v>
      </c>
    </row>
    <row r="1012" spans="1:13" ht="15" customHeight="1">
      <c r="A1012" t="s">
        <v>18</v>
      </c>
      <c r="B1012">
        <f t="shared" si="60"/>
        <v>33.703176999999997</v>
      </c>
      <c r="C1012">
        <f t="shared" si="61"/>
        <v>-117.862573</v>
      </c>
      <c r="D1012">
        <f t="shared" si="62"/>
        <v>46</v>
      </c>
      <c r="E1012">
        <v>27.5</v>
      </c>
      <c r="F1012">
        <f t="shared" si="63"/>
        <v>18.5</v>
      </c>
      <c r="G1012">
        <v>193.7</v>
      </c>
      <c r="H1012">
        <v>0.46700000000000003</v>
      </c>
      <c r="I1012">
        <v>0.24099999999999999</v>
      </c>
      <c r="J1012">
        <v>9</v>
      </c>
      <c r="K1012">
        <v>37</v>
      </c>
      <c r="L1012">
        <v>26</v>
      </c>
      <c r="M1012" s="1">
        <v>9000000000</v>
      </c>
    </row>
    <row r="1013" spans="1:13" ht="15" customHeight="1">
      <c r="A1013" t="s">
        <v>18</v>
      </c>
      <c r="B1013">
        <f t="shared" si="60"/>
        <v>33.703176999999997</v>
      </c>
      <c r="C1013">
        <f t="shared" si="61"/>
        <v>-117.862573</v>
      </c>
      <c r="D1013">
        <f t="shared" si="62"/>
        <v>46</v>
      </c>
      <c r="E1013">
        <v>28.5</v>
      </c>
      <c r="F1013">
        <f t="shared" si="63"/>
        <v>17.5</v>
      </c>
      <c r="G1013">
        <v>153.43299999999999</v>
      </c>
      <c r="H1013">
        <v>0.48799999999999999</v>
      </c>
      <c r="I1013">
        <v>0.31900000000000001</v>
      </c>
      <c r="J1013">
        <v>9</v>
      </c>
      <c r="K1013">
        <v>29</v>
      </c>
      <c r="L1013">
        <v>20</v>
      </c>
      <c r="M1013" s="1">
        <v>9000000000</v>
      </c>
    </row>
    <row r="1014" spans="1:13" ht="15" customHeight="1">
      <c r="A1014" t="s">
        <v>18</v>
      </c>
      <c r="B1014">
        <f t="shared" si="60"/>
        <v>33.703176999999997</v>
      </c>
      <c r="C1014">
        <f t="shared" si="61"/>
        <v>-117.862573</v>
      </c>
      <c r="D1014">
        <f t="shared" si="62"/>
        <v>46</v>
      </c>
      <c r="E1014">
        <v>29.5</v>
      </c>
      <c r="F1014">
        <f t="shared" si="63"/>
        <v>16.5</v>
      </c>
      <c r="G1014">
        <v>130.5</v>
      </c>
      <c r="H1014">
        <v>0.91700000000000004</v>
      </c>
      <c r="I1014">
        <v>0.70299999999999996</v>
      </c>
      <c r="J1014">
        <v>9</v>
      </c>
      <c r="K1014">
        <v>25</v>
      </c>
      <c r="L1014">
        <v>17</v>
      </c>
      <c r="M1014" s="1">
        <v>9000000000</v>
      </c>
    </row>
    <row r="1015" spans="1:13" ht="15" customHeight="1">
      <c r="A1015" t="s">
        <v>18</v>
      </c>
      <c r="B1015">
        <f t="shared" si="60"/>
        <v>33.703176999999997</v>
      </c>
      <c r="C1015">
        <f t="shared" si="61"/>
        <v>-117.862573</v>
      </c>
      <c r="D1015">
        <f t="shared" si="62"/>
        <v>46</v>
      </c>
      <c r="E1015">
        <v>30.5</v>
      </c>
      <c r="F1015">
        <f t="shared" si="63"/>
        <v>15.5</v>
      </c>
      <c r="G1015">
        <v>150.21700000000001</v>
      </c>
      <c r="H1015">
        <v>3.9470000000000001</v>
      </c>
      <c r="I1015">
        <v>2.6309999999999998</v>
      </c>
      <c r="J1015">
        <v>7</v>
      </c>
      <c r="K1015">
        <v>48</v>
      </c>
      <c r="L1015">
        <v>32</v>
      </c>
      <c r="M1015" s="1">
        <v>9000000000</v>
      </c>
    </row>
    <row r="1016" spans="1:13" ht="15" customHeight="1">
      <c r="A1016" t="s">
        <v>18</v>
      </c>
      <c r="B1016">
        <f t="shared" si="60"/>
        <v>33.703176999999997</v>
      </c>
      <c r="C1016">
        <f t="shared" si="61"/>
        <v>-117.862573</v>
      </c>
      <c r="D1016">
        <f t="shared" si="62"/>
        <v>46</v>
      </c>
      <c r="E1016">
        <v>31.5</v>
      </c>
      <c r="F1016">
        <f t="shared" si="63"/>
        <v>14.5</v>
      </c>
      <c r="G1016">
        <v>199.886</v>
      </c>
      <c r="H1016">
        <v>4.4740000000000002</v>
      </c>
      <c r="I1016">
        <v>2.2410000000000001</v>
      </c>
      <c r="J1016">
        <v>7</v>
      </c>
      <c r="K1016">
        <v>64</v>
      </c>
      <c r="L1016">
        <v>42</v>
      </c>
      <c r="M1016" s="1">
        <v>9000000000</v>
      </c>
    </row>
    <row r="1017" spans="1:13" ht="15" customHeight="1">
      <c r="A1017" t="s">
        <v>18</v>
      </c>
      <c r="B1017">
        <f t="shared" si="60"/>
        <v>33.703176999999997</v>
      </c>
      <c r="C1017">
        <f t="shared" si="61"/>
        <v>-117.862573</v>
      </c>
      <c r="D1017">
        <f t="shared" si="62"/>
        <v>46</v>
      </c>
      <c r="E1017">
        <v>32.5</v>
      </c>
      <c r="F1017">
        <f t="shared" si="63"/>
        <v>13.5</v>
      </c>
      <c r="G1017">
        <v>252.017</v>
      </c>
      <c r="H1017">
        <v>3.19</v>
      </c>
      <c r="I1017">
        <v>1.2669999999999999</v>
      </c>
      <c r="J1017">
        <v>9</v>
      </c>
      <c r="K1017">
        <v>48</v>
      </c>
      <c r="L1017">
        <v>31</v>
      </c>
      <c r="M1017" s="1">
        <v>9000000000</v>
      </c>
    </row>
    <row r="1018" spans="1:13" ht="15" customHeight="1">
      <c r="A1018" t="s">
        <v>18</v>
      </c>
      <c r="B1018">
        <f t="shared" si="60"/>
        <v>33.703176999999997</v>
      </c>
      <c r="C1018">
        <f t="shared" si="61"/>
        <v>-117.862573</v>
      </c>
      <c r="D1018">
        <f t="shared" si="62"/>
        <v>46</v>
      </c>
      <c r="E1018">
        <v>33.5</v>
      </c>
      <c r="F1018">
        <f t="shared" si="63"/>
        <v>12.5</v>
      </c>
      <c r="G1018">
        <v>270.2</v>
      </c>
      <c r="H1018">
        <v>0.96699999999999997</v>
      </c>
      <c r="I1018">
        <v>0.35799999999999998</v>
      </c>
      <c r="J1018">
        <v>10</v>
      </c>
      <c r="K1018">
        <v>43</v>
      </c>
      <c r="L1018">
        <v>28</v>
      </c>
      <c r="M1018" s="1">
        <v>9000000000</v>
      </c>
    </row>
    <row r="1019" spans="1:13" ht="15" customHeight="1">
      <c r="A1019" t="s">
        <v>18</v>
      </c>
      <c r="B1019">
        <f t="shared" si="60"/>
        <v>33.703176999999997</v>
      </c>
      <c r="C1019">
        <f t="shared" si="61"/>
        <v>-117.862573</v>
      </c>
      <c r="D1019">
        <f t="shared" si="62"/>
        <v>46</v>
      </c>
      <c r="E1019">
        <v>34.5</v>
      </c>
      <c r="F1019">
        <f t="shared" si="63"/>
        <v>11.5</v>
      </c>
      <c r="G1019">
        <v>293.03300000000002</v>
      </c>
      <c r="H1019">
        <v>0.88200000000000001</v>
      </c>
      <c r="I1019">
        <v>0.30099999999999999</v>
      </c>
      <c r="J1019">
        <v>10</v>
      </c>
      <c r="K1019">
        <v>47</v>
      </c>
      <c r="L1019">
        <v>30</v>
      </c>
      <c r="M1019" s="1">
        <v>9000000000</v>
      </c>
    </row>
    <row r="1020" spans="1:13" ht="15" customHeight="1">
      <c r="A1020" t="s">
        <v>18</v>
      </c>
      <c r="B1020">
        <f t="shared" si="60"/>
        <v>33.703176999999997</v>
      </c>
      <c r="C1020">
        <f t="shared" si="61"/>
        <v>-117.862573</v>
      </c>
      <c r="D1020">
        <f t="shared" si="62"/>
        <v>46</v>
      </c>
      <c r="E1020">
        <v>35.5</v>
      </c>
      <c r="F1020">
        <f t="shared" si="63"/>
        <v>10.5</v>
      </c>
      <c r="G1020">
        <v>273.25</v>
      </c>
      <c r="H1020">
        <v>0.79300000000000004</v>
      </c>
      <c r="I1020">
        <v>0.29099999999999998</v>
      </c>
      <c r="J1020">
        <v>10</v>
      </c>
      <c r="K1020">
        <v>44</v>
      </c>
      <c r="L1020">
        <v>27</v>
      </c>
      <c r="M1020" s="1">
        <v>9000000000</v>
      </c>
    </row>
    <row r="1021" spans="1:13" ht="15" customHeight="1">
      <c r="A1021" t="s">
        <v>18</v>
      </c>
      <c r="B1021">
        <f t="shared" si="60"/>
        <v>33.703176999999997</v>
      </c>
      <c r="C1021">
        <f t="shared" si="61"/>
        <v>-117.862573</v>
      </c>
      <c r="D1021">
        <f t="shared" si="62"/>
        <v>46</v>
      </c>
      <c r="E1021">
        <v>36.5</v>
      </c>
      <c r="F1021">
        <f t="shared" si="63"/>
        <v>9.5</v>
      </c>
      <c r="G1021">
        <v>189.63300000000001</v>
      </c>
      <c r="H1021">
        <v>1.1080000000000001</v>
      </c>
      <c r="I1021">
        <v>0.58499999999999996</v>
      </c>
      <c r="J1021">
        <v>9</v>
      </c>
      <c r="K1021">
        <v>36</v>
      </c>
      <c r="L1021">
        <v>22</v>
      </c>
      <c r="M1021" s="1">
        <v>9000000000</v>
      </c>
    </row>
    <row r="1022" spans="1:13" ht="15" customHeight="1">
      <c r="A1022" t="s">
        <v>18</v>
      </c>
      <c r="B1022">
        <f t="shared" si="60"/>
        <v>33.703176999999997</v>
      </c>
      <c r="C1022">
        <f t="shared" si="61"/>
        <v>-117.862573</v>
      </c>
      <c r="D1022">
        <f t="shared" si="62"/>
        <v>46</v>
      </c>
      <c r="E1022">
        <v>37.5</v>
      </c>
      <c r="F1022">
        <f t="shared" si="63"/>
        <v>8.5</v>
      </c>
      <c r="G1022">
        <v>141.017</v>
      </c>
      <c r="H1022">
        <v>3.97</v>
      </c>
      <c r="I1022">
        <v>2.819</v>
      </c>
      <c r="J1022">
        <v>7</v>
      </c>
      <c r="K1022">
        <v>45</v>
      </c>
      <c r="L1022">
        <v>27</v>
      </c>
      <c r="M1022" s="1">
        <v>9000000000</v>
      </c>
    </row>
    <row r="1023" spans="1:13" ht="15" customHeight="1">
      <c r="A1023" t="s">
        <v>18</v>
      </c>
      <c r="B1023">
        <f t="shared" si="60"/>
        <v>33.703176999999997</v>
      </c>
      <c r="C1023">
        <f t="shared" si="61"/>
        <v>-117.862573</v>
      </c>
      <c r="D1023">
        <f t="shared" si="62"/>
        <v>46</v>
      </c>
      <c r="E1023">
        <v>38.5</v>
      </c>
      <c r="F1023">
        <f t="shared" si="63"/>
        <v>7.5</v>
      </c>
      <c r="G1023">
        <v>92.3</v>
      </c>
      <c r="H1023">
        <v>2.9670000000000001</v>
      </c>
      <c r="I1023">
        <v>3.2210000000000001</v>
      </c>
      <c r="J1023">
        <v>6</v>
      </c>
      <c r="K1023">
        <v>35</v>
      </c>
      <c r="L1023">
        <v>21</v>
      </c>
      <c r="M1023">
        <v>5.9829999999999997</v>
      </c>
    </row>
    <row r="1024" spans="1:13" ht="15" customHeight="1">
      <c r="A1024" t="s">
        <v>18</v>
      </c>
      <c r="B1024">
        <f t="shared" si="60"/>
        <v>33.703176999999997</v>
      </c>
      <c r="C1024">
        <f t="shared" si="61"/>
        <v>-117.862573</v>
      </c>
      <c r="D1024">
        <f t="shared" si="62"/>
        <v>46</v>
      </c>
      <c r="E1024">
        <v>39.5</v>
      </c>
      <c r="F1024">
        <f t="shared" si="63"/>
        <v>6.5</v>
      </c>
      <c r="G1024">
        <v>92.667000000000002</v>
      </c>
      <c r="H1024">
        <v>2.3330000000000002</v>
      </c>
      <c r="I1024">
        <v>2.524</v>
      </c>
      <c r="J1024">
        <v>6</v>
      </c>
      <c r="K1024">
        <v>35</v>
      </c>
      <c r="L1024">
        <v>21</v>
      </c>
      <c r="M1024">
        <v>6.0019999999999998</v>
      </c>
    </row>
    <row r="1025" spans="1:13" ht="15" customHeight="1">
      <c r="A1025" t="s">
        <v>18</v>
      </c>
      <c r="B1025">
        <f t="shared" si="60"/>
        <v>33.703176999999997</v>
      </c>
      <c r="C1025">
        <f t="shared" si="61"/>
        <v>-117.862573</v>
      </c>
      <c r="D1025">
        <f t="shared" si="62"/>
        <v>46</v>
      </c>
      <c r="E1025">
        <v>40.5</v>
      </c>
      <c r="F1025">
        <f t="shared" si="63"/>
        <v>5.5</v>
      </c>
      <c r="G1025">
        <v>186.917</v>
      </c>
      <c r="H1025">
        <v>1.4750000000000001</v>
      </c>
      <c r="I1025">
        <v>0.79</v>
      </c>
      <c r="J1025">
        <v>9</v>
      </c>
      <c r="K1025">
        <v>36</v>
      </c>
      <c r="L1025">
        <v>21</v>
      </c>
      <c r="M1025" s="1">
        <v>9000000000</v>
      </c>
    </row>
    <row r="1026" spans="1:13" ht="15" customHeight="1">
      <c r="A1026" t="s">
        <v>18</v>
      </c>
      <c r="B1026">
        <f t="shared" ref="B1026:B1089" si="64">VLOOKUP(A1026,XYdata,3,FALSE)</f>
        <v>33.703176999999997</v>
      </c>
      <c r="C1026">
        <f t="shared" ref="C1026:C1089" si="65">VLOOKUP(A1026,XYdata,2,FALSE)</f>
        <v>-117.862573</v>
      </c>
      <c r="D1026">
        <f t="shared" ref="D1026:D1089" si="66">VLOOKUP(A1026,Elevation,2,FALSE)</f>
        <v>46</v>
      </c>
      <c r="E1026">
        <v>41.499000000000002</v>
      </c>
      <c r="F1026">
        <f t="shared" si="63"/>
        <v>4.5009999999999977</v>
      </c>
      <c r="G1026">
        <v>196.471</v>
      </c>
      <c r="H1026">
        <v>2.5590000000000002</v>
      </c>
      <c r="I1026">
        <v>1.304</v>
      </c>
      <c r="J1026">
        <v>8</v>
      </c>
      <c r="K1026">
        <v>47</v>
      </c>
      <c r="L1026">
        <v>27</v>
      </c>
      <c r="M1026" s="1">
        <v>9000000000</v>
      </c>
    </row>
    <row r="1027" spans="1:13" ht="15" customHeight="1">
      <c r="A1027" t="s">
        <v>18</v>
      </c>
      <c r="B1027">
        <f t="shared" si="64"/>
        <v>33.703176999999997</v>
      </c>
      <c r="C1027">
        <f t="shared" si="65"/>
        <v>-117.862573</v>
      </c>
      <c r="D1027">
        <f t="shared" si="66"/>
        <v>46</v>
      </c>
      <c r="E1027">
        <v>42.499000000000002</v>
      </c>
      <c r="F1027">
        <f t="shared" ref="F1027:F1090" si="67">D1027-E1027</f>
        <v>3.5009999999999977</v>
      </c>
      <c r="G1027">
        <v>88.016999999999996</v>
      </c>
      <c r="H1027">
        <v>2.7949999999999999</v>
      </c>
      <c r="I1027">
        <v>3.1829999999999998</v>
      </c>
      <c r="J1027">
        <v>6</v>
      </c>
      <c r="K1027">
        <v>34</v>
      </c>
      <c r="L1027">
        <v>19</v>
      </c>
      <c r="M1027">
        <v>5.681</v>
      </c>
    </row>
    <row r="1028" spans="1:13" ht="15" customHeight="1">
      <c r="A1028" t="s">
        <v>18</v>
      </c>
      <c r="B1028">
        <f t="shared" si="64"/>
        <v>33.703176999999997</v>
      </c>
      <c r="C1028">
        <f t="shared" si="65"/>
        <v>-117.862573</v>
      </c>
      <c r="D1028">
        <f t="shared" si="66"/>
        <v>46</v>
      </c>
      <c r="E1028">
        <v>43.499000000000002</v>
      </c>
      <c r="F1028">
        <f t="shared" si="67"/>
        <v>2.5009999999999977</v>
      </c>
      <c r="G1028">
        <v>61.716999999999999</v>
      </c>
      <c r="H1028">
        <v>1.7969999999999999</v>
      </c>
      <c r="I1028">
        <v>2.9209999999999998</v>
      </c>
      <c r="J1028">
        <v>6</v>
      </c>
      <c r="K1028">
        <v>24</v>
      </c>
      <c r="L1028">
        <v>14</v>
      </c>
      <c r="M1028">
        <v>3.923</v>
      </c>
    </row>
    <row r="1029" spans="1:13" ht="15" customHeight="1">
      <c r="A1029" t="s">
        <v>18</v>
      </c>
      <c r="B1029">
        <f t="shared" si="64"/>
        <v>33.703176999999997</v>
      </c>
      <c r="C1029">
        <f t="shared" si="65"/>
        <v>-117.862573</v>
      </c>
      <c r="D1029">
        <f t="shared" si="66"/>
        <v>46</v>
      </c>
      <c r="E1029">
        <v>44.499000000000002</v>
      </c>
      <c r="F1029">
        <f t="shared" si="67"/>
        <v>1.5009999999999977</v>
      </c>
      <c r="G1029">
        <v>116.56699999999999</v>
      </c>
      <c r="H1029">
        <v>1.8169999999999999</v>
      </c>
      <c r="I1029">
        <v>1.5609999999999999</v>
      </c>
      <c r="J1029">
        <v>8</v>
      </c>
      <c r="K1029">
        <v>28</v>
      </c>
      <c r="L1029">
        <v>16</v>
      </c>
      <c r="M1029" s="1">
        <v>9000000000</v>
      </c>
    </row>
    <row r="1030" spans="1:13" ht="15" customHeight="1">
      <c r="A1030" t="s">
        <v>18</v>
      </c>
      <c r="B1030">
        <f t="shared" si="64"/>
        <v>33.703176999999997</v>
      </c>
      <c r="C1030">
        <f t="shared" si="65"/>
        <v>-117.862573</v>
      </c>
      <c r="D1030">
        <f t="shared" si="66"/>
        <v>46</v>
      </c>
      <c r="E1030">
        <v>45.499000000000002</v>
      </c>
      <c r="F1030">
        <f t="shared" si="67"/>
        <v>0.50099999999999767</v>
      </c>
      <c r="G1030">
        <v>80.082999999999998</v>
      </c>
      <c r="H1030">
        <v>2.7749999999999999</v>
      </c>
      <c r="I1030">
        <v>3.4729999999999999</v>
      </c>
      <c r="J1030">
        <v>6</v>
      </c>
      <c r="K1030">
        <v>31</v>
      </c>
      <c r="L1030">
        <v>17</v>
      </c>
      <c r="M1030">
        <v>5.14</v>
      </c>
    </row>
    <row r="1031" spans="1:13" ht="15" customHeight="1">
      <c r="A1031" t="s">
        <v>18</v>
      </c>
      <c r="B1031">
        <f t="shared" si="64"/>
        <v>33.703176999999997</v>
      </c>
      <c r="C1031">
        <f t="shared" si="65"/>
        <v>-117.862573</v>
      </c>
      <c r="D1031">
        <f t="shared" si="66"/>
        <v>46</v>
      </c>
      <c r="E1031">
        <v>46.499000000000002</v>
      </c>
      <c r="F1031">
        <f t="shared" si="67"/>
        <v>-0.49900000000000233</v>
      </c>
      <c r="G1031">
        <v>122.533</v>
      </c>
      <c r="H1031">
        <v>1.385</v>
      </c>
      <c r="I1031">
        <v>1.1319999999999999</v>
      </c>
      <c r="J1031">
        <v>8</v>
      </c>
      <c r="K1031">
        <v>29</v>
      </c>
      <c r="L1031">
        <v>16</v>
      </c>
      <c r="M1031" s="1">
        <v>9000000000</v>
      </c>
    </row>
    <row r="1032" spans="1:13" ht="15" customHeight="1">
      <c r="A1032" t="s">
        <v>18</v>
      </c>
      <c r="B1032">
        <f t="shared" si="64"/>
        <v>33.703176999999997</v>
      </c>
      <c r="C1032">
        <f t="shared" si="65"/>
        <v>-117.862573</v>
      </c>
      <c r="D1032">
        <f t="shared" si="66"/>
        <v>46</v>
      </c>
      <c r="E1032">
        <v>47.499000000000002</v>
      </c>
      <c r="F1032">
        <f t="shared" si="67"/>
        <v>-1.4990000000000023</v>
      </c>
      <c r="G1032">
        <v>218.833</v>
      </c>
      <c r="H1032">
        <v>1.1970000000000001</v>
      </c>
      <c r="I1032">
        <v>0.54700000000000004</v>
      </c>
      <c r="J1032">
        <v>9</v>
      </c>
      <c r="K1032">
        <v>42</v>
      </c>
      <c r="L1032">
        <v>23</v>
      </c>
      <c r="M1032" s="1">
        <v>9000000000</v>
      </c>
    </row>
    <row r="1033" spans="1:13" ht="15" customHeight="1">
      <c r="A1033" t="s">
        <v>18</v>
      </c>
      <c r="B1033">
        <f t="shared" si="64"/>
        <v>33.703176999999997</v>
      </c>
      <c r="C1033">
        <f t="shared" si="65"/>
        <v>-117.862573</v>
      </c>
      <c r="D1033">
        <f t="shared" si="66"/>
        <v>46</v>
      </c>
      <c r="E1033">
        <v>48.499000000000002</v>
      </c>
      <c r="F1033">
        <f t="shared" si="67"/>
        <v>-2.4990000000000023</v>
      </c>
      <c r="G1033">
        <v>257.63299999999998</v>
      </c>
      <c r="H1033">
        <v>1.157</v>
      </c>
      <c r="I1033">
        <v>0.44900000000000001</v>
      </c>
      <c r="J1033">
        <v>10</v>
      </c>
      <c r="K1033">
        <v>41</v>
      </c>
      <c r="L1033">
        <v>22</v>
      </c>
      <c r="M1033" s="1">
        <v>9000000000</v>
      </c>
    </row>
    <row r="1034" spans="1:13" ht="15" customHeight="1">
      <c r="A1034" t="s">
        <v>18</v>
      </c>
      <c r="B1034">
        <f t="shared" si="64"/>
        <v>33.703176999999997</v>
      </c>
      <c r="C1034">
        <f t="shared" si="65"/>
        <v>-117.862573</v>
      </c>
      <c r="D1034">
        <f t="shared" si="66"/>
        <v>46</v>
      </c>
      <c r="E1034">
        <v>49.499000000000002</v>
      </c>
      <c r="F1034">
        <f t="shared" si="67"/>
        <v>-3.4990000000000023</v>
      </c>
      <c r="G1034">
        <v>98</v>
      </c>
      <c r="H1034">
        <v>2</v>
      </c>
      <c r="I1034">
        <v>2.0339999999999998</v>
      </c>
      <c r="J1034">
        <v>7</v>
      </c>
      <c r="K1034">
        <v>31</v>
      </c>
      <c r="L1034">
        <v>16</v>
      </c>
      <c r="M1034" s="1">
        <v>9000000000</v>
      </c>
    </row>
    <row r="1035" spans="1:13" ht="15" customHeight="1">
      <c r="A1035" t="s">
        <v>18</v>
      </c>
      <c r="B1035">
        <f t="shared" si="64"/>
        <v>33.703176999999997</v>
      </c>
      <c r="C1035">
        <f t="shared" si="65"/>
        <v>-117.862573</v>
      </c>
      <c r="D1035">
        <f t="shared" si="66"/>
        <v>46</v>
      </c>
      <c r="E1035">
        <v>50.499000000000002</v>
      </c>
      <c r="F1035">
        <f t="shared" si="67"/>
        <v>-4.4990000000000023</v>
      </c>
      <c r="G1035">
        <v>97.766999999999996</v>
      </c>
      <c r="H1035">
        <v>2.137</v>
      </c>
      <c r="I1035">
        <v>2.1859999999999999</v>
      </c>
      <c r="J1035">
        <v>7</v>
      </c>
      <c r="K1035">
        <v>31</v>
      </c>
      <c r="L1035">
        <v>16</v>
      </c>
      <c r="M1035" s="1">
        <v>9000000000</v>
      </c>
    </row>
    <row r="1036" spans="1:13" ht="15" customHeight="1">
      <c r="A1036" t="s">
        <v>18</v>
      </c>
      <c r="B1036">
        <f t="shared" si="64"/>
        <v>33.703176999999997</v>
      </c>
      <c r="C1036">
        <f t="shared" si="65"/>
        <v>-117.862573</v>
      </c>
      <c r="D1036">
        <f t="shared" si="66"/>
        <v>46</v>
      </c>
      <c r="E1036">
        <v>51.499000000000002</v>
      </c>
      <c r="F1036">
        <f t="shared" si="67"/>
        <v>-5.4990000000000023</v>
      </c>
      <c r="G1036">
        <v>74.716999999999999</v>
      </c>
      <c r="H1036">
        <v>2.262</v>
      </c>
      <c r="I1036">
        <v>3.0259999999999998</v>
      </c>
      <c r="J1036">
        <v>6</v>
      </c>
      <c r="K1036">
        <v>29</v>
      </c>
      <c r="L1036">
        <v>15</v>
      </c>
      <c r="M1036">
        <v>4.7709999999999999</v>
      </c>
    </row>
    <row r="1037" spans="1:13" ht="15" customHeight="1">
      <c r="A1037" t="s">
        <v>18</v>
      </c>
      <c r="B1037">
        <f t="shared" si="64"/>
        <v>33.703176999999997</v>
      </c>
      <c r="C1037">
        <f t="shared" si="65"/>
        <v>-117.862573</v>
      </c>
      <c r="D1037">
        <f t="shared" si="66"/>
        <v>46</v>
      </c>
      <c r="E1037">
        <v>52.499000000000002</v>
      </c>
      <c r="F1037">
        <f t="shared" si="67"/>
        <v>-6.4990000000000023</v>
      </c>
      <c r="G1037">
        <v>167.6</v>
      </c>
      <c r="H1037">
        <v>3.5569999999999999</v>
      </c>
      <c r="I1037">
        <v>2.125</v>
      </c>
      <c r="J1037">
        <v>7</v>
      </c>
      <c r="K1037">
        <v>53</v>
      </c>
      <c r="L1037">
        <v>27</v>
      </c>
      <c r="M1037" s="1">
        <v>9000000000</v>
      </c>
    </row>
    <row r="1038" spans="1:13" ht="15" customHeight="1">
      <c r="A1038" t="s">
        <v>18</v>
      </c>
      <c r="B1038">
        <f t="shared" si="64"/>
        <v>33.703176999999997</v>
      </c>
      <c r="C1038">
        <f t="shared" si="65"/>
        <v>-117.862573</v>
      </c>
      <c r="D1038">
        <f t="shared" si="66"/>
        <v>46</v>
      </c>
      <c r="E1038">
        <v>53.499000000000002</v>
      </c>
      <c r="F1038">
        <f t="shared" si="67"/>
        <v>-7.4990000000000023</v>
      </c>
      <c r="G1038">
        <v>138.94999999999999</v>
      </c>
      <c r="H1038">
        <v>2.133</v>
      </c>
      <c r="I1038">
        <v>1.538</v>
      </c>
      <c r="J1038">
        <v>8</v>
      </c>
      <c r="K1038">
        <v>33</v>
      </c>
      <c r="L1038">
        <v>17</v>
      </c>
      <c r="M1038" s="1">
        <v>9000000000</v>
      </c>
    </row>
    <row r="1039" spans="1:13" ht="15" customHeight="1">
      <c r="A1039" t="s">
        <v>18</v>
      </c>
      <c r="B1039">
        <f t="shared" si="64"/>
        <v>33.703176999999997</v>
      </c>
      <c r="C1039">
        <f t="shared" si="65"/>
        <v>-117.862573</v>
      </c>
      <c r="D1039">
        <f t="shared" si="66"/>
        <v>46</v>
      </c>
      <c r="E1039">
        <v>54.499000000000002</v>
      </c>
      <c r="F1039">
        <f t="shared" si="67"/>
        <v>-8.4990000000000023</v>
      </c>
      <c r="G1039">
        <v>24.417000000000002</v>
      </c>
      <c r="H1039">
        <v>0.77300000000000002</v>
      </c>
      <c r="I1039">
        <v>3.1850000000000001</v>
      </c>
      <c r="J1039">
        <v>5</v>
      </c>
      <c r="K1039">
        <v>12</v>
      </c>
      <c r="L1039">
        <v>6</v>
      </c>
      <c r="M1039">
        <v>1.395</v>
      </c>
    </row>
    <row r="1040" spans="1:13" ht="15" customHeight="1">
      <c r="A1040" t="s">
        <v>18</v>
      </c>
      <c r="B1040">
        <f t="shared" si="64"/>
        <v>33.703176999999997</v>
      </c>
      <c r="C1040">
        <f t="shared" si="65"/>
        <v>-117.862573</v>
      </c>
      <c r="D1040">
        <f t="shared" si="66"/>
        <v>46</v>
      </c>
      <c r="E1040">
        <v>55.499000000000002</v>
      </c>
      <c r="F1040">
        <f t="shared" si="67"/>
        <v>-9.4990000000000023</v>
      </c>
      <c r="G1040">
        <v>23.216999999999999</v>
      </c>
      <c r="H1040">
        <v>0.68700000000000006</v>
      </c>
      <c r="I1040">
        <v>2.9790000000000001</v>
      </c>
      <c r="J1040">
        <v>5</v>
      </c>
      <c r="K1040">
        <v>11</v>
      </c>
      <c r="L1040">
        <v>6</v>
      </c>
      <c r="M1040">
        <v>1.3089999999999999</v>
      </c>
    </row>
    <row r="1041" spans="1:13" ht="15" customHeight="1">
      <c r="A1041" t="s">
        <v>18</v>
      </c>
      <c r="B1041">
        <f t="shared" si="64"/>
        <v>33.703176999999997</v>
      </c>
      <c r="C1041">
        <f t="shared" si="65"/>
        <v>-117.862573</v>
      </c>
      <c r="D1041">
        <f t="shared" si="66"/>
        <v>46</v>
      </c>
      <c r="E1041">
        <v>56.499000000000002</v>
      </c>
      <c r="F1041">
        <f t="shared" si="67"/>
        <v>-10.499000000000002</v>
      </c>
      <c r="G1041">
        <v>24.082999999999998</v>
      </c>
      <c r="H1041">
        <v>0.76</v>
      </c>
      <c r="I1041">
        <v>3.18</v>
      </c>
      <c r="J1041">
        <v>5</v>
      </c>
      <c r="K1041">
        <v>11</v>
      </c>
      <c r="L1041">
        <v>6</v>
      </c>
      <c r="M1041">
        <v>1.361</v>
      </c>
    </row>
    <row r="1042" spans="1:13" ht="15" customHeight="1">
      <c r="A1042" t="s">
        <v>18</v>
      </c>
      <c r="B1042">
        <f t="shared" si="64"/>
        <v>33.703176999999997</v>
      </c>
      <c r="C1042">
        <f t="shared" si="65"/>
        <v>-117.862573</v>
      </c>
      <c r="D1042">
        <f t="shared" si="66"/>
        <v>46</v>
      </c>
      <c r="E1042">
        <v>57.499000000000002</v>
      </c>
      <c r="F1042">
        <f t="shared" si="67"/>
        <v>-11.499000000000002</v>
      </c>
      <c r="G1042">
        <v>26.117000000000001</v>
      </c>
      <c r="H1042">
        <v>0.97</v>
      </c>
      <c r="I1042">
        <v>3.738</v>
      </c>
      <c r="J1042">
        <v>4</v>
      </c>
      <c r="K1042">
        <v>17</v>
      </c>
      <c r="L1042">
        <v>9</v>
      </c>
      <c r="M1042">
        <v>1.494</v>
      </c>
    </row>
    <row r="1043" spans="1:13" ht="15" customHeight="1">
      <c r="A1043" t="s">
        <v>18</v>
      </c>
      <c r="B1043">
        <f t="shared" si="64"/>
        <v>33.703176999999997</v>
      </c>
      <c r="C1043">
        <f t="shared" si="65"/>
        <v>-117.862573</v>
      </c>
      <c r="D1043">
        <f t="shared" si="66"/>
        <v>46</v>
      </c>
      <c r="E1043">
        <v>58.499000000000002</v>
      </c>
      <c r="F1043">
        <f t="shared" si="67"/>
        <v>-12.499000000000002</v>
      </c>
      <c r="G1043">
        <v>21.716999999999999</v>
      </c>
      <c r="H1043">
        <v>0.66300000000000003</v>
      </c>
      <c r="I1043">
        <v>3.0760000000000001</v>
      </c>
      <c r="J1043">
        <v>5</v>
      </c>
      <c r="K1043">
        <v>10</v>
      </c>
      <c r="L1043">
        <v>5</v>
      </c>
      <c r="M1043">
        <v>1.198</v>
      </c>
    </row>
    <row r="1044" spans="1:13" ht="15" customHeight="1">
      <c r="A1044" t="s">
        <v>18</v>
      </c>
      <c r="B1044">
        <f t="shared" si="64"/>
        <v>33.703176999999997</v>
      </c>
      <c r="C1044">
        <f t="shared" si="65"/>
        <v>-117.862573</v>
      </c>
      <c r="D1044">
        <f t="shared" si="66"/>
        <v>46</v>
      </c>
      <c r="E1044">
        <v>59.499000000000002</v>
      </c>
      <c r="F1044">
        <f t="shared" si="67"/>
        <v>-13.499000000000002</v>
      </c>
      <c r="G1044">
        <v>19.466999999999999</v>
      </c>
      <c r="H1044">
        <v>0.56499999999999995</v>
      </c>
      <c r="I1044">
        <v>2.9169999999999998</v>
      </c>
      <c r="J1044">
        <v>5</v>
      </c>
      <c r="K1044">
        <v>9</v>
      </c>
      <c r="L1044">
        <v>5</v>
      </c>
      <c r="M1044">
        <v>1.0469999999999999</v>
      </c>
    </row>
    <row r="1045" spans="1:13" ht="15" customHeight="1">
      <c r="A1045" t="s">
        <v>18</v>
      </c>
      <c r="B1045">
        <f t="shared" si="64"/>
        <v>33.703176999999997</v>
      </c>
      <c r="C1045">
        <f t="shared" si="65"/>
        <v>-117.862573</v>
      </c>
      <c r="D1045">
        <f t="shared" si="66"/>
        <v>46</v>
      </c>
      <c r="E1045">
        <v>60.499000000000002</v>
      </c>
      <c r="F1045">
        <f t="shared" si="67"/>
        <v>-14.499000000000002</v>
      </c>
      <c r="G1045">
        <v>21.05</v>
      </c>
      <c r="H1045">
        <v>0.7</v>
      </c>
      <c r="I1045">
        <v>3.355</v>
      </c>
      <c r="J1045">
        <v>5</v>
      </c>
      <c r="K1045">
        <v>10</v>
      </c>
      <c r="L1045">
        <v>5</v>
      </c>
      <c r="M1045">
        <v>1.143</v>
      </c>
    </row>
    <row r="1046" spans="1:13" ht="15" customHeight="1">
      <c r="A1046" t="s">
        <v>18</v>
      </c>
      <c r="B1046">
        <f t="shared" si="64"/>
        <v>33.703176999999997</v>
      </c>
      <c r="C1046">
        <f t="shared" si="65"/>
        <v>-117.862573</v>
      </c>
      <c r="D1046">
        <f t="shared" si="66"/>
        <v>46</v>
      </c>
      <c r="E1046">
        <v>61.499000000000002</v>
      </c>
      <c r="F1046">
        <f t="shared" si="67"/>
        <v>-15.499000000000002</v>
      </c>
      <c r="G1046">
        <v>84.2</v>
      </c>
      <c r="H1046">
        <v>1.772</v>
      </c>
      <c r="I1046">
        <v>2.1070000000000002</v>
      </c>
      <c r="J1046">
        <v>7</v>
      </c>
      <c r="K1046">
        <v>27</v>
      </c>
      <c r="L1046">
        <v>14</v>
      </c>
      <c r="M1046" s="1">
        <v>9000000000</v>
      </c>
    </row>
    <row r="1047" spans="1:13" ht="15" customHeight="1">
      <c r="A1047" t="s">
        <v>18</v>
      </c>
      <c r="B1047">
        <f t="shared" si="64"/>
        <v>33.703176999999997</v>
      </c>
      <c r="C1047">
        <f t="shared" si="65"/>
        <v>-117.862573</v>
      </c>
      <c r="D1047">
        <f t="shared" si="66"/>
        <v>46</v>
      </c>
      <c r="E1047">
        <v>62.499000000000002</v>
      </c>
      <c r="F1047">
        <f t="shared" si="67"/>
        <v>-16.499000000000002</v>
      </c>
      <c r="G1047">
        <v>26.542999999999999</v>
      </c>
      <c r="H1047">
        <v>0.74</v>
      </c>
      <c r="I1047">
        <v>2.798</v>
      </c>
      <c r="J1047">
        <v>5</v>
      </c>
      <c r="K1047">
        <v>13</v>
      </c>
      <c r="L1047">
        <v>7</v>
      </c>
      <c r="M1047">
        <v>1.5069999999999999</v>
      </c>
    </row>
    <row r="1048" spans="1:13" ht="15" customHeight="1">
      <c r="A1048" t="s">
        <v>18</v>
      </c>
      <c r="B1048">
        <f t="shared" si="64"/>
        <v>33.703176999999997</v>
      </c>
      <c r="C1048">
        <f t="shared" si="65"/>
        <v>-117.862573</v>
      </c>
      <c r="D1048">
        <f t="shared" si="66"/>
        <v>46</v>
      </c>
      <c r="E1048">
        <v>63.499000000000002</v>
      </c>
      <c r="F1048">
        <f t="shared" si="67"/>
        <v>-17.499000000000002</v>
      </c>
      <c r="G1048">
        <v>26.05</v>
      </c>
      <c r="H1048">
        <v>0.84499999999999997</v>
      </c>
      <c r="I1048">
        <v>3.2559999999999998</v>
      </c>
      <c r="J1048">
        <v>5</v>
      </c>
      <c r="K1048">
        <v>12</v>
      </c>
      <c r="L1048">
        <v>6</v>
      </c>
      <c r="M1048">
        <v>1.4690000000000001</v>
      </c>
    </row>
    <row r="1049" spans="1:13" ht="15" customHeight="1">
      <c r="A1049" t="s">
        <v>18</v>
      </c>
      <c r="B1049">
        <f t="shared" si="64"/>
        <v>33.703176999999997</v>
      </c>
      <c r="C1049">
        <f t="shared" si="65"/>
        <v>-117.862573</v>
      </c>
      <c r="D1049">
        <f t="shared" si="66"/>
        <v>46</v>
      </c>
      <c r="E1049">
        <v>64.498999999999995</v>
      </c>
      <c r="F1049">
        <f t="shared" si="67"/>
        <v>-18.498999999999995</v>
      </c>
      <c r="G1049">
        <v>33.200000000000003</v>
      </c>
      <c r="H1049">
        <v>1.323</v>
      </c>
      <c r="I1049">
        <v>3.992</v>
      </c>
      <c r="J1049">
        <v>4</v>
      </c>
      <c r="K1049">
        <v>21</v>
      </c>
      <c r="L1049">
        <v>11</v>
      </c>
      <c r="M1049">
        <v>1.9450000000000001</v>
      </c>
    </row>
    <row r="1050" spans="1:13" ht="15" customHeight="1">
      <c r="A1050" t="s">
        <v>18</v>
      </c>
      <c r="B1050">
        <f t="shared" si="64"/>
        <v>33.703176999999997</v>
      </c>
      <c r="C1050">
        <f t="shared" si="65"/>
        <v>-117.862573</v>
      </c>
      <c r="D1050">
        <f t="shared" si="66"/>
        <v>46</v>
      </c>
      <c r="E1050">
        <v>65.498999999999995</v>
      </c>
      <c r="F1050">
        <f t="shared" si="67"/>
        <v>-19.498999999999995</v>
      </c>
      <c r="G1050">
        <v>31.033000000000001</v>
      </c>
      <c r="H1050">
        <v>1.1830000000000001</v>
      </c>
      <c r="I1050">
        <v>3.823</v>
      </c>
      <c r="J1050">
        <v>5</v>
      </c>
      <c r="K1050">
        <v>15</v>
      </c>
      <c r="L1050">
        <v>8</v>
      </c>
      <c r="M1050">
        <v>1.794</v>
      </c>
    </row>
    <row r="1051" spans="1:13" ht="15" customHeight="1">
      <c r="A1051" t="s">
        <v>18</v>
      </c>
      <c r="B1051">
        <f t="shared" si="64"/>
        <v>33.703176999999997</v>
      </c>
      <c r="C1051">
        <f t="shared" si="65"/>
        <v>-117.862573</v>
      </c>
      <c r="D1051">
        <f t="shared" si="66"/>
        <v>46</v>
      </c>
      <c r="E1051">
        <v>66.498999999999995</v>
      </c>
      <c r="F1051">
        <f t="shared" si="67"/>
        <v>-20.498999999999995</v>
      </c>
      <c r="G1051">
        <v>26.882999999999999</v>
      </c>
      <c r="H1051">
        <v>1.0469999999999999</v>
      </c>
      <c r="I1051">
        <v>3.891</v>
      </c>
      <c r="J1051">
        <v>4</v>
      </c>
      <c r="K1051">
        <v>17</v>
      </c>
      <c r="L1051">
        <v>9</v>
      </c>
      <c r="M1051">
        <v>1.52</v>
      </c>
    </row>
    <row r="1052" spans="1:13" ht="15" customHeight="1">
      <c r="A1052" t="s">
        <v>18</v>
      </c>
      <c r="B1052">
        <f t="shared" si="64"/>
        <v>33.703176999999997</v>
      </c>
      <c r="C1052">
        <f t="shared" si="65"/>
        <v>-117.862573</v>
      </c>
      <c r="D1052">
        <f t="shared" si="66"/>
        <v>46</v>
      </c>
      <c r="E1052">
        <v>67.498999999999995</v>
      </c>
      <c r="F1052">
        <f t="shared" si="67"/>
        <v>-21.498999999999995</v>
      </c>
      <c r="G1052">
        <v>23.466999999999999</v>
      </c>
      <c r="H1052">
        <v>0.69</v>
      </c>
      <c r="I1052">
        <v>2.93</v>
      </c>
      <c r="J1052">
        <v>5</v>
      </c>
      <c r="K1052">
        <v>11</v>
      </c>
      <c r="L1052">
        <v>6</v>
      </c>
      <c r="M1052">
        <v>1.2929999999999999</v>
      </c>
    </row>
    <row r="1053" spans="1:13" ht="15" customHeight="1">
      <c r="A1053" t="s">
        <v>18</v>
      </c>
      <c r="B1053">
        <f t="shared" si="64"/>
        <v>33.703176999999997</v>
      </c>
      <c r="C1053">
        <f t="shared" si="65"/>
        <v>-117.862573</v>
      </c>
      <c r="D1053">
        <f t="shared" si="66"/>
        <v>46</v>
      </c>
      <c r="E1053">
        <v>68.498999999999995</v>
      </c>
      <c r="F1053">
        <f t="shared" si="67"/>
        <v>-22.498999999999995</v>
      </c>
      <c r="G1053">
        <v>133.767</v>
      </c>
      <c r="H1053">
        <v>2.0219999999999998</v>
      </c>
      <c r="I1053">
        <v>1.512</v>
      </c>
      <c r="J1053">
        <v>8</v>
      </c>
      <c r="K1053">
        <v>32</v>
      </c>
      <c r="L1053">
        <v>16</v>
      </c>
      <c r="M1053" s="1">
        <v>9000000000</v>
      </c>
    </row>
    <row r="1054" spans="1:13" ht="15" customHeight="1">
      <c r="A1054" t="s">
        <v>18</v>
      </c>
      <c r="B1054">
        <f t="shared" si="64"/>
        <v>33.703176999999997</v>
      </c>
      <c r="C1054">
        <f t="shared" si="65"/>
        <v>-117.862573</v>
      </c>
      <c r="D1054">
        <f t="shared" si="66"/>
        <v>46</v>
      </c>
      <c r="E1054">
        <v>69.498999999999995</v>
      </c>
      <c r="F1054">
        <f t="shared" si="67"/>
        <v>-23.498999999999995</v>
      </c>
      <c r="G1054">
        <v>178.333</v>
      </c>
      <c r="H1054">
        <v>2.6019999999999999</v>
      </c>
      <c r="I1054">
        <v>1.4590000000000001</v>
      </c>
      <c r="J1054">
        <v>8</v>
      </c>
      <c r="K1054">
        <v>43</v>
      </c>
      <c r="L1054">
        <v>22</v>
      </c>
      <c r="M1054" s="1">
        <v>9000000000</v>
      </c>
    </row>
    <row r="1055" spans="1:13" ht="15" customHeight="1">
      <c r="A1055" t="s">
        <v>18</v>
      </c>
      <c r="B1055">
        <f t="shared" si="64"/>
        <v>33.703176999999997</v>
      </c>
      <c r="C1055">
        <f t="shared" si="65"/>
        <v>-117.862573</v>
      </c>
      <c r="D1055">
        <f t="shared" si="66"/>
        <v>46</v>
      </c>
      <c r="E1055">
        <v>70.498999999999995</v>
      </c>
      <c r="F1055">
        <f t="shared" si="67"/>
        <v>-24.498999999999995</v>
      </c>
      <c r="G1055">
        <v>227.583</v>
      </c>
      <c r="H1055">
        <v>3.2919999999999998</v>
      </c>
      <c r="I1055">
        <v>1.4470000000000001</v>
      </c>
      <c r="J1055">
        <v>8</v>
      </c>
      <c r="K1055">
        <v>54</v>
      </c>
      <c r="L1055">
        <v>27</v>
      </c>
      <c r="M1055" s="1">
        <v>9000000000</v>
      </c>
    </row>
    <row r="1056" spans="1:13" ht="15" customHeight="1">
      <c r="A1056" t="s">
        <v>18</v>
      </c>
      <c r="B1056">
        <f t="shared" si="64"/>
        <v>33.703176999999997</v>
      </c>
      <c r="C1056">
        <f t="shared" si="65"/>
        <v>-117.862573</v>
      </c>
      <c r="D1056">
        <f t="shared" si="66"/>
        <v>46</v>
      </c>
      <c r="E1056">
        <v>71.498999999999995</v>
      </c>
      <c r="F1056">
        <f t="shared" si="67"/>
        <v>-25.498999999999995</v>
      </c>
      <c r="G1056">
        <v>202.43299999999999</v>
      </c>
      <c r="H1056">
        <v>3.077</v>
      </c>
      <c r="I1056">
        <v>1.5209999999999999</v>
      </c>
      <c r="J1056">
        <v>8</v>
      </c>
      <c r="K1056">
        <v>48</v>
      </c>
      <c r="L1056">
        <v>24</v>
      </c>
      <c r="M1056" s="1">
        <v>9000000000</v>
      </c>
    </row>
    <row r="1057" spans="1:13" ht="15" customHeight="1">
      <c r="A1057" t="s">
        <v>18</v>
      </c>
      <c r="B1057">
        <f t="shared" si="64"/>
        <v>33.703176999999997</v>
      </c>
      <c r="C1057">
        <f t="shared" si="65"/>
        <v>-117.862573</v>
      </c>
      <c r="D1057">
        <f t="shared" si="66"/>
        <v>46</v>
      </c>
      <c r="E1057">
        <v>72.498999999999995</v>
      </c>
      <c r="F1057">
        <f t="shared" si="67"/>
        <v>-26.498999999999995</v>
      </c>
      <c r="G1057">
        <v>47.470999999999997</v>
      </c>
      <c r="H1057">
        <v>1.657</v>
      </c>
      <c r="I1057">
        <v>3.4940000000000002</v>
      </c>
      <c r="J1057">
        <v>5</v>
      </c>
      <c r="K1057">
        <v>23</v>
      </c>
      <c r="L1057">
        <v>12</v>
      </c>
      <c r="M1057">
        <v>2.8639999999999999</v>
      </c>
    </row>
    <row r="1058" spans="1:13" ht="15" customHeight="1">
      <c r="A1058" t="s">
        <v>18</v>
      </c>
      <c r="B1058">
        <f t="shared" si="64"/>
        <v>33.703176999999997</v>
      </c>
      <c r="C1058">
        <f t="shared" si="65"/>
        <v>-117.862573</v>
      </c>
      <c r="D1058">
        <f t="shared" si="66"/>
        <v>46</v>
      </c>
      <c r="E1058">
        <v>73.498999999999995</v>
      </c>
      <c r="F1058">
        <f t="shared" si="67"/>
        <v>-27.498999999999995</v>
      </c>
      <c r="G1058">
        <v>40.017000000000003</v>
      </c>
      <c r="H1058">
        <v>1.647</v>
      </c>
      <c r="I1058">
        <v>4.0960000000000001</v>
      </c>
      <c r="J1058">
        <v>4</v>
      </c>
      <c r="K1058">
        <v>26</v>
      </c>
      <c r="L1058">
        <v>13</v>
      </c>
      <c r="M1058">
        <v>2.3780000000000001</v>
      </c>
    </row>
    <row r="1059" spans="1:13" ht="15" customHeight="1">
      <c r="A1059" t="s">
        <v>18</v>
      </c>
      <c r="B1059">
        <f t="shared" si="64"/>
        <v>33.703176999999997</v>
      </c>
      <c r="C1059">
        <f t="shared" si="65"/>
        <v>-117.862573</v>
      </c>
      <c r="D1059">
        <f t="shared" si="66"/>
        <v>46</v>
      </c>
      <c r="E1059">
        <v>74.498999999999995</v>
      </c>
      <c r="F1059">
        <f t="shared" si="67"/>
        <v>-28.498999999999995</v>
      </c>
      <c r="G1059">
        <v>32.183</v>
      </c>
      <c r="H1059">
        <v>1.355</v>
      </c>
      <c r="I1059">
        <v>4.1740000000000004</v>
      </c>
      <c r="J1059">
        <v>4</v>
      </c>
      <c r="K1059">
        <v>21</v>
      </c>
      <c r="L1059">
        <v>11</v>
      </c>
      <c r="M1059">
        <v>1.8580000000000001</v>
      </c>
    </row>
    <row r="1060" spans="1:13" ht="15" customHeight="1">
      <c r="A1060" t="s">
        <v>18</v>
      </c>
      <c r="B1060">
        <f t="shared" si="64"/>
        <v>33.703176999999997</v>
      </c>
      <c r="C1060">
        <f t="shared" si="65"/>
        <v>-117.862573</v>
      </c>
      <c r="D1060">
        <f t="shared" si="66"/>
        <v>46</v>
      </c>
      <c r="E1060">
        <v>75.498999999999995</v>
      </c>
      <c r="F1060">
        <f t="shared" si="67"/>
        <v>-29.498999999999995</v>
      </c>
      <c r="G1060">
        <v>29.933</v>
      </c>
      <c r="H1060">
        <v>1.113</v>
      </c>
      <c r="I1060">
        <v>3.6379999999999999</v>
      </c>
      <c r="J1060">
        <v>5</v>
      </c>
      <c r="K1060">
        <v>15</v>
      </c>
      <c r="L1060">
        <v>8</v>
      </c>
      <c r="M1060">
        <v>1.7290000000000001</v>
      </c>
    </row>
    <row r="1061" spans="1:13" ht="15" customHeight="1">
      <c r="A1061" t="s">
        <v>18</v>
      </c>
      <c r="B1061">
        <f t="shared" si="64"/>
        <v>33.703176999999997</v>
      </c>
      <c r="C1061">
        <f t="shared" si="65"/>
        <v>-117.862573</v>
      </c>
      <c r="D1061">
        <f t="shared" si="66"/>
        <v>46</v>
      </c>
      <c r="E1061">
        <v>76.498999999999995</v>
      </c>
      <c r="F1061">
        <f t="shared" si="67"/>
        <v>-30.498999999999995</v>
      </c>
      <c r="G1061">
        <v>26.216999999999999</v>
      </c>
      <c r="H1061">
        <v>0.91700000000000004</v>
      </c>
      <c r="I1061">
        <v>3.3010000000000002</v>
      </c>
      <c r="J1061">
        <v>5</v>
      </c>
      <c r="K1061">
        <v>13</v>
      </c>
      <c r="L1061">
        <v>7</v>
      </c>
      <c r="M1061">
        <v>1.536</v>
      </c>
    </row>
    <row r="1062" spans="1:13" ht="15" customHeight="1">
      <c r="A1062" t="s">
        <v>18</v>
      </c>
      <c r="B1062">
        <f t="shared" si="64"/>
        <v>33.703176999999997</v>
      </c>
      <c r="C1062">
        <f t="shared" si="65"/>
        <v>-117.862573</v>
      </c>
      <c r="D1062">
        <f t="shared" si="66"/>
        <v>46</v>
      </c>
      <c r="E1062">
        <v>77.498999999999995</v>
      </c>
      <c r="F1062">
        <f t="shared" si="67"/>
        <v>-31.498999999999995</v>
      </c>
      <c r="G1062">
        <v>27.033000000000001</v>
      </c>
      <c r="H1062">
        <v>0.85699999999999998</v>
      </c>
      <c r="I1062">
        <v>2.976</v>
      </c>
      <c r="J1062">
        <v>5</v>
      </c>
      <c r="K1062">
        <v>14</v>
      </c>
      <c r="L1062">
        <v>7</v>
      </c>
      <c r="M1062">
        <v>1.6</v>
      </c>
    </row>
    <row r="1063" spans="1:13" ht="15" customHeight="1">
      <c r="A1063" t="s">
        <v>18</v>
      </c>
      <c r="B1063">
        <f t="shared" si="64"/>
        <v>33.703176999999997</v>
      </c>
      <c r="C1063">
        <f t="shared" si="65"/>
        <v>-117.862573</v>
      </c>
      <c r="D1063">
        <f t="shared" si="66"/>
        <v>46</v>
      </c>
      <c r="E1063">
        <v>78.498999999999995</v>
      </c>
      <c r="F1063">
        <f t="shared" si="67"/>
        <v>-32.498999999999995</v>
      </c>
      <c r="G1063">
        <v>30.433</v>
      </c>
      <c r="H1063">
        <v>0.99199999999999999</v>
      </c>
      <c r="I1063">
        <v>3.073</v>
      </c>
      <c r="J1063">
        <v>5</v>
      </c>
      <c r="K1063">
        <v>15</v>
      </c>
      <c r="L1063">
        <v>8</v>
      </c>
      <c r="M1063">
        <v>1.8280000000000001</v>
      </c>
    </row>
    <row r="1064" spans="1:13" ht="15" customHeight="1">
      <c r="A1064" t="s">
        <v>18</v>
      </c>
      <c r="B1064">
        <f t="shared" si="64"/>
        <v>33.703176999999997</v>
      </c>
      <c r="C1064">
        <f t="shared" si="65"/>
        <v>-117.862573</v>
      </c>
      <c r="D1064">
        <f t="shared" si="66"/>
        <v>46</v>
      </c>
      <c r="E1064">
        <v>79.498999999999995</v>
      </c>
      <c r="F1064">
        <f t="shared" si="67"/>
        <v>-33.498999999999995</v>
      </c>
      <c r="G1064">
        <v>28.766999999999999</v>
      </c>
      <c r="H1064">
        <v>0.91700000000000004</v>
      </c>
      <c r="I1064">
        <v>2.944</v>
      </c>
      <c r="J1064">
        <v>5</v>
      </c>
      <c r="K1064">
        <v>15</v>
      </c>
      <c r="L1064">
        <v>8</v>
      </c>
      <c r="M1064">
        <v>1.748</v>
      </c>
    </row>
    <row r="1065" spans="1:13" ht="15" customHeight="1">
      <c r="A1065" t="s">
        <v>18</v>
      </c>
      <c r="B1065">
        <f t="shared" si="64"/>
        <v>33.703176999999997</v>
      </c>
      <c r="C1065">
        <f t="shared" si="65"/>
        <v>-117.862573</v>
      </c>
      <c r="D1065">
        <f t="shared" si="66"/>
        <v>46</v>
      </c>
      <c r="E1065">
        <v>80.498999999999995</v>
      </c>
      <c r="F1065">
        <f t="shared" si="67"/>
        <v>-34.498999999999995</v>
      </c>
      <c r="G1065">
        <v>130.833</v>
      </c>
      <c r="H1065">
        <v>3.2320000000000002</v>
      </c>
      <c r="I1065">
        <v>2.4489999999999998</v>
      </c>
      <c r="J1065">
        <v>7</v>
      </c>
      <c r="K1065">
        <v>42</v>
      </c>
      <c r="L1065">
        <v>21</v>
      </c>
      <c r="M1065" s="1">
        <v>9000000000</v>
      </c>
    </row>
    <row r="1066" spans="1:13" ht="15" customHeight="1">
      <c r="A1066" t="s">
        <v>18</v>
      </c>
      <c r="B1066">
        <f t="shared" si="64"/>
        <v>33.703176999999997</v>
      </c>
      <c r="C1066">
        <f t="shared" si="65"/>
        <v>-117.862573</v>
      </c>
      <c r="D1066">
        <f t="shared" si="66"/>
        <v>46</v>
      </c>
      <c r="E1066">
        <v>81.498999999999995</v>
      </c>
      <c r="F1066">
        <f t="shared" si="67"/>
        <v>-35.498999999999995</v>
      </c>
      <c r="G1066">
        <v>193.1</v>
      </c>
      <c r="H1066">
        <v>3.7229999999999999</v>
      </c>
      <c r="I1066">
        <v>1.93</v>
      </c>
      <c r="J1066">
        <v>8</v>
      </c>
      <c r="K1066">
        <v>46</v>
      </c>
      <c r="L1066">
        <v>23</v>
      </c>
      <c r="M1066" s="1">
        <v>9000000000</v>
      </c>
    </row>
    <row r="1067" spans="1:13" ht="15" customHeight="1">
      <c r="A1067" t="s">
        <v>18</v>
      </c>
      <c r="B1067">
        <f t="shared" si="64"/>
        <v>33.703176999999997</v>
      </c>
      <c r="C1067">
        <f t="shared" si="65"/>
        <v>-117.862573</v>
      </c>
      <c r="D1067">
        <f t="shared" si="66"/>
        <v>46</v>
      </c>
      <c r="E1067">
        <v>82.498999999999995</v>
      </c>
      <c r="F1067">
        <f t="shared" si="67"/>
        <v>-36.498999999999995</v>
      </c>
      <c r="G1067">
        <v>412.6</v>
      </c>
      <c r="H1067">
        <v>1.6</v>
      </c>
      <c r="I1067">
        <v>0.38800000000000001</v>
      </c>
      <c r="J1067">
        <v>10</v>
      </c>
      <c r="K1067">
        <v>66</v>
      </c>
      <c r="L1067">
        <v>33</v>
      </c>
      <c r="M1067" s="1">
        <v>9000000000</v>
      </c>
    </row>
    <row r="1068" spans="1:13" ht="15" customHeight="1">
      <c r="A1068" t="s">
        <v>18</v>
      </c>
      <c r="B1068">
        <f t="shared" si="64"/>
        <v>33.703176999999997</v>
      </c>
      <c r="C1068">
        <f t="shared" si="65"/>
        <v>-117.862573</v>
      </c>
      <c r="D1068">
        <f t="shared" si="66"/>
        <v>46</v>
      </c>
      <c r="E1068">
        <v>83.498999999999995</v>
      </c>
      <c r="F1068">
        <f t="shared" si="67"/>
        <v>-37.498999999999995</v>
      </c>
      <c r="G1068">
        <v>176.77099999999999</v>
      </c>
      <c r="H1068">
        <v>3.347</v>
      </c>
      <c r="I1068">
        <v>1.893</v>
      </c>
      <c r="J1068">
        <v>8</v>
      </c>
      <c r="K1068">
        <v>42</v>
      </c>
      <c r="L1068">
        <v>21</v>
      </c>
      <c r="M1068" s="1">
        <v>9000000000</v>
      </c>
    </row>
    <row r="1069" spans="1:13" ht="15" customHeight="1">
      <c r="A1069" t="s">
        <v>18</v>
      </c>
      <c r="B1069">
        <f t="shared" si="64"/>
        <v>33.703176999999997</v>
      </c>
      <c r="C1069">
        <f t="shared" si="65"/>
        <v>-117.862573</v>
      </c>
      <c r="D1069">
        <f t="shared" si="66"/>
        <v>46</v>
      </c>
      <c r="E1069">
        <v>84.498999999999995</v>
      </c>
      <c r="F1069">
        <f t="shared" si="67"/>
        <v>-38.498999999999995</v>
      </c>
      <c r="G1069">
        <v>128.917</v>
      </c>
      <c r="H1069">
        <v>3.2570000000000001</v>
      </c>
      <c r="I1069">
        <v>2.528</v>
      </c>
      <c r="J1069">
        <v>7</v>
      </c>
      <c r="K1069">
        <v>41</v>
      </c>
      <c r="L1069">
        <v>21</v>
      </c>
      <c r="M1069" s="1">
        <v>9000000000</v>
      </c>
    </row>
    <row r="1070" spans="1:13" ht="15" customHeight="1">
      <c r="A1070" t="s">
        <v>18</v>
      </c>
      <c r="B1070">
        <f t="shared" si="64"/>
        <v>33.703176999999997</v>
      </c>
      <c r="C1070">
        <f t="shared" si="65"/>
        <v>-117.862573</v>
      </c>
      <c r="D1070">
        <f t="shared" si="66"/>
        <v>46</v>
      </c>
      <c r="E1070">
        <v>85.498999999999995</v>
      </c>
      <c r="F1070">
        <f t="shared" si="67"/>
        <v>-39.498999999999995</v>
      </c>
      <c r="G1070">
        <v>72.466999999999999</v>
      </c>
      <c r="H1070">
        <v>2.9279999999999999</v>
      </c>
      <c r="I1070">
        <v>4.0519999999999996</v>
      </c>
      <c r="J1070">
        <v>5</v>
      </c>
      <c r="K1070">
        <v>35</v>
      </c>
      <c r="L1070">
        <v>18</v>
      </c>
      <c r="M1070">
        <v>4.4660000000000002</v>
      </c>
    </row>
    <row r="1071" spans="1:13" ht="15" customHeight="1">
      <c r="A1071" t="s">
        <v>18</v>
      </c>
      <c r="B1071">
        <f t="shared" si="64"/>
        <v>33.703176999999997</v>
      </c>
      <c r="C1071">
        <f t="shared" si="65"/>
        <v>-117.862573</v>
      </c>
      <c r="D1071">
        <f t="shared" si="66"/>
        <v>46</v>
      </c>
      <c r="E1071">
        <v>86.498999999999995</v>
      </c>
      <c r="F1071">
        <f t="shared" si="67"/>
        <v>-40.498999999999995</v>
      </c>
      <c r="G1071">
        <v>25.6</v>
      </c>
      <c r="H1071">
        <v>0.92700000000000005</v>
      </c>
      <c r="I1071">
        <v>3.6440000000000001</v>
      </c>
      <c r="J1071">
        <v>5</v>
      </c>
      <c r="K1071">
        <v>12</v>
      </c>
      <c r="L1071">
        <v>6</v>
      </c>
      <c r="M1071">
        <v>1.339</v>
      </c>
    </row>
    <row r="1072" spans="1:13" ht="15" customHeight="1">
      <c r="A1072" t="s">
        <v>18</v>
      </c>
      <c r="B1072">
        <f t="shared" si="64"/>
        <v>33.703176999999997</v>
      </c>
      <c r="C1072">
        <f t="shared" si="65"/>
        <v>-117.862573</v>
      </c>
      <c r="D1072">
        <f t="shared" si="66"/>
        <v>46</v>
      </c>
      <c r="E1072">
        <v>87.498999999999995</v>
      </c>
      <c r="F1072">
        <f t="shared" si="67"/>
        <v>-41.498999999999995</v>
      </c>
      <c r="G1072">
        <v>29.966999999999999</v>
      </c>
      <c r="H1072">
        <v>1.022</v>
      </c>
      <c r="I1072">
        <v>3.4279999999999999</v>
      </c>
      <c r="J1072">
        <v>5</v>
      </c>
      <c r="K1072">
        <v>14</v>
      </c>
      <c r="L1072">
        <v>7</v>
      </c>
      <c r="M1072">
        <v>1.6259999999999999</v>
      </c>
    </row>
    <row r="1073" spans="1:13" ht="15" customHeight="1">
      <c r="A1073" t="s">
        <v>18</v>
      </c>
      <c r="B1073">
        <f t="shared" si="64"/>
        <v>33.703176999999997</v>
      </c>
      <c r="C1073">
        <f t="shared" si="65"/>
        <v>-117.862573</v>
      </c>
      <c r="D1073">
        <f t="shared" si="66"/>
        <v>46</v>
      </c>
      <c r="E1073">
        <v>88.498999999999995</v>
      </c>
      <c r="F1073">
        <f t="shared" si="67"/>
        <v>-42.498999999999995</v>
      </c>
      <c r="G1073">
        <v>31.516999999999999</v>
      </c>
      <c r="H1073">
        <v>1.075</v>
      </c>
      <c r="I1073">
        <v>3.4289999999999998</v>
      </c>
      <c r="J1073">
        <v>5</v>
      </c>
      <c r="K1073">
        <v>15</v>
      </c>
      <c r="L1073">
        <v>8</v>
      </c>
      <c r="M1073">
        <v>1.7250000000000001</v>
      </c>
    </row>
    <row r="1074" spans="1:13" ht="15" customHeight="1">
      <c r="A1074" t="s">
        <v>18</v>
      </c>
      <c r="B1074">
        <f t="shared" si="64"/>
        <v>33.703176999999997</v>
      </c>
      <c r="C1074">
        <f t="shared" si="65"/>
        <v>-117.862573</v>
      </c>
      <c r="D1074">
        <f t="shared" si="66"/>
        <v>46</v>
      </c>
      <c r="E1074">
        <v>89.498999999999995</v>
      </c>
      <c r="F1074">
        <f t="shared" si="67"/>
        <v>-43.498999999999995</v>
      </c>
      <c r="G1074">
        <v>31.582999999999998</v>
      </c>
      <c r="H1074">
        <v>1.038</v>
      </c>
      <c r="I1074">
        <v>3.3090000000000002</v>
      </c>
      <c r="J1074">
        <v>5</v>
      </c>
      <c r="K1074">
        <v>15</v>
      </c>
      <c r="L1074">
        <v>8</v>
      </c>
      <c r="M1074">
        <v>1.7230000000000001</v>
      </c>
    </row>
    <row r="1075" spans="1:13" ht="15" customHeight="1">
      <c r="A1075" t="s">
        <v>18</v>
      </c>
      <c r="B1075">
        <f t="shared" si="64"/>
        <v>33.703176999999997</v>
      </c>
      <c r="C1075">
        <f t="shared" si="65"/>
        <v>-117.862573</v>
      </c>
      <c r="D1075">
        <f t="shared" si="66"/>
        <v>46</v>
      </c>
      <c r="E1075">
        <v>90.498999999999995</v>
      </c>
      <c r="F1075">
        <f t="shared" si="67"/>
        <v>-44.498999999999995</v>
      </c>
      <c r="G1075">
        <v>54.667000000000002</v>
      </c>
      <c r="H1075">
        <v>1.762</v>
      </c>
      <c r="I1075">
        <v>3.23</v>
      </c>
      <c r="J1075">
        <v>6</v>
      </c>
      <c r="K1075">
        <v>21</v>
      </c>
      <c r="L1075">
        <v>11</v>
      </c>
      <c r="M1075">
        <v>3.2629999999999999</v>
      </c>
    </row>
    <row r="1076" spans="1:13" ht="15" customHeight="1">
      <c r="A1076" t="s">
        <v>18</v>
      </c>
      <c r="B1076">
        <f t="shared" si="64"/>
        <v>33.703176999999997</v>
      </c>
      <c r="C1076">
        <f t="shared" si="65"/>
        <v>-117.862573</v>
      </c>
      <c r="D1076">
        <f t="shared" si="66"/>
        <v>46</v>
      </c>
      <c r="E1076">
        <v>91.498999999999995</v>
      </c>
      <c r="F1076">
        <f t="shared" si="67"/>
        <v>-45.498999999999995</v>
      </c>
      <c r="G1076">
        <v>84.033000000000001</v>
      </c>
      <c r="H1076">
        <v>2.4180000000000001</v>
      </c>
      <c r="I1076">
        <v>2.883</v>
      </c>
      <c r="J1076">
        <v>6</v>
      </c>
      <c r="K1076">
        <v>32</v>
      </c>
      <c r="L1076">
        <v>16</v>
      </c>
      <c r="M1076">
        <v>5.2149999999999999</v>
      </c>
    </row>
    <row r="1077" spans="1:13" ht="15" customHeight="1">
      <c r="A1077" t="s">
        <v>18</v>
      </c>
      <c r="B1077">
        <f t="shared" si="64"/>
        <v>33.703176999999997</v>
      </c>
      <c r="C1077">
        <f t="shared" si="65"/>
        <v>-117.862573</v>
      </c>
      <c r="D1077">
        <f t="shared" si="66"/>
        <v>46</v>
      </c>
      <c r="E1077">
        <v>92.498999999999995</v>
      </c>
      <c r="F1077">
        <f t="shared" si="67"/>
        <v>-46.498999999999995</v>
      </c>
      <c r="G1077">
        <v>69</v>
      </c>
      <c r="H1077">
        <v>2.427</v>
      </c>
      <c r="I1077">
        <v>3.5230000000000001</v>
      </c>
      <c r="J1077">
        <v>5</v>
      </c>
      <c r="K1077">
        <v>33</v>
      </c>
      <c r="L1077">
        <v>17</v>
      </c>
      <c r="M1077">
        <v>4.2110000000000003</v>
      </c>
    </row>
    <row r="1078" spans="1:13" ht="15" customHeight="1">
      <c r="A1078" t="s">
        <v>18</v>
      </c>
      <c r="B1078">
        <f t="shared" si="64"/>
        <v>33.703176999999997</v>
      </c>
      <c r="C1078">
        <f t="shared" si="65"/>
        <v>-117.862573</v>
      </c>
      <c r="D1078">
        <f t="shared" si="66"/>
        <v>46</v>
      </c>
      <c r="E1078">
        <v>93.498999999999995</v>
      </c>
      <c r="F1078">
        <f t="shared" si="67"/>
        <v>-47.498999999999995</v>
      </c>
      <c r="G1078">
        <v>57.557000000000002</v>
      </c>
      <c r="H1078">
        <v>2.5139999999999998</v>
      </c>
      <c r="I1078">
        <v>4.3760000000000003</v>
      </c>
      <c r="J1078">
        <v>5</v>
      </c>
      <c r="K1078">
        <v>28</v>
      </c>
      <c r="L1078">
        <v>14</v>
      </c>
      <c r="M1078">
        <v>3.4449999999999998</v>
      </c>
    </row>
    <row r="1079" spans="1:13" ht="15" customHeight="1">
      <c r="A1079" t="s">
        <v>18</v>
      </c>
      <c r="B1079">
        <f t="shared" si="64"/>
        <v>33.703176999999997</v>
      </c>
      <c r="C1079">
        <f t="shared" si="65"/>
        <v>-117.862573</v>
      </c>
      <c r="D1079">
        <f t="shared" si="66"/>
        <v>46</v>
      </c>
      <c r="E1079">
        <v>94.498999999999995</v>
      </c>
      <c r="F1079">
        <f t="shared" si="67"/>
        <v>-48.498999999999995</v>
      </c>
      <c r="G1079">
        <v>89.433000000000007</v>
      </c>
      <c r="H1079">
        <v>3.22</v>
      </c>
      <c r="I1079">
        <v>3.605</v>
      </c>
      <c r="J1079">
        <v>6</v>
      </c>
      <c r="K1079">
        <v>34</v>
      </c>
      <c r="L1079">
        <v>17</v>
      </c>
      <c r="M1079">
        <v>5.5650000000000004</v>
      </c>
    </row>
    <row r="1080" spans="1:13" ht="15" customHeight="1">
      <c r="A1080" t="s">
        <v>18</v>
      </c>
      <c r="B1080">
        <f t="shared" si="64"/>
        <v>33.703176999999997</v>
      </c>
      <c r="C1080">
        <f t="shared" si="65"/>
        <v>-117.862573</v>
      </c>
      <c r="D1080">
        <f t="shared" si="66"/>
        <v>46</v>
      </c>
      <c r="E1080">
        <v>95.498999999999995</v>
      </c>
      <c r="F1080">
        <f t="shared" si="67"/>
        <v>-49.498999999999995</v>
      </c>
      <c r="G1080">
        <v>188.9</v>
      </c>
      <c r="H1080">
        <v>3.827</v>
      </c>
      <c r="I1080">
        <v>2.0270000000000001</v>
      </c>
      <c r="J1080">
        <v>7</v>
      </c>
      <c r="K1080">
        <v>60</v>
      </c>
      <c r="L1080">
        <v>30</v>
      </c>
      <c r="M1080" s="1">
        <v>9000000000</v>
      </c>
    </row>
    <row r="1081" spans="1:13" ht="15" customHeight="1">
      <c r="A1081" t="s">
        <v>18</v>
      </c>
      <c r="B1081">
        <f t="shared" si="64"/>
        <v>33.703176999999997</v>
      </c>
      <c r="C1081">
        <f t="shared" si="65"/>
        <v>-117.862573</v>
      </c>
      <c r="D1081">
        <f t="shared" si="66"/>
        <v>46</v>
      </c>
      <c r="E1081">
        <v>96.498999999999995</v>
      </c>
      <c r="F1081">
        <f t="shared" si="67"/>
        <v>-50.498999999999995</v>
      </c>
      <c r="G1081">
        <v>85.566999999999993</v>
      </c>
      <c r="H1081">
        <v>2.1019999999999999</v>
      </c>
      <c r="I1081">
        <v>2.4590000000000001</v>
      </c>
      <c r="J1081">
        <v>6</v>
      </c>
      <c r="K1081">
        <v>33</v>
      </c>
      <c r="L1081">
        <v>17</v>
      </c>
      <c r="M1081">
        <v>5.3</v>
      </c>
    </row>
    <row r="1082" spans="1:13" ht="15" customHeight="1">
      <c r="A1082" t="s">
        <v>18</v>
      </c>
      <c r="B1082">
        <f t="shared" si="64"/>
        <v>33.703176999999997</v>
      </c>
      <c r="C1082">
        <f t="shared" si="65"/>
        <v>-117.862573</v>
      </c>
      <c r="D1082">
        <f t="shared" si="66"/>
        <v>46</v>
      </c>
      <c r="E1082">
        <v>97.498999999999995</v>
      </c>
      <c r="F1082">
        <f t="shared" si="67"/>
        <v>-51.498999999999995</v>
      </c>
      <c r="G1082">
        <v>62.067</v>
      </c>
      <c r="H1082">
        <v>1.877</v>
      </c>
      <c r="I1082">
        <v>3.0249999999999999</v>
      </c>
      <c r="J1082">
        <v>6</v>
      </c>
      <c r="K1082">
        <v>24</v>
      </c>
      <c r="L1082">
        <v>12</v>
      </c>
      <c r="M1082">
        <v>3.734</v>
      </c>
    </row>
    <row r="1083" spans="1:13" ht="15" customHeight="1">
      <c r="A1083" t="s">
        <v>18</v>
      </c>
      <c r="B1083">
        <f t="shared" si="64"/>
        <v>33.703176999999997</v>
      </c>
      <c r="C1083">
        <f t="shared" si="65"/>
        <v>-117.862573</v>
      </c>
      <c r="D1083">
        <f t="shared" si="66"/>
        <v>46</v>
      </c>
      <c r="E1083">
        <v>98.498999999999995</v>
      </c>
      <c r="F1083">
        <f t="shared" si="67"/>
        <v>-52.498999999999995</v>
      </c>
      <c r="G1083">
        <v>52.317</v>
      </c>
      <c r="H1083">
        <v>2.3929999999999998</v>
      </c>
      <c r="I1083">
        <v>4.5730000000000004</v>
      </c>
      <c r="J1083">
        <v>4</v>
      </c>
      <c r="K1083">
        <v>33</v>
      </c>
      <c r="L1083">
        <v>17</v>
      </c>
      <c r="M1083">
        <v>3.0830000000000002</v>
      </c>
    </row>
    <row r="1084" spans="1:13" ht="15" customHeight="1">
      <c r="A1084" t="s">
        <v>18</v>
      </c>
      <c r="B1084">
        <f t="shared" si="64"/>
        <v>33.703176999999997</v>
      </c>
      <c r="C1084">
        <f t="shared" si="65"/>
        <v>-117.862573</v>
      </c>
      <c r="D1084">
        <f t="shared" si="66"/>
        <v>46</v>
      </c>
      <c r="E1084">
        <v>99.498999999999995</v>
      </c>
      <c r="F1084">
        <f t="shared" si="67"/>
        <v>-53.498999999999995</v>
      </c>
      <c r="G1084">
        <v>202.667</v>
      </c>
      <c r="H1084">
        <v>5.22</v>
      </c>
      <c r="I1084">
        <v>2.577</v>
      </c>
      <c r="J1084">
        <v>7</v>
      </c>
      <c r="K1084">
        <v>65</v>
      </c>
      <c r="L1084">
        <v>33</v>
      </c>
      <c r="M1084" s="1">
        <v>9000000000</v>
      </c>
    </row>
    <row r="1085" spans="1:13" ht="15" customHeight="1">
      <c r="A1085" t="s">
        <v>18</v>
      </c>
      <c r="B1085">
        <f t="shared" si="64"/>
        <v>33.703176999999997</v>
      </c>
      <c r="C1085">
        <f t="shared" si="65"/>
        <v>-117.862573</v>
      </c>
      <c r="D1085">
        <f t="shared" si="66"/>
        <v>46</v>
      </c>
      <c r="E1085">
        <v>100.499</v>
      </c>
      <c r="F1085">
        <f t="shared" si="67"/>
        <v>-54.498999999999995</v>
      </c>
      <c r="G1085">
        <v>410.33300000000003</v>
      </c>
      <c r="H1085">
        <v>4.5999999999999996</v>
      </c>
      <c r="I1085">
        <v>1.1220000000000001</v>
      </c>
      <c r="J1085">
        <v>9</v>
      </c>
      <c r="K1085">
        <v>79</v>
      </c>
      <c r="L1085">
        <v>40</v>
      </c>
      <c r="M1085" s="1">
        <v>9000000000</v>
      </c>
    </row>
    <row r="1086" spans="1:13" ht="15" customHeight="1">
      <c r="A1086" t="s">
        <v>18</v>
      </c>
      <c r="B1086">
        <f t="shared" si="64"/>
        <v>33.703176999999997</v>
      </c>
      <c r="C1086">
        <f t="shared" si="65"/>
        <v>-117.862573</v>
      </c>
      <c r="D1086">
        <f t="shared" si="66"/>
        <v>46</v>
      </c>
      <c r="E1086">
        <v>101.499</v>
      </c>
      <c r="F1086">
        <f t="shared" si="67"/>
        <v>-55.498999999999995</v>
      </c>
      <c r="G1086">
        <v>348.45</v>
      </c>
      <c r="H1086">
        <v>6.2850000000000001</v>
      </c>
      <c r="I1086">
        <v>1.804</v>
      </c>
      <c r="J1086">
        <v>8</v>
      </c>
      <c r="K1086">
        <v>83</v>
      </c>
      <c r="L1086">
        <v>42</v>
      </c>
      <c r="M1086" s="1">
        <v>9000000000</v>
      </c>
    </row>
    <row r="1087" spans="1:13" ht="15" customHeight="1">
      <c r="A1087" t="s">
        <v>18</v>
      </c>
      <c r="B1087">
        <f t="shared" si="64"/>
        <v>33.703176999999997</v>
      </c>
      <c r="C1087">
        <f t="shared" si="65"/>
        <v>-117.862573</v>
      </c>
      <c r="D1087">
        <f t="shared" si="66"/>
        <v>46</v>
      </c>
      <c r="E1087">
        <v>102.499</v>
      </c>
      <c r="F1087">
        <f t="shared" si="67"/>
        <v>-56.498999999999995</v>
      </c>
      <c r="G1087">
        <v>191.7</v>
      </c>
      <c r="H1087">
        <v>3.53</v>
      </c>
      <c r="I1087">
        <v>1.843</v>
      </c>
      <c r="J1087">
        <v>8</v>
      </c>
      <c r="K1087">
        <v>46</v>
      </c>
      <c r="L1087">
        <v>23</v>
      </c>
      <c r="M1087" s="1">
        <v>9000000000</v>
      </c>
    </row>
    <row r="1088" spans="1:13" ht="15" customHeight="1">
      <c r="A1088" t="s">
        <v>18</v>
      </c>
      <c r="B1088">
        <f t="shared" si="64"/>
        <v>33.703176999999997</v>
      </c>
      <c r="C1088">
        <f t="shared" si="65"/>
        <v>-117.862573</v>
      </c>
      <c r="D1088">
        <f t="shared" si="66"/>
        <v>46</v>
      </c>
      <c r="E1088">
        <v>103.499</v>
      </c>
      <c r="F1088">
        <f t="shared" si="67"/>
        <v>-57.498999999999995</v>
      </c>
      <c r="G1088">
        <v>448.2</v>
      </c>
      <c r="H1088">
        <v>2.72</v>
      </c>
      <c r="I1088">
        <v>0.60699999999999998</v>
      </c>
      <c r="J1088">
        <v>10</v>
      </c>
      <c r="K1088">
        <v>72</v>
      </c>
      <c r="L1088">
        <v>36</v>
      </c>
      <c r="M1088" s="1">
        <v>9000000000</v>
      </c>
    </row>
    <row r="1089" spans="1:13" ht="15" customHeight="1">
      <c r="A1089" t="s">
        <v>19</v>
      </c>
      <c r="B1089">
        <f t="shared" si="64"/>
        <v>33.706218</v>
      </c>
      <c r="C1089">
        <f t="shared" si="65"/>
        <v>-117.859843</v>
      </c>
      <c r="D1089">
        <f t="shared" si="66"/>
        <v>46</v>
      </c>
      <c r="E1089">
        <v>0.5</v>
      </c>
      <c r="F1089">
        <f t="shared" si="67"/>
        <v>45.5</v>
      </c>
      <c r="G1089">
        <v>2.617</v>
      </c>
      <c r="H1089">
        <v>0.153</v>
      </c>
      <c r="I1089">
        <v>5.86</v>
      </c>
      <c r="J1089">
        <v>3</v>
      </c>
      <c r="K1089">
        <v>3</v>
      </c>
      <c r="L1089">
        <v>5</v>
      </c>
      <c r="M1089">
        <v>0.17199999999999999</v>
      </c>
    </row>
    <row r="1090" spans="1:13" ht="15" customHeight="1">
      <c r="A1090" t="s">
        <v>19</v>
      </c>
      <c r="B1090">
        <f t="shared" ref="B1090:B1153" si="68">VLOOKUP(A1090,XYdata,3,FALSE)</f>
        <v>33.706218</v>
      </c>
      <c r="C1090">
        <f t="shared" ref="C1090:C1153" si="69">VLOOKUP(A1090,XYdata,2,FALSE)</f>
        <v>-117.859843</v>
      </c>
      <c r="D1090">
        <f t="shared" ref="D1090:D1153" si="70">VLOOKUP(A1090,Elevation,2,FALSE)</f>
        <v>46</v>
      </c>
      <c r="E1090">
        <v>1.5</v>
      </c>
      <c r="F1090">
        <f t="shared" si="67"/>
        <v>44.5</v>
      </c>
      <c r="G1090">
        <v>5.883</v>
      </c>
      <c r="H1090">
        <v>0.193</v>
      </c>
      <c r="I1090">
        <v>3.2679999999999998</v>
      </c>
      <c r="J1090">
        <v>3</v>
      </c>
      <c r="K1090">
        <v>6</v>
      </c>
      <c r="L1090">
        <v>9</v>
      </c>
      <c r="M1090">
        <v>0.38800000000000001</v>
      </c>
    </row>
    <row r="1091" spans="1:13" ht="15" customHeight="1">
      <c r="A1091" t="s">
        <v>19</v>
      </c>
      <c r="B1091">
        <f t="shared" si="68"/>
        <v>33.706218</v>
      </c>
      <c r="C1091">
        <f t="shared" si="69"/>
        <v>-117.859843</v>
      </c>
      <c r="D1091">
        <f t="shared" si="70"/>
        <v>46</v>
      </c>
      <c r="E1091">
        <v>2.5</v>
      </c>
      <c r="F1091">
        <f t="shared" ref="F1091:F1154" si="71">D1091-E1091</f>
        <v>43.5</v>
      </c>
      <c r="G1091">
        <v>5.5830000000000002</v>
      </c>
      <c r="H1091">
        <v>0.255</v>
      </c>
      <c r="I1091">
        <v>4.5810000000000004</v>
      </c>
      <c r="J1091">
        <v>3</v>
      </c>
      <c r="K1091">
        <v>5</v>
      </c>
      <c r="L1091">
        <v>8</v>
      </c>
      <c r="M1091">
        <v>0.36099999999999999</v>
      </c>
    </row>
    <row r="1092" spans="1:13" ht="15" customHeight="1">
      <c r="A1092" t="s">
        <v>19</v>
      </c>
      <c r="B1092">
        <f t="shared" si="68"/>
        <v>33.706218</v>
      </c>
      <c r="C1092">
        <f t="shared" si="69"/>
        <v>-117.859843</v>
      </c>
      <c r="D1092">
        <f t="shared" si="70"/>
        <v>46</v>
      </c>
      <c r="E1092">
        <v>3.5</v>
      </c>
      <c r="F1092">
        <f t="shared" si="71"/>
        <v>42.5</v>
      </c>
      <c r="G1092">
        <v>5.8</v>
      </c>
      <c r="H1092">
        <v>0.28799999999999998</v>
      </c>
      <c r="I1092">
        <v>4.9710000000000001</v>
      </c>
      <c r="J1092">
        <v>3</v>
      </c>
      <c r="K1092">
        <v>6</v>
      </c>
      <c r="L1092">
        <v>9</v>
      </c>
      <c r="M1092">
        <v>0.373</v>
      </c>
    </row>
    <row r="1093" spans="1:13" ht="15" customHeight="1">
      <c r="A1093" t="s">
        <v>19</v>
      </c>
      <c r="B1093">
        <f t="shared" si="68"/>
        <v>33.706218</v>
      </c>
      <c r="C1093">
        <f t="shared" si="69"/>
        <v>-117.859843</v>
      </c>
      <c r="D1093">
        <f t="shared" si="70"/>
        <v>46</v>
      </c>
      <c r="E1093">
        <v>4.5</v>
      </c>
      <c r="F1093">
        <f t="shared" si="71"/>
        <v>41.5</v>
      </c>
      <c r="G1093">
        <v>9.8170000000000002</v>
      </c>
      <c r="H1093">
        <v>0.378</v>
      </c>
      <c r="I1093">
        <v>3.8540000000000001</v>
      </c>
      <c r="J1093">
        <v>3</v>
      </c>
      <c r="K1093">
        <v>9</v>
      </c>
      <c r="L1093">
        <v>14</v>
      </c>
      <c r="M1093">
        <v>0.63600000000000001</v>
      </c>
    </row>
    <row r="1094" spans="1:13" ht="15" customHeight="1">
      <c r="A1094" t="s">
        <v>19</v>
      </c>
      <c r="B1094">
        <f t="shared" si="68"/>
        <v>33.706218</v>
      </c>
      <c r="C1094">
        <f t="shared" si="69"/>
        <v>-117.859843</v>
      </c>
      <c r="D1094">
        <f t="shared" si="70"/>
        <v>46</v>
      </c>
      <c r="E1094">
        <v>5.5</v>
      </c>
      <c r="F1094">
        <f t="shared" si="71"/>
        <v>40.5</v>
      </c>
      <c r="G1094">
        <v>5.4329999999999998</v>
      </c>
      <c r="H1094">
        <v>0.193</v>
      </c>
      <c r="I1094">
        <v>3.569</v>
      </c>
      <c r="J1094">
        <v>3</v>
      </c>
      <c r="K1094">
        <v>5</v>
      </c>
      <c r="L1094">
        <v>8</v>
      </c>
      <c r="M1094">
        <v>0.33900000000000002</v>
      </c>
    </row>
    <row r="1095" spans="1:13" ht="15" customHeight="1">
      <c r="A1095" t="s">
        <v>19</v>
      </c>
      <c r="B1095">
        <f t="shared" si="68"/>
        <v>33.706218</v>
      </c>
      <c r="C1095">
        <f t="shared" si="69"/>
        <v>-117.859843</v>
      </c>
      <c r="D1095">
        <f t="shared" si="70"/>
        <v>46</v>
      </c>
      <c r="E1095">
        <v>6.5</v>
      </c>
      <c r="F1095">
        <f t="shared" si="71"/>
        <v>39.5</v>
      </c>
      <c r="G1095">
        <v>7.0670000000000002</v>
      </c>
      <c r="H1095">
        <v>0.215</v>
      </c>
      <c r="I1095">
        <v>3.05</v>
      </c>
      <c r="J1095">
        <v>3</v>
      </c>
      <c r="K1095">
        <v>7</v>
      </c>
      <c r="L1095">
        <v>11</v>
      </c>
      <c r="M1095">
        <v>0.44400000000000001</v>
      </c>
    </row>
    <row r="1096" spans="1:13" ht="15" customHeight="1">
      <c r="A1096" t="s">
        <v>19</v>
      </c>
      <c r="B1096">
        <f t="shared" si="68"/>
        <v>33.706218</v>
      </c>
      <c r="C1096">
        <f t="shared" si="69"/>
        <v>-117.859843</v>
      </c>
      <c r="D1096">
        <f t="shared" si="70"/>
        <v>46</v>
      </c>
      <c r="E1096">
        <v>7.5</v>
      </c>
      <c r="F1096">
        <f t="shared" si="71"/>
        <v>38.5</v>
      </c>
      <c r="G1096">
        <v>10.367000000000001</v>
      </c>
      <c r="H1096">
        <v>0.36299999999999999</v>
      </c>
      <c r="I1096">
        <v>3.4990000000000001</v>
      </c>
      <c r="J1096">
        <v>3</v>
      </c>
      <c r="K1096">
        <v>10</v>
      </c>
      <c r="L1096">
        <v>15</v>
      </c>
      <c r="M1096">
        <v>0.66200000000000003</v>
      </c>
    </row>
    <row r="1097" spans="1:13" ht="15" customHeight="1">
      <c r="A1097" t="s">
        <v>19</v>
      </c>
      <c r="B1097">
        <f t="shared" si="68"/>
        <v>33.706218</v>
      </c>
      <c r="C1097">
        <f t="shared" si="69"/>
        <v>-117.859843</v>
      </c>
      <c r="D1097">
        <f t="shared" si="70"/>
        <v>46</v>
      </c>
      <c r="E1097">
        <v>8.5</v>
      </c>
      <c r="F1097">
        <f t="shared" si="71"/>
        <v>37.5</v>
      </c>
      <c r="G1097">
        <v>8.4</v>
      </c>
      <c r="H1097">
        <v>0.29799999999999999</v>
      </c>
      <c r="I1097">
        <v>3.5659999999999998</v>
      </c>
      <c r="J1097">
        <v>3</v>
      </c>
      <c r="K1097">
        <v>8</v>
      </c>
      <c r="L1097">
        <v>12</v>
      </c>
      <c r="M1097">
        <v>0.52400000000000002</v>
      </c>
    </row>
    <row r="1098" spans="1:13" ht="15" customHeight="1">
      <c r="A1098" t="s">
        <v>19</v>
      </c>
      <c r="B1098">
        <f t="shared" si="68"/>
        <v>33.706218</v>
      </c>
      <c r="C1098">
        <f t="shared" si="69"/>
        <v>-117.859843</v>
      </c>
      <c r="D1098">
        <f t="shared" si="70"/>
        <v>46</v>
      </c>
      <c r="E1098">
        <v>9.5</v>
      </c>
      <c r="F1098">
        <f t="shared" si="71"/>
        <v>36.5</v>
      </c>
      <c r="G1098">
        <v>9.15</v>
      </c>
      <c r="H1098">
        <v>0.29199999999999998</v>
      </c>
      <c r="I1098">
        <v>3.1930000000000001</v>
      </c>
      <c r="J1098">
        <v>4</v>
      </c>
      <c r="K1098">
        <v>6</v>
      </c>
      <c r="L1098">
        <v>9</v>
      </c>
      <c r="M1098">
        <v>0.57099999999999995</v>
      </c>
    </row>
    <row r="1099" spans="1:13" ht="15" customHeight="1">
      <c r="A1099" t="s">
        <v>19</v>
      </c>
      <c r="B1099">
        <f t="shared" si="68"/>
        <v>33.706218</v>
      </c>
      <c r="C1099">
        <f t="shared" si="69"/>
        <v>-117.859843</v>
      </c>
      <c r="D1099">
        <f t="shared" si="70"/>
        <v>46</v>
      </c>
      <c r="E1099">
        <v>10.5</v>
      </c>
      <c r="F1099">
        <f t="shared" si="71"/>
        <v>35.5</v>
      </c>
      <c r="G1099">
        <v>11.486000000000001</v>
      </c>
      <c r="H1099">
        <v>0.38100000000000001</v>
      </c>
      <c r="I1099">
        <v>3.3130000000000002</v>
      </c>
      <c r="J1099">
        <v>4</v>
      </c>
      <c r="K1099">
        <v>7</v>
      </c>
      <c r="L1099">
        <v>10</v>
      </c>
      <c r="M1099">
        <v>0.72599999999999998</v>
      </c>
    </row>
    <row r="1100" spans="1:13" ht="15" customHeight="1">
      <c r="A1100" t="s">
        <v>19</v>
      </c>
      <c r="B1100">
        <f t="shared" si="68"/>
        <v>33.706218</v>
      </c>
      <c r="C1100">
        <f t="shared" si="69"/>
        <v>-117.859843</v>
      </c>
      <c r="D1100">
        <f t="shared" si="70"/>
        <v>46</v>
      </c>
      <c r="E1100">
        <v>11.5</v>
      </c>
      <c r="F1100">
        <f t="shared" si="71"/>
        <v>34.5</v>
      </c>
      <c r="G1100">
        <v>11.4</v>
      </c>
      <c r="H1100">
        <v>0.41699999999999998</v>
      </c>
      <c r="I1100">
        <v>3.65</v>
      </c>
      <c r="J1100">
        <v>3</v>
      </c>
      <c r="K1100">
        <v>11</v>
      </c>
      <c r="L1100">
        <v>15</v>
      </c>
      <c r="M1100">
        <v>0.71499999999999997</v>
      </c>
    </row>
    <row r="1101" spans="1:13" ht="15" customHeight="1">
      <c r="A1101" t="s">
        <v>19</v>
      </c>
      <c r="B1101">
        <f t="shared" si="68"/>
        <v>33.706218</v>
      </c>
      <c r="C1101">
        <f t="shared" si="69"/>
        <v>-117.859843</v>
      </c>
      <c r="D1101">
        <f t="shared" si="70"/>
        <v>46</v>
      </c>
      <c r="E1101">
        <v>12.5</v>
      </c>
      <c r="F1101">
        <f t="shared" si="71"/>
        <v>33.5</v>
      </c>
      <c r="G1101">
        <v>10.032999999999999</v>
      </c>
      <c r="H1101">
        <v>0.372</v>
      </c>
      <c r="I1101">
        <v>3.7040000000000002</v>
      </c>
      <c r="J1101">
        <v>3</v>
      </c>
      <c r="K1101">
        <v>10</v>
      </c>
      <c r="L1101">
        <v>12</v>
      </c>
      <c r="M1101">
        <v>0.61899999999999999</v>
      </c>
    </row>
    <row r="1102" spans="1:13" ht="15" customHeight="1">
      <c r="A1102" t="s">
        <v>19</v>
      </c>
      <c r="B1102">
        <f t="shared" si="68"/>
        <v>33.706218</v>
      </c>
      <c r="C1102">
        <f t="shared" si="69"/>
        <v>-117.859843</v>
      </c>
      <c r="D1102">
        <f t="shared" si="70"/>
        <v>46</v>
      </c>
      <c r="E1102">
        <v>13.5</v>
      </c>
      <c r="F1102">
        <f t="shared" si="71"/>
        <v>32.5</v>
      </c>
      <c r="G1102">
        <v>7.9669999999999996</v>
      </c>
      <c r="H1102">
        <v>0.26500000000000001</v>
      </c>
      <c r="I1102">
        <v>3.3260000000000001</v>
      </c>
      <c r="J1102">
        <v>3</v>
      </c>
      <c r="K1102">
        <v>8</v>
      </c>
      <c r="L1102">
        <v>9</v>
      </c>
      <c r="M1102">
        <v>0.47699999999999998</v>
      </c>
    </row>
    <row r="1103" spans="1:13" ht="15" customHeight="1">
      <c r="A1103" t="s">
        <v>19</v>
      </c>
      <c r="B1103">
        <f t="shared" si="68"/>
        <v>33.706218</v>
      </c>
      <c r="C1103">
        <f t="shared" si="69"/>
        <v>-117.859843</v>
      </c>
      <c r="D1103">
        <f t="shared" si="70"/>
        <v>46</v>
      </c>
      <c r="E1103">
        <v>14.5</v>
      </c>
      <c r="F1103">
        <f t="shared" si="71"/>
        <v>31.5</v>
      </c>
      <c r="G1103">
        <v>10.3</v>
      </c>
      <c r="H1103">
        <v>0.30499999999999999</v>
      </c>
      <c r="I1103">
        <v>2.9369999999999998</v>
      </c>
      <c r="J1103">
        <v>4</v>
      </c>
      <c r="K1103">
        <v>7</v>
      </c>
      <c r="L1103">
        <v>8</v>
      </c>
      <c r="M1103">
        <v>0.63400000000000001</v>
      </c>
    </row>
    <row r="1104" spans="1:13" ht="15" customHeight="1">
      <c r="A1104" t="s">
        <v>19</v>
      </c>
      <c r="B1104">
        <f t="shared" si="68"/>
        <v>33.706218</v>
      </c>
      <c r="C1104">
        <f t="shared" si="69"/>
        <v>-117.859843</v>
      </c>
      <c r="D1104">
        <f t="shared" si="70"/>
        <v>46</v>
      </c>
      <c r="E1104">
        <v>15.5</v>
      </c>
      <c r="F1104">
        <f t="shared" si="71"/>
        <v>30.5</v>
      </c>
      <c r="G1104">
        <v>11.433</v>
      </c>
      <c r="H1104">
        <v>0.38500000000000001</v>
      </c>
      <c r="I1104">
        <v>3.3330000000000002</v>
      </c>
      <c r="J1104">
        <v>4</v>
      </c>
      <c r="K1104">
        <v>7</v>
      </c>
      <c r="L1104">
        <v>7</v>
      </c>
      <c r="M1104">
        <v>0.70799999999999996</v>
      </c>
    </row>
    <row r="1105" spans="1:13" ht="15" customHeight="1">
      <c r="A1105" t="s">
        <v>19</v>
      </c>
      <c r="B1105">
        <f t="shared" si="68"/>
        <v>33.706218</v>
      </c>
      <c r="C1105">
        <f t="shared" si="69"/>
        <v>-117.859843</v>
      </c>
      <c r="D1105">
        <f t="shared" si="70"/>
        <v>46</v>
      </c>
      <c r="E1105">
        <v>16.5</v>
      </c>
      <c r="F1105">
        <f t="shared" si="71"/>
        <v>29.5</v>
      </c>
      <c r="G1105">
        <v>9.0670000000000002</v>
      </c>
      <c r="H1105">
        <v>0.17199999999999999</v>
      </c>
      <c r="I1105">
        <v>1.8560000000000001</v>
      </c>
      <c r="J1105">
        <v>5</v>
      </c>
      <c r="K1105">
        <v>4</v>
      </c>
      <c r="L1105">
        <v>4</v>
      </c>
      <c r="M1105">
        <v>0.55000000000000004</v>
      </c>
    </row>
    <row r="1106" spans="1:13" ht="15" customHeight="1">
      <c r="A1106" t="s">
        <v>19</v>
      </c>
      <c r="B1106">
        <f t="shared" si="68"/>
        <v>33.706218</v>
      </c>
      <c r="C1106">
        <f t="shared" si="69"/>
        <v>-117.859843</v>
      </c>
      <c r="D1106">
        <f t="shared" si="70"/>
        <v>46</v>
      </c>
      <c r="E1106">
        <v>17.5</v>
      </c>
      <c r="F1106">
        <f t="shared" si="71"/>
        <v>28.5</v>
      </c>
      <c r="G1106">
        <v>14.45</v>
      </c>
      <c r="H1106">
        <v>0.26700000000000002</v>
      </c>
      <c r="I1106">
        <v>1.829</v>
      </c>
      <c r="J1106">
        <v>5</v>
      </c>
      <c r="K1106">
        <v>7</v>
      </c>
      <c r="L1106">
        <v>7</v>
      </c>
      <c r="M1106">
        <v>0.90200000000000002</v>
      </c>
    </row>
    <row r="1107" spans="1:13" ht="15" customHeight="1">
      <c r="A1107" t="s">
        <v>19</v>
      </c>
      <c r="B1107">
        <f t="shared" si="68"/>
        <v>33.706218</v>
      </c>
      <c r="C1107">
        <f t="shared" si="69"/>
        <v>-117.859843</v>
      </c>
      <c r="D1107">
        <f t="shared" si="70"/>
        <v>46</v>
      </c>
      <c r="E1107">
        <v>18.5</v>
      </c>
      <c r="F1107">
        <f t="shared" si="71"/>
        <v>27.5</v>
      </c>
      <c r="G1107">
        <v>11.717000000000001</v>
      </c>
      <c r="H1107">
        <v>0.373</v>
      </c>
      <c r="I1107">
        <v>3.2050000000000001</v>
      </c>
      <c r="J1107">
        <v>4</v>
      </c>
      <c r="K1107">
        <v>7</v>
      </c>
      <c r="L1107">
        <v>6</v>
      </c>
      <c r="M1107">
        <v>0.70199999999999996</v>
      </c>
    </row>
    <row r="1108" spans="1:13" ht="15" customHeight="1">
      <c r="A1108" t="s">
        <v>19</v>
      </c>
      <c r="B1108">
        <f t="shared" si="68"/>
        <v>33.706218</v>
      </c>
      <c r="C1108">
        <f t="shared" si="69"/>
        <v>-117.859843</v>
      </c>
      <c r="D1108">
        <f t="shared" si="70"/>
        <v>46</v>
      </c>
      <c r="E1108">
        <v>19.5</v>
      </c>
      <c r="F1108">
        <f t="shared" si="71"/>
        <v>26.5</v>
      </c>
      <c r="G1108">
        <v>9.4169999999999998</v>
      </c>
      <c r="H1108">
        <v>0.245</v>
      </c>
      <c r="I1108">
        <v>2.6110000000000002</v>
      </c>
      <c r="J1108">
        <v>4</v>
      </c>
      <c r="K1108">
        <v>6</v>
      </c>
      <c r="L1108">
        <v>5</v>
      </c>
      <c r="M1108">
        <v>0.54700000000000004</v>
      </c>
    </row>
    <row r="1109" spans="1:13" ht="15" customHeight="1">
      <c r="A1109" t="s">
        <v>19</v>
      </c>
      <c r="B1109">
        <f t="shared" si="68"/>
        <v>33.706218</v>
      </c>
      <c r="C1109">
        <f t="shared" si="69"/>
        <v>-117.859843</v>
      </c>
      <c r="D1109">
        <f t="shared" si="70"/>
        <v>46</v>
      </c>
      <c r="E1109">
        <v>20.5</v>
      </c>
      <c r="F1109">
        <f t="shared" si="71"/>
        <v>25.5</v>
      </c>
      <c r="G1109">
        <v>9.5139999999999993</v>
      </c>
      <c r="H1109">
        <v>0.25600000000000001</v>
      </c>
      <c r="I1109">
        <v>2.6880000000000002</v>
      </c>
      <c r="J1109">
        <v>4</v>
      </c>
      <c r="K1109">
        <v>6</v>
      </c>
      <c r="L1109">
        <v>5</v>
      </c>
      <c r="M1109">
        <v>0.55200000000000005</v>
      </c>
    </row>
    <row r="1110" spans="1:13" ht="15" customHeight="1">
      <c r="A1110" t="s">
        <v>19</v>
      </c>
      <c r="B1110">
        <f t="shared" si="68"/>
        <v>33.706218</v>
      </c>
      <c r="C1110">
        <f t="shared" si="69"/>
        <v>-117.859843</v>
      </c>
      <c r="D1110">
        <f t="shared" si="70"/>
        <v>46</v>
      </c>
      <c r="E1110">
        <v>21.5</v>
      </c>
      <c r="F1110">
        <f t="shared" si="71"/>
        <v>24.5</v>
      </c>
      <c r="G1110">
        <v>10.016999999999999</v>
      </c>
      <c r="H1110">
        <v>0.253</v>
      </c>
      <c r="I1110">
        <v>2.5289999999999999</v>
      </c>
      <c r="J1110">
        <v>4</v>
      </c>
      <c r="K1110">
        <v>6</v>
      </c>
      <c r="L1110">
        <v>5</v>
      </c>
      <c r="M1110">
        <v>0.58199999999999996</v>
      </c>
    </row>
    <row r="1111" spans="1:13" ht="15" customHeight="1">
      <c r="A1111" t="s">
        <v>19</v>
      </c>
      <c r="B1111">
        <f t="shared" si="68"/>
        <v>33.706218</v>
      </c>
      <c r="C1111">
        <f t="shared" si="69"/>
        <v>-117.859843</v>
      </c>
      <c r="D1111">
        <f t="shared" si="70"/>
        <v>46</v>
      </c>
      <c r="E1111">
        <v>22.5</v>
      </c>
      <c r="F1111">
        <f t="shared" si="71"/>
        <v>23.5</v>
      </c>
      <c r="G1111">
        <v>9.9499999999999993</v>
      </c>
      <c r="H1111">
        <v>0.20699999999999999</v>
      </c>
      <c r="I1111">
        <v>2.0739999999999998</v>
      </c>
      <c r="J1111">
        <v>5</v>
      </c>
      <c r="K1111">
        <v>5</v>
      </c>
      <c r="L1111">
        <v>4</v>
      </c>
      <c r="M1111">
        <v>0.57399999999999995</v>
      </c>
    </row>
    <row r="1112" spans="1:13" ht="15" customHeight="1">
      <c r="A1112" t="s">
        <v>19</v>
      </c>
      <c r="B1112">
        <f t="shared" si="68"/>
        <v>33.706218</v>
      </c>
      <c r="C1112">
        <f t="shared" si="69"/>
        <v>-117.859843</v>
      </c>
      <c r="D1112">
        <f t="shared" si="70"/>
        <v>46</v>
      </c>
      <c r="E1112">
        <v>23.5</v>
      </c>
      <c r="F1112">
        <f t="shared" si="71"/>
        <v>22.5</v>
      </c>
      <c r="G1112">
        <v>13.782999999999999</v>
      </c>
      <c r="H1112">
        <v>0.38500000000000001</v>
      </c>
      <c r="I1112">
        <v>2.79</v>
      </c>
      <c r="J1112">
        <v>5</v>
      </c>
      <c r="K1112">
        <v>7</v>
      </c>
      <c r="L1112">
        <v>5</v>
      </c>
      <c r="M1112">
        <v>0.82599999999999996</v>
      </c>
    </row>
    <row r="1113" spans="1:13" ht="15" customHeight="1">
      <c r="A1113" t="s">
        <v>19</v>
      </c>
      <c r="B1113">
        <f t="shared" si="68"/>
        <v>33.706218</v>
      </c>
      <c r="C1113">
        <f t="shared" si="69"/>
        <v>-117.859843</v>
      </c>
      <c r="D1113">
        <f t="shared" si="70"/>
        <v>46</v>
      </c>
      <c r="E1113">
        <v>24.5</v>
      </c>
      <c r="F1113">
        <f t="shared" si="71"/>
        <v>21.5</v>
      </c>
      <c r="G1113">
        <v>22.832999999999998</v>
      </c>
      <c r="H1113">
        <v>0.81</v>
      </c>
      <c r="I1113">
        <v>3.5350000000000001</v>
      </c>
      <c r="J1113">
        <v>5</v>
      </c>
      <c r="K1113">
        <v>11</v>
      </c>
      <c r="L1113">
        <v>8</v>
      </c>
      <c r="M1113">
        <v>1.43</v>
      </c>
    </row>
    <row r="1114" spans="1:13" ht="15" customHeight="1">
      <c r="A1114" t="s">
        <v>19</v>
      </c>
      <c r="B1114">
        <f t="shared" si="68"/>
        <v>33.706218</v>
      </c>
      <c r="C1114">
        <f t="shared" si="69"/>
        <v>-117.859843</v>
      </c>
      <c r="D1114">
        <f t="shared" si="70"/>
        <v>46</v>
      </c>
      <c r="E1114">
        <v>25.5</v>
      </c>
      <c r="F1114">
        <f t="shared" si="71"/>
        <v>20.5</v>
      </c>
      <c r="G1114">
        <v>22.382999999999999</v>
      </c>
      <c r="H1114">
        <v>0.76700000000000002</v>
      </c>
      <c r="I1114">
        <v>3.407</v>
      </c>
      <c r="J1114">
        <v>5</v>
      </c>
      <c r="K1114">
        <v>11</v>
      </c>
      <c r="L1114">
        <v>8</v>
      </c>
      <c r="M1114">
        <v>1.3979999999999999</v>
      </c>
    </row>
    <row r="1115" spans="1:13" ht="15" customHeight="1">
      <c r="A1115" t="s">
        <v>19</v>
      </c>
      <c r="B1115">
        <f t="shared" si="68"/>
        <v>33.706218</v>
      </c>
      <c r="C1115">
        <f t="shared" si="69"/>
        <v>-117.859843</v>
      </c>
      <c r="D1115">
        <f t="shared" si="70"/>
        <v>46</v>
      </c>
      <c r="E1115">
        <v>26.5</v>
      </c>
      <c r="F1115">
        <f t="shared" si="71"/>
        <v>19.5</v>
      </c>
      <c r="G1115">
        <v>32.85</v>
      </c>
      <c r="H1115">
        <v>0.748</v>
      </c>
      <c r="I1115">
        <v>2.2629999999999999</v>
      </c>
      <c r="J1115">
        <v>6</v>
      </c>
      <c r="K1115">
        <v>13</v>
      </c>
      <c r="L1115">
        <v>9</v>
      </c>
      <c r="M1115">
        <v>2.0979999999999999</v>
      </c>
    </row>
    <row r="1116" spans="1:13" ht="15" customHeight="1">
      <c r="A1116" t="s">
        <v>19</v>
      </c>
      <c r="B1116">
        <f t="shared" si="68"/>
        <v>33.706218</v>
      </c>
      <c r="C1116">
        <f t="shared" si="69"/>
        <v>-117.859843</v>
      </c>
      <c r="D1116">
        <f t="shared" si="70"/>
        <v>46</v>
      </c>
      <c r="E1116">
        <v>27.5</v>
      </c>
      <c r="F1116">
        <f t="shared" si="71"/>
        <v>18.5</v>
      </c>
      <c r="G1116">
        <v>72.716999999999999</v>
      </c>
      <c r="H1116">
        <v>2.698</v>
      </c>
      <c r="I1116">
        <v>3.6859999999999999</v>
      </c>
      <c r="J1116">
        <v>5</v>
      </c>
      <c r="K1116">
        <v>35</v>
      </c>
      <c r="L1116">
        <v>25</v>
      </c>
      <c r="M1116">
        <v>4.7690000000000001</v>
      </c>
    </row>
    <row r="1117" spans="1:13" ht="15" customHeight="1">
      <c r="A1117" t="s">
        <v>19</v>
      </c>
      <c r="B1117">
        <f t="shared" si="68"/>
        <v>33.706218</v>
      </c>
      <c r="C1117">
        <f t="shared" si="69"/>
        <v>-117.859843</v>
      </c>
      <c r="D1117">
        <f t="shared" si="70"/>
        <v>46</v>
      </c>
      <c r="E1117">
        <v>28.5</v>
      </c>
      <c r="F1117">
        <f t="shared" si="71"/>
        <v>17.5</v>
      </c>
      <c r="G1117">
        <v>38.683</v>
      </c>
      <c r="H1117">
        <v>0.84799999999999998</v>
      </c>
      <c r="I1117">
        <v>2.1459999999999999</v>
      </c>
      <c r="J1117">
        <v>6</v>
      </c>
      <c r="K1117">
        <v>15</v>
      </c>
      <c r="L1117">
        <v>10</v>
      </c>
      <c r="M1117">
        <v>2.5209999999999999</v>
      </c>
    </row>
    <row r="1118" spans="1:13" ht="15" customHeight="1">
      <c r="A1118" t="s">
        <v>19</v>
      </c>
      <c r="B1118">
        <f t="shared" si="68"/>
        <v>33.706218</v>
      </c>
      <c r="C1118">
        <f t="shared" si="69"/>
        <v>-117.859843</v>
      </c>
      <c r="D1118">
        <f t="shared" si="70"/>
        <v>46</v>
      </c>
      <c r="E1118">
        <v>29.5</v>
      </c>
      <c r="F1118">
        <f t="shared" si="71"/>
        <v>16.5</v>
      </c>
      <c r="G1118">
        <v>55.6</v>
      </c>
      <c r="H1118">
        <v>2.02</v>
      </c>
      <c r="I1118">
        <v>3.5539999999999998</v>
      </c>
      <c r="J1118">
        <v>5</v>
      </c>
      <c r="K1118">
        <v>27</v>
      </c>
      <c r="L1118">
        <v>18</v>
      </c>
      <c r="M1118">
        <v>3.67</v>
      </c>
    </row>
    <row r="1119" spans="1:13" ht="15" customHeight="1">
      <c r="A1119" t="s">
        <v>19</v>
      </c>
      <c r="B1119">
        <f t="shared" si="68"/>
        <v>33.706218</v>
      </c>
      <c r="C1119">
        <f t="shared" si="69"/>
        <v>-117.859843</v>
      </c>
      <c r="D1119">
        <f t="shared" si="70"/>
        <v>46</v>
      </c>
      <c r="E1119">
        <v>30.5</v>
      </c>
      <c r="F1119">
        <f t="shared" si="71"/>
        <v>15.5</v>
      </c>
      <c r="G1119">
        <v>36.417000000000002</v>
      </c>
      <c r="H1119">
        <v>1.677</v>
      </c>
      <c r="I1119">
        <v>4.5380000000000003</v>
      </c>
      <c r="J1119">
        <v>4</v>
      </c>
      <c r="K1119">
        <v>24</v>
      </c>
      <c r="L1119">
        <v>16</v>
      </c>
      <c r="M1119">
        <v>2.34</v>
      </c>
    </row>
    <row r="1120" spans="1:13" ht="15" customHeight="1">
      <c r="A1120" t="s">
        <v>19</v>
      </c>
      <c r="B1120">
        <f t="shared" si="68"/>
        <v>33.706218</v>
      </c>
      <c r="C1120">
        <f t="shared" si="69"/>
        <v>-117.859843</v>
      </c>
      <c r="D1120">
        <f t="shared" si="70"/>
        <v>46</v>
      </c>
      <c r="E1120">
        <v>31.5</v>
      </c>
      <c r="F1120">
        <f t="shared" si="71"/>
        <v>14.5</v>
      </c>
      <c r="G1120">
        <v>34.686</v>
      </c>
      <c r="H1120">
        <v>1.7410000000000001</v>
      </c>
      <c r="I1120">
        <v>4.9690000000000003</v>
      </c>
      <c r="J1120">
        <v>3</v>
      </c>
      <c r="K1120">
        <v>34</v>
      </c>
      <c r="L1120">
        <v>23</v>
      </c>
      <c r="M1120">
        <v>2.2090000000000001</v>
      </c>
    </row>
    <row r="1121" spans="1:13" ht="15" customHeight="1">
      <c r="A1121" t="s">
        <v>19</v>
      </c>
      <c r="B1121">
        <f t="shared" si="68"/>
        <v>33.706218</v>
      </c>
      <c r="C1121">
        <f t="shared" si="69"/>
        <v>-117.859843</v>
      </c>
      <c r="D1121">
        <f t="shared" si="70"/>
        <v>46</v>
      </c>
      <c r="E1121">
        <v>32.5</v>
      </c>
      <c r="F1121">
        <f t="shared" si="71"/>
        <v>13.5</v>
      </c>
      <c r="G1121">
        <v>274.61700000000002</v>
      </c>
      <c r="H1121">
        <v>3.9470000000000001</v>
      </c>
      <c r="I1121">
        <v>1.4379999999999999</v>
      </c>
      <c r="J1121">
        <v>8</v>
      </c>
      <c r="K1121">
        <v>66</v>
      </c>
      <c r="L1121">
        <v>43</v>
      </c>
      <c r="M1121" s="1">
        <v>9000000000</v>
      </c>
    </row>
    <row r="1122" spans="1:13" ht="15" customHeight="1">
      <c r="A1122" t="s">
        <v>19</v>
      </c>
      <c r="B1122">
        <f t="shared" si="68"/>
        <v>33.706218</v>
      </c>
      <c r="C1122">
        <f t="shared" si="69"/>
        <v>-117.859843</v>
      </c>
      <c r="D1122">
        <f t="shared" si="70"/>
        <v>46</v>
      </c>
      <c r="E1122">
        <v>33.5</v>
      </c>
      <c r="F1122">
        <f t="shared" si="71"/>
        <v>12.5</v>
      </c>
      <c r="G1122">
        <v>124.55</v>
      </c>
      <c r="H1122">
        <v>3.7370000000000001</v>
      </c>
      <c r="I1122">
        <v>3.0049999999999999</v>
      </c>
      <c r="J1122">
        <v>6</v>
      </c>
      <c r="K1122">
        <v>48</v>
      </c>
      <c r="L1122">
        <v>31</v>
      </c>
      <c r="M1122">
        <v>8.1549999999999994</v>
      </c>
    </row>
    <row r="1123" spans="1:13" ht="15" customHeight="1">
      <c r="A1123" t="s">
        <v>19</v>
      </c>
      <c r="B1123">
        <f t="shared" si="68"/>
        <v>33.706218</v>
      </c>
      <c r="C1123">
        <f t="shared" si="69"/>
        <v>-117.859843</v>
      </c>
      <c r="D1123">
        <f t="shared" si="70"/>
        <v>46</v>
      </c>
      <c r="E1123">
        <v>34.5</v>
      </c>
      <c r="F1123">
        <f t="shared" si="71"/>
        <v>11.5</v>
      </c>
      <c r="G1123">
        <v>273.11700000000002</v>
      </c>
      <c r="H1123">
        <v>1.2030000000000001</v>
      </c>
      <c r="I1123">
        <v>0.441</v>
      </c>
      <c r="J1123">
        <v>10</v>
      </c>
      <c r="K1123">
        <v>44</v>
      </c>
      <c r="L1123">
        <v>28</v>
      </c>
      <c r="M1123" s="1">
        <v>9000000000</v>
      </c>
    </row>
    <row r="1124" spans="1:13" ht="15" customHeight="1">
      <c r="A1124" t="s">
        <v>19</v>
      </c>
      <c r="B1124">
        <f t="shared" si="68"/>
        <v>33.706218</v>
      </c>
      <c r="C1124">
        <f t="shared" si="69"/>
        <v>-117.859843</v>
      </c>
      <c r="D1124">
        <f t="shared" si="70"/>
        <v>46</v>
      </c>
      <c r="E1124">
        <v>35.5</v>
      </c>
      <c r="F1124">
        <f t="shared" si="71"/>
        <v>10.5</v>
      </c>
      <c r="G1124">
        <v>234.28299999999999</v>
      </c>
      <c r="H1124">
        <v>1.103</v>
      </c>
      <c r="I1124">
        <v>0.47099999999999997</v>
      </c>
      <c r="J1124">
        <v>9</v>
      </c>
      <c r="K1124">
        <v>45</v>
      </c>
      <c r="L1124">
        <v>28</v>
      </c>
      <c r="M1124" s="1">
        <v>9000000000</v>
      </c>
    </row>
    <row r="1125" spans="1:13" ht="15" customHeight="1">
      <c r="A1125" t="s">
        <v>19</v>
      </c>
      <c r="B1125">
        <f t="shared" si="68"/>
        <v>33.706218</v>
      </c>
      <c r="C1125">
        <f t="shared" si="69"/>
        <v>-117.859843</v>
      </c>
      <c r="D1125">
        <f t="shared" si="70"/>
        <v>46</v>
      </c>
      <c r="E1125">
        <v>36.5</v>
      </c>
      <c r="F1125">
        <f t="shared" si="71"/>
        <v>9.5</v>
      </c>
      <c r="G1125">
        <v>210.71700000000001</v>
      </c>
      <c r="H1125">
        <v>1.2430000000000001</v>
      </c>
      <c r="I1125">
        <v>0.59</v>
      </c>
      <c r="J1125">
        <v>9</v>
      </c>
      <c r="K1125">
        <v>40</v>
      </c>
      <c r="L1125">
        <v>25</v>
      </c>
      <c r="M1125" s="1">
        <v>9000000000</v>
      </c>
    </row>
    <row r="1126" spans="1:13" ht="15" customHeight="1">
      <c r="A1126" t="s">
        <v>19</v>
      </c>
      <c r="B1126">
        <f t="shared" si="68"/>
        <v>33.706218</v>
      </c>
      <c r="C1126">
        <f t="shared" si="69"/>
        <v>-117.859843</v>
      </c>
      <c r="D1126">
        <f t="shared" si="70"/>
        <v>46</v>
      </c>
      <c r="E1126">
        <v>37.5</v>
      </c>
      <c r="F1126">
        <f t="shared" si="71"/>
        <v>8.5</v>
      </c>
      <c r="G1126">
        <v>198.65</v>
      </c>
      <c r="H1126">
        <v>1.018</v>
      </c>
      <c r="I1126">
        <v>0.51200000000000001</v>
      </c>
      <c r="J1126">
        <v>9</v>
      </c>
      <c r="K1126">
        <v>38</v>
      </c>
      <c r="L1126">
        <v>23</v>
      </c>
      <c r="M1126" s="1">
        <v>9000000000</v>
      </c>
    </row>
    <row r="1127" spans="1:13" ht="15" customHeight="1">
      <c r="A1127" t="s">
        <v>19</v>
      </c>
      <c r="B1127">
        <f t="shared" si="68"/>
        <v>33.706218</v>
      </c>
      <c r="C1127">
        <f t="shared" si="69"/>
        <v>-117.859843</v>
      </c>
      <c r="D1127">
        <f t="shared" si="70"/>
        <v>46</v>
      </c>
      <c r="E1127">
        <v>38.5</v>
      </c>
      <c r="F1127">
        <f t="shared" si="71"/>
        <v>7.5</v>
      </c>
      <c r="G1127">
        <v>274.017</v>
      </c>
      <c r="H1127">
        <v>1.1279999999999999</v>
      </c>
      <c r="I1127">
        <v>0.41199999999999998</v>
      </c>
      <c r="J1127">
        <v>10</v>
      </c>
      <c r="K1127">
        <v>44</v>
      </c>
      <c r="L1127">
        <v>27</v>
      </c>
      <c r="M1127" s="1">
        <v>9000000000</v>
      </c>
    </row>
    <row r="1128" spans="1:13" ht="15" customHeight="1">
      <c r="A1128" t="s">
        <v>19</v>
      </c>
      <c r="B1128">
        <f t="shared" si="68"/>
        <v>33.706218</v>
      </c>
      <c r="C1128">
        <f t="shared" si="69"/>
        <v>-117.859843</v>
      </c>
      <c r="D1128">
        <f t="shared" si="70"/>
        <v>46</v>
      </c>
      <c r="E1128">
        <v>39.5</v>
      </c>
      <c r="F1128">
        <f t="shared" si="71"/>
        <v>6.5</v>
      </c>
      <c r="G1128">
        <v>276.767</v>
      </c>
      <c r="H1128">
        <v>1.248</v>
      </c>
      <c r="I1128">
        <v>0.45100000000000001</v>
      </c>
      <c r="J1128">
        <v>10</v>
      </c>
      <c r="K1128">
        <v>44</v>
      </c>
      <c r="L1128">
        <v>26</v>
      </c>
      <c r="M1128" s="1">
        <v>9000000000</v>
      </c>
    </row>
    <row r="1129" spans="1:13" ht="15" customHeight="1">
      <c r="A1129" t="s">
        <v>19</v>
      </c>
      <c r="B1129">
        <f t="shared" si="68"/>
        <v>33.706218</v>
      </c>
      <c r="C1129">
        <f t="shared" si="69"/>
        <v>-117.859843</v>
      </c>
      <c r="D1129">
        <f t="shared" si="70"/>
        <v>46</v>
      </c>
      <c r="E1129">
        <v>40.5</v>
      </c>
      <c r="F1129">
        <f t="shared" si="71"/>
        <v>5.5</v>
      </c>
      <c r="G1129">
        <v>301.58300000000003</v>
      </c>
      <c r="H1129">
        <v>1.9470000000000001</v>
      </c>
      <c r="I1129">
        <v>0.64600000000000002</v>
      </c>
      <c r="J1129">
        <v>10</v>
      </c>
      <c r="K1129">
        <v>48</v>
      </c>
      <c r="L1129">
        <v>28</v>
      </c>
      <c r="M1129" s="1">
        <v>9000000000</v>
      </c>
    </row>
    <row r="1130" spans="1:13" ht="15" customHeight="1">
      <c r="A1130" t="s">
        <v>19</v>
      </c>
      <c r="B1130">
        <f t="shared" si="68"/>
        <v>33.706218</v>
      </c>
      <c r="C1130">
        <f t="shared" si="69"/>
        <v>-117.859843</v>
      </c>
      <c r="D1130">
        <f t="shared" si="70"/>
        <v>46</v>
      </c>
      <c r="E1130">
        <v>41.499000000000002</v>
      </c>
      <c r="F1130">
        <f t="shared" si="71"/>
        <v>4.5009999999999977</v>
      </c>
      <c r="G1130">
        <v>158.029</v>
      </c>
      <c r="H1130">
        <v>1.9390000000000001</v>
      </c>
      <c r="I1130">
        <v>1.2270000000000001</v>
      </c>
      <c r="J1130">
        <v>8</v>
      </c>
      <c r="K1130">
        <v>38</v>
      </c>
      <c r="L1130">
        <v>22</v>
      </c>
      <c r="M1130" s="1">
        <v>9000000000</v>
      </c>
    </row>
    <row r="1131" spans="1:13" ht="15" customHeight="1">
      <c r="A1131" t="s">
        <v>19</v>
      </c>
      <c r="B1131">
        <f t="shared" si="68"/>
        <v>33.706218</v>
      </c>
      <c r="C1131">
        <f t="shared" si="69"/>
        <v>-117.859843</v>
      </c>
      <c r="D1131">
        <f t="shared" si="70"/>
        <v>46</v>
      </c>
      <c r="E1131">
        <v>42.499000000000002</v>
      </c>
      <c r="F1131">
        <f t="shared" si="71"/>
        <v>3.5009999999999977</v>
      </c>
      <c r="G1131">
        <v>65.582999999999998</v>
      </c>
      <c r="H1131">
        <v>2.3330000000000002</v>
      </c>
      <c r="I1131">
        <v>3.5619999999999998</v>
      </c>
      <c r="J1131">
        <v>5</v>
      </c>
      <c r="K1131">
        <v>31</v>
      </c>
      <c r="L1131">
        <v>18</v>
      </c>
      <c r="M1131">
        <v>4.1929999999999996</v>
      </c>
    </row>
    <row r="1132" spans="1:13" ht="15" customHeight="1">
      <c r="A1132" t="s">
        <v>19</v>
      </c>
      <c r="B1132">
        <f t="shared" si="68"/>
        <v>33.706218</v>
      </c>
      <c r="C1132">
        <f t="shared" si="69"/>
        <v>-117.859843</v>
      </c>
      <c r="D1132">
        <f t="shared" si="70"/>
        <v>46</v>
      </c>
      <c r="E1132">
        <v>43.499000000000002</v>
      </c>
      <c r="F1132">
        <f t="shared" si="71"/>
        <v>2.5009999999999977</v>
      </c>
      <c r="G1132">
        <v>92.917000000000002</v>
      </c>
      <c r="H1132">
        <v>2.7080000000000002</v>
      </c>
      <c r="I1132">
        <v>2.92</v>
      </c>
      <c r="J1132">
        <v>6</v>
      </c>
      <c r="K1132">
        <v>36</v>
      </c>
      <c r="L1132">
        <v>20</v>
      </c>
      <c r="M1132">
        <v>6.0049999999999999</v>
      </c>
    </row>
    <row r="1133" spans="1:13" ht="15" customHeight="1">
      <c r="A1133" t="s">
        <v>19</v>
      </c>
      <c r="B1133">
        <f t="shared" si="68"/>
        <v>33.706218</v>
      </c>
      <c r="C1133">
        <f t="shared" si="69"/>
        <v>-117.859843</v>
      </c>
      <c r="D1133">
        <f t="shared" si="70"/>
        <v>46</v>
      </c>
      <c r="E1133">
        <v>44.499000000000002</v>
      </c>
      <c r="F1133">
        <f t="shared" si="71"/>
        <v>1.5009999999999977</v>
      </c>
      <c r="G1133">
        <v>61.2</v>
      </c>
      <c r="H1133">
        <v>2.3250000000000002</v>
      </c>
      <c r="I1133">
        <v>3.8140000000000001</v>
      </c>
      <c r="J1133">
        <v>5</v>
      </c>
      <c r="K1133">
        <v>29</v>
      </c>
      <c r="L1133">
        <v>16</v>
      </c>
      <c r="M1133">
        <v>3.8820000000000001</v>
      </c>
    </row>
    <row r="1134" spans="1:13" ht="15" customHeight="1">
      <c r="A1134" t="s">
        <v>19</v>
      </c>
      <c r="B1134">
        <f t="shared" si="68"/>
        <v>33.706218</v>
      </c>
      <c r="C1134">
        <f t="shared" si="69"/>
        <v>-117.859843</v>
      </c>
      <c r="D1134">
        <f t="shared" si="70"/>
        <v>46</v>
      </c>
      <c r="E1134">
        <v>45.499000000000002</v>
      </c>
      <c r="F1134">
        <f t="shared" si="71"/>
        <v>0.50099999999999767</v>
      </c>
      <c r="G1134">
        <v>23.082999999999998</v>
      </c>
      <c r="H1134">
        <v>0.79800000000000004</v>
      </c>
      <c r="I1134">
        <v>3.4889999999999999</v>
      </c>
      <c r="J1134">
        <v>5</v>
      </c>
      <c r="K1134">
        <v>11</v>
      </c>
      <c r="L1134">
        <v>6</v>
      </c>
      <c r="M1134">
        <v>1.339</v>
      </c>
    </row>
    <row r="1135" spans="1:13" ht="15" customHeight="1">
      <c r="A1135" t="s">
        <v>19</v>
      </c>
      <c r="B1135">
        <f t="shared" si="68"/>
        <v>33.706218</v>
      </c>
      <c r="C1135">
        <f t="shared" si="69"/>
        <v>-117.859843</v>
      </c>
      <c r="D1135">
        <f t="shared" si="70"/>
        <v>46</v>
      </c>
      <c r="E1135">
        <v>46.499000000000002</v>
      </c>
      <c r="F1135">
        <f t="shared" si="71"/>
        <v>-0.49900000000000233</v>
      </c>
      <c r="G1135">
        <v>28.516999999999999</v>
      </c>
      <c r="H1135">
        <v>1.0469999999999999</v>
      </c>
      <c r="I1135">
        <v>3.6960000000000002</v>
      </c>
      <c r="J1135">
        <v>5</v>
      </c>
      <c r="K1135">
        <v>14</v>
      </c>
      <c r="L1135">
        <v>8</v>
      </c>
      <c r="M1135">
        <v>1.6970000000000001</v>
      </c>
    </row>
    <row r="1136" spans="1:13" ht="15" customHeight="1">
      <c r="A1136" t="s">
        <v>19</v>
      </c>
      <c r="B1136">
        <f t="shared" si="68"/>
        <v>33.706218</v>
      </c>
      <c r="C1136">
        <f t="shared" si="69"/>
        <v>-117.859843</v>
      </c>
      <c r="D1136">
        <f t="shared" si="70"/>
        <v>46</v>
      </c>
      <c r="E1136">
        <v>47.499000000000002</v>
      </c>
      <c r="F1136">
        <f t="shared" si="71"/>
        <v>-1.4990000000000023</v>
      </c>
      <c r="G1136">
        <v>36.167000000000002</v>
      </c>
      <c r="H1136">
        <v>1.5620000000000001</v>
      </c>
      <c r="I1136">
        <v>4.3380000000000001</v>
      </c>
      <c r="J1136">
        <v>4</v>
      </c>
      <c r="K1136">
        <v>23</v>
      </c>
      <c r="L1136">
        <v>12</v>
      </c>
      <c r="M1136">
        <v>2.2050000000000001</v>
      </c>
    </row>
    <row r="1137" spans="1:13" ht="15" customHeight="1">
      <c r="A1137" t="s">
        <v>19</v>
      </c>
      <c r="B1137">
        <f t="shared" si="68"/>
        <v>33.706218</v>
      </c>
      <c r="C1137">
        <f t="shared" si="69"/>
        <v>-117.859843</v>
      </c>
      <c r="D1137">
        <f t="shared" si="70"/>
        <v>46</v>
      </c>
      <c r="E1137">
        <v>48.499000000000002</v>
      </c>
      <c r="F1137">
        <f t="shared" si="71"/>
        <v>-2.4990000000000023</v>
      </c>
      <c r="G1137">
        <v>61.982999999999997</v>
      </c>
      <c r="H1137">
        <v>1.552</v>
      </c>
      <c r="I1137">
        <v>2.5089999999999999</v>
      </c>
      <c r="J1137">
        <v>6</v>
      </c>
      <c r="K1137">
        <v>24</v>
      </c>
      <c r="L1137">
        <v>13</v>
      </c>
      <c r="M1137">
        <v>3.9239999999999999</v>
      </c>
    </row>
    <row r="1138" spans="1:13" ht="15" customHeight="1">
      <c r="A1138" t="s">
        <v>19</v>
      </c>
      <c r="B1138">
        <f t="shared" si="68"/>
        <v>33.706218</v>
      </c>
      <c r="C1138">
        <f t="shared" si="69"/>
        <v>-117.859843</v>
      </c>
      <c r="D1138">
        <f t="shared" si="70"/>
        <v>46</v>
      </c>
      <c r="E1138">
        <v>49.499000000000002</v>
      </c>
      <c r="F1138">
        <f t="shared" si="71"/>
        <v>-3.4990000000000023</v>
      </c>
      <c r="G1138">
        <v>124.517</v>
      </c>
      <c r="H1138">
        <v>1.9319999999999999</v>
      </c>
      <c r="I1138">
        <v>1.552</v>
      </c>
      <c r="J1138">
        <v>8</v>
      </c>
      <c r="K1138">
        <v>30</v>
      </c>
      <c r="L1138">
        <v>16</v>
      </c>
      <c r="M1138" s="1">
        <v>9000000000</v>
      </c>
    </row>
    <row r="1139" spans="1:13" ht="15" customHeight="1">
      <c r="A1139" t="s">
        <v>19</v>
      </c>
      <c r="B1139">
        <f t="shared" si="68"/>
        <v>33.706218</v>
      </c>
      <c r="C1139">
        <f t="shared" si="69"/>
        <v>-117.859843</v>
      </c>
      <c r="D1139">
        <f t="shared" si="70"/>
        <v>46</v>
      </c>
      <c r="E1139">
        <v>50.499000000000002</v>
      </c>
      <c r="F1139">
        <f t="shared" si="71"/>
        <v>-4.4990000000000023</v>
      </c>
      <c r="G1139">
        <v>154.667</v>
      </c>
      <c r="H1139">
        <v>2.8130000000000002</v>
      </c>
      <c r="I1139">
        <v>1.82</v>
      </c>
      <c r="J1139">
        <v>7</v>
      </c>
      <c r="K1139">
        <v>49</v>
      </c>
      <c r="L1139">
        <v>26</v>
      </c>
      <c r="M1139" s="1">
        <v>9000000000</v>
      </c>
    </row>
    <row r="1140" spans="1:13" ht="15" customHeight="1">
      <c r="A1140" t="s">
        <v>19</v>
      </c>
      <c r="B1140">
        <f t="shared" si="68"/>
        <v>33.706218</v>
      </c>
      <c r="C1140">
        <f t="shared" si="69"/>
        <v>-117.859843</v>
      </c>
      <c r="D1140">
        <f t="shared" si="70"/>
        <v>46</v>
      </c>
      <c r="E1140">
        <v>51.499000000000002</v>
      </c>
      <c r="F1140">
        <f t="shared" si="71"/>
        <v>-5.4990000000000023</v>
      </c>
      <c r="G1140">
        <v>214.61699999999999</v>
      </c>
      <c r="H1140">
        <v>3.0430000000000001</v>
      </c>
      <c r="I1140">
        <v>1.4179999999999999</v>
      </c>
      <c r="J1140">
        <v>8</v>
      </c>
      <c r="K1140">
        <v>51</v>
      </c>
      <c r="L1140">
        <v>26</v>
      </c>
      <c r="M1140" s="1">
        <v>9000000000</v>
      </c>
    </row>
    <row r="1141" spans="1:13" ht="15" customHeight="1">
      <c r="A1141" t="s">
        <v>19</v>
      </c>
      <c r="B1141">
        <f t="shared" si="68"/>
        <v>33.706218</v>
      </c>
      <c r="C1141">
        <f t="shared" si="69"/>
        <v>-117.859843</v>
      </c>
      <c r="D1141">
        <f t="shared" si="70"/>
        <v>46</v>
      </c>
      <c r="E1141">
        <v>52.499000000000002</v>
      </c>
      <c r="F1141">
        <f t="shared" si="71"/>
        <v>-6.4990000000000023</v>
      </c>
      <c r="G1141">
        <v>172.143</v>
      </c>
      <c r="H1141">
        <v>3.944</v>
      </c>
      <c r="I1141">
        <v>2.2930000000000001</v>
      </c>
      <c r="J1141">
        <v>7</v>
      </c>
      <c r="K1141">
        <v>55</v>
      </c>
      <c r="L1141">
        <v>28</v>
      </c>
      <c r="M1141" s="1">
        <v>9000000000</v>
      </c>
    </row>
    <row r="1142" spans="1:13" ht="15" customHeight="1">
      <c r="A1142" t="s">
        <v>19</v>
      </c>
      <c r="B1142">
        <f t="shared" si="68"/>
        <v>33.706218</v>
      </c>
      <c r="C1142">
        <f t="shared" si="69"/>
        <v>-117.859843</v>
      </c>
      <c r="D1142">
        <f t="shared" si="70"/>
        <v>46</v>
      </c>
      <c r="E1142">
        <v>53.499000000000002</v>
      </c>
      <c r="F1142">
        <f t="shared" si="71"/>
        <v>-7.4990000000000023</v>
      </c>
      <c r="G1142">
        <v>71.983000000000004</v>
      </c>
      <c r="H1142">
        <v>3.407</v>
      </c>
      <c r="I1142">
        <v>4.7460000000000004</v>
      </c>
      <c r="J1142">
        <v>11</v>
      </c>
      <c r="K1142">
        <v>69</v>
      </c>
      <c r="L1142">
        <v>35</v>
      </c>
      <c r="M1142" s="1">
        <v>9000000000</v>
      </c>
    </row>
    <row r="1143" spans="1:13" ht="15" customHeight="1">
      <c r="A1143" t="s">
        <v>19</v>
      </c>
      <c r="B1143">
        <f t="shared" si="68"/>
        <v>33.706218</v>
      </c>
      <c r="C1143">
        <f t="shared" si="69"/>
        <v>-117.859843</v>
      </c>
      <c r="D1143">
        <f t="shared" si="70"/>
        <v>46</v>
      </c>
      <c r="E1143">
        <v>54.499000000000002</v>
      </c>
      <c r="F1143">
        <f t="shared" si="71"/>
        <v>-8.4990000000000023</v>
      </c>
      <c r="G1143">
        <v>206.95</v>
      </c>
      <c r="H1143">
        <v>1.9470000000000001</v>
      </c>
      <c r="I1143">
        <v>0.94099999999999995</v>
      </c>
      <c r="J1143">
        <v>9</v>
      </c>
      <c r="K1143">
        <v>40</v>
      </c>
      <c r="L1143">
        <v>20</v>
      </c>
      <c r="M1143" s="1">
        <v>9000000000</v>
      </c>
    </row>
    <row r="1144" spans="1:13" ht="15" customHeight="1">
      <c r="A1144" t="s">
        <v>19</v>
      </c>
      <c r="B1144">
        <f t="shared" si="68"/>
        <v>33.706218</v>
      </c>
      <c r="C1144">
        <f t="shared" si="69"/>
        <v>-117.859843</v>
      </c>
      <c r="D1144">
        <f t="shared" si="70"/>
        <v>46</v>
      </c>
      <c r="E1144">
        <v>55.499000000000002</v>
      </c>
      <c r="F1144">
        <f t="shared" si="71"/>
        <v>-9.4990000000000023</v>
      </c>
      <c r="G1144">
        <v>228.86699999999999</v>
      </c>
      <c r="H1144">
        <v>3.34</v>
      </c>
      <c r="I1144">
        <v>1.46</v>
      </c>
      <c r="J1144">
        <v>8</v>
      </c>
      <c r="K1144">
        <v>55</v>
      </c>
      <c r="L1144">
        <v>28</v>
      </c>
      <c r="M1144" s="1">
        <v>9000000000</v>
      </c>
    </row>
    <row r="1145" spans="1:13" ht="15" customHeight="1">
      <c r="A1145" t="s">
        <v>19</v>
      </c>
      <c r="B1145">
        <f t="shared" si="68"/>
        <v>33.706218</v>
      </c>
      <c r="C1145">
        <f t="shared" si="69"/>
        <v>-117.859843</v>
      </c>
      <c r="D1145">
        <f t="shared" si="70"/>
        <v>46</v>
      </c>
      <c r="E1145">
        <v>56.499000000000002</v>
      </c>
      <c r="F1145">
        <f t="shared" si="71"/>
        <v>-10.499000000000002</v>
      </c>
      <c r="G1145">
        <v>327.11700000000002</v>
      </c>
      <c r="H1145">
        <v>2.9420000000000002</v>
      </c>
      <c r="I1145">
        <v>0.9</v>
      </c>
      <c r="J1145">
        <v>9</v>
      </c>
      <c r="K1145">
        <v>63</v>
      </c>
      <c r="L1145">
        <v>32</v>
      </c>
      <c r="M1145" s="1">
        <v>9000000000</v>
      </c>
    </row>
    <row r="1146" spans="1:13" ht="15" customHeight="1">
      <c r="A1146" t="s">
        <v>19</v>
      </c>
      <c r="B1146">
        <f t="shared" si="68"/>
        <v>33.706218</v>
      </c>
      <c r="C1146">
        <f t="shared" si="69"/>
        <v>-117.859843</v>
      </c>
      <c r="D1146">
        <f t="shared" si="70"/>
        <v>46</v>
      </c>
      <c r="E1146">
        <v>57.499000000000002</v>
      </c>
      <c r="F1146">
        <f t="shared" si="71"/>
        <v>-11.499000000000002</v>
      </c>
      <c r="G1146">
        <v>240.6</v>
      </c>
      <c r="H1146">
        <v>2.8650000000000002</v>
      </c>
      <c r="I1146">
        <v>1.1910000000000001</v>
      </c>
      <c r="J1146">
        <v>9</v>
      </c>
      <c r="K1146">
        <v>46</v>
      </c>
      <c r="L1146">
        <v>23</v>
      </c>
      <c r="M1146" s="1">
        <v>9000000000</v>
      </c>
    </row>
    <row r="1147" spans="1:13" ht="15" customHeight="1">
      <c r="A1147" t="s">
        <v>19</v>
      </c>
      <c r="B1147">
        <f t="shared" si="68"/>
        <v>33.706218</v>
      </c>
      <c r="C1147">
        <f t="shared" si="69"/>
        <v>-117.859843</v>
      </c>
      <c r="D1147">
        <f t="shared" si="70"/>
        <v>46</v>
      </c>
      <c r="E1147">
        <v>58.499000000000002</v>
      </c>
      <c r="F1147">
        <f t="shared" si="71"/>
        <v>-12.499000000000002</v>
      </c>
      <c r="G1147">
        <v>47.65</v>
      </c>
      <c r="H1147">
        <v>1.4770000000000001</v>
      </c>
      <c r="I1147">
        <v>3.109</v>
      </c>
      <c r="J1147">
        <v>6</v>
      </c>
      <c r="K1147">
        <v>18</v>
      </c>
      <c r="L1147">
        <v>9</v>
      </c>
      <c r="M1147">
        <v>2.9260000000000002</v>
      </c>
    </row>
    <row r="1148" spans="1:13" ht="15" customHeight="1">
      <c r="A1148" t="s">
        <v>19</v>
      </c>
      <c r="B1148">
        <f t="shared" si="68"/>
        <v>33.706218</v>
      </c>
      <c r="C1148">
        <f t="shared" si="69"/>
        <v>-117.859843</v>
      </c>
      <c r="D1148">
        <f t="shared" si="70"/>
        <v>46</v>
      </c>
      <c r="E1148">
        <v>59.499000000000002</v>
      </c>
      <c r="F1148">
        <f t="shared" si="71"/>
        <v>-13.499000000000002</v>
      </c>
      <c r="G1148">
        <v>34.133000000000003</v>
      </c>
      <c r="H1148">
        <v>0.94199999999999995</v>
      </c>
      <c r="I1148">
        <v>2.77</v>
      </c>
      <c r="J1148">
        <v>6</v>
      </c>
      <c r="K1148">
        <v>13</v>
      </c>
      <c r="L1148">
        <v>7</v>
      </c>
      <c r="M1148">
        <v>2.0219999999999998</v>
      </c>
    </row>
    <row r="1149" spans="1:13" ht="15" customHeight="1">
      <c r="A1149" t="s">
        <v>19</v>
      </c>
      <c r="B1149">
        <f t="shared" si="68"/>
        <v>33.706218</v>
      </c>
      <c r="C1149">
        <f t="shared" si="69"/>
        <v>-117.859843</v>
      </c>
      <c r="D1149">
        <f t="shared" si="70"/>
        <v>46</v>
      </c>
      <c r="E1149">
        <v>60.499000000000002</v>
      </c>
      <c r="F1149">
        <f t="shared" si="71"/>
        <v>-14.499000000000002</v>
      </c>
      <c r="G1149">
        <v>40</v>
      </c>
      <c r="H1149">
        <v>1.407</v>
      </c>
      <c r="I1149">
        <v>3.5230000000000001</v>
      </c>
      <c r="J1149">
        <v>5</v>
      </c>
      <c r="K1149">
        <v>19</v>
      </c>
      <c r="L1149">
        <v>10</v>
      </c>
      <c r="M1149">
        <v>2.4129999999999998</v>
      </c>
    </row>
    <row r="1150" spans="1:13" ht="15" customHeight="1">
      <c r="A1150" t="s">
        <v>19</v>
      </c>
      <c r="B1150">
        <f t="shared" si="68"/>
        <v>33.706218</v>
      </c>
      <c r="C1150">
        <f t="shared" si="69"/>
        <v>-117.859843</v>
      </c>
      <c r="D1150">
        <f t="shared" si="70"/>
        <v>46</v>
      </c>
      <c r="E1150">
        <v>61.499000000000002</v>
      </c>
      <c r="F1150">
        <f t="shared" si="71"/>
        <v>-15.499000000000002</v>
      </c>
      <c r="G1150">
        <v>53.332999999999998</v>
      </c>
      <c r="H1150">
        <v>1.7649999999999999</v>
      </c>
      <c r="I1150">
        <v>3.3159999999999998</v>
      </c>
      <c r="J1150">
        <v>5</v>
      </c>
      <c r="K1150">
        <v>25</v>
      </c>
      <c r="L1150">
        <v>13</v>
      </c>
      <c r="M1150">
        <v>3.2959999999999998</v>
      </c>
    </row>
    <row r="1151" spans="1:13" ht="15" customHeight="1">
      <c r="A1151" t="s">
        <v>19</v>
      </c>
      <c r="B1151">
        <f t="shared" si="68"/>
        <v>33.706218</v>
      </c>
      <c r="C1151">
        <f t="shared" si="69"/>
        <v>-117.859843</v>
      </c>
      <c r="D1151">
        <f t="shared" si="70"/>
        <v>46</v>
      </c>
      <c r="E1151">
        <v>62.499000000000002</v>
      </c>
      <c r="F1151">
        <f t="shared" si="71"/>
        <v>-16.499000000000002</v>
      </c>
      <c r="G1151">
        <v>22.914000000000001</v>
      </c>
      <c r="H1151">
        <v>0.63300000000000001</v>
      </c>
      <c r="I1151">
        <v>2.7719999999999998</v>
      </c>
      <c r="J1151">
        <v>5</v>
      </c>
      <c r="K1151">
        <v>11</v>
      </c>
      <c r="L1151">
        <v>6</v>
      </c>
      <c r="M1151">
        <v>1.2649999999999999</v>
      </c>
    </row>
    <row r="1152" spans="1:13" ht="15" customHeight="1">
      <c r="A1152" t="s">
        <v>19</v>
      </c>
      <c r="B1152">
        <f t="shared" si="68"/>
        <v>33.706218</v>
      </c>
      <c r="C1152">
        <f t="shared" si="69"/>
        <v>-117.859843</v>
      </c>
      <c r="D1152">
        <f t="shared" si="70"/>
        <v>46</v>
      </c>
      <c r="E1152">
        <v>63.499000000000002</v>
      </c>
      <c r="F1152">
        <f t="shared" si="71"/>
        <v>-17.499000000000002</v>
      </c>
      <c r="G1152">
        <v>40.982999999999997</v>
      </c>
      <c r="H1152">
        <v>1.4079999999999999</v>
      </c>
      <c r="I1152">
        <v>3.4420000000000002</v>
      </c>
      <c r="J1152">
        <v>5</v>
      </c>
      <c r="K1152">
        <v>20</v>
      </c>
      <c r="L1152">
        <v>10</v>
      </c>
      <c r="M1152">
        <v>2.4660000000000002</v>
      </c>
    </row>
    <row r="1153" spans="1:13" ht="15" customHeight="1">
      <c r="A1153" t="s">
        <v>19</v>
      </c>
      <c r="B1153">
        <f t="shared" si="68"/>
        <v>33.706218</v>
      </c>
      <c r="C1153">
        <f t="shared" si="69"/>
        <v>-117.859843</v>
      </c>
      <c r="D1153">
        <f t="shared" si="70"/>
        <v>46</v>
      </c>
      <c r="E1153">
        <v>64.498999999999995</v>
      </c>
      <c r="F1153">
        <f t="shared" si="71"/>
        <v>-18.498999999999995</v>
      </c>
      <c r="G1153">
        <v>33.917000000000002</v>
      </c>
      <c r="H1153">
        <v>1.1870000000000001</v>
      </c>
      <c r="I1153">
        <v>3.5</v>
      </c>
      <c r="J1153">
        <v>5</v>
      </c>
      <c r="K1153">
        <v>16</v>
      </c>
      <c r="L1153">
        <v>8</v>
      </c>
      <c r="M1153">
        <v>1.994</v>
      </c>
    </row>
    <row r="1154" spans="1:13" ht="15" customHeight="1">
      <c r="A1154" t="s">
        <v>19</v>
      </c>
      <c r="B1154">
        <f t="shared" ref="B1154:B1217" si="72">VLOOKUP(A1154,XYdata,3,FALSE)</f>
        <v>33.706218</v>
      </c>
      <c r="C1154">
        <f t="shared" ref="C1154:C1217" si="73">VLOOKUP(A1154,XYdata,2,FALSE)</f>
        <v>-117.859843</v>
      </c>
      <c r="D1154">
        <f t="shared" ref="D1154:D1217" si="74">VLOOKUP(A1154,Elevation,2,FALSE)</f>
        <v>46</v>
      </c>
      <c r="E1154">
        <v>65.498999999999995</v>
      </c>
      <c r="F1154">
        <f t="shared" si="71"/>
        <v>-19.498999999999995</v>
      </c>
      <c r="G1154">
        <v>59.15</v>
      </c>
      <c r="H1154">
        <v>2.5299999999999998</v>
      </c>
      <c r="I1154">
        <v>4.28</v>
      </c>
      <c r="J1154">
        <v>5</v>
      </c>
      <c r="K1154">
        <v>28</v>
      </c>
      <c r="L1154">
        <v>14</v>
      </c>
      <c r="M1154">
        <v>3.6709999999999998</v>
      </c>
    </row>
    <row r="1155" spans="1:13" ht="15" customHeight="1">
      <c r="A1155" t="s">
        <v>19</v>
      </c>
      <c r="B1155">
        <f t="shared" si="72"/>
        <v>33.706218</v>
      </c>
      <c r="C1155">
        <f t="shared" si="73"/>
        <v>-117.859843</v>
      </c>
      <c r="D1155">
        <f t="shared" si="74"/>
        <v>46</v>
      </c>
      <c r="E1155">
        <v>66.498999999999995</v>
      </c>
      <c r="F1155">
        <f t="shared" ref="F1155:F1218" si="75">D1155-E1155</f>
        <v>-20.498999999999995</v>
      </c>
      <c r="G1155">
        <v>43.15</v>
      </c>
      <c r="H1155">
        <v>1.8779999999999999</v>
      </c>
      <c r="I1155">
        <v>4.367</v>
      </c>
      <c r="J1155">
        <v>4</v>
      </c>
      <c r="K1155">
        <v>27</v>
      </c>
      <c r="L1155">
        <v>14</v>
      </c>
      <c r="M1155">
        <v>2.5939999999999999</v>
      </c>
    </row>
    <row r="1156" spans="1:13" ht="15" customHeight="1">
      <c r="A1156" t="s">
        <v>19</v>
      </c>
      <c r="B1156">
        <f t="shared" si="72"/>
        <v>33.706218</v>
      </c>
      <c r="C1156">
        <f t="shared" si="73"/>
        <v>-117.859843</v>
      </c>
      <c r="D1156">
        <f t="shared" si="74"/>
        <v>46</v>
      </c>
      <c r="E1156">
        <v>67.498999999999995</v>
      </c>
      <c r="F1156">
        <f t="shared" si="75"/>
        <v>-21.498999999999995</v>
      </c>
      <c r="G1156">
        <v>26.433</v>
      </c>
      <c r="H1156">
        <v>0.97</v>
      </c>
      <c r="I1156">
        <v>3.6840000000000002</v>
      </c>
      <c r="J1156">
        <v>5</v>
      </c>
      <c r="K1156">
        <v>13</v>
      </c>
      <c r="L1156">
        <v>7</v>
      </c>
      <c r="M1156">
        <v>1.4770000000000001</v>
      </c>
    </row>
    <row r="1157" spans="1:13" ht="15" customHeight="1">
      <c r="A1157" t="s">
        <v>19</v>
      </c>
      <c r="B1157">
        <f t="shared" si="72"/>
        <v>33.706218</v>
      </c>
      <c r="C1157">
        <f t="shared" si="73"/>
        <v>-117.859843</v>
      </c>
      <c r="D1157">
        <f t="shared" si="74"/>
        <v>46</v>
      </c>
      <c r="E1157">
        <v>68.498999999999995</v>
      </c>
      <c r="F1157">
        <f t="shared" si="75"/>
        <v>-22.498999999999995</v>
      </c>
      <c r="G1157">
        <v>38.4</v>
      </c>
      <c r="H1157">
        <v>1.1379999999999999</v>
      </c>
      <c r="I1157">
        <v>2.9710000000000001</v>
      </c>
      <c r="J1157">
        <v>6</v>
      </c>
      <c r="K1157">
        <v>15</v>
      </c>
      <c r="L1157">
        <v>8</v>
      </c>
      <c r="M1157">
        <v>2.2719999999999998</v>
      </c>
    </row>
    <row r="1158" spans="1:13" ht="15" customHeight="1">
      <c r="A1158" t="s">
        <v>19</v>
      </c>
      <c r="B1158">
        <f t="shared" si="72"/>
        <v>33.706218</v>
      </c>
      <c r="C1158">
        <f t="shared" si="73"/>
        <v>-117.859843</v>
      </c>
      <c r="D1158">
        <f t="shared" si="74"/>
        <v>46</v>
      </c>
      <c r="E1158">
        <v>69.498999999999995</v>
      </c>
      <c r="F1158">
        <f t="shared" si="75"/>
        <v>-23.498999999999995</v>
      </c>
      <c r="G1158">
        <v>71.382999999999996</v>
      </c>
      <c r="H1158">
        <v>2.6829999999999998</v>
      </c>
      <c r="I1158">
        <v>3.7669999999999999</v>
      </c>
      <c r="J1158">
        <v>5</v>
      </c>
      <c r="K1158">
        <v>34</v>
      </c>
      <c r="L1158">
        <v>17</v>
      </c>
      <c r="M1158">
        <v>4.4619999999999997</v>
      </c>
    </row>
    <row r="1159" spans="1:13" ht="15" customHeight="1">
      <c r="A1159" t="s">
        <v>19</v>
      </c>
      <c r="B1159">
        <f t="shared" si="72"/>
        <v>33.706218</v>
      </c>
      <c r="C1159">
        <f t="shared" si="73"/>
        <v>-117.859843</v>
      </c>
      <c r="D1159">
        <f t="shared" si="74"/>
        <v>46</v>
      </c>
      <c r="E1159">
        <v>70.498999999999995</v>
      </c>
      <c r="F1159">
        <f t="shared" si="75"/>
        <v>-24.498999999999995</v>
      </c>
      <c r="G1159">
        <v>26.15</v>
      </c>
      <c r="H1159">
        <v>1.0620000000000001</v>
      </c>
      <c r="I1159">
        <v>4.0780000000000003</v>
      </c>
      <c r="J1159">
        <v>4</v>
      </c>
      <c r="K1159">
        <v>17</v>
      </c>
      <c r="L1159">
        <v>9</v>
      </c>
      <c r="M1159">
        <v>1.4450000000000001</v>
      </c>
    </row>
    <row r="1160" spans="1:13" ht="15" customHeight="1">
      <c r="A1160" t="s">
        <v>19</v>
      </c>
      <c r="B1160">
        <f t="shared" si="72"/>
        <v>33.706218</v>
      </c>
      <c r="C1160">
        <f t="shared" si="73"/>
        <v>-117.859843</v>
      </c>
      <c r="D1160">
        <f t="shared" si="74"/>
        <v>46</v>
      </c>
      <c r="E1160">
        <v>71.498999999999995</v>
      </c>
      <c r="F1160">
        <f t="shared" si="75"/>
        <v>-25.498999999999995</v>
      </c>
      <c r="G1160">
        <v>26.4</v>
      </c>
      <c r="H1160">
        <v>0.83299999999999996</v>
      </c>
      <c r="I1160">
        <v>3.165</v>
      </c>
      <c r="J1160">
        <v>5</v>
      </c>
      <c r="K1160">
        <v>13</v>
      </c>
      <c r="L1160">
        <v>7</v>
      </c>
      <c r="M1160">
        <v>1.4610000000000001</v>
      </c>
    </row>
    <row r="1161" spans="1:13" ht="15" customHeight="1">
      <c r="A1161" t="s">
        <v>19</v>
      </c>
      <c r="B1161">
        <f t="shared" si="72"/>
        <v>33.706218</v>
      </c>
      <c r="C1161">
        <f t="shared" si="73"/>
        <v>-117.859843</v>
      </c>
      <c r="D1161">
        <f t="shared" si="74"/>
        <v>46</v>
      </c>
      <c r="E1161">
        <v>72.498999999999995</v>
      </c>
      <c r="F1161">
        <f t="shared" si="75"/>
        <v>-26.498999999999995</v>
      </c>
      <c r="G1161">
        <v>24.471</v>
      </c>
      <c r="H1161">
        <v>0.69</v>
      </c>
      <c r="I1161">
        <v>2.8279999999999998</v>
      </c>
      <c r="J1161">
        <v>5</v>
      </c>
      <c r="K1161">
        <v>12</v>
      </c>
      <c r="L1161">
        <v>6</v>
      </c>
      <c r="M1161">
        <v>1.3280000000000001</v>
      </c>
    </row>
    <row r="1162" spans="1:13" ht="15" customHeight="1">
      <c r="A1162" t="s">
        <v>19</v>
      </c>
      <c r="B1162">
        <f t="shared" si="72"/>
        <v>33.706218</v>
      </c>
      <c r="C1162">
        <f t="shared" si="73"/>
        <v>-117.859843</v>
      </c>
      <c r="D1162">
        <f t="shared" si="74"/>
        <v>46</v>
      </c>
      <c r="E1162">
        <v>73.498999999999995</v>
      </c>
      <c r="F1162">
        <f t="shared" si="75"/>
        <v>-27.498999999999995</v>
      </c>
      <c r="G1162">
        <v>27.167000000000002</v>
      </c>
      <c r="H1162">
        <v>0.79500000000000004</v>
      </c>
      <c r="I1162">
        <v>2.93</v>
      </c>
      <c r="J1162">
        <v>5</v>
      </c>
      <c r="K1162">
        <v>13</v>
      </c>
      <c r="L1162">
        <v>7</v>
      </c>
      <c r="M1162">
        <v>1.506</v>
      </c>
    </row>
    <row r="1163" spans="1:13" ht="15" customHeight="1">
      <c r="A1163" t="s">
        <v>19</v>
      </c>
      <c r="B1163">
        <f t="shared" si="72"/>
        <v>33.706218</v>
      </c>
      <c r="C1163">
        <f t="shared" si="73"/>
        <v>-117.859843</v>
      </c>
      <c r="D1163">
        <f t="shared" si="74"/>
        <v>46</v>
      </c>
      <c r="E1163">
        <v>74.498999999999995</v>
      </c>
      <c r="F1163">
        <f t="shared" si="75"/>
        <v>-28.498999999999995</v>
      </c>
      <c r="G1163">
        <v>37.332999999999998</v>
      </c>
      <c r="H1163">
        <v>1.423</v>
      </c>
      <c r="I1163">
        <v>3.8090000000000002</v>
      </c>
      <c r="J1163">
        <v>5</v>
      </c>
      <c r="K1163">
        <v>18</v>
      </c>
      <c r="L1163">
        <v>9</v>
      </c>
      <c r="M1163">
        <v>2.1840000000000002</v>
      </c>
    </row>
    <row r="1164" spans="1:13" ht="15" customHeight="1">
      <c r="A1164" t="s">
        <v>19</v>
      </c>
      <c r="B1164">
        <f t="shared" si="72"/>
        <v>33.706218</v>
      </c>
      <c r="C1164">
        <f t="shared" si="73"/>
        <v>-117.859843</v>
      </c>
      <c r="D1164">
        <f t="shared" si="74"/>
        <v>46</v>
      </c>
      <c r="E1164">
        <v>75.498999999999995</v>
      </c>
      <c r="F1164">
        <f t="shared" si="75"/>
        <v>-29.498999999999995</v>
      </c>
      <c r="G1164">
        <v>42.332999999999998</v>
      </c>
      <c r="H1164">
        <v>1.617</v>
      </c>
      <c r="I1164">
        <v>3.81</v>
      </c>
      <c r="J1164">
        <v>5</v>
      </c>
      <c r="K1164">
        <v>20</v>
      </c>
      <c r="L1164">
        <v>10</v>
      </c>
      <c r="M1164">
        <v>2.5169999999999999</v>
      </c>
    </row>
    <row r="1165" spans="1:13" ht="15" customHeight="1">
      <c r="A1165" t="s">
        <v>19</v>
      </c>
      <c r="B1165">
        <f t="shared" si="72"/>
        <v>33.706218</v>
      </c>
      <c r="C1165">
        <f t="shared" si="73"/>
        <v>-117.859843</v>
      </c>
      <c r="D1165">
        <f t="shared" si="74"/>
        <v>46</v>
      </c>
      <c r="E1165">
        <v>76.498999999999995</v>
      </c>
      <c r="F1165">
        <f t="shared" si="75"/>
        <v>-30.498999999999995</v>
      </c>
      <c r="G1165">
        <v>34.75</v>
      </c>
      <c r="H1165">
        <v>1.1879999999999999</v>
      </c>
      <c r="I1165">
        <v>3.3889999999999998</v>
      </c>
      <c r="J1165">
        <v>5</v>
      </c>
      <c r="K1165">
        <v>17</v>
      </c>
      <c r="L1165">
        <v>9</v>
      </c>
      <c r="M1165">
        <v>2.0219999999999998</v>
      </c>
    </row>
    <row r="1166" spans="1:13" ht="15" customHeight="1">
      <c r="A1166" t="s">
        <v>19</v>
      </c>
      <c r="B1166">
        <f t="shared" si="72"/>
        <v>33.706218</v>
      </c>
      <c r="C1166">
        <f t="shared" si="73"/>
        <v>-117.859843</v>
      </c>
      <c r="D1166">
        <f t="shared" si="74"/>
        <v>46</v>
      </c>
      <c r="E1166">
        <v>77.498999999999995</v>
      </c>
      <c r="F1166">
        <f t="shared" si="75"/>
        <v>-31.498999999999995</v>
      </c>
      <c r="G1166">
        <v>27.483000000000001</v>
      </c>
      <c r="H1166">
        <v>0.82799999999999996</v>
      </c>
      <c r="I1166">
        <v>2.8210000000000002</v>
      </c>
      <c r="J1166">
        <v>5</v>
      </c>
      <c r="K1166">
        <v>14</v>
      </c>
      <c r="L1166">
        <v>7</v>
      </c>
      <c r="M1166">
        <v>1.6379999999999999</v>
      </c>
    </row>
    <row r="1167" spans="1:13" ht="15" customHeight="1">
      <c r="A1167" t="s">
        <v>19</v>
      </c>
      <c r="B1167">
        <f t="shared" si="72"/>
        <v>33.706218</v>
      </c>
      <c r="C1167">
        <f t="shared" si="73"/>
        <v>-117.859843</v>
      </c>
      <c r="D1167">
        <f t="shared" si="74"/>
        <v>46</v>
      </c>
      <c r="E1167">
        <v>78.498999999999995</v>
      </c>
      <c r="F1167">
        <f t="shared" si="75"/>
        <v>-32.498999999999995</v>
      </c>
      <c r="G1167">
        <v>30.132999999999999</v>
      </c>
      <c r="H1167">
        <v>1.2</v>
      </c>
      <c r="I1167">
        <v>3.879</v>
      </c>
      <c r="J1167">
        <v>4</v>
      </c>
      <c r="K1167">
        <v>20</v>
      </c>
      <c r="L1167">
        <v>10</v>
      </c>
      <c r="M1167">
        <v>1.738</v>
      </c>
    </row>
    <row r="1168" spans="1:13" ht="15" customHeight="1">
      <c r="A1168" t="s">
        <v>19</v>
      </c>
      <c r="B1168">
        <f t="shared" si="72"/>
        <v>33.706218</v>
      </c>
      <c r="C1168">
        <f t="shared" si="73"/>
        <v>-117.859843</v>
      </c>
      <c r="D1168">
        <f t="shared" si="74"/>
        <v>46</v>
      </c>
      <c r="E1168">
        <v>79.498999999999995</v>
      </c>
      <c r="F1168">
        <f t="shared" si="75"/>
        <v>-33.498999999999995</v>
      </c>
      <c r="G1168">
        <v>29.817</v>
      </c>
      <c r="H1168">
        <v>1.29</v>
      </c>
      <c r="I1168">
        <v>4.2619999999999996</v>
      </c>
      <c r="J1168">
        <v>4</v>
      </c>
      <c r="K1168">
        <v>19</v>
      </c>
      <c r="L1168">
        <v>10</v>
      </c>
      <c r="M1168">
        <v>1.69</v>
      </c>
    </row>
    <row r="1169" spans="1:13" ht="15" customHeight="1">
      <c r="A1169" t="s">
        <v>19</v>
      </c>
      <c r="B1169">
        <f t="shared" si="72"/>
        <v>33.706218</v>
      </c>
      <c r="C1169">
        <f t="shared" si="73"/>
        <v>-117.859843</v>
      </c>
      <c r="D1169">
        <f t="shared" si="74"/>
        <v>46</v>
      </c>
      <c r="E1169">
        <v>80.498999999999995</v>
      </c>
      <c r="F1169">
        <f t="shared" si="75"/>
        <v>-34.498999999999995</v>
      </c>
      <c r="G1169">
        <v>29.617000000000001</v>
      </c>
      <c r="H1169">
        <v>1.3149999999999999</v>
      </c>
      <c r="I1169">
        <v>4.3760000000000003</v>
      </c>
      <c r="J1169">
        <v>4</v>
      </c>
      <c r="K1169">
        <v>19</v>
      </c>
      <c r="L1169">
        <v>10</v>
      </c>
      <c r="M1169">
        <v>1.671</v>
      </c>
    </row>
    <row r="1170" spans="1:13" ht="15" customHeight="1">
      <c r="A1170" t="s">
        <v>19</v>
      </c>
      <c r="B1170">
        <f t="shared" si="72"/>
        <v>33.706218</v>
      </c>
      <c r="C1170">
        <f t="shared" si="73"/>
        <v>-117.859843</v>
      </c>
      <c r="D1170">
        <f t="shared" si="74"/>
        <v>46</v>
      </c>
      <c r="E1170">
        <v>81.498999999999995</v>
      </c>
      <c r="F1170">
        <f t="shared" si="75"/>
        <v>-35.498999999999995</v>
      </c>
      <c r="G1170">
        <v>30.632999999999999</v>
      </c>
      <c r="H1170">
        <v>1.0780000000000001</v>
      </c>
      <c r="I1170">
        <v>3.4540000000000002</v>
      </c>
      <c r="J1170">
        <v>5</v>
      </c>
      <c r="K1170">
        <v>15</v>
      </c>
      <c r="L1170">
        <v>8</v>
      </c>
      <c r="M1170">
        <v>1.7450000000000001</v>
      </c>
    </row>
    <row r="1171" spans="1:13" ht="15" customHeight="1">
      <c r="A1171" t="s">
        <v>19</v>
      </c>
      <c r="B1171">
        <f t="shared" si="72"/>
        <v>33.706218</v>
      </c>
      <c r="C1171">
        <f t="shared" si="73"/>
        <v>-117.859843</v>
      </c>
      <c r="D1171">
        <f t="shared" si="74"/>
        <v>46</v>
      </c>
      <c r="E1171">
        <v>82.498999999999995</v>
      </c>
      <c r="F1171">
        <f t="shared" si="75"/>
        <v>-36.498999999999995</v>
      </c>
      <c r="G1171">
        <v>31.466999999999999</v>
      </c>
      <c r="H1171">
        <v>1.0880000000000001</v>
      </c>
      <c r="I1171">
        <v>3.3690000000000002</v>
      </c>
      <c r="J1171">
        <v>5</v>
      </c>
      <c r="K1171">
        <v>15</v>
      </c>
      <c r="L1171">
        <v>8</v>
      </c>
      <c r="M1171">
        <v>1.8129999999999999</v>
      </c>
    </row>
    <row r="1172" spans="1:13" ht="15" customHeight="1">
      <c r="A1172" t="s">
        <v>19</v>
      </c>
      <c r="B1172">
        <f t="shared" si="72"/>
        <v>33.706218</v>
      </c>
      <c r="C1172">
        <f t="shared" si="73"/>
        <v>-117.859843</v>
      </c>
      <c r="D1172">
        <f t="shared" si="74"/>
        <v>46</v>
      </c>
      <c r="E1172">
        <v>83.498999999999995</v>
      </c>
      <c r="F1172">
        <f t="shared" si="75"/>
        <v>-37.498999999999995</v>
      </c>
      <c r="G1172">
        <v>35.414000000000001</v>
      </c>
      <c r="H1172">
        <v>1.1399999999999999</v>
      </c>
      <c r="I1172">
        <v>3.0419999999999998</v>
      </c>
      <c r="J1172">
        <v>5</v>
      </c>
      <c r="K1172">
        <v>18</v>
      </c>
      <c r="L1172">
        <v>9</v>
      </c>
      <c r="M1172">
        <v>2.153</v>
      </c>
    </row>
    <row r="1173" spans="1:13" ht="15" customHeight="1">
      <c r="A1173" t="s">
        <v>19</v>
      </c>
      <c r="B1173">
        <f t="shared" si="72"/>
        <v>33.706218</v>
      </c>
      <c r="C1173">
        <f t="shared" si="73"/>
        <v>-117.859843</v>
      </c>
      <c r="D1173">
        <f t="shared" si="74"/>
        <v>46</v>
      </c>
      <c r="E1173">
        <v>84.498999999999995</v>
      </c>
      <c r="F1173">
        <f t="shared" si="75"/>
        <v>-38.498999999999995</v>
      </c>
      <c r="G1173">
        <v>101.93300000000001</v>
      </c>
      <c r="H1173">
        <v>3.64</v>
      </c>
      <c r="I1173">
        <v>3.5659999999999998</v>
      </c>
      <c r="J1173">
        <v>6</v>
      </c>
      <c r="K1173">
        <v>39</v>
      </c>
      <c r="L1173">
        <v>20</v>
      </c>
      <c r="M1173">
        <v>6.4560000000000004</v>
      </c>
    </row>
    <row r="1174" spans="1:13" ht="15" customHeight="1">
      <c r="A1174" t="s">
        <v>19</v>
      </c>
      <c r="B1174">
        <f t="shared" si="72"/>
        <v>33.706218</v>
      </c>
      <c r="C1174">
        <f t="shared" si="73"/>
        <v>-117.859843</v>
      </c>
      <c r="D1174">
        <f t="shared" si="74"/>
        <v>46</v>
      </c>
      <c r="E1174">
        <v>85.498999999999995</v>
      </c>
      <c r="F1174">
        <f t="shared" si="75"/>
        <v>-39.498999999999995</v>
      </c>
      <c r="G1174">
        <v>139.983</v>
      </c>
      <c r="H1174">
        <v>5.508</v>
      </c>
      <c r="I1174">
        <v>3.9390000000000001</v>
      </c>
      <c r="J1174">
        <v>12</v>
      </c>
      <c r="K1174">
        <v>67</v>
      </c>
      <c r="L1174">
        <v>34</v>
      </c>
      <c r="M1174" s="1">
        <v>9000000000</v>
      </c>
    </row>
    <row r="1175" spans="1:13" ht="15" customHeight="1">
      <c r="A1175" t="s">
        <v>19</v>
      </c>
      <c r="B1175">
        <f t="shared" si="72"/>
        <v>33.706218</v>
      </c>
      <c r="C1175">
        <f t="shared" si="73"/>
        <v>-117.859843</v>
      </c>
      <c r="D1175">
        <f t="shared" si="74"/>
        <v>46</v>
      </c>
      <c r="E1175">
        <v>86.498999999999995</v>
      </c>
      <c r="F1175">
        <f t="shared" si="75"/>
        <v>-40.498999999999995</v>
      </c>
      <c r="G1175">
        <v>59.582999999999998</v>
      </c>
      <c r="H1175">
        <v>3.0680000000000001</v>
      </c>
      <c r="I1175">
        <v>5.1639999999999997</v>
      </c>
      <c r="J1175">
        <v>4</v>
      </c>
      <c r="K1175">
        <v>38</v>
      </c>
      <c r="L1175">
        <v>19</v>
      </c>
      <c r="M1175">
        <v>3.6030000000000002</v>
      </c>
    </row>
    <row r="1176" spans="1:13" ht="15" customHeight="1">
      <c r="A1176" t="s">
        <v>19</v>
      </c>
      <c r="B1176">
        <f t="shared" si="72"/>
        <v>33.706218</v>
      </c>
      <c r="C1176">
        <f t="shared" si="73"/>
        <v>-117.859843</v>
      </c>
      <c r="D1176">
        <f t="shared" si="74"/>
        <v>46</v>
      </c>
      <c r="E1176">
        <v>87.498999999999995</v>
      </c>
      <c r="F1176">
        <f t="shared" si="75"/>
        <v>-41.498999999999995</v>
      </c>
      <c r="G1176">
        <v>60.55</v>
      </c>
      <c r="H1176">
        <v>2.5169999999999999</v>
      </c>
      <c r="I1176">
        <v>4.1630000000000003</v>
      </c>
      <c r="J1176">
        <v>5</v>
      </c>
      <c r="K1176">
        <v>29</v>
      </c>
      <c r="L1176">
        <v>15</v>
      </c>
      <c r="M1176">
        <v>3.6680000000000001</v>
      </c>
    </row>
    <row r="1177" spans="1:13" ht="15" customHeight="1">
      <c r="A1177" t="s">
        <v>19</v>
      </c>
      <c r="B1177">
        <f t="shared" si="72"/>
        <v>33.706218</v>
      </c>
      <c r="C1177">
        <f t="shared" si="73"/>
        <v>-117.859843</v>
      </c>
      <c r="D1177">
        <f t="shared" si="74"/>
        <v>46</v>
      </c>
      <c r="E1177">
        <v>88.498999999999995</v>
      </c>
      <c r="F1177">
        <f t="shared" si="75"/>
        <v>-42.498999999999995</v>
      </c>
      <c r="G1177">
        <v>64.016999999999996</v>
      </c>
      <c r="H1177">
        <v>2.0499999999999998</v>
      </c>
      <c r="I1177">
        <v>3.2069999999999999</v>
      </c>
      <c r="J1177">
        <v>6</v>
      </c>
      <c r="K1177">
        <v>24</v>
      </c>
      <c r="L1177">
        <v>12</v>
      </c>
      <c r="M1177">
        <v>3.895</v>
      </c>
    </row>
    <row r="1178" spans="1:13" ht="15" customHeight="1">
      <c r="A1178" t="s">
        <v>19</v>
      </c>
      <c r="B1178">
        <f t="shared" si="72"/>
        <v>33.706218</v>
      </c>
      <c r="C1178">
        <f t="shared" si="73"/>
        <v>-117.859843</v>
      </c>
      <c r="D1178">
        <f t="shared" si="74"/>
        <v>46</v>
      </c>
      <c r="E1178">
        <v>89.498999999999995</v>
      </c>
      <c r="F1178">
        <f t="shared" si="75"/>
        <v>-43.498999999999995</v>
      </c>
      <c r="G1178">
        <v>43.832999999999998</v>
      </c>
      <c r="H1178">
        <v>1.7829999999999999</v>
      </c>
      <c r="I1178">
        <v>4.0780000000000003</v>
      </c>
      <c r="J1178">
        <v>5</v>
      </c>
      <c r="K1178">
        <v>21</v>
      </c>
      <c r="L1178">
        <v>11</v>
      </c>
      <c r="M1178">
        <v>2.5449999999999999</v>
      </c>
    </row>
    <row r="1179" spans="1:13" ht="15" customHeight="1">
      <c r="A1179" t="s">
        <v>19</v>
      </c>
      <c r="B1179">
        <f t="shared" si="72"/>
        <v>33.706218</v>
      </c>
      <c r="C1179">
        <f t="shared" si="73"/>
        <v>-117.859843</v>
      </c>
      <c r="D1179">
        <f t="shared" si="74"/>
        <v>46</v>
      </c>
      <c r="E1179">
        <v>90.498999999999995</v>
      </c>
      <c r="F1179">
        <f t="shared" si="75"/>
        <v>-44.498999999999995</v>
      </c>
      <c r="G1179">
        <v>26.817</v>
      </c>
      <c r="H1179">
        <v>0.88</v>
      </c>
      <c r="I1179">
        <v>3.2839999999999998</v>
      </c>
      <c r="J1179">
        <v>5</v>
      </c>
      <c r="K1179">
        <v>13</v>
      </c>
      <c r="L1179">
        <v>7</v>
      </c>
      <c r="M1179">
        <v>1.4119999999999999</v>
      </c>
    </row>
    <row r="1180" spans="1:13" ht="15" customHeight="1">
      <c r="A1180" t="s">
        <v>19</v>
      </c>
      <c r="B1180">
        <f t="shared" si="72"/>
        <v>33.706218</v>
      </c>
      <c r="C1180">
        <f t="shared" si="73"/>
        <v>-117.859843</v>
      </c>
      <c r="D1180">
        <f t="shared" si="74"/>
        <v>46</v>
      </c>
      <c r="E1180">
        <v>91.498999999999995</v>
      </c>
      <c r="F1180">
        <f t="shared" si="75"/>
        <v>-45.498999999999995</v>
      </c>
      <c r="G1180">
        <v>32.15</v>
      </c>
      <c r="H1180">
        <v>0.91200000000000003</v>
      </c>
      <c r="I1180">
        <v>2.8340000000000001</v>
      </c>
      <c r="J1180">
        <v>6</v>
      </c>
      <c r="K1180">
        <v>12</v>
      </c>
      <c r="L1180">
        <v>6</v>
      </c>
      <c r="M1180">
        <v>1.766</v>
      </c>
    </row>
    <row r="1181" spans="1:13" ht="15" customHeight="1">
      <c r="A1181" t="s">
        <v>19</v>
      </c>
      <c r="B1181">
        <f t="shared" si="72"/>
        <v>33.706218</v>
      </c>
      <c r="C1181">
        <f t="shared" si="73"/>
        <v>-117.859843</v>
      </c>
      <c r="D1181">
        <f t="shared" si="74"/>
        <v>46</v>
      </c>
      <c r="E1181">
        <v>92.498999999999995</v>
      </c>
      <c r="F1181">
        <f t="shared" si="75"/>
        <v>-46.498999999999995</v>
      </c>
      <c r="G1181">
        <v>29.35</v>
      </c>
      <c r="H1181">
        <v>0.90700000000000003</v>
      </c>
      <c r="I1181">
        <v>3.0819999999999999</v>
      </c>
      <c r="J1181">
        <v>5</v>
      </c>
      <c r="K1181">
        <v>14</v>
      </c>
      <c r="L1181">
        <v>7</v>
      </c>
      <c r="M1181">
        <v>1.5780000000000001</v>
      </c>
    </row>
    <row r="1182" spans="1:13" ht="15" customHeight="1">
      <c r="A1182" t="s">
        <v>19</v>
      </c>
      <c r="B1182">
        <f t="shared" si="72"/>
        <v>33.706218</v>
      </c>
      <c r="C1182">
        <f t="shared" si="73"/>
        <v>-117.859843</v>
      </c>
      <c r="D1182">
        <f t="shared" si="74"/>
        <v>46</v>
      </c>
      <c r="E1182">
        <v>93.498999999999995</v>
      </c>
      <c r="F1182">
        <f t="shared" si="75"/>
        <v>-47.498999999999995</v>
      </c>
      <c r="G1182">
        <v>46.042999999999999</v>
      </c>
      <c r="H1182">
        <v>1.651</v>
      </c>
      <c r="I1182">
        <v>3.5840000000000001</v>
      </c>
      <c r="J1182">
        <v>5</v>
      </c>
      <c r="K1182">
        <v>22</v>
      </c>
      <c r="L1182">
        <v>11</v>
      </c>
      <c r="M1182">
        <v>2.6850000000000001</v>
      </c>
    </row>
    <row r="1183" spans="1:13" ht="15" customHeight="1">
      <c r="A1183" t="s">
        <v>19</v>
      </c>
      <c r="B1183">
        <f t="shared" si="72"/>
        <v>33.706218</v>
      </c>
      <c r="C1183">
        <f t="shared" si="73"/>
        <v>-117.859843</v>
      </c>
      <c r="D1183">
        <f t="shared" si="74"/>
        <v>46</v>
      </c>
      <c r="E1183">
        <v>94.498999999999995</v>
      </c>
      <c r="F1183">
        <f t="shared" si="75"/>
        <v>-48.498999999999995</v>
      </c>
      <c r="G1183">
        <v>41.15</v>
      </c>
      <c r="H1183">
        <v>1.9730000000000001</v>
      </c>
      <c r="I1183">
        <v>4.8010000000000002</v>
      </c>
      <c r="J1183">
        <v>4</v>
      </c>
      <c r="K1183">
        <v>26</v>
      </c>
      <c r="L1183">
        <v>13</v>
      </c>
      <c r="M1183">
        <v>2.3490000000000002</v>
      </c>
    </row>
    <row r="1184" spans="1:13" ht="15" customHeight="1">
      <c r="A1184" t="s">
        <v>19</v>
      </c>
      <c r="B1184">
        <f t="shared" si="72"/>
        <v>33.706218</v>
      </c>
      <c r="C1184">
        <f t="shared" si="73"/>
        <v>-117.859843</v>
      </c>
      <c r="D1184">
        <f t="shared" si="74"/>
        <v>46</v>
      </c>
      <c r="E1184">
        <v>95.498999999999995</v>
      </c>
      <c r="F1184">
        <f t="shared" si="75"/>
        <v>-49.498999999999995</v>
      </c>
      <c r="G1184">
        <v>251.05</v>
      </c>
      <c r="H1184">
        <v>2.2919999999999998</v>
      </c>
      <c r="I1184">
        <v>0.91200000000000003</v>
      </c>
      <c r="J1184">
        <v>9</v>
      </c>
      <c r="K1184">
        <v>48</v>
      </c>
      <c r="L1184">
        <v>24</v>
      </c>
      <c r="M1184" s="1">
        <v>9000000000</v>
      </c>
    </row>
    <row r="1185" spans="1:13" ht="15" customHeight="1">
      <c r="A1185" t="s">
        <v>19</v>
      </c>
      <c r="B1185">
        <f t="shared" si="72"/>
        <v>33.706218</v>
      </c>
      <c r="C1185">
        <f t="shared" si="73"/>
        <v>-117.859843</v>
      </c>
      <c r="D1185">
        <f t="shared" si="74"/>
        <v>46</v>
      </c>
      <c r="E1185">
        <v>96.498999999999995</v>
      </c>
      <c r="F1185">
        <f t="shared" si="75"/>
        <v>-50.498999999999995</v>
      </c>
      <c r="G1185">
        <v>316.63299999999998</v>
      </c>
      <c r="H1185">
        <v>1.968</v>
      </c>
      <c r="I1185">
        <v>0.621</v>
      </c>
      <c r="J1185">
        <v>10</v>
      </c>
      <c r="K1185">
        <v>51</v>
      </c>
      <c r="L1185">
        <v>26</v>
      </c>
      <c r="M1185" s="1">
        <v>9000000000</v>
      </c>
    </row>
    <row r="1186" spans="1:13" ht="15" customHeight="1">
      <c r="A1186" t="s">
        <v>19</v>
      </c>
      <c r="B1186">
        <f t="shared" si="72"/>
        <v>33.706218</v>
      </c>
      <c r="C1186">
        <f t="shared" si="73"/>
        <v>-117.859843</v>
      </c>
      <c r="D1186">
        <f t="shared" si="74"/>
        <v>46</v>
      </c>
      <c r="E1186">
        <v>97.498999999999995</v>
      </c>
      <c r="F1186">
        <f t="shared" si="75"/>
        <v>-51.498999999999995</v>
      </c>
      <c r="G1186">
        <v>344.65</v>
      </c>
      <c r="H1186">
        <v>1.962</v>
      </c>
      <c r="I1186">
        <v>0.56899999999999995</v>
      </c>
      <c r="J1186">
        <v>10</v>
      </c>
      <c r="K1186">
        <v>55</v>
      </c>
      <c r="L1186">
        <v>28</v>
      </c>
      <c r="M1186" s="1">
        <v>9000000000</v>
      </c>
    </row>
    <row r="1187" spans="1:13" ht="15" customHeight="1">
      <c r="A1187" t="s">
        <v>19</v>
      </c>
      <c r="B1187">
        <f t="shared" si="72"/>
        <v>33.706218</v>
      </c>
      <c r="C1187">
        <f t="shared" si="73"/>
        <v>-117.859843</v>
      </c>
      <c r="D1187">
        <f t="shared" si="74"/>
        <v>46</v>
      </c>
      <c r="E1187">
        <v>98.498999999999995</v>
      </c>
      <c r="F1187">
        <f t="shared" si="75"/>
        <v>-52.498999999999995</v>
      </c>
      <c r="G1187">
        <v>95.167000000000002</v>
      </c>
      <c r="H1187">
        <v>2.1579999999999999</v>
      </c>
      <c r="I1187">
        <v>2.2410000000000001</v>
      </c>
      <c r="J1187">
        <v>7</v>
      </c>
      <c r="K1187">
        <v>31</v>
      </c>
      <c r="L1187">
        <v>16</v>
      </c>
      <c r="M1187" s="1">
        <v>9000000000</v>
      </c>
    </row>
    <row r="1188" spans="1:13" ht="15" customHeight="1">
      <c r="A1188" t="s">
        <v>19</v>
      </c>
      <c r="B1188">
        <f t="shared" si="72"/>
        <v>33.706218</v>
      </c>
      <c r="C1188">
        <f t="shared" si="73"/>
        <v>-117.859843</v>
      </c>
      <c r="D1188">
        <f t="shared" si="74"/>
        <v>46</v>
      </c>
      <c r="E1188">
        <v>99.498999999999995</v>
      </c>
      <c r="F1188">
        <f t="shared" si="75"/>
        <v>-53.498999999999995</v>
      </c>
      <c r="G1188">
        <v>30.417000000000002</v>
      </c>
      <c r="H1188">
        <v>0.57199999999999995</v>
      </c>
      <c r="I1188">
        <v>1.73</v>
      </c>
      <c r="J1188">
        <v>6</v>
      </c>
      <c r="K1188">
        <v>13</v>
      </c>
      <c r="L1188">
        <v>7</v>
      </c>
      <c r="M1188">
        <v>1.7909999999999999</v>
      </c>
    </row>
    <row r="1189" spans="1:13" ht="15" customHeight="1">
      <c r="A1189" t="s">
        <v>19</v>
      </c>
      <c r="B1189">
        <f t="shared" si="72"/>
        <v>33.706218</v>
      </c>
      <c r="C1189">
        <f t="shared" si="73"/>
        <v>-117.859843</v>
      </c>
      <c r="D1189">
        <f t="shared" si="74"/>
        <v>46</v>
      </c>
      <c r="E1189">
        <v>100.499</v>
      </c>
      <c r="F1189">
        <f t="shared" si="75"/>
        <v>-54.498999999999995</v>
      </c>
      <c r="G1189">
        <v>43.082999999999998</v>
      </c>
      <c r="H1189">
        <v>1.032</v>
      </c>
      <c r="I1189">
        <v>2.2719999999999998</v>
      </c>
      <c r="J1189">
        <v>6</v>
      </c>
      <c r="K1189">
        <v>17</v>
      </c>
      <c r="L1189">
        <v>9</v>
      </c>
      <c r="M1189">
        <v>2.61</v>
      </c>
    </row>
    <row r="1190" spans="1:13" ht="15" customHeight="1">
      <c r="A1190" t="s">
        <v>19</v>
      </c>
      <c r="B1190">
        <f t="shared" si="72"/>
        <v>33.706218</v>
      </c>
      <c r="C1190">
        <f t="shared" si="73"/>
        <v>-117.859843</v>
      </c>
      <c r="D1190">
        <f t="shared" si="74"/>
        <v>46</v>
      </c>
      <c r="E1190">
        <v>101.499</v>
      </c>
      <c r="F1190">
        <f t="shared" si="75"/>
        <v>-55.498999999999995</v>
      </c>
      <c r="G1190">
        <v>45</v>
      </c>
      <c r="H1190">
        <v>1.915</v>
      </c>
      <c r="I1190">
        <v>4.141</v>
      </c>
      <c r="J1190">
        <v>5</v>
      </c>
      <c r="K1190">
        <v>22</v>
      </c>
      <c r="L1190">
        <v>11</v>
      </c>
      <c r="M1190">
        <v>2.6629999999999998</v>
      </c>
    </row>
    <row r="1191" spans="1:13" ht="15" customHeight="1">
      <c r="A1191" t="s">
        <v>19</v>
      </c>
      <c r="B1191">
        <f t="shared" si="72"/>
        <v>33.706218</v>
      </c>
      <c r="C1191">
        <f t="shared" si="73"/>
        <v>-117.859843</v>
      </c>
      <c r="D1191">
        <f t="shared" si="74"/>
        <v>46</v>
      </c>
      <c r="E1191">
        <v>102.499</v>
      </c>
      <c r="F1191">
        <f t="shared" si="75"/>
        <v>-56.498999999999995</v>
      </c>
      <c r="G1191">
        <v>54.783000000000001</v>
      </c>
      <c r="H1191">
        <v>2.2149999999999999</v>
      </c>
      <c r="I1191">
        <v>3.9510000000000001</v>
      </c>
      <c r="J1191">
        <v>5</v>
      </c>
      <c r="K1191">
        <v>27</v>
      </c>
      <c r="L1191">
        <v>14</v>
      </c>
      <c r="M1191">
        <v>3.3130000000000002</v>
      </c>
    </row>
    <row r="1192" spans="1:13" ht="15" customHeight="1">
      <c r="A1192" t="s">
        <v>19</v>
      </c>
      <c r="B1192">
        <f t="shared" si="72"/>
        <v>33.706218</v>
      </c>
      <c r="C1192">
        <f t="shared" si="73"/>
        <v>-117.859843</v>
      </c>
      <c r="D1192">
        <f t="shared" si="74"/>
        <v>46</v>
      </c>
      <c r="E1192">
        <v>103.499</v>
      </c>
      <c r="F1192">
        <f t="shared" si="75"/>
        <v>-57.498999999999995</v>
      </c>
      <c r="G1192">
        <v>59.5</v>
      </c>
      <c r="H1192">
        <v>2.258</v>
      </c>
      <c r="I1192">
        <v>3.7549999999999999</v>
      </c>
      <c r="J1192">
        <v>5</v>
      </c>
      <c r="K1192">
        <v>29</v>
      </c>
      <c r="L1192">
        <v>15</v>
      </c>
      <c r="M1192">
        <v>3.581</v>
      </c>
    </row>
    <row r="1193" spans="1:13" ht="15" customHeight="1">
      <c r="A1193" t="s">
        <v>19</v>
      </c>
      <c r="B1193">
        <f t="shared" si="72"/>
        <v>33.706218</v>
      </c>
      <c r="C1193">
        <f t="shared" si="73"/>
        <v>-117.859843</v>
      </c>
      <c r="D1193">
        <f t="shared" si="74"/>
        <v>46</v>
      </c>
      <c r="E1193">
        <v>104.499</v>
      </c>
      <c r="F1193">
        <f t="shared" si="75"/>
        <v>-58.498999999999995</v>
      </c>
      <c r="G1193">
        <v>95.942999999999998</v>
      </c>
      <c r="H1193">
        <v>2.9329999999999998</v>
      </c>
      <c r="I1193">
        <v>3.04</v>
      </c>
      <c r="J1193">
        <v>6</v>
      </c>
      <c r="K1193">
        <v>37</v>
      </c>
      <c r="L1193">
        <v>19</v>
      </c>
      <c r="M1193">
        <v>5.9989999999999997</v>
      </c>
    </row>
    <row r="1194" spans="1:13" ht="15" customHeight="1">
      <c r="A1194" t="s">
        <v>19</v>
      </c>
      <c r="B1194">
        <f t="shared" si="72"/>
        <v>33.706218</v>
      </c>
      <c r="C1194">
        <f t="shared" si="73"/>
        <v>-117.859843</v>
      </c>
      <c r="D1194">
        <f t="shared" si="74"/>
        <v>46</v>
      </c>
      <c r="E1194">
        <v>105.499</v>
      </c>
      <c r="F1194">
        <f t="shared" si="75"/>
        <v>-59.498999999999995</v>
      </c>
      <c r="G1194">
        <v>232.11699999999999</v>
      </c>
      <c r="H1194">
        <v>3.8279999999999998</v>
      </c>
      <c r="I1194">
        <v>1.65</v>
      </c>
      <c r="J1194">
        <v>8</v>
      </c>
      <c r="K1194">
        <v>56</v>
      </c>
      <c r="L1194">
        <v>28</v>
      </c>
      <c r="M1194" s="1">
        <v>9000000000</v>
      </c>
    </row>
    <row r="1195" spans="1:13" ht="15" customHeight="1">
      <c r="A1195" t="s">
        <v>19</v>
      </c>
      <c r="B1195">
        <f t="shared" si="72"/>
        <v>33.706218</v>
      </c>
      <c r="C1195">
        <f t="shared" si="73"/>
        <v>-117.859843</v>
      </c>
      <c r="D1195">
        <f t="shared" si="74"/>
        <v>46</v>
      </c>
      <c r="E1195">
        <v>106.499</v>
      </c>
      <c r="F1195">
        <f t="shared" si="75"/>
        <v>-60.498999999999995</v>
      </c>
      <c r="G1195">
        <v>579.15</v>
      </c>
      <c r="H1195">
        <v>3.96</v>
      </c>
      <c r="I1195">
        <v>0.68400000000000005</v>
      </c>
      <c r="J1195">
        <v>10</v>
      </c>
      <c r="K1195">
        <v>92</v>
      </c>
      <c r="L1195">
        <v>46</v>
      </c>
      <c r="M1195" s="1">
        <v>9000000000</v>
      </c>
    </row>
    <row r="1196" spans="1:13" ht="15" customHeight="1">
      <c r="A1196" t="s">
        <v>19</v>
      </c>
      <c r="B1196">
        <f t="shared" si="72"/>
        <v>33.706218</v>
      </c>
      <c r="C1196">
        <f t="shared" si="73"/>
        <v>-117.859843</v>
      </c>
      <c r="D1196">
        <f t="shared" si="74"/>
        <v>46</v>
      </c>
      <c r="E1196">
        <v>107.499</v>
      </c>
      <c r="F1196">
        <f t="shared" si="75"/>
        <v>-61.498999999999995</v>
      </c>
      <c r="G1196">
        <v>493.6</v>
      </c>
      <c r="H1196">
        <v>3.22</v>
      </c>
      <c r="I1196">
        <v>0.65200000000000002</v>
      </c>
      <c r="J1196">
        <v>10</v>
      </c>
      <c r="K1196">
        <v>79</v>
      </c>
      <c r="L1196">
        <v>40</v>
      </c>
      <c r="M1196" s="1">
        <v>9000000000</v>
      </c>
    </row>
    <row r="1197" spans="1:13" ht="15" customHeight="1">
      <c r="A1197" t="s">
        <v>20</v>
      </c>
      <c r="B1197" t="e">
        <f t="shared" si="72"/>
        <v>#N/A</v>
      </c>
      <c r="C1197" t="e">
        <f t="shared" si="73"/>
        <v>#N/A</v>
      </c>
      <c r="D1197" t="e">
        <f t="shared" si="74"/>
        <v>#N/A</v>
      </c>
      <c r="E1197">
        <v>0.5</v>
      </c>
      <c r="F1197" t="e">
        <f t="shared" si="75"/>
        <v>#N/A</v>
      </c>
      <c r="G1197">
        <v>5.0830000000000002</v>
      </c>
      <c r="H1197">
        <v>3.5000000000000003E-2</v>
      </c>
      <c r="I1197">
        <v>0.68899999999999995</v>
      </c>
      <c r="J1197">
        <v>1</v>
      </c>
      <c r="K1197">
        <v>2</v>
      </c>
      <c r="L1197">
        <v>3</v>
      </c>
      <c r="M1197">
        <v>0.33700000000000002</v>
      </c>
    </row>
    <row r="1198" spans="1:13" ht="15" customHeight="1">
      <c r="A1198" t="s">
        <v>20</v>
      </c>
      <c r="B1198" t="e">
        <f t="shared" si="72"/>
        <v>#N/A</v>
      </c>
      <c r="C1198" t="e">
        <f t="shared" si="73"/>
        <v>#N/A</v>
      </c>
      <c r="D1198" t="e">
        <f t="shared" si="74"/>
        <v>#N/A</v>
      </c>
      <c r="E1198">
        <v>1.5</v>
      </c>
      <c r="F1198" t="e">
        <f t="shared" si="75"/>
        <v>#N/A</v>
      </c>
      <c r="G1198">
        <v>7.8170000000000002</v>
      </c>
      <c r="H1198">
        <v>0.32300000000000001</v>
      </c>
      <c r="I1198">
        <v>4.1189999999999998</v>
      </c>
      <c r="J1198">
        <v>3</v>
      </c>
      <c r="K1198">
        <v>8</v>
      </c>
      <c r="L1198">
        <v>12</v>
      </c>
      <c r="M1198">
        <v>0.51800000000000002</v>
      </c>
    </row>
    <row r="1199" spans="1:13" ht="15" customHeight="1">
      <c r="A1199" t="s">
        <v>20</v>
      </c>
      <c r="B1199" t="e">
        <f t="shared" si="72"/>
        <v>#N/A</v>
      </c>
      <c r="C1199" t="e">
        <f t="shared" si="73"/>
        <v>#N/A</v>
      </c>
      <c r="D1199" t="e">
        <f t="shared" si="74"/>
        <v>#N/A</v>
      </c>
      <c r="E1199">
        <v>2.5</v>
      </c>
      <c r="F1199" t="e">
        <f t="shared" si="75"/>
        <v>#N/A</v>
      </c>
      <c r="G1199">
        <v>1.9330000000000001</v>
      </c>
      <c r="H1199">
        <v>4.8000000000000001E-2</v>
      </c>
      <c r="I1199">
        <v>2.5</v>
      </c>
      <c r="J1199">
        <v>3</v>
      </c>
      <c r="K1199">
        <v>2</v>
      </c>
      <c r="L1199">
        <v>3</v>
      </c>
      <c r="M1199">
        <v>0.11899999999999999</v>
      </c>
    </row>
    <row r="1200" spans="1:13" ht="15" customHeight="1">
      <c r="A1200" t="s">
        <v>20</v>
      </c>
      <c r="B1200" t="e">
        <f t="shared" si="72"/>
        <v>#N/A</v>
      </c>
      <c r="C1200" t="e">
        <f t="shared" si="73"/>
        <v>#N/A</v>
      </c>
      <c r="D1200" t="e">
        <f t="shared" si="74"/>
        <v>#N/A</v>
      </c>
      <c r="E1200">
        <v>3.5</v>
      </c>
      <c r="F1200" t="e">
        <f t="shared" si="75"/>
        <v>#N/A</v>
      </c>
      <c r="G1200">
        <v>7.2670000000000003</v>
      </c>
      <c r="H1200">
        <v>0.35299999999999998</v>
      </c>
      <c r="I1200">
        <v>4.8620000000000001</v>
      </c>
      <c r="J1200">
        <v>3</v>
      </c>
      <c r="K1200">
        <v>7</v>
      </c>
      <c r="L1200">
        <v>11</v>
      </c>
      <c r="M1200">
        <v>0.47099999999999997</v>
      </c>
    </row>
    <row r="1201" spans="1:13" ht="15" customHeight="1">
      <c r="A1201" t="s">
        <v>20</v>
      </c>
      <c r="B1201" t="e">
        <f t="shared" si="72"/>
        <v>#N/A</v>
      </c>
      <c r="C1201" t="e">
        <f t="shared" si="73"/>
        <v>#N/A</v>
      </c>
      <c r="D1201" t="e">
        <f t="shared" si="74"/>
        <v>#N/A</v>
      </c>
      <c r="E1201">
        <v>4.5</v>
      </c>
      <c r="F1201" t="e">
        <f t="shared" si="75"/>
        <v>#N/A</v>
      </c>
      <c r="G1201">
        <v>5.5170000000000003</v>
      </c>
      <c r="H1201">
        <v>0.28799999999999998</v>
      </c>
      <c r="I1201">
        <v>5.242</v>
      </c>
      <c r="J1201">
        <v>3</v>
      </c>
      <c r="K1201">
        <v>5</v>
      </c>
      <c r="L1201">
        <v>8</v>
      </c>
      <c r="M1201">
        <v>0.34899999999999998</v>
      </c>
    </row>
    <row r="1202" spans="1:13" ht="15" customHeight="1">
      <c r="A1202" t="s">
        <v>20</v>
      </c>
      <c r="B1202" t="e">
        <f t="shared" si="72"/>
        <v>#N/A</v>
      </c>
      <c r="C1202" t="e">
        <f t="shared" si="73"/>
        <v>#N/A</v>
      </c>
      <c r="D1202" t="e">
        <f t="shared" si="74"/>
        <v>#N/A</v>
      </c>
      <c r="E1202">
        <v>5.5</v>
      </c>
      <c r="F1202" t="e">
        <f t="shared" si="75"/>
        <v>#N/A</v>
      </c>
      <c r="G1202">
        <v>5.6669999999999998</v>
      </c>
      <c r="H1202">
        <v>0.26</v>
      </c>
      <c r="I1202">
        <v>4.6150000000000002</v>
      </c>
      <c r="J1202">
        <v>3</v>
      </c>
      <c r="K1202">
        <v>5</v>
      </c>
      <c r="L1202">
        <v>8</v>
      </c>
      <c r="M1202">
        <v>0.35399999999999998</v>
      </c>
    </row>
    <row r="1203" spans="1:13" ht="15" customHeight="1">
      <c r="A1203" t="s">
        <v>20</v>
      </c>
      <c r="B1203" t="e">
        <f t="shared" si="72"/>
        <v>#N/A</v>
      </c>
      <c r="C1203" t="e">
        <f t="shared" si="73"/>
        <v>#N/A</v>
      </c>
      <c r="D1203" t="e">
        <f t="shared" si="74"/>
        <v>#N/A</v>
      </c>
      <c r="E1203">
        <v>6.5</v>
      </c>
      <c r="F1203" t="e">
        <f t="shared" si="75"/>
        <v>#N/A</v>
      </c>
      <c r="G1203">
        <v>10.967000000000001</v>
      </c>
      <c r="H1203">
        <v>0.49299999999999999</v>
      </c>
      <c r="I1203">
        <v>4.5049999999999999</v>
      </c>
      <c r="J1203">
        <v>3</v>
      </c>
      <c r="K1203">
        <v>10</v>
      </c>
      <c r="L1203">
        <v>15</v>
      </c>
      <c r="M1203">
        <v>0.70399999999999996</v>
      </c>
    </row>
    <row r="1204" spans="1:13" ht="15" customHeight="1">
      <c r="A1204" t="s">
        <v>20</v>
      </c>
      <c r="B1204" t="e">
        <f t="shared" si="72"/>
        <v>#N/A</v>
      </c>
      <c r="C1204" t="e">
        <f t="shared" si="73"/>
        <v>#N/A</v>
      </c>
      <c r="D1204" t="e">
        <f t="shared" si="74"/>
        <v>#N/A</v>
      </c>
      <c r="E1204">
        <v>7.5</v>
      </c>
      <c r="F1204" t="e">
        <f t="shared" si="75"/>
        <v>#N/A</v>
      </c>
      <c r="G1204">
        <v>15.067</v>
      </c>
      <c r="H1204">
        <v>0.64500000000000002</v>
      </c>
      <c r="I1204">
        <v>4.2809999999999997</v>
      </c>
      <c r="J1204">
        <v>3</v>
      </c>
      <c r="K1204">
        <v>14</v>
      </c>
      <c r="L1204">
        <v>21</v>
      </c>
      <c r="M1204">
        <v>0.97499999999999998</v>
      </c>
    </row>
    <row r="1205" spans="1:13" ht="15" customHeight="1">
      <c r="A1205" t="s">
        <v>20</v>
      </c>
      <c r="B1205" t="e">
        <f t="shared" si="72"/>
        <v>#N/A</v>
      </c>
      <c r="C1205" t="e">
        <f t="shared" si="73"/>
        <v>#N/A</v>
      </c>
      <c r="D1205" t="e">
        <f t="shared" si="74"/>
        <v>#N/A</v>
      </c>
      <c r="E1205">
        <v>8.5</v>
      </c>
      <c r="F1205" t="e">
        <f t="shared" si="75"/>
        <v>#N/A</v>
      </c>
      <c r="G1205">
        <v>13.95</v>
      </c>
      <c r="H1205">
        <v>0.64</v>
      </c>
      <c r="I1205">
        <v>4.577</v>
      </c>
      <c r="J1205">
        <v>3</v>
      </c>
      <c r="K1205">
        <v>13</v>
      </c>
      <c r="L1205">
        <v>20</v>
      </c>
      <c r="M1205">
        <v>0.89800000000000002</v>
      </c>
    </row>
    <row r="1206" spans="1:13" ht="15" customHeight="1">
      <c r="A1206" t="s">
        <v>20</v>
      </c>
      <c r="B1206" t="e">
        <f t="shared" si="72"/>
        <v>#N/A</v>
      </c>
      <c r="C1206" t="e">
        <f t="shared" si="73"/>
        <v>#N/A</v>
      </c>
      <c r="D1206" t="e">
        <f t="shared" si="74"/>
        <v>#N/A</v>
      </c>
      <c r="E1206">
        <v>9.5</v>
      </c>
      <c r="F1206" t="e">
        <f t="shared" si="75"/>
        <v>#N/A</v>
      </c>
      <c r="G1206">
        <v>14.2</v>
      </c>
      <c r="H1206">
        <v>0.66700000000000004</v>
      </c>
      <c r="I1206">
        <v>4.6840000000000002</v>
      </c>
      <c r="J1206">
        <v>3</v>
      </c>
      <c r="K1206">
        <v>14</v>
      </c>
      <c r="L1206">
        <v>21</v>
      </c>
      <c r="M1206">
        <v>0.91100000000000003</v>
      </c>
    </row>
    <row r="1207" spans="1:13" ht="15" customHeight="1">
      <c r="A1207" t="s">
        <v>20</v>
      </c>
      <c r="B1207" t="e">
        <f t="shared" si="72"/>
        <v>#N/A</v>
      </c>
      <c r="C1207" t="e">
        <f t="shared" si="73"/>
        <v>#N/A</v>
      </c>
      <c r="D1207" t="e">
        <f t="shared" si="74"/>
        <v>#N/A</v>
      </c>
      <c r="E1207">
        <v>10.5</v>
      </c>
      <c r="F1207" t="e">
        <f t="shared" si="75"/>
        <v>#N/A</v>
      </c>
      <c r="G1207">
        <v>13.8</v>
      </c>
      <c r="H1207">
        <v>0.60399999999999998</v>
      </c>
      <c r="I1207">
        <v>4.3650000000000002</v>
      </c>
      <c r="J1207">
        <v>3</v>
      </c>
      <c r="K1207">
        <v>13</v>
      </c>
      <c r="L1207">
        <v>18</v>
      </c>
      <c r="M1207">
        <v>0.88</v>
      </c>
    </row>
    <row r="1208" spans="1:13" ht="15" customHeight="1">
      <c r="A1208" t="s">
        <v>20</v>
      </c>
      <c r="B1208" t="e">
        <f t="shared" si="72"/>
        <v>#N/A</v>
      </c>
      <c r="C1208" t="e">
        <f t="shared" si="73"/>
        <v>#N/A</v>
      </c>
      <c r="D1208" t="e">
        <f t="shared" si="74"/>
        <v>#N/A</v>
      </c>
      <c r="E1208">
        <v>11.5</v>
      </c>
      <c r="F1208" t="e">
        <f t="shared" si="75"/>
        <v>#N/A</v>
      </c>
      <c r="G1208">
        <v>10.532999999999999</v>
      </c>
      <c r="H1208">
        <v>0.53800000000000003</v>
      </c>
      <c r="I1208">
        <v>5.0949999999999998</v>
      </c>
      <c r="J1208">
        <v>3</v>
      </c>
      <c r="K1208">
        <v>10</v>
      </c>
      <c r="L1208">
        <v>13</v>
      </c>
      <c r="M1208">
        <v>0.65800000000000003</v>
      </c>
    </row>
    <row r="1209" spans="1:13" ht="15" customHeight="1">
      <c r="A1209" t="s">
        <v>20</v>
      </c>
      <c r="B1209" t="e">
        <f t="shared" si="72"/>
        <v>#N/A</v>
      </c>
      <c r="C1209" t="e">
        <f t="shared" si="73"/>
        <v>#N/A</v>
      </c>
      <c r="D1209" t="e">
        <f t="shared" si="74"/>
        <v>#N/A</v>
      </c>
      <c r="E1209">
        <v>12.5</v>
      </c>
      <c r="F1209" t="e">
        <f t="shared" si="75"/>
        <v>#N/A</v>
      </c>
      <c r="G1209">
        <v>11.382999999999999</v>
      </c>
      <c r="H1209">
        <v>0.55300000000000005</v>
      </c>
      <c r="I1209">
        <v>4.8609999999999998</v>
      </c>
      <c r="J1209">
        <v>3</v>
      </c>
      <c r="K1209">
        <v>11</v>
      </c>
      <c r="L1209">
        <v>14</v>
      </c>
      <c r="M1209">
        <v>0.70799999999999996</v>
      </c>
    </row>
    <row r="1210" spans="1:13" ht="15" customHeight="1">
      <c r="A1210" t="s">
        <v>20</v>
      </c>
      <c r="B1210" t="e">
        <f t="shared" si="72"/>
        <v>#N/A</v>
      </c>
      <c r="C1210" t="e">
        <f t="shared" si="73"/>
        <v>#N/A</v>
      </c>
      <c r="D1210" t="e">
        <f t="shared" si="74"/>
        <v>#N/A</v>
      </c>
      <c r="E1210">
        <v>13.5</v>
      </c>
      <c r="F1210" t="e">
        <f t="shared" si="75"/>
        <v>#N/A</v>
      </c>
      <c r="G1210">
        <v>12.583</v>
      </c>
      <c r="H1210">
        <v>0.5</v>
      </c>
      <c r="I1210">
        <v>3.9630000000000001</v>
      </c>
      <c r="J1210">
        <v>3</v>
      </c>
      <c r="K1210">
        <v>12</v>
      </c>
      <c r="L1210">
        <v>14</v>
      </c>
      <c r="M1210">
        <v>0.78600000000000003</v>
      </c>
    </row>
    <row r="1211" spans="1:13" ht="15" customHeight="1">
      <c r="A1211" t="s">
        <v>20</v>
      </c>
      <c r="B1211" t="e">
        <f t="shared" si="72"/>
        <v>#N/A</v>
      </c>
      <c r="C1211" t="e">
        <f t="shared" si="73"/>
        <v>#N/A</v>
      </c>
      <c r="D1211" t="e">
        <f t="shared" si="74"/>
        <v>#N/A</v>
      </c>
      <c r="E1211">
        <v>14.5</v>
      </c>
      <c r="F1211" t="e">
        <f t="shared" si="75"/>
        <v>#N/A</v>
      </c>
      <c r="G1211">
        <v>15.117000000000001</v>
      </c>
      <c r="H1211">
        <v>0.65800000000000003</v>
      </c>
      <c r="I1211">
        <v>4.3449999999999998</v>
      </c>
      <c r="J1211">
        <v>3</v>
      </c>
      <c r="K1211">
        <v>15</v>
      </c>
      <c r="L1211">
        <v>16</v>
      </c>
      <c r="M1211">
        <v>0.95099999999999996</v>
      </c>
    </row>
    <row r="1212" spans="1:13" ht="15" customHeight="1">
      <c r="A1212" t="s">
        <v>20</v>
      </c>
      <c r="B1212" t="e">
        <f t="shared" si="72"/>
        <v>#N/A</v>
      </c>
      <c r="C1212" t="e">
        <f t="shared" si="73"/>
        <v>#N/A</v>
      </c>
      <c r="D1212" t="e">
        <f t="shared" si="74"/>
        <v>#N/A</v>
      </c>
      <c r="E1212">
        <v>15.5</v>
      </c>
      <c r="F1212" t="e">
        <f t="shared" si="75"/>
        <v>#N/A</v>
      </c>
      <c r="G1212">
        <v>11.933</v>
      </c>
      <c r="H1212">
        <v>0.46800000000000003</v>
      </c>
      <c r="I1212">
        <v>3.919</v>
      </c>
      <c r="J1212">
        <v>3</v>
      </c>
      <c r="K1212">
        <v>11</v>
      </c>
      <c r="L1212">
        <v>11</v>
      </c>
      <c r="M1212">
        <v>0.73299999999999998</v>
      </c>
    </row>
    <row r="1213" spans="1:13" ht="15" customHeight="1">
      <c r="A1213" t="s">
        <v>20</v>
      </c>
      <c r="B1213" t="e">
        <f t="shared" si="72"/>
        <v>#N/A</v>
      </c>
      <c r="C1213" t="e">
        <f t="shared" si="73"/>
        <v>#N/A</v>
      </c>
      <c r="D1213" t="e">
        <f t="shared" si="74"/>
        <v>#N/A</v>
      </c>
      <c r="E1213">
        <v>16.5</v>
      </c>
      <c r="F1213" t="e">
        <f t="shared" si="75"/>
        <v>#N/A</v>
      </c>
      <c r="G1213">
        <v>13.6</v>
      </c>
      <c r="H1213">
        <v>0.497</v>
      </c>
      <c r="I1213">
        <v>3.63</v>
      </c>
      <c r="J1213">
        <v>4</v>
      </c>
      <c r="K1213">
        <v>9</v>
      </c>
      <c r="L1213">
        <v>9</v>
      </c>
      <c r="M1213">
        <v>0.84499999999999997</v>
      </c>
    </row>
    <row r="1214" spans="1:13" ht="15" customHeight="1">
      <c r="A1214" t="s">
        <v>20</v>
      </c>
      <c r="B1214" t="e">
        <f t="shared" si="72"/>
        <v>#N/A</v>
      </c>
      <c r="C1214" t="e">
        <f t="shared" si="73"/>
        <v>#N/A</v>
      </c>
      <c r="D1214" t="e">
        <f t="shared" si="74"/>
        <v>#N/A</v>
      </c>
      <c r="E1214">
        <v>17.5</v>
      </c>
      <c r="F1214" t="e">
        <f t="shared" si="75"/>
        <v>#N/A</v>
      </c>
      <c r="G1214">
        <v>21.783000000000001</v>
      </c>
      <c r="H1214">
        <v>0.64300000000000002</v>
      </c>
      <c r="I1214">
        <v>2.9489999999999998</v>
      </c>
      <c r="J1214">
        <v>5</v>
      </c>
      <c r="K1214">
        <v>10</v>
      </c>
      <c r="L1214">
        <v>9</v>
      </c>
      <c r="M1214">
        <v>1.383</v>
      </c>
    </row>
    <row r="1215" spans="1:13" ht="15" customHeight="1">
      <c r="A1215" t="s">
        <v>20</v>
      </c>
      <c r="B1215" t="e">
        <f t="shared" si="72"/>
        <v>#N/A</v>
      </c>
      <c r="C1215" t="e">
        <f t="shared" si="73"/>
        <v>#N/A</v>
      </c>
      <c r="D1215" t="e">
        <f t="shared" si="74"/>
        <v>#N/A</v>
      </c>
      <c r="E1215">
        <v>18.5</v>
      </c>
      <c r="F1215" t="e">
        <f t="shared" si="75"/>
        <v>#N/A</v>
      </c>
      <c r="G1215">
        <v>85.466999999999999</v>
      </c>
      <c r="H1215">
        <v>0.91200000000000003</v>
      </c>
      <c r="I1215">
        <v>1.0669999999999999</v>
      </c>
      <c r="J1215">
        <v>8</v>
      </c>
      <c r="K1215">
        <v>20</v>
      </c>
      <c r="L1215">
        <v>18</v>
      </c>
      <c r="M1215" s="1">
        <v>9000000000</v>
      </c>
    </row>
    <row r="1216" spans="1:13" ht="15" customHeight="1">
      <c r="A1216" t="s">
        <v>20</v>
      </c>
      <c r="B1216" t="e">
        <f t="shared" si="72"/>
        <v>#N/A</v>
      </c>
      <c r="C1216" t="e">
        <f t="shared" si="73"/>
        <v>#N/A</v>
      </c>
      <c r="D1216" t="e">
        <f t="shared" si="74"/>
        <v>#N/A</v>
      </c>
      <c r="E1216">
        <v>19.5</v>
      </c>
      <c r="F1216" t="e">
        <f t="shared" si="75"/>
        <v>#N/A</v>
      </c>
      <c r="G1216">
        <v>14.233000000000001</v>
      </c>
      <c r="H1216">
        <v>0.48699999999999999</v>
      </c>
      <c r="I1216">
        <v>3.407</v>
      </c>
      <c r="J1216">
        <v>4</v>
      </c>
      <c r="K1216">
        <v>9</v>
      </c>
      <c r="L1216">
        <v>8</v>
      </c>
      <c r="M1216">
        <v>0.873</v>
      </c>
    </row>
    <row r="1217" spans="1:13" ht="15" customHeight="1">
      <c r="A1217" t="s">
        <v>20</v>
      </c>
      <c r="B1217" t="e">
        <f t="shared" si="72"/>
        <v>#N/A</v>
      </c>
      <c r="C1217" t="e">
        <f t="shared" si="73"/>
        <v>#N/A</v>
      </c>
      <c r="D1217" t="e">
        <f t="shared" si="74"/>
        <v>#N/A</v>
      </c>
      <c r="E1217">
        <v>20.5</v>
      </c>
      <c r="F1217" t="e">
        <f t="shared" si="75"/>
        <v>#N/A</v>
      </c>
      <c r="G1217">
        <v>19.042999999999999</v>
      </c>
      <c r="H1217">
        <v>0.57899999999999996</v>
      </c>
      <c r="I1217">
        <v>3.036</v>
      </c>
      <c r="J1217">
        <v>5</v>
      </c>
      <c r="K1217">
        <v>9</v>
      </c>
      <c r="L1217">
        <v>8</v>
      </c>
      <c r="M1217">
        <v>1.1870000000000001</v>
      </c>
    </row>
    <row r="1218" spans="1:13" ht="15" customHeight="1">
      <c r="A1218" t="s">
        <v>20</v>
      </c>
      <c r="B1218" t="e">
        <f t="shared" ref="B1218:B1281" si="76">VLOOKUP(A1218,XYdata,3,FALSE)</f>
        <v>#N/A</v>
      </c>
      <c r="C1218" t="e">
        <f t="shared" ref="C1218:C1281" si="77">VLOOKUP(A1218,XYdata,2,FALSE)</f>
        <v>#N/A</v>
      </c>
      <c r="D1218" t="e">
        <f t="shared" ref="D1218:D1281" si="78">VLOOKUP(A1218,Elevation,2,FALSE)</f>
        <v>#N/A</v>
      </c>
      <c r="E1218">
        <v>21.5</v>
      </c>
      <c r="F1218" t="e">
        <f t="shared" si="75"/>
        <v>#N/A</v>
      </c>
      <c r="G1218">
        <v>15.882999999999999</v>
      </c>
      <c r="H1218">
        <v>0.52700000000000002</v>
      </c>
      <c r="I1218">
        <v>3.3370000000000002</v>
      </c>
      <c r="J1218">
        <v>4</v>
      </c>
      <c r="K1218">
        <v>10</v>
      </c>
      <c r="L1218">
        <v>8</v>
      </c>
      <c r="M1218">
        <v>0.96499999999999997</v>
      </c>
    </row>
    <row r="1219" spans="1:13" ht="15" customHeight="1">
      <c r="A1219" t="s">
        <v>20</v>
      </c>
      <c r="B1219" t="e">
        <f t="shared" si="76"/>
        <v>#N/A</v>
      </c>
      <c r="C1219" t="e">
        <f t="shared" si="77"/>
        <v>#N/A</v>
      </c>
      <c r="D1219" t="e">
        <f t="shared" si="78"/>
        <v>#N/A</v>
      </c>
      <c r="E1219">
        <v>22.5</v>
      </c>
      <c r="F1219" t="e">
        <f t="shared" ref="F1219:F1282" si="79">D1219-E1219</f>
        <v>#N/A</v>
      </c>
      <c r="G1219">
        <v>13.467000000000001</v>
      </c>
      <c r="H1219">
        <v>0.42699999999999999</v>
      </c>
      <c r="I1219">
        <v>3.1880000000000002</v>
      </c>
      <c r="J1219">
        <v>4</v>
      </c>
      <c r="K1219">
        <v>9</v>
      </c>
      <c r="L1219">
        <v>7</v>
      </c>
      <c r="M1219">
        <v>0.80100000000000005</v>
      </c>
    </row>
    <row r="1220" spans="1:13" ht="15" customHeight="1">
      <c r="A1220" t="s">
        <v>20</v>
      </c>
      <c r="B1220" t="e">
        <f t="shared" si="76"/>
        <v>#N/A</v>
      </c>
      <c r="C1220" t="e">
        <f t="shared" si="77"/>
        <v>#N/A</v>
      </c>
      <c r="D1220" t="e">
        <f t="shared" si="78"/>
        <v>#N/A</v>
      </c>
      <c r="E1220">
        <v>23.5</v>
      </c>
      <c r="F1220" t="e">
        <f t="shared" si="79"/>
        <v>#N/A</v>
      </c>
      <c r="G1220">
        <v>18.567</v>
      </c>
      <c r="H1220">
        <v>0.60299999999999998</v>
      </c>
      <c r="I1220">
        <v>3.2639999999999998</v>
      </c>
      <c r="J1220">
        <v>5</v>
      </c>
      <c r="K1220">
        <v>9</v>
      </c>
      <c r="L1220">
        <v>7</v>
      </c>
      <c r="M1220">
        <v>1.137</v>
      </c>
    </row>
    <row r="1221" spans="1:13" ht="15" customHeight="1">
      <c r="A1221" t="s">
        <v>20</v>
      </c>
      <c r="B1221" t="e">
        <f t="shared" si="76"/>
        <v>#N/A</v>
      </c>
      <c r="C1221" t="e">
        <f t="shared" si="77"/>
        <v>#N/A</v>
      </c>
      <c r="D1221" t="e">
        <f t="shared" si="78"/>
        <v>#N/A</v>
      </c>
      <c r="E1221">
        <v>24.5</v>
      </c>
      <c r="F1221" t="e">
        <f t="shared" si="79"/>
        <v>#N/A</v>
      </c>
      <c r="G1221">
        <v>15.583</v>
      </c>
      <c r="H1221">
        <v>0.64200000000000002</v>
      </c>
      <c r="I1221">
        <v>4.1260000000000003</v>
      </c>
      <c r="J1221">
        <v>3</v>
      </c>
      <c r="K1221">
        <v>15</v>
      </c>
      <c r="L1221">
        <v>11</v>
      </c>
      <c r="M1221">
        <v>0.93700000000000006</v>
      </c>
    </row>
    <row r="1222" spans="1:13" ht="15" customHeight="1">
      <c r="A1222" t="s">
        <v>20</v>
      </c>
      <c r="B1222" t="e">
        <f t="shared" si="76"/>
        <v>#N/A</v>
      </c>
      <c r="C1222" t="e">
        <f t="shared" si="77"/>
        <v>#N/A</v>
      </c>
      <c r="D1222" t="e">
        <f t="shared" si="78"/>
        <v>#N/A</v>
      </c>
      <c r="E1222">
        <v>25.5</v>
      </c>
      <c r="F1222" t="e">
        <f t="shared" si="79"/>
        <v>#N/A</v>
      </c>
      <c r="G1222">
        <v>13.467000000000001</v>
      </c>
      <c r="H1222">
        <v>0.57999999999999996</v>
      </c>
      <c r="I1222">
        <v>4.3179999999999996</v>
      </c>
      <c r="J1222">
        <v>3</v>
      </c>
      <c r="K1222">
        <v>13</v>
      </c>
      <c r="L1222">
        <v>9</v>
      </c>
      <c r="M1222">
        <v>0.79200000000000004</v>
      </c>
    </row>
    <row r="1223" spans="1:13" ht="15" customHeight="1">
      <c r="A1223" t="s">
        <v>20</v>
      </c>
      <c r="B1223" t="e">
        <f t="shared" si="76"/>
        <v>#N/A</v>
      </c>
      <c r="C1223" t="e">
        <f t="shared" si="77"/>
        <v>#N/A</v>
      </c>
      <c r="D1223" t="e">
        <f t="shared" si="78"/>
        <v>#N/A</v>
      </c>
      <c r="E1223">
        <v>26.5</v>
      </c>
      <c r="F1223" t="e">
        <f t="shared" si="79"/>
        <v>#N/A</v>
      </c>
      <c r="G1223">
        <v>16.382999999999999</v>
      </c>
      <c r="H1223">
        <v>0.65300000000000002</v>
      </c>
      <c r="I1223">
        <v>3.988</v>
      </c>
      <c r="J1223">
        <v>4</v>
      </c>
      <c r="K1223">
        <v>10</v>
      </c>
      <c r="L1223">
        <v>7</v>
      </c>
      <c r="M1223">
        <v>0.98399999999999999</v>
      </c>
    </row>
    <row r="1224" spans="1:13" ht="15" customHeight="1">
      <c r="A1224" t="s">
        <v>20</v>
      </c>
      <c r="B1224" t="e">
        <f t="shared" si="76"/>
        <v>#N/A</v>
      </c>
      <c r="C1224" t="e">
        <f t="shared" si="77"/>
        <v>#N/A</v>
      </c>
      <c r="D1224" t="e">
        <f t="shared" si="78"/>
        <v>#N/A</v>
      </c>
      <c r="E1224">
        <v>27.5</v>
      </c>
      <c r="F1224" t="e">
        <f t="shared" si="79"/>
        <v>#N/A</v>
      </c>
      <c r="G1224">
        <v>26.516999999999999</v>
      </c>
      <c r="H1224">
        <v>1.345</v>
      </c>
      <c r="I1224">
        <v>5.0750000000000002</v>
      </c>
      <c r="J1224">
        <v>3</v>
      </c>
      <c r="K1224">
        <v>25</v>
      </c>
      <c r="L1224">
        <v>17</v>
      </c>
      <c r="M1224">
        <v>1.655</v>
      </c>
    </row>
    <row r="1225" spans="1:13" ht="15" customHeight="1">
      <c r="A1225" t="s">
        <v>20</v>
      </c>
      <c r="B1225" t="e">
        <f t="shared" si="76"/>
        <v>#N/A</v>
      </c>
      <c r="C1225" t="e">
        <f t="shared" si="77"/>
        <v>#N/A</v>
      </c>
      <c r="D1225" t="e">
        <f t="shared" si="78"/>
        <v>#N/A</v>
      </c>
      <c r="E1225">
        <v>28.5</v>
      </c>
      <c r="F1225" t="e">
        <f t="shared" si="79"/>
        <v>#N/A</v>
      </c>
      <c r="G1225">
        <v>38.267000000000003</v>
      </c>
      <c r="H1225">
        <v>1.252</v>
      </c>
      <c r="I1225">
        <v>3.2650000000000001</v>
      </c>
      <c r="J1225">
        <v>5</v>
      </c>
      <c r="K1225">
        <v>18</v>
      </c>
      <c r="L1225">
        <v>12</v>
      </c>
      <c r="M1225">
        <v>2.4390000000000001</v>
      </c>
    </row>
    <row r="1226" spans="1:13" ht="15" customHeight="1">
      <c r="A1226" t="s">
        <v>20</v>
      </c>
      <c r="B1226" t="e">
        <f t="shared" si="76"/>
        <v>#N/A</v>
      </c>
      <c r="C1226" t="e">
        <f t="shared" si="77"/>
        <v>#N/A</v>
      </c>
      <c r="D1226" t="e">
        <f t="shared" si="78"/>
        <v>#N/A</v>
      </c>
      <c r="E1226">
        <v>29.5</v>
      </c>
      <c r="F1226" t="e">
        <f t="shared" si="79"/>
        <v>#N/A</v>
      </c>
      <c r="G1226">
        <v>39.482999999999997</v>
      </c>
      <c r="H1226">
        <v>1.29</v>
      </c>
      <c r="I1226">
        <v>3.2519999999999998</v>
      </c>
      <c r="J1226">
        <v>5</v>
      </c>
      <c r="K1226">
        <v>19</v>
      </c>
      <c r="L1226">
        <v>13</v>
      </c>
      <c r="M1226">
        <v>2.524</v>
      </c>
    </row>
    <row r="1227" spans="1:13" ht="15" customHeight="1">
      <c r="A1227" t="s">
        <v>20</v>
      </c>
      <c r="B1227" t="e">
        <f t="shared" si="76"/>
        <v>#N/A</v>
      </c>
      <c r="C1227" t="e">
        <f t="shared" si="77"/>
        <v>#N/A</v>
      </c>
      <c r="D1227" t="e">
        <f t="shared" si="78"/>
        <v>#N/A</v>
      </c>
      <c r="E1227">
        <v>30.5</v>
      </c>
      <c r="F1227" t="e">
        <f t="shared" si="79"/>
        <v>#N/A</v>
      </c>
      <c r="G1227">
        <v>45.883000000000003</v>
      </c>
      <c r="H1227">
        <v>1.6279999999999999</v>
      </c>
      <c r="I1227">
        <v>3.5310000000000001</v>
      </c>
      <c r="J1227">
        <v>5</v>
      </c>
      <c r="K1227">
        <v>22</v>
      </c>
      <c r="L1227">
        <v>15</v>
      </c>
      <c r="M1227">
        <v>2.95</v>
      </c>
    </row>
    <row r="1228" spans="1:13" ht="15" customHeight="1">
      <c r="A1228" t="s">
        <v>20</v>
      </c>
      <c r="B1228" t="e">
        <f t="shared" si="76"/>
        <v>#N/A</v>
      </c>
      <c r="C1228" t="e">
        <f t="shared" si="77"/>
        <v>#N/A</v>
      </c>
      <c r="D1228" t="e">
        <f t="shared" si="78"/>
        <v>#N/A</v>
      </c>
      <c r="E1228">
        <v>31.5</v>
      </c>
      <c r="F1228" t="e">
        <f t="shared" si="79"/>
        <v>#N/A</v>
      </c>
      <c r="G1228">
        <v>54.529000000000003</v>
      </c>
      <c r="H1228">
        <v>2.2829999999999999</v>
      </c>
      <c r="I1228">
        <v>4.1420000000000003</v>
      </c>
      <c r="J1228">
        <v>5</v>
      </c>
      <c r="K1228">
        <v>26</v>
      </c>
      <c r="L1228">
        <v>17</v>
      </c>
      <c r="M1228">
        <v>3.5449999999999999</v>
      </c>
    </row>
    <row r="1229" spans="1:13" ht="15" customHeight="1">
      <c r="A1229" t="s">
        <v>20</v>
      </c>
      <c r="B1229" t="e">
        <f t="shared" si="76"/>
        <v>#N/A</v>
      </c>
      <c r="C1229" t="e">
        <f t="shared" si="77"/>
        <v>#N/A</v>
      </c>
      <c r="D1229" t="e">
        <f t="shared" si="78"/>
        <v>#N/A</v>
      </c>
      <c r="E1229">
        <v>32.5</v>
      </c>
      <c r="F1229" t="e">
        <f t="shared" si="79"/>
        <v>#N/A</v>
      </c>
      <c r="G1229">
        <v>79.849999999999994</v>
      </c>
      <c r="H1229">
        <v>1.7829999999999999</v>
      </c>
      <c r="I1229">
        <v>2.2320000000000002</v>
      </c>
      <c r="J1229">
        <v>7</v>
      </c>
      <c r="K1229">
        <v>26</v>
      </c>
      <c r="L1229">
        <v>17</v>
      </c>
      <c r="M1229" s="1">
        <v>9000000000</v>
      </c>
    </row>
    <row r="1230" spans="1:13" ht="15" customHeight="1">
      <c r="A1230" t="s">
        <v>20</v>
      </c>
      <c r="B1230" t="e">
        <f t="shared" si="76"/>
        <v>#N/A</v>
      </c>
      <c r="C1230" t="e">
        <f t="shared" si="77"/>
        <v>#N/A</v>
      </c>
      <c r="D1230" t="e">
        <f t="shared" si="78"/>
        <v>#N/A</v>
      </c>
      <c r="E1230">
        <v>33.5</v>
      </c>
      <c r="F1230" t="e">
        <f t="shared" si="79"/>
        <v>#N/A</v>
      </c>
      <c r="G1230">
        <v>255.61699999999999</v>
      </c>
      <c r="H1230">
        <v>1.9179999999999999</v>
      </c>
      <c r="I1230">
        <v>0.751</v>
      </c>
      <c r="J1230">
        <v>9</v>
      </c>
      <c r="K1230">
        <v>49</v>
      </c>
      <c r="L1230">
        <v>31</v>
      </c>
      <c r="M1230" s="1">
        <v>9000000000</v>
      </c>
    </row>
    <row r="1231" spans="1:13" ht="15" customHeight="1">
      <c r="A1231" t="s">
        <v>20</v>
      </c>
      <c r="B1231" t="e">
        <f t="shared" si="76"/>
        <v>#N/A</v>
      </c>
      <c r="C1231" t="e">
        <f t="shared" si="77"/>
        <v>#N/A</v>
      </c>
      <c r="D1231" t="e">
        <f t="shared" si="78"/>
        <v>#N/A</v>
      </c>
      <c r="E1231">
        <v>34.5</v>
      </c>
      <c r="F1231" t="e">
        <f t="shared" si="79"/>
        <v>#N/A</v>
      </c>
      <c r="G1231">
        <v>144.983</v>
      </c>
      <c r="H1231">
        <v>2.5619999999999998</v>
      </c>
      <c r="I1231">
        <v>1.7689999999999999</v>
      </c>
      <c r="J1231">
        <v>7</v>
      </c>
      <c r="K1231">
        <v>46</v>
      </c>
      <c r="L1231">
        <v>29</v>
      </c>
      <c r="M1231" s="1">
        <v>9000000000</v>
      </c>
    </row>
    <row r="1232" spans="1:13" ht="15" customHeight="1">
      <c r="A1232" t="s">
        <v>20</v>
      </c>
      <c r="B1232" t="e">
        <f t="shared" si="76"/>
        <v>#N/A</v>
      </c>
      <c r="C1232" t="e">
        <f t="shared" si="77"/>
        <v>#N/A</v>
      </c>
      <c r="D1232" t="e">
        <f t="shared" si="78"/>
        <v>#N/A</v>
      </c>
      <c r="E1232">
        <v>35.5</v>
      </c>
      <c r="F1232" t="e">
        <f t="shared" si="79"/>
        <v>#N/A</v>
      </c>
      <c r="G1232">
        <v>31.433</v>
      </c>
      <c r="H1232">
        <v>1.865</v>
      </c>
      <c r="I1232">
        <v>5.9710000000000001</v>
      </c>
      <c r="J1232">
        <v>3</v>
      </c>
      <c r="K1232">
        <v>30</v>
      </c>
      <c r="L1232">
        <v>19</v>
      </c>
      <c r="M1232">
        <v>1.9370000000000001</v>
      </c>
    </row>
    <row r="1233" spans="1:13" ht="15" customHeight="1">
      <c r="A1233" t="s">
        <v>20</v>
      </c>
      <c r="B1233" t="e">
        <f t="shared" si="76"/>
        <v>#N/A</v>
      </c>
      <c r="C1233" t="e">
        <f t="shared" si="77"/>
        <v>#N/A</v>
      </c>
      <c r="D1233" t="e">
        <f t="shared" si="78"/>
        <v>#N/A</v>
      </c>
      <c r="E1233">
        <v>36.5</v>
      </c>
      <c r="F1233" t="e">
        <f t="shared" si="79"/>
        <v>#N/A</v>
      </c>
      <c r="G1233">
        <v>151.06700000000001</v>
      </c>
      <c r="H1233">
        <v>3.1419999999999999</v>
      </c>
      <c r="I1233">
        <v>2.0819999999999999</v>
      </c>
      <c r="J1233">
        <v>7</v>
      </c>
      <c r="K1233">
        <v>48</v>
      </c>
      <c r="L1233">
        <v>30</v>
      </c>
      <c r="M1233" s="1">
        <v>9000000000</v>
      </c>
    </row>
    <row r="1234" spans="1:13" ht="15" customHeight="1">
      <c r="A1234" t="s">
        <v>20</v>
      </c>
      <c r="B1234" t="e">
        <f t="shared" si="76"/>
        <v>#N/A</v>
      </c>
      <c r="C1234" t="e">
        <f t="shared" si="77"/>
        <v>#N/A</v>
      </c>
      <c r="D1234" t="e">
        <f t="shared" si="78"/>
        <v>#N/A</v>
      </c>
      <c r="E1234">
        <v>37.5</v>
      </c>
      <c r="F1234" t="e">
        <f t="shared" si="79"/>
        <v>#N/A</v>
      </c>
      <c r="G1234">
        <v>198.233</v>
      </c>
      <c r="H1234">
        <v>1.738</v>
      </c>
      <c r="I1234">
        <v>0.878</v>
      </c>
      <c r="J1234">
        <v>9</v>
      </c>
      <c r="K1234">
        <v>38</v>
      </c>
      <c r="L1234">
        <v>23</v>
      </c>
      <c r="M1234" s="1">
        <v>9000000000</v>
      </c>
    </row>
    <row r="1235" spans="1:13" ht="15" customHeight="1">
      <c r="A1235" t="s">
        <v>20</v>
      </c>
      <c r="B1235" t="e">
        <f t="shared" si="76"/>
        <v>#N/A</v>
      </c>
      <c r="C1235" t="e">
        <f t="shared" si="77"/>
        <v>#N/A</v>
      </c>
      <c r="D1235" t="e">
        <f t="shared" si="78"/>
        <v>#N/A</v>
      </c>
      <c r="E1235">
        <v>38.5</v>
      </c>
      <c r="F1235" t="e">
        <f t="shared" si="79"/>
        <v>#N/A</v>
      </c>
      <c r="G1235">
        <v>218.25</v>
      </c>
      <c r="H1235">
        <v>0.94499999999999995</v>
      </c>
      <c r="I1235">
        <v>0.433</v>
      </c>
      <c r="J1235">
        <v>9</v>
      </c>
      <c r="K1235">
        <v>42</v>
      </c>
      <c r="L1235">
        <v>25</v>
      </c>
      <c r="M1235" s="1">
        <v>9000000000</v>
      </c>
    </row>
    <row r="1236" spans="1:13" ht="15" customHeight="1">
      <c r="A1236" t="s">
        <v>20</v>
      </c>
      <c r="B1236" t="e">
        <f t="shared" si="76"/>
        <v>#N/A</v>
      </c>
      <c r="C1236" t="e">
        <f t="shared" si="77"/>
        <v>#N/A</v>
      </c>
      <c r="D1236" t="e">
        <f t="shared" si="78"/>
        <v>#N/A</v>
      </c>
      <c r="E1236">
        <v>39.5</v>
      </c>
      <c r="F1236" t="e">
        <f t="shared" si="79"/>
        <v>#N/A</v>
      </c>
      <c r="G1236">
        <v>149.46700000000001</v>
      </c>
      <c r="H1236">
        <v>0.77700000000000002</v>
      </c>
      <c r="I1236">
        <v>0.52</v>
      </c>
      <c r="J1236">
        <v>9</v>
      </c>
      <c r="K1236">
        <v>29</v>
      </c>
      <c r="L1236">
        <v>17</v>
      </c>
      <c r="M1236" s="1">
        <v>9000000000</v>
      </c>
    </row>
    <row r="1237" spans="1:13" ht="15" customHeight="1">
      <c r="A1237" t="s">
        <v>20</v>
      </c>
      <c r="B1237" t="e">
        <f t="shared" si="76"/>
        <v>#N/A</v>
      </c>
      <c r="C1237" t="e">
        <f t="shared" si="77"/>
        <v>#N/A</v>
      </c>
      <c r="D1237" t="e">
        <f t="shared" si="78"/>
        <v>#N/A</v>
      </c>
      <c r="E1237">
        <v>40.5</v>
      </c>
      <c r="F1237" t="e">
        <f t="shared" si="79"/>
        <v>#N/A</v>
      </c>
      <c r="G1237">
        <v>138.4</v>
      </c>
      <c r="H1237">
        <v>1.073</v>
      </c>
      <c r="I1237">
        <v>0.77600000000000002</v>
      </c>
      <c r="J1237">
        <v>9</v>
      </c>
      <c r="K1237">
        <v>27</v>
      </c>
      <c r="L1237">
        <v>16</v>
      </c>
      <c r="M1237" s="1">
        <v>9000000000</v>
      </c>
    </row>
    <row r="1238" spans="1:13" ht="15" customHeight="1">
      <c r="A1238" t="s">
        <v>20</v>
      </c>
      <c r="B1238" t="e">
        <f t="shared" si="76"/>
        <v>#N/A</v>
      </c>
      <c r="C1238" t="e">
        <f t="shared" si="77"/>
        <v>#N/A</v>
      </c>
      <c r="D1238" t="e">
        <f t="shared" si="78"/>
        <v>#N/A</v>
      </c>
      <c r="E1238">
        <v>41.499000000000002</v>
      </c>
      <c r="F1238" t="e">
        <f t="shared" si="79"/>
        <v>#N/A</v>
      </c>
      <c r="G1238">
        <v>166.22900000000001</v>
      </c>
      <c r="H1238">
        <v>0.68600000000000005</v>
      </c>
      <c r="I1238">
        <v>0.41199999999999998</v>
      </c>
      <c r="J1238">
        <v>9</v>
      </c>
      <c r="K1238">
        <v>32</v>
      </c>
      <c r="L1238">
        <v>19</v>
      </c>
      <c r="M1238" s="1">
        <v>9000000000</v>
      </c>
    </row>
    <row r="1239" spans="1:13" ht="15" customHeight="1">
      <c r="A1239" t="s">
        <v>20</v>
      </c>
      <c r="B1239" t="e">
        <f t="shared" si="76"/>
        <v>#N/A</v>
      </c>
      <c r="C1239" t="e">
        <f t="shared" si="77"/>
        <v>#N/A</v>
      </c>
      <c r="D1239" t="e">
        <f t="shared" si="78"/>
        <v>#N/A</v>
      </c>
      <c r="E1239">
        <v>42.499000000000002</v>
      </c>
      <c r="F1239" t="e">
        <f t="shared" si="79"/>
        <v>#N/A</v>
      </c>
      <c r="G1239">
        <v>268.45</v>
      </c>
      <c r="H1239">
        <v>1.0680000000000001</v>
      </c>
      <c r="I1239">
        <v>0.39800000000000002</v>
      </c>
      <c r="J1239">
        <v>10</v>
      </c>
      <c r="K1239">
        <v>43</v>
      </c>
      <c r="L1239">
        <v>25</v>
      </c>
      <c r="M1239" s="1">
        <v>9000000000</v>
      </c>
    </row>
    <row r="1240" spans="1:13" ht="15" customHeight="1">
      <c r="A1240" t="s">
        <v>20</v>
      </c>
      <c r="B1240" t="e">
        <f t="shared" si="76"/>
        <v>#N/A</v>
      </c>
      <c r="C1240" t="e">
        <f t="shared" si="77"/>
        <v>#N/A</v>
      </c>
      <c r="D1240" t="e">
        <f t="shared" si="78"/>
        <v>#N/A</v>
      </c>
      <c r="E1240">
        <v>43.499000000000002</v>
      </c>
      <c r="F1240" t="e">
        <f t="shared" si="79"/>
        <v>#N/A</v>
      </c>
      <c r="G1240">
        <v>346.517</v>
      </c>
      <c r="H1240">
        <v>2.1749999999999998</v>
      </c>
      <c r="I1240">
        <v>0.628</v>
      </c>
      <c r="J1240">
        <v>10</v>
      </c>
      <c r="K1240">
        <v>55</v>
      </c>
      <c r="L1240">
        <v>31</v>
      </c>
      <c r="M1240" s="1">
        <v>9000000000</v>
      </c>
    </row>
    <row r="1241" spans="1:13" ht="15" customHeight="1">
      <c r="A1241" t="s">
        <v>20</v>
      </c>
      <c r="B1241" t="e">
        <f t="shared" si="76"/>
        <v>#N/A</v>
      </c>
      <c r="C1241" t="e">
        <f t="shared" si="77"/>
        <v>#N/A</v>
      </c>
      <c r="D1241" t="e">
        <f t="shared" si="78"/>
        <v>#N/A</v>
      </c>
      <c r="E1241">
        <v>44.499000000000002</v>
      </c>
      <c r="F1241" t="e">
        <f t="shared" si="79"/>
        <v>#N/A</v>
      </c>
      <c r="G1241">
        <v>283.89999999999998</v>
      </c>
      <c r="H1241">
        <v>1.42</v>
      </c>
      <c r="I1241">
        <v>0.5</v>
      </c>
      <c r="J1241">
        <v>10</v>
      </c>
      <c r="K1241">
        <v>45</v>
      </c>
      <c r="L1241">
        <v>25</v>
      </c>
      <c r="M1241" s="1">
        <v>9000000000</v>
      </c>
    </row>
    <row r="1242" spans="1:13" ht="15" customHeight="1">
      <c r="A1242" t="s">
        <v>20</v>
      </c>
      <c r="B1242" t="e">
        <f t="shared" si="76"/>
        <v>#N/A</v>
      </c>
      <c r="C1242" t="e">
        <f t="shared" si="77"/>
        <v>#N/A</v>
      </c>
      <c r="D1242" t="e">
        <f t="shared" si="78"/>
        <v>#N/A</v>
      </c>
      <c r="E1242">
        <v>45.499000000000002</v>
      </c>
      <c r="F1242" t="e">
        <f t="shared" si="79"/>
        <v>#N/A</v>
      </c>
      <c r="G1242">
        <v>217.5</v>
      </c>
      <c r="H1242">
        <v>1.2470000000000001</v>
      </c>
      <c r="I1242">
        <v>0.57299999999999995</v>
      </c>
      <c r="J1242">
        <v>9</v>
      </c>
      <c r="K1242">
        <v>42</v>
      </c>
      <c r="L1242">
        <v>23</v>
      </c>
      <c r="M1242" s="1">
        <v>9000000000</v>
      </c>
    </row>
    <row r="1243" spans="1:13" ht="15" customHeight="1">
      <c r="A1243" t="s">
        <v>20</v>
      </c>
      <c r="B1243" t="e">
        <f t="shared" si="76"/>
        <v>#N/A</v>
      </c>
      <c r="C1243" t="e">
        <f t="shared" si="77"/>
        <v>#N/A</v>
      </c>
      <c r="D1243" t="e">
        <f t="shared" si="78"/>
        <v>#N/A</v>
      </c>
      <c r="E1243">
        <v>46.499000000000002</v>
      </c>
      <c r="F1243" t="e">
        <f t="shared" si="79"/>
        <v>#N/A</v>
      </c>
      <c r="G1243">
        <v>176.517</v>
      </c>
      <c r="H1243">
        <v>0.872</v>
      </c>
      <c r="I1243">
        <v>0.49299999999999999</v>
      </c>
      <c r="J1243">
        <v>9</v>
      </c>
      <c r="K1243">
        <v>34</v>
      </c>
      <c r="L1243">
        <v>19</v>
      </c>
      <c r="M1243" s="1">
        <v>9000000000</v>
      </c>
    </row>
    <row r="1244" spans="1:13" ht="15" customHeight="1">
      <c r="A1244" t="s">
        <v>20</v>
      </c>
      <c r="B1244" t="e">
        <f t="shared" si="76"/>
        <v>#N/A</v>
      </c>
      <c r="C1244" t="e">
        <f t="shared" si="77"/>
        <v>#N/A</v>
      </c>
      <c r="D1244" t="e">
        <f t="shared" si="78"/>
        <v>#N/A</v>
      </c>
      <c r="E1244">
        <v>47.499000000000002</v>
      </c>
      <c r="F1244" t="e">
        <f t="shared" si="79"/>
        <v>#N/A</v>
      </c>
      <c r="G1244">
        <v>129.417</v>
      </c>
      <c r="H1244">
        <v>1.978</v>
      </c>
      <c r="I1244">
        <v>1.5289999999999999</v>
      </c>
      <c r="J1244">
        <v>8</v>
      </c>
      <c r="K1244">
        <v>31</v>
      </c>
      <c r="L1244">
        <v>17</v>
      </c>
      <c r="M1244" s="1">
        <v>9000000000</v>
      </c>
    </row>
    <row r="1245" spans="1:13" ht="15" customHeight="1">
      <c r="A1245" t="s">
        <v>20</v>
      </c>
      <c r="B1245" t="e">
        <f t="shared" si="76"/>
        <v>#N/A</v>
      </c>
      <c r="C1245" t="e">
        <f t="shared" si="77"/>
        <v>#N/A</v>
      </c>
      <c r="D1245" t="e">
        <f t="shared" si="78"/>
        <v>#N/A</v>
      </c>
      <c r="E1245">
        <v>48.499000000000002</v>
      </c>
      <c r="F1245" t="e">
        <f t="shared" si="79"/>
        <v>#N/A</v>
      </c>
      <c r="G1245">
        <v>134.71700000000001</v>
      </c>
      <c r="H1245">
        <v>2.5379999999999998</v>
      </c>
      <c r="I1245">
        <v>1.8859999999999999</v>
      </c>
      <c r="J1245">
        <v>7</v>
      </c>
      <c r="K1245">
        <v>43</v>
      </c>
      <c r="L1245">
        <v>23</v>
      </c>
      <c r="M1245" s="1">
        <v>9000000000</v>
      </c>
    </row>
    <row r="1246" spans="1:13" ht="15" customHeight="1">
      <c r="A1246" t="s">
        <v>20</v>
      </c>
      <c r="B1246" t="e">
        <f t="shared" si="76"/>
        <v>#N/A</v>
      </c>
      <c r="C1246" t="e">
        <f t="shared" si="77"/>
        <v>#N/A</v>
      </c>
      <c r="D1246" t="e">
        <f t="shared" si="78"/>
        <v>#N/A</v>
      </c>
      <c r="E1246">
        <v>49.499000000000002</v>
      </c>
      <c r="F1246" t="e">
        <f t="shared" si="79"/>
        <v>#N/A</v>
      </c>
      <c r="G1246">
        <v>125.033</v>
      </c>
      <c r="H1246">
        <v>2.4249999999999998</v>
      </c>
      <c r="I1246">
        <v>1.9430000000000001</v>
      </c>
      <c r="J1246">
        <v>7</v>
      </c>
      <c r="K1246">
        <v>40</v>
      </c>
      <c r="L1246">
        <v>21</v>
      </c>
      <c r="M1246" s="1">
        <v>9000000000</v>
      </c>
    </row>
    <row r="1247" spans="1:13" ht="15" customHeight="1">
      <c r="A1247" t="s">
        <v>20</v>
      </c>
      <c r="B1247" t="e">
        <f t="shared" si="76"/>
        <v>#N/A</v>
      </c>
      <c r="C1247" t="e">
        <f t="shared" si="77"/>
        <v>#N/A</v>
      </c>
      <c r="D1247" t="e">
        <f t="shared" si="78"/>
        <v>#N/A</v>
      </c>
      <c r="E1247">
        <v>50.499000000000002</v>
      </c>
      <c r="F1247" t="e">
        <f t="shared" si="79"/>
        <v>#N/A</v>
      </c>
      <c r="G1247">
        <v>130.56700000000001</v>
      </c>
      <c r="H1247">
        <v>2.4980000000000002</v>
      </c>
      <c r="I1247">
        <v>1.9159999999999999</v>
      </c>
      <c r="J1247">
        <v>7</v>
      </c>
      <c r="K1247">
        <v>42</v>
      </c>
      <c r="L1247">
        <v>22</v>
      </c>
      <c r="M1247" s="1">
        <v>9000000000</v>
      </c>
    </row>
    <row r="1248" spans="1:13" ht="15" customHeight="1">
      <c r="A1248" t="s">
        <v>20</v>
      </c>
      <c r="B1248" t="e">
        <f t="shared" si="76"/>
        <v>#N/A</v>
      </c>
      <c r="C1248" t="e">
        <f t="shared" si="77"/>
        <v>#N/A</v>
      </c>
      <c r="D1248" t="e">
        <f t="shared" si="78"/>
        <v>#N/A</v>
      </c>
      <c r="E1248">
        <v>51.499000000000002</v>
      </c>
      <c r="F1248" t="e">
        <f t="shared" si="79"/>
        <v>#N/A</v>
      </c>
      <c r="G1248">
        <v>134.06700000000001</v>
      </c>
      <c r="H1248">
        <v>2.7370000000000001</v>
      </c>
      <c r="I1248">
        <v>2.044</v>
      </c>
      <c r="J1248">
        <v>7</v>
      </c>
      <c r="K1248">
        <v>43</v>
      </c>
      <c r="L1248">
        <v>22</v>
      </c>
      <c r="M1248" s="1">
        <v>9000000000</v>
      </c>
    </row>
    <row r="1249" spans="1:13" ht="15" customHeight="1">
      <c r="A1249" t="s">
        <v>20</v>
      </c>
      <c r="B1249" t="e">
        <f t="shared" si="76"/>
        <v>#N/A</v>
      </c>
      <c r="C1249" t="e">
        <f t="shared" si="77"/>
        <v>#N/A</v>
      </c>
      <c r="D1249" t="e">
        <f t="shared" si="78"/>
        <v>#N/A</v>
      </c>
      <c r="E1249">
        <v>52.499000000000002</v>
      </c>
      <c r="F1249" t="e">
        <f t="shared" si="79"/>
        <v>#N/A</v>
      </c>
      <c r="G1249">
        <v>156.82900000000001</v>
      </c>
      <c r="H1249">
        <v>3.6269999999999998</v>
      </c>
      <c r="I1249">
        <v>2.3159999999999998</v>
      </c>
      <c r="J1249">
        <v>7</v>
      </c>
      <c r="K1249">
        <v>50</v>
      </c>
      <c r="L1249">
        <v>26</v>
      </c>
      <c r="M1249" s="1">
        <v>9000000000</v>
      </c>
    </row>
    <row r="1250" spans="1:13" ht="15" customHeight="1">
      <c r="A1250" t="s">
        <v>20</v>
      </c>
      <c r="B1250" t="e">
        <f t="shared" si="76"/>
        <v>#N/A</v>
      </c>
      <c r="C1250" t="e">
        <f t="shared" si="77"/>
        <v>#N/A</v>
      </c>
      <c r="D1250" t="e">
        <f t="shared" si="78"/>
        <v>#N/A</v>
      </c>
      <c r="E1250">
        <v>53.499000000000002</v>
      </c>
      <c r="F1250" t="e">
        <f t="shared" si="79"/>
        <v>#N/A</v>
      </c>
      <c r="G1250">
        <v>278.71699999999998</v>
      </c>
      <c r="H1250">
        <v>2.12</v>
      </c>
      <c r="I1250">
        <v>0.76100000000000001</v>
      </c>
      <c r="J1250">
        <v>9</v>
      </c>
      <c r="K1250">
        <v>53</v>
      </c>
      <c r="L1250">
        <v>27</v>
      </c>
      <c r="M1250" s="1">
        <v>9000000000</v>
      </c>
    </row>
    <row r="1251" spans="1:13" ht="15" customHeight="1">
      <c r="A1251" t="s">
        <v>20</v>
      </c>
      <c r="B1251" t="e">
        <f t="shared" si="76"/>
        <v>#N/A</v>
      </c>
      <c r="C1251" t="e">
        <f t="shared" si="77"/>
        <v>#N/A</v>
      </c>
      <c r="D1251" t="e">
        <f t="shared" si="78"/>
        <v>#N/A</v>
      </c>
      <c r="E1251">
        <v>54.499000000000002</v>
      </c>
      <c r="F1251" t="e">
        <f t="shared" si="79"/>
        <v>#N/A</v>
      </c>
      <c r="G1251">
        <v>345.9</v>
      </c>
      <c r="H1251">
        <v>1.07</v>
      </c>
      <c r="I1251">
        <v>0.31</v>
      </c>
      <c r="J1251">
        <v>10</v>
      </c>
      <c r="K1251">
        <v>55</v>
      </c>
      <c r="L1251">
        <v>28</v>
      </c>
      <c r="M1251" s="1">
        <v>9000000000</v>
      </c>
    </row>
    <row r="1252" spans="1:13" ht="15" customHeight="1">
      <c r="A1252" t="s">
        <v>21</v>
      </c>
      <c r="B1252">
        <f t="shared" si="76"/>
        <v>33.710220999999997</v>
      </c>
      <c r="C1252">
        <f t="shared" si="77"/>
        <v>-117.859495</v>
      </c>
      <c r="D1252">
        <f t="shared" si="78"/>
        <v>52</v>
      </c>
      <c r="E1252">
        <v>0.5</v>
      </c>
      <c r="F1252">
        <f t="shared" si="79"/>
        <v>51.5</v>
      </c>
      <c r="G1252">
        <v>5.6669999999999998</v>
      </c>
      <c r="H1252">
        <v>8.3000000000000004E-2</v>
      </c>
      <c r="I1252">
        <v>1.4710000000000001</v>
      </c>
      <c r="J1252">
        <v>1</v>
      </c>
      <c r="K1252">
        <v>3</v>
      </c>
      <c r="L1252">
        <v>5</v>
      </c>
      <c r="M1252">
        <v>0.376</v>
      </c>
    </row>
    <row r="1253" spans="1:13" ht="15" customHeight="1">
      <c r="A1253" t="s">
        <v>21</v>
      </c>
      <c r="B1253">
        <f t="shared" si="76"/>
        <v>33.710220999999997</v>
      </c>
      <c r="C1253">
        <f t="shared" si="77"/>
        <v>-117.859495</v>
      </c>
      <c r="D1253">
        <f t="shared" si="78"/>
        <v>52</v>
      </c>
      <c r="E1253">
        <v>1.5</v>
      </c>
      <c r="F1253">
        <f t="shared" si="79"/>
        <v>50.5</v>
      </c>
      <c r="G1253">
        <v>14.617000000000001</v>
      </c>
      <c r="H1253">
        <v>0.69199999999999995</v>
      </c>
      <c r="I1253">
        <v>4.7160000000000002</v>
      </c>
      <c r="J1253">
        <v>3</v>
      </c>
      <c r="K1253">
        <v>14</v>
      </c>
      <c r="L1253">
        <v>21</v>
      </c>
      <c r="M1253">
        <v>0.97199999999999998</v>
      </c>
    </row>
    <row r="1254" spans="1:13" ht="15" customHeight="1">
      <c r="A1254" t="s">
        <v>21</v>
      </c>
      <c r="B1254">
        <f t="shared" si="76"/>
        <v>33.710220999999997</v>
      </c>
      <c r="C1254">
        <f t="shared" si="77"/>
        <v>-117.859495</v>
      </c>
      <c r="D1254">
        <f t="shared" si="78"/>
        <v>52</v>
      </c>
      <c r="E1254">
        <v>2.5</v>
      </c>
      <c r="F1254">
        <f t="shared" si="79"/>
        <v>49.5</v>
      </c>
      <c r="G1254">
        <v>6.5830000000000002</v>
      </c>
      <c r="H1254">
        <v>0.375</v>
      </c>
      <c r="I1254">
        <v>5.7249999999999996</v>
      </c>
      <c r="J1254">
        <v>3</v>
      </c>
      <c r="K1254">
        <v>6</v>
      </c>
      <c r="L1254">
        <v>9</v>
      </c>
      <c r="M1254">
        <v>0.42699999999999999</v>
      </c>
    </row>
    <row r="1255" spans="1:13" ht="15" customHeight="1">
      <c r="A1255" t="s">
        <v>21</v>
      </c>
      <c r="B1255">
        <f t="shared" si="76"/>
        <v>33.710220999999997</v>
      </c>
      <c r="C1255">
        <f t="shared" si="77"/>
        <v>-117.859495</v>
      </c>
      <c r="D1255">
        <f t="shared" si="78"/>
        <v>52</v>
      </c>
      <c r="E1255">
        <v>3.5</v>
      </c>
      <c r="F1255">
        <f t="shared" si="79"/>
        <v>48.5</v>
      </c>
      <c r="G1255">
        <v>6.9</v>
      </c>
      <c r="H1255">
        <v>0.44</v>
      </c>
      <c r="I1255">
        <v>6.3310000000000004</v>
      </c>
      <c r="J1255">
        <v>3</v>
      </c>
      <c r="K1255">
        <v>7</v>
      </c>
      <c r="L1255">
        <v>11</v>
      </c>
      <c r="M1255">
        <v>0.44900000000000001</v>
      </c>
    </row>
    <row r="1256" spans="1:13" ht="15" customHeight="1">
      <c r="A1256" t="s">
        <v>21</v>
      </c>
      <c r="B1256">
        <f t="shared" si="76"/>
        <v>33.710220999999997</v>
      </c>
      <c r="C1256">
        <f t="shared" si="77"/>
        <v>-117.859495</v>
      </c>
      <c r="D1256">
        <f t="shared" si="78"/>
        <v>52</v>
      </c>
      <c r="E1256">
        <v>4.5</v>
      </c>
      <c r="F1256">
        <f t="shared" si="79"/>
        <v>47.5</v>
      </c>
      <c r="G1256">
        <v>6.9169999999999998</v>
      </c>
      <c r="H1256">
        <v>0.39800000000000002</v>
      </c>
      <c r="I1256">
        <v>5.7309999999999999</v>
      </c>
      <c r="J1256">
        <v>3</v>
      </c>
      <c r="K1256">
        <v>7</v>
      </c>
      <c r="L1256">
        <v>11</v>
      </c>
      <c r="M1256">
        <v>0.44500000000000001</v>
      </c>
    </row>
    <row r="1257" spans="1:13" ht="15" customHeight="1">
      <c r="A1257" t="s">
        <v>21</v>
      </c>
      <c r="B1257">
        <f t="shared" si="76"/>
        <v>33.710220999999997</v>
      </c>
      <c r="C1257">
        <f t="shared" si="77"/>
        <v>-117.859495</v>
      </c>
      <c r="D1257">
        <f t="shared" si="78"/>
        <v>52</v>
      </c>
      <c r="E1257">
        <v>5.5</v>
      </c>
      <c r="F1257">
        <f t="shared" si="79"/>
        <v>46.5</v>
      </c>
      <c r="G1257">
        <v>7.3330000000000002</v>
      </c>
      <c r="H1257">
        <v>0.40699999999999997</v>
      </c>
      <c r="I1257">
        <v>5.4829999999999997</v>
      </c>
      <c r="J1257">
        <v>3</v>
      </c>
      <c r="K1257">
        <v>7</v>
      </c>
      <c r="L1257">
        <v>11</v>
      </c>
      <c r="M1257">
        <v>0.47299999999999998</v>
      </c>
    </row>
    <row r="1258" spans="1:13" ht="15" customHeight="1">
      <c r="A1258" t="s">
        <v>21</v>
      </c>
      <c r="B1258">
        <f t="shared" si="76"/>
        <v>33.710220999999997</v>
      </c>
      <c r="C1258">
        <f t="shared" si="77"/>
        <v>-117.859495</v>
      </c>
      <c r="D1258">
        <f t="shared" si="78"/>
        <v>52</v>
      </c>
      <c r="E1258">
        <v>6.5</v>
      </c>
      <c r="F1258">
        <f t="shared" si="79"/>
        <v>45.5</v>
      </c>
      <c r="G1258">
        <v>9.4499999999999993</v>
      </c>
      <c r="H1258">
        <v>0.51800000000000002</v>
      </c>
      <c r="I1258">
        <v>5.4089999999999998</v>
      </c>
      <c r="J1258">
        <v>3</v>
      </c>
      <c r="K1258">
        <v>9</v>
      </c>
      <c r="L1258">
        <v>14</v>
      </c>
      <c r="M1258">
        <v>0.61299999999999999</v>
      </c>
    </row>
    <row r="1259" spans="1:13" ht="15" customHeight="1">
      <c r="A1259" t="s">
        <v>21</v>
      </c>
      <c r="B1259">
        <f t="shared" si="76"/>
        <v>33.710220999999997</v>
      </c>
      <c r="C1259">
        <f t="shared" si="77"/>
        <v>-117.859495</v>
      </c>
      <c r="D1259">
        <f t="shared" si="78"/>
        <v>52</v>
      </c>
      <c r="E1259">
        <v>7.5</v>
      </c>
      <c r="F1259">
        <f t="shared" si="79"/>
        <v>44.5</v>
      </c>
      <c r="G1259">
        <v>10.583</v>
      </c>
      <c r="H1259">
        <v>0.58199999999999996</v>
      </c>
      <c r="I1259">
        <v>5.4450000000000003</v>
      </c>
      <c r="J1259">
        <v>3</v>
      </c>
      <c r="K1259">
        <v>10</v>
      </c>
      <c r="L1259">
        <v>15</v>
      </c>
      <c r="M1259">
        <v>0.68200000000000005</v>
      </c>
    </row>
    <row r="1260" spans="1:13" ht="15" customHeight="1">
      <c r="A1260" t="s">
        <v>21</v>
      </c>
      <c r="B1260">
        <f t="shared" si="76"/>
        <v>33.710220999999997</v>
      </c>
      <c r="C1260">
        <f t="shared" si="77"/>
        <v>-117.859495</v>
      </c>
      <c r="D1260">
        <f t="shared" si="78"/>
        <v>52</v>
      </c>
      <c r="E1260">
        <v>8.5</v>
      </c>
      <c r="F1260">
        <f t="shared" si="79"/>
        <v>43.5</v>
      </c>
      <c r="G1260">
        <v>12.117000000000001</v>
      </c>
      <c r="H1260">
        <v>0.57699999999999996</v>
      </c>
      <c r="I1260">
        <v>4.7140000000000004</v>
      </c>
      <c r="J1260">
        <v>3</v>
      </c>
      <c r="K1260">
        <v>12</v>
      </c>
      <c r="L1260">
        <v>18</v>
      </c>
      <c r="M1260">
        <v>0.78100000000000003</v>
      </c>
    </row>
    <row r="1261" spans="1:13" ht="15" customHeight="1">
      <c r="A1261" t="s">
        <v>21</v>
      </c>
      <c r="B1261">
        <f t="shared" si="76"/>
        <v>33.710220999999997</v>
      </c>
      <c r="C1261">
        <f t="shared" si="77"/>
        <v>-117.859495</v>
      </c>
      <c r="D1261">
        <f t="shared" si="78"/>
        <v>52</v>
      </c>
      <c r="E1261">
        <v>9.5</v>
      </c>
      <c r="F1261">
        <f t="shared" si="79"/>
        <v>42.5</v>
      </c>
      <c r="G1261">
        <v>15.016999999999999</v>
      </c>
      <c r="H1261">
        <v>0.79</v>
      </c>
      <c r="I1261">
        <v>5.22</v>
      </c>
      <c r="J1261">
        <v>3</v>
      </c>
      <c r="K1261">
        <v>14</v>
      </c>
      <c r="L1261">
        <v>21</v>
      </c>
      <c r="M1261">
        <v>0.97099999999999997</v>
      </c>
    </row>
    <row r="1262" spans="1:13" ht="15" customHeight="1">
      <c r="A1262" t="s">
        <v>21</v>
      </c>
      <c r="B1262">
        <f t="shared" si="76"/>
        <v>33.710220999999997</v>
      </c>
      <c r="C1262">
        <f t="shared" si="77"/>
        <v>-117.859495</v>
      </c>
      <c r="D1262">
        <f t="shared" si="78"/>
        <v>52</v>
      </c>
      <c r="E1262">
        <v>10.5</v>
      </c>
      <c r="F1262">
        <f t="shared" si="79"/>
        <v>41.5</v>
      </c>
      <c r="G1262">
        <v>13.314</v>
      </c>
      <c r="H1262">
        <v>0.71399999999999997</v>
      </c>
      <c r="I1262">
        <v>5.3250000000000002</v>
      </c>
      <c r="J1262">
        <v>3</v>
      </c>
      <c r="K1262">
        <v>13</v>
      </c>
      <c r="L1262">
        <v>18</v>
      </c>
      <c r="M1262">
        <v>0.85199999999999998</v>
      </c>
    </row>
    <row r="1263" spans="1:13" ht="15" customHeight="1">
      <c r="A1263" t="s">
        <v>21</v>
      </c>
      <c r="B1263">
        <f t="shared" si="76"/>
        <v>33.710220999999997</v>
      </c>
      <c r="C1263">
        <f t="shared" si="77"/>
        <v>-117.859495</v>
      </c>
      <c r="D1263">
        <f t="shared" si="78"/>
        <v>52</v>
      </c>
      <c r="E1263">
        <v>11.5</v>
      </c>
      <c r="F1263">
        <f t="shared" si="79"/>
        <v>40.5</v>
      </c>
      <c r="G1263">
        <v>9.6669999999999998</v>
      </c>
      <c r="H1263">
        <v>0.5</v>
      </c>
      <c r="I1263">
        <v>5.1189999999999998</v>
      </c>
      <c r="J1263">
        <v>3</v>
      </c>
      <c r="K1263">
        <v>9</v>
      </c>
      <c r="L1263">
        <v>12</v>
      </c>
      <c r="M1263">
        <v>0.60499999999999998</v>
      </c>
    </row>
    <row r="1264" spans="1:13" ht="15" customHeight="1">
      <c r="A1264" t="s">
        <v>21</v>
      </c>
      <c r="B1264">
        <f t="shared" si="76"/>
        <v>33.710220999999997</v>
      </c>
      <c r="C1264">
        <f t="shared" si="77"/>
        <v>-117.859495</v>
      </c>
      <c r="D1264">
        <f t="shared" si="78"/>
        <v>52</v>
      </c>
      <c r="E1264">
        <v>12.5</v>
      </c>
      <c r="F1264">
        <f t="shared" si="79"/>
        <v>39.5</v>
      </c>
      <c r="G1264">
        <v>8.9830000000000005</v>
      </c>
      <c r="H1264">
        <v>0.43</v>
      </c>
      <c r="I1264">
        <v>4.734</v>
      </c>
      <c r="J1264">
        <v>3</v>
      </c>
      <c r="K1264">
        <v>9</v>
      </c>
      <c r="L1264">
        <v>11</v>
      </c>
      <c r="M1264">
        <v>0.55500000000000005</v>
      </c>
    </row>
    <row r="1265" spans="1:13" ht="15" customHeight="1">
      <c r="A1265" t="s">
        <v>21</v>
      </c>
      <c r="B1265">
        <f t="shared" si="76"/>
        <v>33.710220999999997</v>
      </c>
      <c r="C1265">
        <f t="shared" si="77"/>
        <v>-117.859495</v>
      </c>
      <c r="D1265">
        <f t="shared" si="78"/>
        <v>52</v>
      </c>
      <c r="E1265">
        <v>13.5</v>
      </c>
      <c r="F1265">
        <f t="shared" si="79"/>
        <v>38.5</v>
      </c>
      <c r="G1265">
        <v>11.817</v>
      </c>
      <c r="H1265">
        <v>0.54200000000000004</v>
      </c>
      <c r="I1265">
        <v>4.5389999999999997</v>
      </c>
      <c r="J1265">
        <v>3</v>
      </c>
      <c r="K1265">
        <v>11</v>
      </c>
      <c r="L1265">
        <v>13</v>
      </c>
      <c r="M1265">
        <v>0.74099999999999999</v>
      </c>
    </row>
    <row r="1266" spans="1:13" ht="15" customHeight="1">
      <c r="A1266" t="s">
        <v>21</v>
      </c>
      <c r="B1266">
        <f t="shared" si="76"/>
        <v>33.710220999999997</v>
      </c>
      <c r="C1266">
        <f t="shared" si="77"/>
        <v>-117.859495</v>
      </c>
      <c r="D1266">
        <f t="shared" si="78"/>
        <v>52</v>
      </c>
      <c r="E1266">
        <v>14.5</v>
      </c>
      <c r="F1266">
        <f t="shared" si="79"/>
        <v>37.5</v>
      </c>
      <c r="G1266">
        <v>15.617000000000001</v>
      </c>
      <c r="H1266">
        <v>0.68300000000000005</v>
      </c>
      <c r="I1266">
        <v>4.3390000000000004</v>
      </c>
      <c r="J1266">
        <v>3</v>
      </c>
      <c r="K1266">
        <v>15</v>
      </c>
      <c r="L1266">
        <v>17</v>
      </c>
      <c r="M1266">
        <v>0.99099999999999999</v>
      </c>
    </row>
    <row r="1267" spans="1:13" ht="15" customHeight="1">
      <c r="A1267" t="s">
        <v>21</v>
      </c>
      <c r="B1267">
        <f t="shared" si="76"/>
        <v>33.710220999999997</v>
      </c>
      <c r="C1267">
        <f t="shared" si="77"/>
        <v>-117.859495</v>
      </c>
      <c r="D1267">
        <f t="shared" si="78"/>
        <v>52</v>
      </c>
      <c r="E1267">
        <v>15.5</v>
      </c>
      <c r="F1267">
        <f t="shared" si="79"/>
        <v>36.5</v>
      </c>
      <c r="G1267">
        <v>12.15</v>
      </c>
      <c r="H1267">
        <v>0.43</v>
      </c>
      <c r="I1267">
        <v>3.5049999999999999</v>
      </c>
      <c r="J1267">
        <v>4</v>
      </c>
      <c r="K1267">
        <v>8</v>
      </c>
      <c r="L1267">
        <v>8</v>
      </c>
      <c r="M1267">
        <v>0.755</v>
      </c>
    </row>
    <row r="1268" spans="1:13" ht="15" customHeight="1">
      <c r="A1268" t="s">
        <v>21</v>
      </c>
      <c r="B1268">
        <f t="shared" si="76"/>
        <v>33.710220999999997</v>
      </c>
      <c r="C1268">
        <f t="shared" si="77"/>
        <v>-117.859495</v>
      </c>
      <c r="D1268">
        <f t="shared" si="78"/>
        <v>52</v>
      </c>
      <c r="E1268">
        <v>16.5</v>
      </c>
      <c r="F1268">
        <f t="shared" si="79"/>
        <v>35.5</v>
      </c>
      <c r="G1268">
        <v>17.783000000000001</v>
      </c>
      <c r="H1268">
        <v>0.72499999999999998</v>
      </c>
      <c r="I1268">
        <v>4.0469999999999997</v>
      </c>
      <c r="J1268">
        <v>4</v>
      </c>
      <c r="K1268">
        <v>11</v>
      </c>
      <c r="L1268">
        <v>11</v>
      </c>
      <c r="M1268">
        <v>1.1279999999999999</v>
      </c>
    </row>
    <row r="1269" spans="1:13" ht="15" customHeight="1">
      <c r="A1269" t="s">
        <v>21</v>
      </c>
      <c r="B1269">
        <f t="shared" si="76"/>
        <v>33.710220999999997</v>
      </c>
      <c r="C1269">
        <f t="shared" si="77"/>
        <v>-117.859495</v>
      </c>
      <c r="D1269">
        <f t="shared" si="78"/>
        <v>52</v>
      </c>
      <c r="E1269">
        <v>17.5</v>
      </c>
      <c r="F1269">
        <f t="shared" si="79"/>
        <v>34.5</v>
      </c>
      <c r="G1269">
        <v>30.2</v>
      </c>
      <c r="H1269">
        <v>0.752</v>
      </c>
      <c r="I1269">
        <v>2.4900000000000002</v>
      </c>
      <c r="J1269">
        <v>6</v>
      </c>
      <c r="K1269">
        <v>12</v>
      </c>
      <c r="L1269">
        <v>11</v>
      </c>
      <c r="M1269">
        <v>1.9410000000000001</v>
      </c>
    </row>
    <row r="1270" spans="1:13" ht="15" customHeight="1">
      <c r="A1270" t="s">
        <v>21</v>
      </c>
      <c r="B1270">
        <f t="shared" si="76"/>
        <v>33.710220999999997</v>
      </c>
      <c r="C1270">
        <f t="shared" si="77"/>
        <v>-117.859495</v>
      </c>
      <c r="D1270">
        <f t="shared" si="78"/>
        <v>52</v>
      </c>
      <c r="E1270">
        <v>18.5</v>
      </c>
      <c r="F1270">
        <f t="shared" si="79"/>
        <v>33.5</v>
      </c>
      <c r="G1270">
        <v>57.05</v>
      </c>
      <c r="H1270">
        <v>0.94499999999999995</v>
      </c>
      <c r="I1270">
        <v>1.6559999999999999</v>
      </c>
      <c r="J1270">
        <v>7</v>
      </c>
      <c r="K1270">
        <v>18</v>
      </c>
      <c r="L1270">
        <v>16</v>
      </c>
      <c r="M1270" s="1">
        <v>9000000000</v>
      </c>
    </row>
    <row r="1271" spans="1:13" ht="15" customHeight="1">
      <c r="A1271" t="s">
        <v>21</v>
      </c>
      <c r="B1271">
        <f t="shared" si="76"/>
        <v>33.710220999999997</v>
      </c>
      <c r="C1271">
        <f t="shared" si="77"/>
        <v>-117.859495</v>
      </c>
      <c r="D1271">
        <f t="shared" si="78"/>
        <v>52</v>
      </c>
      <c r="E1271">
        <v>19.5</v>
      </c>
      <c r="F1271">
        <f t="shared" si="79"/>
        <v>32.5</v>
      </c>
      <c r="G1271">
        <v>10.282999999999999</v>
      </c>
      <c r="H1271">
        <v>0.26800000000000002</v>
      </c>
      <c r="I1271">
        <v>2.6139999999999999</v>
      </c>
      <c r="J1271">
        <v>4</v>
      </c>
      <c r="K1271">
        <v>7</v>
      </c>
      <c r="L1271">
        <v>6</v>
      </c>
      <c r="M1271">
        <v>0.60499999999999998</v>
      </c>
    </row>
    <row r="1272" spans="1:13" ht="15" customHeight="1">
      <c r="A1272" t="s">
        <v>21</v>
      </c>
      <c r="B1272">
        <f t="shared" si="76"/>
        <v>33.710220999999997</v>
      </c>
      <c r="C1272">
        <f t="shared" si="77"/>
        <v>-117.859495</v>
      </c>
      <c r="D1272">
        <f t="shared" si="78"/>
        <v>52</v>
      </c>
      <c r="E1272">
        <v>20.5</v>
      </c>
      <c r="F1272">
        <f t="shared" si="79"/>
        <v>31.5</v>
      </c>
      <c r="G1272">
        <v>16.329000000000001</v>
      </c>
      <c r="H1272">
        <v>0.55100000000000005</v>
      </c>
      <c r="I1272">
        <v>3.3860000000000001</v>
      </c>
      <c r="J1272">
        <v>4</v>
      </c>
      <c r="K1272">
        <v>10</v>
      </c>
      <c r="L1272">
        <v>8</v>
      </c>
      <c r="M1272">
        <v>1.0029999999999999</v>
      </c>
    </row>
    <row r="1273" spans="1:13" ht="15" customHeight="1">
      <c r="A1273" t="s">
        <v>21</v>
      </c>
      <c r="B1273">
        <f t="shared" si="76"/>
        <v>33.710220999999997</v>
      </c>
      <c r="C1273">
        <f t="shared" si="77"/>
        <v>-117.859495</v>
      </c>
      <c r="D1273">
        <f t="shared" si="78"/>
        <v>52</v>
      </c>
      <c r="E1273">
        <v>21.5</v>
      </c>
      <c r="F1273">
        <f t="shared" si="79"/>
        <v>30.5</v>
      </c>
      <c r="G1273">
        <v>14.516999999999999</v>
      </c>
      <c r="H1273">
        <v>0.53</v>
      </c>
      <c r="I1273">
        <v>3.6549999999999998</v>
      </c>
      <c r="J1273">
        <v>4</v>
      </c>
      <c r="K1273">
        <v>9</v>
      </c>
      <c r="L1273">
        <v>7</v>
      </c>
      <c r="M1273">
        <v>0.88</v>
      </c>
    </row>
    <row r="1274" spans="1:13" ht="15" customHeight="1">
      <c r="A1274" t="s">
        <v>21</v>
      </c>
      <c r="B1274">
        <f t="shared" si="76"/>
        <v>33.710220999999997</v>
      </c>
      <c r="C1274">
        <f t="shared" si="77"/>
        <v>-117.859495</v>
      </c>
      <c r="D1274">
        <f t="shared" si="78"/>
        <v>52</v>
      </c>
      <c r="E1274">
        <v>22.5</v>
      </c>
      <c r="F1274">
        <f t="shared" si="79"/>
        <v>29.5</v>
      </c>
      <c r="G1274">
        <v>13.5</v>
      </c>
      <c r="H1274">
        <v>0.435</v>
      </c>
      <c r="I1274">
        <v>3.222</v>
      </c>
      <c r="J1274">
        <v>4</v>
      </c>
      <c r="K1274">
        <v>9</v>
      </c>
      <c r="L1274">
        <v>7</v>
      </c>
      <c r="M1274">
        <v>0.80900000000000005</v>
      </c>
    </row>
    <row r="1275" spans="1:13" ht="15" customHeight="1">
      <c r="A1275" t="s">
        <v>21</v>
      </c>
      <c r="B1275">
        <f t="shared" si="76"/>
        <v>33.710220999999997</v>
      </c>
      <c r="C1275">
        <f t="shared" si="77"/>
        <v>-117.859495</v>
      </c>
      <c r="D1275">
        <f t="shared" si="78"/>
        <v>52</v>
      </c>
      <c r="E1275">
        <v>23.5</v>
      </c>
      <c r="F1275">
        <f t="shared" si="79"/>
        <v>28.5</v>
      </c>
      <c r="G1275">
        <v>17.867000000000001</v>
      </c>
      <c r="H1275">
        <v>0.51</v>
      </c>
      <c r="I1275">
        <v>2.8570000000000002</v>
      </c>
      <c r="J1275">
        <v>5</v>
      </c>
      <c r="K1275">
        <v>9</v>
      </c>
      <c r="L1275">
        <v>7</v>
      </c>
      <c r="M1275">
        <v>1.095</v>
      </c>
    </row>
    <row r="1276" spans="1:13" ht="15" customHeight="1">
      <c r="A1276" t="s">
        <v>21</v>
      </c>
      <c r="B1276">
        <f t="shared" si="76"/>
        <v>33.710220999999997</v>
      </c>
      <c r="C1276">
        <f t="shared" si="77"/>
        <v>-117.859495</v>
      </c>
      <c r="D1276">
        <f t="shared" si="78"/>
        <v>52</v>
      </c>
      <c r="E1276">
        <v>24.5</v>
      </c>
      <c r="F1276">
        <f t="shared" si="79"/>
        <v>27.5</v>
      </c>
      <c r="G1276">
        <v>17.233000000000001</v>
      </c>
      <c r="H1276">
        <v>0.54200000000000004</v>
      </c>
      <c r="I1276">
        <v>3.1429999999999998</v>
      </c>
      <c r="J1276">
        <v>5</v>
      </c>
      <c r="K1276">
        <v>8</v>
      </c>
      <c r="L1276">
        <v>6</v>
      </c>
      <c r="M1276">
        <v>1.05</v>
      </c>
    </row>
    <row r="1277" spans="1:13" ht="15" customHeight="1">
      <c r="A1277" t="s">
        <v>21</v>
      </c>
      <c r="B1277">
        <f t="shared" si="76"/>
        <v>33.710220999999997</v>
      </c>
      <c r="C1277">
        <f t="shared" si="77"/>
        <v>-117.859495</v>
      </c>
      <c r="D1277">
        <f t="shared" si="78"/>
        <v>52</v>
      </c>
      <c r="E1277">
        <v>25.5</v>
      </c>
      <c r="F1277">
        <f t="shared" si="79"/>
        <v>26.5</v>
      </c>
      <c r="G1277">
        <v>14</v>
      </c>
      <c r="H1277">
        <v>0.61699999999999999</v>
      </c>
      <c r="I1277">
        <v>4.4050000000000002</v>
      </c>
      <c r="J1277">
        <v>3</v>
      </c>
      <c r="K1277">
        <v>13</v>
      </c>
      <c r="L1277">
        <v>9</v>
      </c>
      <c r="M1277">
        <v>0.83</v>
      </c>
    </row>
    <row r="1278" spans="1:13" ht="15" customHeight="1">
      <c r="A1278" t="s">
        <v>21</v>
      </c>
      <c r="B1278">
        <f t="shared" si="76"/>
        <v>33.710220999999997</v>
      </c>
      <c r="C1278">
        <f t="shared" si="77"/>
        <v>-117.859495</v>
      </c>
      <c r="D1278">
        <f t="shared" si="78"/>
        <v>52</v>
      </c>
      <c r="E1278">
        <v>26.5</v>
      </c>
      <c r="F1278">
        <f t="shared" si="79"/>
        <v>25.5</v>
      </c>
      <c r="G1278">
        <v>18.832999999999998</v>
      </c>
      <c r="H1278">
        <v>0.73499999999999999</v>
      </c>
      <c r="I1278">
        <v>3.903</v>
      </c>
      <c r="J1278">
        <v>4</v>
      </c>
      <c r="K1278">
        <v>12</v>
      </c>
      <c r="L1278">
        <v>9</v>
      </c>
      <c r="M1278">
        <v>1.1479999999999999</v>
      </c>
    </row>
    <row r="1279" spans="1:13" ht="15" customHeight="1">
      <c r="A1279" t="s">
        <v>21</v>
      </c>
      <c r="B1279">
        <f t="shared" si="76"/>
        <v>33.710220999999997</v>
      </c>
      <c r="C1279">
        <f t="shared" si="77"/>
        <v>-117.859495</v>
      </c>
      <c r="D1279">
        <f t="shared" si="78"/>
        <v>52</v>
      </c>
      <c r="E1279">
        <v>27.5</v>
      </c>
      <c r="F1279">
        <f t="shared" si="79"/>
        <v>24.5</v>
      </c>
      <c r="G1279">
        <v>28.2</v>
      </c>
      <c r="H1279">
        <v>1.5169999999999999</v>
      </c>
      <c r="I1279">
        <v>5.3780000000000001</v>
      </c>
      <c r="J1279">
        <v>3</v>
      </c>
      <c r="K1279">
        <v>27</v>
      </c>
      <c r="L1279">
        <v>19</v>
      </c>
      <c r="M1279">
        <v>1.7689999999999999</v>
      </c>
    </row>
    <row r="1280" spans="1:13" ht="15" customHeight="1">
      <c r="A1280" t="s">
        <v>21</v>
      </c>
      <c r="B1280">
        <f t="shared" si="76"/>
        <v>33.710220999999997</v>
      </c>
      <c r="C1280">
        <f t="shared" si="77"/>
        <v>-117.859495</v>
      </c>
      <c r="D1280">
        <f t="shared" si="78"/>
        <v>52</v>
      </c>
      <c r="E1280">
        <v>28.5</v>
      </c>
      <c r="F1280">
        <f t="shared" si="79"/>
        <v>23.5</v>
      </c>
      <c r="G1280">
        <v>34.216999999999999</v>
      </c>
      <c r="H1280">
        <v>1.1479999999999999</v>
      </c>
      <c r="I1280">
        <v>3.3530000000000002</v>
      </c>
      <c r="J1280">
        <v>5</v>
      </c>
      <c r="K1280">
        <v>16</v>
      </c>
      <c r="L1280">
        <v>11</v>
      </c>
      <c r="M1280">
        <v>2.1680000000000001</v>
      </c>
    </row>
    <row r="1281" spans="1:13" ht="15" customHeight="1">
      <c r="A1281" t="s">
        <v>21</v>
      </c>
      <c r="B1281">
        <f t="shared" si="76"/>
        <v>33.710220999999997</v>
      </c>
      <c r="C1281">
        <f t="shared" si="77"/>
        <v>-117.859495</v>
      </c>
      <c r="D1281">
        <f t="shared" si="78"/>
        <v>52</v>
      </c>
      <c r="E1281">
        <v>29.5</v>
      </c>
      <c r="F1281">
        <f t="shared" si="79"/>
        <v>22.5</v>
      </c>
      <c r="G1281">
        <v>49.1</v>
      </c>
      <c r="H1281">
        <v>1.877</v>
      </c>
      <c r="I1281">
        <v>3.8180000000000001</v>
      </c>
      <c r="J1281">
        <v>5</v>
      </c>
      <c r="K1281">
        <v>24</v>
      </c>
      <c r="L1281">
        <v>16</v>
      </c>
      <c r="M1281">
        <v>3.157</v>
      </c>
    </row>
    <row r="1282" spans="1:13" ht="15" customHeight="1">
      <c r="A1282" t="s">
        <v>21</v>
      </c>
      <c r="B1282">
        <f t="shared" ref="B1282:B1345" si="80">VLOOKUP(A1282,XYdata,3,FALSE)</f>
        <v>33.710220999999997</v>
      </c>
      <c r="C1282">
        <f t="shared" ref="C1282:C1345" si="81">VLOOKUP(A1282,XYdata,2,FALSE)</f>
        <v>-117.859495</v>
      </c>
      <c r="D1282">
        <f t="shared" ref="D1282:D1345" si="82">VLOOKUP(A1282,Elevation,2,FALSE)</f>
        <v>52</v>
      </c>
      <c r="E1282">
        <v>30.5</v>
      </c>
      <c r="F1282">
        <f t="shared" si="79"/>
        <v>21.5</v>
      </c>
      <c r="G1282">
        <v>42.783000000000001</v>
      </c>
      <c r="H1282">
        <v>1.7769999999999999</v>
      </c>
      <c r="I1282">
        <v>4.1479999999999997</v>
      </c>
      <c r="J1282">
        <v>4</v>
      </c>
      <c r="K1282">
        <v>27</v>
      </c>
      <c r="L1282">
        <v>18</v>
      </c>
      <c r="M1282">
        <v>2.7320000000000002</v>
      </c>
    </row>
    <row r="1283" spans="1:13" ht="15" customHeight="1">
      <c r="A1283" t="s">
        <v>21</v>
      </c>
      <c r="B1283">
        <f t="shared" si="80"/>
        <v>33.710220999999997</v>
      </c>
      <c r="C1283">
        <f t="shared" si="81"/>
        <v>-117.859495</v>
      </c>
      <c r="D1283">
        <f t="shared" si="82"/>
        <v>52</v>
      </c>
      <c r="E1283">
        <v>31.5</v>
      </c>
      <c r="F1283">
        <f t="shared" ref="F1283:F1346" si="83">D1283-E1283</f>
        <v>20.5</v>
      </c>
      <c r="G1283">
        <v>52.329000000000001</v>
      </c>
      <c r="H1283">
        <v>2.9430000000000001</v>
      </c>
      <c r="I1283">
        <v>5.6159999999999997</v>
      </c>
      <c r="J1283">
        <v>3</v>
      </c>
      <c r="K1283">
        <v>50</v>
      </c>
      <c r="L1283">
        <v>33</v>
      </c>
      <c r="M1283">
        <v>3.3650000000000002</v>
      </c>
    </row>
    <row r="1284" spans="1:13" ht="15" customHeight="1">
      <c r="A1284" t="s">
        <v>21</v>
      </c>
      <c r="B1284">
        <f t="shared" si="80"/>
        <v>33.710220999999997</v>
      </c>
      <c r="C1284">
        <f t="shared" si="81"/>
        <v>-117.859495</v>
      </c>
      <c r="D1284">
        <f t="shared" si="82"/>
        <v>52</v>
      </c>
      <c r="E1284">
        <v>32.5</v>
      </c>
      <c r="F1284">
        <f t="shared" si="83"/>
        <v>19.5</v>
      </c>
      <c r="G1284">
        <v>46.517000000000003</v>
      </c>
      <c r="H1284">
        <v>2.1869999999999998</v>
      </c>
      <c r="I1284">
        <v>4.694</v>
      </c>
      <c r="J1284">
        <v>4</v>
      </c>
      <c r="K1284">
        <v>30</v>
      </c>
      <c r="L1284">
        <v>20</v>
      </c>
      <c r="M1284">
        <v>2.9729999999999999</v>
      </c>
    </row>
    <row r="1285" spans="1:13" ht="15" customHeight="1">
      <c r="A1285" t="s">
        <v>21</v>
      </c>
      <c r="B1285">
        <f t="shared" si="80"/>
        <v>33.710220999999997</v>
      </c>
      <c r="C1285">
        <f t="shared" si="81"/>
        <v>-117.859495</v>
      </c>
      <c r="D1285">
        <f t="shared" si="82"/>
        <v>52</v>
      </c>
      <c r="E1285">
        <v>33.5</v>
      </c>
      <c r="F1285">
        <f t="shared" si="83"/>
        <v>18.5</v>
      </c>
      <c r="G1285">
        <v>198.43299999999999</v>
      </c>
      <c r="H1285">
        <v>2.09</v>
      </c>
      <c r="I1285">
        <v>1.0529999999999999</v>
      </c>
      <c r="J1285">
        <v>9</v>
      </c>
      <c r="K1285">
        <v>38</v>
      </c>
      <c r="L1285">
        <v>24</v>
      </c>
      <c r="M1285" s="1">
        <v>9000000000</v>
      </c>
    </row>
    <row r="1286" spans="1:13" ht="15" customHeight="1">
      <c r="A1286" t="s">
        <v>21</v>
      </c>
      <c r="B1286">
        <f t="shared" si="80"/>
        <v>33.710220999999997</v>
      </c>
      <c r="C1286">
        <f t="shared" si="81"/>
        <v>-117.859495</v>
      </c>
      <c r="D1286">
        <f t="shared" si="82"/>
        <v>52</v>
      </c>
      <c r="E1286">
        <v>34.5</v>
      </c>
      <c r="F1286">
        <f t="shared" si="83"/>
        <v>17.5</v>
      </c>
      <c r="G1286">
        <v>80.900000000000006</v>
      </c>
      <c r="H1286">
        <v>1.2130000000000001</v>
      </c>
      <c r="I1286">
        <v>1.5029999999999999</v>
      </c>
      <c r="J1286">
        <v>7</v>
      </c>
      <c r="K1286">
        <v>26</v>
      </c>
      <c r="L1286">
        <v>16</v>
      </c>
      <c r="M1286" s="1">
        <v>9000000000</v>
      </c>
    </row>
    <row r="1287" spans="1:13" ht="15" customHeight="1">
      <c r="A1287" t="s">
        <v>21</v>
      </c>
      <c r="B1287">
        <f t="shared" si="80"/>
        <v>33.710220999999997</v>
      </c>
      <c r="C1287">
        <f t="shared" si="81"/>
        <v>-117.859495</v>
      </c>
      <c r="D1287">
        <f t="shared" si="82"/>
        <v>52</v>
      </c>
      <c r="E1287">
        <v>35.5</v>
      </c>
      <c r="F1287">
        <f t="shared" si="83"/>
        <v>16.5</v>
      </c>
      <c r="G1287">
        <v>34.866999999999997</v>
      </c>
      <c r="H1287">
        <v>1.4750000000000001</v>
      </c>
      <c r="I1287">
        <v>4.2530000000000001</v>
      </c>
      <c r="J1287">
        <v>4</v>
      </c>
      <c r="K1287">
        <v>22</v>
      </c>
      <c r="L1287">
        <v>14</v>
      </c>
      <c r="M1287">
        <v>2.1680000000000001</v>
      </c>
    </row>
    <row r="1288" spans="1:13" ht="15" customHeight="1">
      <c r="A1288" t="s">
        <v>21</v>
      </c>
      <c r="B1288">
        <f t="shared" si="80"/>
        <v>33.710220999999997</v>
      </c>
      <c r="C1288">
        <f t="shared" si="81"/>
        <v>-117.859495</v>
      </c>
      <c r="D1288">
        <f t="shared" si="82"/>
        <v>52</v>
      </c>
      <c r="E1288">
        <v>36.5</v>
      </c>
      <c r="F1288">
        <f t="shared" si="83"/>
        <v>15.5</v>
      </c>
      <c r="G1288">
        <v>124.033</v>
      </c>
      <c r="H1288">
        <v>2.3780000000000001</v>
      </c>
      <c r="I1288">
        <v>1.92</v>
      </c>
      <c r="J1288">
        <v>7</v>
      </c>
      <c r="K1288">
        <v>40</v>
      </c>
      <c r="L1288">
        <v>25</v>
      </c>
      <c r="M1288" s="1">
        <v>9000000000</v>
      </c>
    </row>
    <row r="1289" spans="1:13" ht="15" customHeight="1">
      <c r="A1289" t="s">
        <v>21</v>
      </c>
      <c r="B1289">
        <f t="shared" si="80"/>
        <v>33.710220999999997</v>
      </c>
      <c r="C1289">
        <f t="shared" si="81"/>
        <v>-117.859495</v>
      </c>
      <c r="D1289">
        <f t="shared" si="82"/>
        <v>52</v>
      </c>
      <c r="E1289">
        <v>37.5</v>
      </c>
      <c r="F1289">
        <f t="shared" si="83"/>
        <v>14.5</v>
      </c>
      <c r="G1289">
        <v>194.35</v>
      </c>
      <c r="H1289">
        <v>1.46</v>
      </c>
      <c r="I1289">
        <v>0.752</v>
      </c>
      <c r="J1289">
        <v>9</v>
      </c>
      <c r="K1289">
        <v>37</v>
      </c>
      <c r="L1289">
        <v>23</v>
      </c>
      <c r="M1289" s="1">
        <v>9000000000</v>
      </c>
    </row>
    <row r="1290" spans="1:13" ht="15" customHeight="1">
      <c r="A1290" t="s">
        <v>21</v>
      </c>
      <c r="B1290">
        <f t="shared" si="80"/>
        <v>33.710220999999997</v>
      </c>
      <c r="C1290">
        <f t="shared" si="81"/>
        <v>-117.859495</v>
      </c>
      <c r="D1290">
        <f t="shared" si="82"/>
        <v>52</v>
      </c>
      <c r="E1290">
        <v>38.5</v>
      </c>
      <c r="F1290">
        <f t="shared" si="83"/>
        <v>13.5</v>
      </c>
      <c r="G1290">
        <v>197.21700000000001</v>
      </c>
      <c r="H1290">
        <v>1.0980000000000001</v>
      </c>
      <c r="I1290">
        <v>0.55700000000000005</v>
      </c>
      <c r="J1290">
        <v>9</v>
      </c>
      <c r="K1290">
        <v>38</v>
      </c>
      <c r="L1290">
        <v>23</v>
      </c>
      <c r="M1290" s="1">
        <v>9000000000</v>
      </c>
    </row>
    <row r="1291" spans="1:13" ht="15" customHeight="1">
      <c r="A1291" t="s">
        <v>21</v>
      </c>
      <c r="B1291">
        <f t="shared" si="80"/>
        <v>33.710220999999997</v>
      </c>
      <c r="C1291">
        <f t="shared" si="81"/>
        <v>-117.859495</v>
      </c>
      <c r="D1291">
        <f t="shared" si="82"/>
        <v>52</v>
      </c>
      <c r="E1291">
        <v>39.5</v>
      </c>
      <c r="F1291">
        <f t="shared" si="83"/>
        <v>12.5</v>
      </c>
      <c r="G1291">
        <v>73.667000000000002</v>
      </c>
      <c r="H1291">
        <v>1.4530000000000001</v>
      </c>
      <c r="I1291">
        <v>1.976</v>
      </c>
      <c r="J1291">
        <v>7</v>
      </c>
      <c r="K1291">
        <v>23</v>
      </c>
      <c r="L1291">
        <v>14</v>
      </c>
      <c r="M1291" s="1">
        <v>9000000000</v>
      </c>
    </row>
    <row r="1292" spans="1:13" ht="15" customHeight="1">
      <c r="A1292" t="s">
        <v>21</v>
      </c>
      <c r="B1292">
        <f t="shared" si="80"/>
        <v>33.710220999999997</v>
      </c>
      <c r="C1292">
        <f t="shared" si="81"/>
        <v>-117.859495</v>
      </c>
      <c r="D1292">
        <f t="shared" si="82"/>
        <v>52</v>
      </c>
      <c r="E1292">
        <v>40.5</v>
      </c>
      <c r="F1292">
        <f t="shared" si="83"/>
        <v>11.5</v>
      </c>
      <c r="G1292">
        <v>164.5</v>
      </c>
      <c r="H1292">
        <v>0.97</v>
      </c>
      <c r="I1292">
        <v>0.59</v>
      </c>
      <c r="J1292">
        <v>9</v>
      </c>
      <c r="K1292">
        <v>31</v>
      </c>
      <c r="L1292">
        <v>18</v>
      </c>
      <c r="M1292" s="1">
        <v>9000000000</v>
      </c>
    </row>
    <row r="1293" spans="1:13" ht="15" customHeight="1">
      <c r="A1293" t="s">
        <v>21</v>
      </c>
      <c r="B1293">
        <f t="shared" si="80"/>
        <v>33.710220999999997</v>
      </c>
      <c r="C1293">
        <f t="shared" si="81"/>
        <v>-117.859495</v>
      </c>
      <c r="D1293">
        <f t="shared" si="82"/>
        <v>52</v>
      </c>
      <c r="E1293">
        <v>41.499000000000002</v>
      </c>
      <c r="F1293">
        <f t="shared" si="83"/>
        <v>10.500999999999998</v>
      </c>
      <c r="G1293">
        <v>159.029</v>
      </c>
      <c r="H1293">
        <v>0.86399999999999999</v>
      </c>
      <c r="I1293">
        <v>0.54400000000000004</v>
      </c>
      <c r="J1293">
        <v>9</v>
      </c>
      <c r="K1293">
        <v>30</v>
      </c>
      <c r="L1293">
        <v>17</v>
      </c>
      <c r="M1293" s="1">
        <v>9000000000</v>
      </c>
    </row>
    <row r="1294" spans="1:13" ht="15" customHeight="1">
      <c r="A1294" t="s">
        <v>21</v>
      </c>
      <c r="B1294">
        <f t="shared" si="80"/>
        <v>33.710220999999997</v>
      </c>
      <c r="C1294">
        <f t="shared" si="81"/>
        <v>-117.859495</v>
      </c>
      <c r="D1294">
        <f t="shared" si="82"/>
        <v>52</v>
      </c>
      <c r="E1294">
        <v>42.499000000000002</v>
      </c>
      <c r="F1294">
        <f t="shared" si="83"/>
        <v>9.5009999999999977</v>
      </c>
      <c r="G1294">
        <v>292.16699999999997</v>
      </c>
      <c r="H1294">
        <v>1.3220000000000001</v>
      </c>
      <c r="I1294">
        <v>0.45200000000000001</v>
      </c>
      <c r="J1294">
        <v>10</v>
      </c>
      <c r="K1294">
        <v>47</v>
      </c>
      <c r="L1294">
        <v>27</v>
      </c>
      <c r="M1294" s="1">
        <v>9000000000</v>
      </c>
    </row>
    <row r="1295" spans="1:13" ht="15" customHeight="1">
      <c r="A1295" t="s">
        <v>21</v>
      </c>
      <c r="B1295">
        <f t="shared" si="80"/>
        <v>33.710220999999997</v>
      </c>
      <c r="C1295">
        <f t="shared" si="81"/>
        <v>-117.859495</v>
      </c>
      <c r="D1295">
        <f t="shared" si="82"/>
        <v>52</v>
      </c>
      <c r="E1295">
        <v>43.499000000000002</v>
      </c>
      <c r="F1295">
        <f t="shared" si="83"/>
        <v>8.5009999999999977</v>
      </c>
      <c r="G1295">
        <v>330.58300000000003</v>
      </c>
      <c r="H1295">
        <v>1.712</v>
      </c>
      <c r="I1295">
        <v>0.51800000000000002</v>
      </c>
      <c r="J1295">
        <v>10</v>
      </c>
      <c r="K1295">
        <v>53</v>
      </c>
      <c r="L1295">
        <v>30</v>
      </c>
      <c r="M1295" s="1">
        <v>9000000000</v>
      </c>
    </row>
    <row r="1296" spans="1:13" ht="15" customHeight="1">
      <c r="A1296" t="s">
        <v>21</v>
      </c>
      <c r="B1296">
        <f t="shared" si="80"/>
        <v>33.710220999999997</v>
      </c>
      <c r="C1296">
        <f t="shared" si="81"/>
        <v>-117.859495</v>
      </c>
      <c r="D1296">
        <f t="shared" si="82"/>
        <v>52</v>
      </c>
      <c r="E1296">
        <v>44.499000000000002</v>
      </c>
      <c r="F1296">
        <f t="shared" si="83"/>
        <v>7.5009999999999977</v>
      </c>
      <c r="G1296">
        <v>275.86700000000002</v>
      </c>
      <c r="H1296">
        <v>1.087</v>
      </c>
      <c r="I1296">
        <v>0.39400000000000002</v>
      </c>
      <c r="J1296">
        <v>10</v>
      </c>
      <c r="K1296">
        <v>44</v>
      </c>
      <c r="L1296">
        <v>25</v>
      </c>
      <c r="M1296" s="1">
        <v>9000000000</v>
      </c>
    </row>
    <row r="1297" spans="1:13" ht="15" customHeight="1">
      <c r="A1297" t="s">
        <v>21</v>
      </c>
      <c r="B1297">
        <f t="shared" si="80"/>
        <v>33.710220999999997</v>
      </c>
      <c r="C1297">
        <f t="shared" si="81"/>
        <v>-117.859495</v>
      </c>
      <c r="D1297">
        <f t="shared" si="82"/>
        <v>52</v>
      </c>
      <c r="E1297">
        <v>45.499000000000002</v>
      </c>
      <c r="F1297">
        <f t="shared" si="83"/>
        <v>6.5009999999999977</v>
      </c>
      <c r="G1297">
        <v>195.55</v>
      </c>
      <c r="H1297">
        <v>0.71799999999999997</v>
      </c>
      <c r="I1297">
        <v>0.36699999999999999</v>
      </c>
      <c r="J1297">
        <v>9</v>
      </c>
      <c r="K1297">
        <v>37</v>
      </c>
      <c r="L1297">
        <v>20</v>
      </c>
      <c r="M1297" s="1">
        <v>9000000000</v>
      </c>
    </row>
    <row r="1298" spans="1:13" ht="15" customHeight="1">
      <c r="A1298" t="s">
        <v>21</v>
      </c>
      <c r="B1298">
        <f t="shared" si="80"/>
        <v>33.710220999999997</v>
      </c>
      <c r="C1298">
        <f t="shared" si="81"/>
        <v>-117.859495</v>
      </c>
      <c r="D1298">
        <f t="shared" si="82"/>
        <v>52</v>
      </c>
      <c r="E1298">
        <v>46.499000000000002</v>
      </c>
      <c r="F1298">
        <f t="shared" si="83"/>
        <v>5.5009999999999977</v>
      </c>
      <c r="G1298">
        <v>162.68299999999999</v>
      </c>
      <c r="H1298">
        <v>1.4279999999999999</v>
      </c>
      <c r="I1298">
        <v>0.877</v>
      </c>
      <c r="J1298">
        <v>9</v>
      </c>
      <c r="K1298">
        <v>31</v>
      </c>
      <c r="L1298">
        <v>17</v>
      </c>
      <c r="M1298" s="1">
        <v>9000000000</v>
      </c>
    </row>
    <row r="1299" spans="1:13" ht="15" customHeight="1">
      <c r="A1299" t="s">
        <v>21</v>
      </c>
      <c r="B1299">
        <f t="shared" si="80"/>
        <v>33.710220999999997</v>
      </c>
      <c r="C1299">
        <f t="shared" si="81"/>
        <v>-117.859495</v>
      </c>
      <c r="D1299">
        <f t="shared" si="82"/>
        <v>52</v>
      </c>
      <c r="E1299">
        <v>47.499000000000002</v>
      </c>
      <c r="F1299">
        <f t="shared" si="83"/>
        <v>4.5009999999999977</v>
      </c>
      <c r="G1299">
        <v>150.5</v>
      </c>
      <c r="H1299">
        <v>3.1850000000000001</v>
      </c>
      <c r="I1299">
        <v>2.117</v>
      </c>
      <c r="J1299">
        <v>7</v>
      </c>
      <c r="K1299">
        <v>48</v>
      </c>
      <c r="L1299">
        <v>26</v>
      </c>
      <c r="M1299" s="1">
        <v>9000000000</v>
      </c>
    </row>
    <row r="1300" spans="1:13" ht="15" customHeight="1">
      <c r="A1300" t="s">
        <v>21</v>
      </c>
      <c r="B1300">
        <f t="shared" si="80"/>
        <v>33.710220999999997</v>
      </c>
      <c r="C1300">
        <f t="shared" si="81"/>
        <v>-117.859495</v>
      </c>
      <c r="D1300">
        <f t="shared" si="82"/>
        <v>52</v>
      </c>
      <c r="E1300">
        <v>48.499000000000002</v>
      </c>
      <c r="F1300">
        <f t="shared" si="83"/>
        <v>3.5009999999999977</v>
      </c>
      <c r="G1300">
        <v>143.63300000000001</v>
      </c>
      <c r="H1300">
        <v>3.1379999999999999</v>
      </c>
      <c r="I1300">
        <v>2.1859999999999999</v>
      </c>
      <c r="J1300">
        <v>7</v>
      </c>
      <c r="K1300">
        <v>46</v>
      </c>
      <c r="L1300">
        <v>25</v>
      </c>
      <c r="M1300" s="1">
        <v>9000000000</v>
      </c>
    </row>
    <row r="1301" spans="1:13" ht="15" customHeight="1">
      <c r="A1301" t="s">
        <v>21</v>
      </c>
      <c r="B1301">
        <f t="shared" si="80"/>
        <v>33.710220999999997</v>
      </c>
      <c r="C1301">
        <f t="shared" si="81"/>
        <v>-117.859495</v>
      </c>
      <c r="D1301">
        <f t="shared" si="82"/>
        <v>52</v>
      </c>
      <c r="E1301">
        <v>49.499000000000002</v>
      </c>
      <c r="F1301">
        <f t="shared" si="83"/>
        <v>2.5009999999999977</v>
      </c>
      <c r="G1301">
        <v>123.167</v>
      </c>
      <c r="H1301">
        <v>2.4350000000000001</v>
      </c>
      <c r="I1301">
        <v>1.98</v>
      </c>
      <c r="J1301">
        <v>7</v>
      </c>
      <c r="K1301">
        <v>39</v>
      </c>
      <c r="L1301">
        <v>21</v>
      </c>
      <c r="M1301" s="1">
        <v>9000000000</v>
      </c>
    </row>
    <row r="1302" spans="1:13" ht="15" customHeight="1">
      <c r="A1302" t="s">
        <v>21</v>
      </c>
      <c r="B1302">
        <f t="shared" si="80"/>
        <v>33.710220999999997</v>
      </c>
      <c r="C1302">
        <f t="shared" si="81"/>
        <v>-117.859495</v>
      </c>
      <c r="D1302">
        <f t="shared" si="82"/>
        <v>52</v>
      </c>
      <c r="E1302">
        <v>50.499000000000002</v>
      </c>
      <c r="F1302">
        <f t="shared" si="83"/>
        <v>1.5009999999999977</v>
      </c>
      <c r="G1302">
        <v>128.19999999999999</v>
      </c>
      <c r="H1302">
        <v>2.7770000000000001</v>
      </c>
      <c r="I1302">
        <v>2.1680000000000001</v>
      </c>
      <c r="J1302">
        <v>7</v>
      </c>
      <c r="K1302">
        <v>41</v>
      </c>
      <c r="L1302">
        <v>22</v>
      </c>
      <c r="M1302" s="1">
        <v>9000000000</v>
      </c>
    </row>
    <row r="1303" spans="1:13" ht="15" customHeight="1">
      <c r="A1303" t="s">
        <v>21</v>
      </c>
      <c r="B1303">
        <f t="shared" si="80"/>
        <v>33.710220999999997</v>
      </c>
      <c r="C1303">
        <f t="shared" si="81"/>
        <v>-117.859495</v>
      </c>
      <c r="D1303">
        <f t="shared" si="82"/>
        <v>52</v>
      </c>
      <c r="E1303">
        <v>51.499000000000002</v>
      </c>
      <c r="F1303">
        <f t="shared" si="83"/>
        <v>0.50099999999999767</v>
      </c>
      <c r="G1303">
        <v>170.46700000000001</v>
      </c>
      <c r="H1303">
        <v>3.2829999999999999</v>
      </c>
      <c r="I1303">
        <v>1.9279999999999999</v>
      </c>
      <c r="J1303">
        <v>7</v>
      </c>
      <c r="K1303">
        <v>54</v>
      </c>
      <c r="L1303">
        <v>28</v>
      </c>
      <c r="M1303" s="1">
        <v>9000000000</v>
      </c>
    </row>
    <row r="1304" spans="1:13" ht="15" customHeight="1">
      <c r="A1304" t="s">
        <v>21</v>
      </c>
      <c r="B1304">
        <f t="shared" si="80"/>
        <v>33.710220999999997</v>
      </c>
      <c r="C1304">
        <f t="shared" si="81"/>
        <v>-117.859495</v>
      </c>
      <c r="D1304">
        <f t="shared" si="82"/>
        <v>52</v>
      </c>
      <c r="E1304">
        <v>52.499000000000002</v>
      </c>
      <c r="F1304">
        <f t="shared" si="83"/>
        <v>-0.49900000000000233</v>
      </c>
      <c r="G1304">
        <v>252.72900000000001</v>
      </c>
      <c r="H1304">
        <v>1.96</v>
      </c>
      <c r="I1304">
        <v>0.77600000000000002</v>
      </c>
      <c r="J1304">
        <v>9</v>
      </c>
      <c r="K1304">
        <v>48</v>
      </c>
      <c r="L1304">
        <v>25</v>
      </c>
      <c r="M1304" s="1">
        <v>9000000000</v>
      </c>
    </row>
    <row r="1305" spans="1:13" ht="15" customHeight="1">
      <c r="A1305" t="s">
        <v>21</v>
      </c>
      <c r="B1305">
        <f t="shared" si="80"/>
        <v>33.710220999999997</v>
      </c>
      <c r="C1305">
        <f t="shared" si="81"/>
        <v>-117.859495</v>
      </c>
      <c r="D1305">
        <f t="shared" si="82"/>
        <v>52</v>
      </c>
      <c r="E1305">
        <v>53.499000000000002</v>
      </c>
      <c r="F1305">
        <f t="shared" si="83"/>
        <v>-1.4990000000000023</v>
      </c>
      <c r="G1305">
        <v>377</v>
      </c>
      <c r="H1305">
        <v>1.8029999999999999</v>
      </c>
      <c r="I1305">
        <v>0.47799999999999998</v>
      </c>
      <c r="J1305">
        <v>10</v>
      </c>
      <c r="K1305">
        <v>60</v>
      </c>
      <c r="L1305">
        <v>31</v>
      </c>
      <c r="M1305" s="1">
        <v>9000000000</v>
      </c>
    </row>
    <row r="1306" spans="1:13" ht="15" customHeight="1">
      <c r="A1306" t="s">
        <v>21</v>
      </c>
      <c r="B1306">
        <f t="shared" si="80"/>
        <v>33.710220999999997</v>
      </c>
      <c r="C1306">
        <f t="shared" si="81"/>
        <v>-117.859495</v>
      </c>
      <c r="D1306">
        <f t="shared" si="82"/>
        <v>52</v>
      </c>
      <c r="E1306">
        <v>54.499000000000002</v>
      </c>
      <c r="F1306">
        <f t="shared" si="83"/>
        <v>-2.4990000000000023</v>
      </c>
      <c r="G1306">
        <v>652.16700000000003</v>
      </c>
      <c r="H1306">
        <v>3.335</v>
      </c>
      <c r="I1306">
        <v>0.51100000000000001</v>
      </c>
      <c r="J1306">
        <v>10</v>
      </c>
      <c r="K1306">
        <v>104</v>
      </c>
      <c r="L1306">
        <v>53</v>
      </c>
      <c r="M1306" s="1">
        <v>9000000000</v>
      </c>
    </row>
    <row r="1307" spans="1:13" ht="15" customHeight="1">
      <c r="A1307" t="s">
        <v>21</v>
      </c>
      <c r="B1307">
        <f t="shared" si="80"/>
        <v>33.710220999999997</v>
      </c>
      <c r="C1307">
        <f t="shared" si="81"/>
        <v>-117.859495</v>
      </c>
      <c r="D1307">
        <f t="shared" si="82"/>
        <v>52</v>
      </c>
      <c r="E1307">
        <v>55.499000000000002</v>
      </c>
      <c r="F1307">
        <f t="shared" si="83"/>
        <v>-3.4990000000000023</v>
      </c>
      <c r="G1307">
        <v>700.8</v>
      </c>
      <c r="H1307">
        <v>5.38</v>
      </c>
      <c r="I1307">
        <v>0.76700000000000002</v>
      </c>
      <c r="J1307">
        <v>10</v>
      </c>
      <c r="K1307">
        <v>112</v>
      </c>
      <c r="L1307">
        <v>56</v>
      </c>
      <c r="M1307" s="1">
        <v>9000000000</v>
      </c>
    </row>
    <row r="1308" spans="1:13" ht="15" customHeight="1">
      <c r="A1308" t="s">
        <v>22</v>
      </c>
      <c r="B1308">
        <f t="shared" si="80"/>
        <v>33.711596</v>
      </c>
      <c r="C1308">
        <f t="shared" si="81"/>
        <v>-117.859452</v>
      </c>
      <c r="D1308">
        <f t="shared" si="82"/>
        <v>53</v>
      </c>
      <c r="E1308">
        <v>0.5</v>
      </c>
      <c r="F1308">
        <f t="shared" si="83"/>
        <v>52.5</v>
      </c>
      <c r="G1308">
        <v>5.2830000000000004</v>
      </c>
      <c r="H1308">
        <v>3.3000000000000002E-2</v>
      </c>
      <c r="I1308">
        <v>0.63100000000000001</v>
      </c>
      <c r="J1308">
        <v>1</v>
      </c>
      <c r="K1308">
        <v>3</v>
      </c>
      <c r="L1308">
        <v>5</v>
      </c>
      <c r="M1308">
        <v>0.35</v>
      </c>
    </row>
    <row r="1309" spans="1:13" ht="15" customHeight="1">
      <c r="A1309" t="s">
        <v>22</v>
      </c>
      <c r="B1309">
        <f t="shared" si="80"/>
        <v>33.711596</v>
      </c>
      <c r="C1309">
        <f t="shared" si="81"/>
        <v>-117.859452</v>
      </c>
      <c r="D1309">
        <f t="shared" si="82"/>
        <v>53</v>
      </c>
      <c r="E1309">
        <v>1.5</v>
      </c>
      <c r="F1309">
        <f t="shared" si="83"/>
        <v>51.5</v>
      </c>
      <c r="G1309">
        <v>10.733000000000001</v>
      </c>
      <c r="H1309">
        <v>0.08</v>
      </c>
      <c r="I1309">
        <v>0.745</v>
      </c>
      <c r="J1309">
        <v>6</v>
      </c>
      <c r="K1309">
        <v>4</v>
      </c>
      <c r="L1309">
        <v>6</v>
      </c>
      <c r="M1309">
        <v>0.71</v>
      </c>
    </row>
    <row r="1310" spans="1:13" ht="15" customHeight="1">
      <c r="A1310" t="s">
        <v>22</v>
      </c>
      <c r="B1310">
        <f t="shared" si="80"/>
        <v>33.711596</v>
      </c>
      <c r="C1310">
        <f t="shared" si="81"/>
        <v>-117.859452</v>
      </c>
      <c r="D1310">
        <f t="shared" si="82"/>
        <v>53</v>
      </c>
      <c r="E1310">
        <v>2.5</v>
      </c>
      <c r="F1310">
        <f t="shared" si="83"/>
        <v>50.5</v>
      </c>
      <c r="G1310">
        <v>8.65</v>
      </c>
      <c r="H1310">
        <v>7.1999999999999995E-2</v>
      </c>
      <c r="I1310">
        <v>0.82899999999999996</v>
      </c>
      <c r="J1310">
        <v>5</v>
      </c>
      <c r="K1310">
        <v>4</v>
      </c>
      <c r="L1310">
        <v>6</v>
      </c>
      <c r="M1310">
        <v>0.56699999999999995</v>
      </c>
    </row>
    <row r="1311" spans="1:13" ht="15" customHeight="1">
      <c r="A1311" t="s">
        <v>22</v>
      </c>
      <c r="B1311">
        <f t="shared" si="80"/>
        <v>33.711596</v>
      </c>
      <c r="C1311">
        <f t="shared" si="81"/>
        <v>-117.859452</v>
      </c>
      <c r="D1311">
        <f t="shared" si="82"/>
        <v>53</v>
      </c>
      <c r="E1311">
        <v>3.5</v>
      </c>
      <c r="F1311">
        <f t="shared" si="83"/>
        <v>49.5</v>
      </c>
      <c r="G1311">
        <v>10.067</v>
      </c>
      <c r="H1311">
        <v>9.8000000000000004E-2</v>
      </c>
      <c r="I1311">
        <v>0.97799999999999998</v>
      </c>
      <c r="J1311">
        <v>5</v>
      </c>
      <c r="K1311">
        <v>5</v>
      </c>
      <c r="L1311">
        <v>8</v>
      </c>
      <c r="M1311">
        <v>0.65600000000000003</v>
      </c>
    </row>
    <row r="1312" spans="1:13" ht="15" customHeight="1">
      <c r="A1312" t="s">
        <v>22</v>
      </c>
      <c r="B1312">
        <f t="shared" si="80"/>
        <v>33.711596</v>
      </c>
      <c r="C1312">
        <f t="shared" si="81"/>
        <v>-117.859452</v>
      </c>
      <c r="D1312">
        <f t="shared" si="82"/>
        <v>53</v>
      </c>
      <c r="E1312">
        <v>4.5</v>
      </c>
      <c r="F1312">
        <f t="shared" si="83"/>
        <v>48.5</v>
      </c>
      <c r="G1312">
        <v>10.367000000000001</v>
      </c>
      <c r="H1312">
        <v>0.13200000000000001</v>
      </c>
      <c r="I1312">
        <v>1.272</v>
      </c>
      <c r="J1312">
        <v>5</v>
      </c>
      <c r="K1312">
        <v>5</v>
      </c>
      <c r="L1312">
        <v>8</v>
      </c>
      <c r="M1312">
        <v>0.67200000000000004</v>
      </c>
    </row>
    <row r="1313" spans="1:13" ht="15" customHeight="1">
      <c r="A1313" t="s">
        <v>22</v>
      </c>
      <c r="B1313">
        <f t="shared" si="80"/>
        <v>33.711596</v>
      </c>
      <c r="C1313">
        <f t="shared" si="81"/>
        <v>-117.859452</v>
      </c>
      <c r="D1313">
        <f t="shared" si="82"/>
        <v>53</v>
      </c>
      <c r="E1313">
        <v>5.5</v>
      </c>
      <c r="F1313">
        <f t="shared" si="83"/>
        <v>47.5</v>
      </c>
      <c r="G1313">
        <v>9.0830000000000002</v>
      </c>
      <c r="H1313">
        <v>0.125</v>
      </c>
      <c r="I1313">
        <v>1.3759999999999999</v>
      </c>
      <c r="J1313">
        <v>5</v>
      </c>
      <c r="K1313">
        <v>4</v>
      </c>
      <c r="L1313">
        <v>6</v>
      </c>
      <c r="M1313">
        <v>0.58399999999999996</v>
      </c>
    </row>
    <row r="1314" spans="1:13" ht="15" customHeight="1">
      <c r="A1314" t="s">
        <v>22</v>
      </c>
      <c r="B1314">
        <f t="shared" si="80"/>
        <v>33.711596</v>
      </c>
      <c r="C1314">
        <f t="shared" si="81"/>
        <v>-117.859452</v>
      </c>
      <c r="D1314">
        <f t="shared" si="82"/>
        <v>53</v>
      </c>
      <c r="E1314">
        <v>6.5</v>
      </c>
      <c r="F1314">
        <f t="shared" si="83"/>
        <v>46.5</v>
      </c>
      <c r="G1314">
        <v>10.6</v>
      </c>
      <c r="H1314">
        <v>0.28999999999999998</v>
      </c>
      <c r="I1314">
        <v>2.7360000000000002</v>
      </c>
      <c r="J1314">
        <v>4</v>
      </c>
      <c r="K1314">
        <v>7</v>
      </c>
      <c r="L1314">
        <v>11</v>
      </c>
      <c r="M1314">
        <v>0.68100000000000005</v>
      </c>
    </row>
    <row r="1315" spans="1:13" ht="15" customHeight="1">
      <c r="A1315" t="s">
        <v>22</v>
      </c>
      <c r="B1315">
        <f t="shared" si="80"/>
        <v>33.711596</v>
      </c>
      <c r="C1315">
        <f t="shared" si="81"/>
        <v>-117.859452</v>
      </c>
      <c r="D1315">
        <f t="shared" si="82"/>
        <v>53</v>
      </c>
      <c r="E1315">
        <v>7.5</v>
      </c>
      <c r="F1315">
        <f t="shared" si="83"/>
        <v>45.5</v>
      </c>
      <c r="G1315">
        <v>18.117000000000001</v>
      </c>
      <c r="H1315">
        <v>0.67800000000000005</v>
      </c>
      <c r="I1315">
        <v>3.7410000000000001</v>
      </c>
      <c r="J1315">
        <v>4</v>
      </c>
      <c r="K1315">
        <v>12</v>
      </c>
      <c r="L1315">
        <v>18</v>
      </c>
      <c r="M1315">
        <v>1.179</v>
      </c>
    </row>
    <row r="1316" spans="1:13" ht="15" customHeight="1">
      <c r="A1316" t="s">
        <v>22</v>
      </c>
      <c r="B1316">
        <f t="shared" si="80"/>
        <v>33.711596</v>
      </c>
      <c r="C1316">
        <f t="shared" si="81"/>
        <v>-117.859452</v>
      </c>
      <c r="D1316">
        <f t="shared" si="82"/>
        <v>53</v>
      </c>
      <c r="E1316">
        <v>8.5</v>
      </c>
      <c r="F1316">
        <f t="shared" si="83"/>
        <v>44.5</v>
      </c>
      <c r="G1316">
        <v>10.132999999999999</v>
      </c>
      <c r="H1316">
        <v>0.42499999999999999</v>
      </c>
      <c r="I1316">
        <v>4.18</v>
      </c>
      <c r="J1316">
        <v>3</v>
      </c>
      <c r="K1316">
        <v>10</v>
      </c>
      <c r="L1316">
        <v>15</v>
      </c>
      <c r="M1316">
        <v>0.64400000000000002</v>
      </c>
    </row>
    <row r="1317" spans="1:13" ht="15" customHeight="1">
      <c r="A1317" t="s">
        <v>22</v>
      </c>
      <c r="B1317">
        <f t="shared" si="80"/>
        <v>33.711596</v>
      </c>
      <c r="C1317">
        <f t="shared" si="81"/>
        <v>-117.859452</v>
      </c>
      <c r="D1317">
        <f t="shared" si="82"/>
        <v>53</v>
      </c>
      <c r="E1317">
        <v>9.5</v>
      </c>
      <c r="F1317">
        <f t="shared" si="83"/>
        <v>43.5</v>
      </c>
      <c r="G1317">
        <v>8.75</v>
      </c>
      <c r="H1317">
        <v>0.36199999999999999</v>
      </c>
      <c r="I1317">
        <v>4.1020000000000003</v>
      </c>
      <c r="J1317">
        <v>3</v>
      </c>
      <c r="K1317">
        <v>8</v>
      </c>
      <c r="L1317">
        <v>12</v>
      </c>
      <c r="M1317">
        <v>0.55000000000000004</v>
      </c>
    </row>
    <row r="1318" spans="1:13" ht="15" customHeight="1">
      <c r="A1318" t="s">
        <v>22</v>
      </c>
      <c r="B1318">
        <f t="shared" si="80"/>
        <v>33.711596</v>
      </c>
      <c r="C1318">
        <f t="shared" si="81"/>
        <v>-117.859452</v>
      </c>
      <c r="D1318">
        <f t="shared" si="82"/>
        <v>53</v>
      </c>
      <c r="E1318">
        <v>10.5</v>
      </c>
      <c r="F1318">
        <f t="shared" si="83"/>
        <v>42.5</v>
      </c>
      <c r="G1318">
        <v>9.9860000000000007</v>
      </c>
      <c r="H1318">
        <v>0.42399999999999999</v>
      </c>
      <c r="I1318">
        <v>4.2489999999999997</v>
      </c>
      <c r="J1318">
        <v>3</v>
      </c>
      <c r="K1318">
        <v>10</v>
      </c>
      <c r="L1318">
        <v>14</v>
      </c>
      <c r="M1318">
        <v>0.624</v>
      </c>
    </row>
    <row r="1319" spans="1:13" ht="15" customHeight="1">
      <c r="A1319" t="s">
        <v>22</v>
      </c>
      <c r="B1319">
        <f t="shared" si="80"/>
        <v>33.711596</v>
      </c>
      <c r="C1319">
        <f t="shared" si="81"/>
        <v>-117.859452</v>
      </c>
      <c r="D1319">
        <f t="shared" si="82"/>
        <v>53</v>
      </c>
      <c r="E1319">
        <v>11.5</v>
      </c>
      <c r="F1319">
        <f t="shared" si="83"/>
        <v>41.5</v>
      </c>
      <c r="G1319">
        <v>9.9329999999999998</v>
      </c>
      <c r="H1319">
        <v>0.45</v>
      </c>
      <c r="I1319">
        <v>4.5609999999999999</v>
      </c>
      <c r="J1319">
        <v>3</v>
      </c>
      <c r="K1319">
        <v>9</v>
      </c>
      <c r="L1319">
        <v>12</v>
      </c>
      <c r="M1319">
        <v>0.61199999999999999</v>
      </c>
    </row>
    <row r="1320" spans="1:13" ht="15" customHeight="1">
      <c r="A1320" t="s">
        <v>22</v>
      </c>
      <c r="B1320">
        <f t="shared" si="80"/>
        <v>33.711596</v>
      </c>
      <c r="C1320">
        <f t="shared" si="81"/>
        <v>-117.859452</v>
      </c>
      <c r="D1320">
        <f t="shared" si="82"/>
        <v>53</v>
      </c>
      <c r="E1320">
        <v>12.5</v>
      </c>
      <c r="F1320">
        <f t="shared" si="83"/>
        <v>40.5</v>
      </c>
      <c r="G1320">
        <v>7.45</v>
      </c>
      <c r="H1320">
        <v>0.31</v>
      </c>
      <c r="I1320">
        <v>4.1989999999999998</v>
      </c>
      <c r="J1320">
        <v>3</v>
      </c>
      <c r="K1320">
        <v>7</v>
      </c>
      <c r="L1320">
        <v>9</v>
      </c>
      <c r="M1320">
        <v>0.443</v>
      </c>
    </row>
    <row r="1321" spans="1:13" ht="15" customHeight="1">
      <c r="A1321" t="s">
        <v>22</v>
      </c>
      <c r="B1321">
        <f t="shared" si="80"/>
        <v>33.711596</v>
      </c>
      <c r="C1321">
        <f t="shared" si="81"/>
        <v>-117.859452</v>
      </c>
      <c r="D1321">
        <f t="shared" si="82"/>
        <v>53</v>
      </c>
      <c r="E1321">
        <v>13.5</v>
      </c>
      <c r="F1321">
        <f t="shared" si="83"/>
        <v>39.5</v>
      </c>
      <c r="G1321">
        <v>10</v>
      </c>
      <c r="H1321">
        <v>0.34699999999999998</v>
      </c>
      <c r="I1321">
        <v>3.4670000000000001</v>
      </c>
      <c r="J1321">
        <v>3</v>
      </c>
      <c r="K1321">
        <v>10</v>
      </c>
      <c r="L1321">
        <v>12</v>
      </c>
      <c r="M1321">
        <v>0.61299999999999999</v>
      </c>
    </row>
    <row r="1322" spans="1:13" ht="15" customHeight="1">
      <c r="A1322" t="s">
        <v>22</v>
      </c>
      <c r="B1322">
        <f t="shared" si="80"/>
        <v>33.711596</v>
      </c>
      <c r="C1322">
        <f t="shared" si="81"/>
        <v>-117.859452</v>
      </c>
      <c r="D1322">
        <f t="shared" si="82"/>
        <v>53</v>
      </c>
      <c r="E1322">
        <v>14.5</v>
      </c>
      <c r="F1322">
        <f t="shared" si="83"/>
        <v>38.5</v>
      </c>
      <c r="G1322">
        <v>13.717000000000001</v>
      </c>
      <c r="H1322">
        <v>0.56000000000000005</v>
      </c>
      <c r="I1322">
        <v>4.0830000000000002</v>
      </c>
      <c r="J1322">
        <v>3</v>
      </c>
      <c r="K1322">
        <v>13</v>
      </c>
      <c r="L1322">
        <v>15</v>
      </c>
      <c r="M1322">
        <v>0.85699999999999998</v>
      </c>
    </row>
    <row r="1323" spans="1:13" ht="15" customHeight="1">
      <c r="A1323" t="s">
        <v>22</v>
      </c>
      <c r="B1323">
        <f t="shared" si="80"/>
        <v>33.711596</v>
      </c>
      <c r="C1323">
        <f t="shared" si="81"/>
        <v>-117.859452</v>
      </c>
      <c r="D1323">
        <f t="shared" si="82"/>
        <v>53</v>
      </c>
      <c r="E1323">
        <v>15.5</v>
      </c>
      <c r="F1323">
        <f t="shared" si="83"/>
        <v>37.5</v>
      </c>
      <c r="G1323">
        <v>12.967000000000001</v>
      </c>
      <c r="H1323">
        <v>0.52500000000000002</v>
      </c>
      <c r="I1323">
        <v>4.0490000000000004</v>
      </c>
      <c r="J1323">
        <v>3</v>
      </c>
      <c r="K1323">
        <v>12</v>
      </c>
      <c r="L1323">
        <v>13</v>
      </c>
      <c r="M1323">
        <v>0.80300000000000005</v>
      </c>
    </row>
    <row r="1324" spans="1:13" ht="15" customHeight="1">
      <c r="A1324" t="s">
        <v>22</v>
      </c>
      <c r="B1324">
        <f t="shared" si="80"/>
        <v>33.711596</v>
      </c>
      <c r="C1324">
        <f t="shared" si="81"/>
        <v>-117.859452</v>
      </c>
      <c r="D1324">
        <f t="shared" si="82"/>
        <v>53</v>
      </c>
      <c r="E1324">
        <v>16.5</v>
      </c>
      <c r="F1324">
        <f t="shared" si="83"/>
        <v>36.5</v>
      </c>
      <c r="G1324">
        <v>19.033000000000001</v>
      </c>
      <c r="H1324">
        <v>0.54700000000000004</v>
      </c>
      <c r="I1324">
        <v>2.8769999999999998</v>
      </c>
      <c r="J1324">
        <v>5</v>
      </c>
      <c r="K1324">
        <v>9</v>
      </c>
      <c r="L1324">
        <v>9</v>
      </c>
      <c r="M1324">
        <v>1.2010000000000001</v>
      </c>
    </row>
    <row r="1325" spans="1:13" ht="15" customHeight="1">
      <c r="A1325" t="s">
        <v>22</v>
      </c>
      <c r="B1325">
        <f t="shared" si="80"/>
        <v>33.711596</v>
      </c>
      <c r="C1325">
        <f t="shared" si="81"/>
        <v>-117.859452</v>
      </c>
      <c r="D1325">
        <f t="shared" si="82"/>
        <v>53</v>
      </c>
      <c r="E1325">
        <v>17.5</v>
      </c>
      <c r="F1325">
        <f t="shared" si="83"/>
        <v>35.5</v>
      </c>
      <c r="G1325">
        <v>65.433000000000007</v>
      </c>
      <c r="H1325">
        <v>0.64500000000000002</v>
      </c>
      <c r="I1325">
        <v>0.98599999999999999</v>
      </c>
      <c r="J1325">
        <v>8</v>
      </c>
      <c r="K1325">
        <v>16</v>
      </c>
      <c r="L1325">
        <v>15</v>
      </c>
      <c r="M1325" s="1">
        <v>9000000000</v>
      </c>
    </row>
    <row r="1326" spans="1:13" ht="15" customHeight="1">
      <c r="A1326" t="s">
        <v>22</v>
      </c>
      <c r="B1326">
        <f t="shared" si="80"/>
        <v>33.711596</v>
      </c>
      <c r="C1326">
        <f t="shared" si="81"/>
        <v>-117.859452</v>
      </c>
      <c r="D1326">
        <f t="shared" si="82"/>
        <v>53</v>
      </c>
      <c r="E1326">
        <v>18.5</v>
      </c>
      <c r="F1326">
        <f t="shared" si="83"/>
        <v>34.5</v>
      </c>
      <c r="G1326">
        <v>36.517000000000003</v>
      </c>
      <c r="H1326">
        <v>0.55800000000000005</v>
      </c>
      <c r="I1326">
        <v>1.53</v>
      </c>
      <c r="J1326">
        <v>7</v>
      </c>
      <c r="K1326">
        <v>12</v>
      </c>
      <c r="L1326">
        <v>11</v>
      </c>
      <c r="M1326" s="1">
        <v>9000000000</v>
      </c>
    </row>
    <row r="1327" spans="1:13" ht="15" customHeight="1">
      <c r="A1327" t="s">
        <v>22</v>
      </c>
      <c r="B1327">
        <f t="shared" si="80"/>
        <v>33.711596</v>
      </c>
      <c r="C1327">
        <f t="shared" si="81"/>
        <v>-117.859452</v>
      </c>
      <c r="D1327">
        <f t="shared" si="82"/>
        <v>53</v>
      </c>
      <c r="E1327">
        <v>19.5</v>
      </c>
      <c r="F1327">
        <f t="shared" si="83"/>
        <v>33.5</v>
      </c>
      <c r="G1327">
        <v>15.25</v>
      </c>
      <c r="H1327">
        <v>0.45500000000000002</v>
      </c>
      <c r="I1327">
        <v>2.9929999999999999</v>
      </c>
      <c r="J1327">
        <v>5</v>
      </c>
      <c r="K1327">
        <v>7</v>
      </c>
      <c r="L1327">
        <v>6</v>
      </c>
      <c r="M1327">
        <v>0.93500000000000005</v>
      </c>
    </row>
    <row r="1328" spans="1:13" ht="15" customHeight="1">
      <c r="A1328" t="s">
        <v>22</v>
      </c>
      <c r="B1328">
        <f t="shared" si="80"/>
        <v>33.711596</v>
      </c>
      <c r="C1328">
        <f t="shared" si="81"/>
        <v>-117.859452</v>
      </c>
      <c r="D1328">
        <f t="shared" si="82"/>
        <v>53</v>
      </c>
      <c r="E1328">
        <v>20.5</v>
      </c>
      <c r="F1328">
        <f t="shared" si="83"/>
        <v>32.5</v>
      </c>
      <c r="G1328">
        <v>20.242999999999999</v>
      </c>
      <c r="H1328">
        <v>0.45300000000000001</v>
      </c>
      <c r="I1328">
        <v>2.2400000000000002</v>
      </c>
      <c r="J1328">
        <v>5</v>
      </c>
      <c r="K1328">
        <v>10</v>
      </c>
      <c r="L1328">
        <v>9</v>
      </c>
      <c r="M1328">
        <v>1.2649999999999999</v>
      </c>
    </row>
    <row r="1329" spans="1:13" ht="15" customHeight="1">
      <c r="A1329" t="s">
        <v>22</v>
      </c>
      <c r="B1329">
        <f t="shared" si="80"/>
        <v>33.711596</v>
      </c>
      <c r="C1329">
        <f t="shared" si="81"/>
        <v>-117.859452</v>
      </c>
      <c r="D1329">
        <f t="shared" si="82"/>
        <v>53</v>
      </c>
      <c r="E1329">
        <v>21.5</v>
      </c>
      <c r="F1329">
        <f t="shared" si="83"/>
        <v>31.5</v>
      </c>
      <c r="G1329">
        <v>15.667</v>
      </c>
      <c r="H1329">
        <v>0.42199999999999999</v>
      </c>
      <c r="I1329">
        <v>2.6909999999999998</v>
      </c>
      <c r="J1329">
        <v>5</v>
      </c>
      <c r="K1329">
        <v>8</v>
      </c>
      <c r="L1329">
        <v>7</v>
      </c>
      <c r="M1329">
        <v>0.95799999999999996</v>
      </c>
    </row>
    <row r="1330" spans="1:13" ht="15" customHeight="1">
      <c r="A1330" t="s">
        <v>22</v>
      </c>
      <c r="B1330">
        <f t="shared" si="80"/>
        <v>33.711596</v>
      </c>
      <c r="C1330">
        <f t="shared" si="81"/>
        <v>-117.859452</v>
      </c>
      <c r="D1330">
        <f t="shared" si="82"/>
        <v>53</v>
      </c>
      <c r="E1330">
        <v>22.5</v>
      </c>
      <c r="F1330">
        <f t="shared" si="83"/>
        <v>30.5</v>
      </c>
      <c r="G1330">
        <v>19.367000000000001</v>
      </c>
      <c r="H1330">
        <v>0.54700000000000004</v>
      </c>
      <c r="I1330">
        <v>2.8420000000000001</v>
      </c>
      <c r="J1330">
        <v>5</v>
      </c>
      <c r="K1330">
        <v>9</v>
      </c>
      <c r="L1330">
        <v>7</v>
      </c>
      <c r="M1330">
        <v>1.1919999999999999</v>
      </c>
    </row>
    <row r="1331" spans="1:13" ht="15" customHeight="1">
      <c r="A1331" t="s">
        <v>22</v>
      </c>
      <c r="B1331">
        <f t="shared" si="80"/>
        <v>33.711596</v>
      </c>
      <c r="C1331">
        <f t="shared" si="81"/>
        <v>-117.859452</v>
      </c>
      <c r="D1331">
        <f t="shared" si="82"/>
        <v>53</v>
      </c>
      <c r="E1331">
        <v>23.5</v>
      </c>
      <c r="F1331">
        <f t="shared" si="83"/>
        <v>29.5</v>
      </c>
      <c r="G1331">
        <v>14.632999999999999</v>
      </c>
      <c r="H1331">
        <v>0.39</v>
      </c>
      <c r="I1331">
        <v>2.69</v>
      </c>
      <c r="J1331">
        <v>5</v>
      </c>
      <c r="K1331">
        <v>7</v>
      </c>
      <c r="L1331">
        <v>5</v>
      </c>
      <c r="M1331">
        <v>0.872</v>
      </c>
    </row>
    <row r="1332" spans="1:13" ht="15" customHeight="1">
      <c r="A1332" t="s">
        <v>22</v>
      </c>
      <c r="B1332">
        <f t="shared" si="80"/>
        <v>33.711596</v>
      </c>
      <c r="C1332">
        <f t="shared" si="81"/>
        <v>-117.859452</v>
      </c>
      <c r="D1332">
        <f t="shared" si="82"/>
        <v>53</v>
      </c>
      <c r="E1332">
        <v>24.5</v>
      </c>
      <c r="F1332">
        <f t="shared" si="83"/>
        <v>28.5</v>
      </c>
      <c r="G1332">
        <v>22.882999999999999</v>
      </c>
      <c r="H1332">
        <v>0.80300000000000005</v>
      </c>
      <c r="I1332">
        <v>3.5230000000000001</v>
      </c>
      <c r="J1332">
        <v>5</v>
      </c>
      <c r="K1332">
        <v>11</v>
      </c>
      <c r="L1332">
        <v>8</v>
      </c>
      <c r="M1332">
        <v>1.4219999999999999</v>
      </c>
    </row>
    <row r="1333" spans="1:13" ht="15" customHeight="1">
      <c r="A1333" t="s">
        <v>22</v>
      </c>
      <c r="B1333">
        <f t="shared" si="80"/>
        <v>33.711596</v>
      </c>
      <c r="C1333">
        <f t="shared" si="81"/>
        <v>-117.859452</v>
      </c>
      <c r="D1333">
        <f t="shared" si="82"/>
        <v>53</v>
      </c>
      <c r="E1333">
        <v>25.5</v>
      </c>
      <c r="F1333">
        <f t="shared" si="83"/>
        <v>27.5</v>
      </c>
      <c r="G1333">
        <v>13.567</v>
      </c>
      <c r="H1333">
        <v>0.57499999999999996</v>
      </c>
      <c r="I1333">
        <v>4.2649999999999997</v>
      </c>
      <c r="J1333">
        <v>3</v>
      </c>
      <c r="K1333">
        <v>13</v>
      </c>
      <c r="L1333">
        <v>9</v>
      </c>
      <c r="M1333">
        <v>0.79600000000000004</v>
      </c>
    </row>
    <row r="1334" spans="1:13" ht="15" customHeight="1">
      <c r="A1334" t="s">
        <v>22</v>
      </c>
      <c r="B1334">
        <f t="shared" si="80"/>
        <v>33.711596</v>
      </c>
      <c r="C1334">
        <f t="shared" si="81"/>
        <v>-117.859452</v>
      </c>
      <c r="D1334">
        <f t="shared" si="82"/>
        <v>53</v>
      </c>
      <c r="E1334">
        <v>26.5</v>
      </c>
      <c r="F1334">
        <f t="shared" si="83"/>
        <v>26.5</v>
      </c>
      <c r="G1334">
        <v>11.7</v>
      </c>
      <c r="H1334">
        <v>0.433</v>
      </c>
      <c r="I1334">
        <v>3.73</v>
      </c>
      <c r="J1334">
        <v>3</v>
      </c>
      <c r="K1334">
        <v>11</v>
      </c>
      <c r="L1334">
        <v>8</v>
      </c>
      <c r="M1334">
        <v>0.66800000000000004</v>
      </c>
    </row>
    <row r="1335" spans="1:13" ht="15" customHeight="1">
      <c r="A1335" t="s">
        <v>22</v>
      </c>
      <c r="B1335">
        <f t="shared" si="80"/>
        <v>33.711596</v>
      </c>
      <c r="C1335">
        <f t="shared" si="81"/>
        <v>-117.859452</v>
      </c>
      <c r="D1335">
        <f t="shared" si="82"/>
        <v>53</v>
      </c>
      <c r="E1335">
        <v>27.5</v>
      </c>
      <c r="F1335">
        <f t="shared" si="83"/>
        <v>25.5</v>
      </c>
      <c r="G1335">
        <v>13.85</v>
      </c>
      <c r="H1335">
        <v>0.438</v>
      </c>
      <c r="I1335">
        <v>3.1840000000000002</v>
      </c>
      <c r="J1335">
        <v>4</v>
      </c>
      <c r="K1335">
        <v>9</v>
      </c>
      <c r="L1335">
        <v>6</v>
      </c>
      <c r="M1335">
        <v>0.80700000000000005</v>
      </c>
    </row>
    <row r="1336" spans="1:13" ht="15" customHeight="1">
      <c r="A1336" t="s">
        <v>22</v>
      </c>
      <c r="B1336">
        <f t="shared" si="80"/>
        <v>33.711596</v>
      </c>
      <c r="C1336">
        <f t="shared" si="81"/>
        <v>-117.859452</v>
      </c>
      <c r="D1336">
        <f t="shared" si="82"/>
        <v>53</v>
      </c>
      <c r="E1336">
        <v>28.5</v>
      </c>
      <c r="F1336">
        <f t="shared" si="83"/>
        <v>24.5</v>
      </c>
      <c r="G1336">
        <v>25.233000000000001</v>
      </c>
      <c r="H1336">
        <v>0.79800000000000004</v>
      </c>
      <c r="I1336">
        <v>3.17</v>
      </c>
      <c r="J1336">
        <v>5</v>
      </c>
      <c r="K1336">
        <v>12</v>
      </c>
      <c r="L1336">
        <v>8</v>
      </c>
      <c r="M1336">
        <v>1.5640000000000001</v>
      </c>
    </row>
    <row r="1337" spans="1:13" ht="15" customHeight="1">
      <c r="A1337" t="s">
        <v>22</v>
      </c>
      <c r="B1337">
        <f t="shared" si="80"/>
        <v>33.711596</v>
      </c>
      <c r="C1337">
        <f t="shared" si="81"/>
        <v>-117.859452</v>
      </c>
      <c r="D1337">
        <f t="shared" si="82"/>
        <v>53</v>
      </c>
      <c r="E1337">
        <v>29.5</v>
      </c>
      <c r="F1337">
        <f t="shared" si="83"/>
        <v>23.5</v>
      </c>
      <c r="G1337">
        <v>28.882999999999999</v>
      </c>
      <c r="H1337">
        <v>0.64</v>
      </c>
      <c r="I1337">
        <v>2.2130000000000001</v>
      </c>
      <c r="J1337">
        <v>6</v>
      </c>
      <c r="K1337">
        <v>11</v>
      </c>
      <c r="L1337">
        <v>8</v>
      </c>
      <c r="M1337">
        <v>1.8089999999999999</v>
      </c>
    </row>
    <row r="1338" spans="1:13" ht="15" customHeight="1">
      <c r="A1338" t="s">
        <v>22</v>
      </c>
      <c r="B1338">
        <f t="shared" si="80"/>
        <v>33.711596</v>
      </c>
      <c r="C1338">
        <f t="shared" si="81"/>
        <v>-117.859452</v>
      </c>
      <c r="D1338">
        <f t="shared" si="82"/>
        <v>53</v>
      </c>
      <c r="E1338">
        <v>30.5</v>
      </c>
      <c r="F1338">
        <f t="shared" si="83"/>
        <v>22.5</v>
      </c>
      <c r="G1338">
        <v>21.733000000000001</v>
      </c>
      <c r="H1338">
        <v>0.313</v>
      </c>
      <c r="I1338">
        <v>1.44</v>
      </c>
      <c r="J1338">
        <v>6</v>
      </c>
      <c r="K1338">
        <v>8</v>
      </c>
      <c r="L1338">
        <v>5</v>
      </c>
      <c r="M1338">
        <v>1.3280000000000001</v>
      </c>
    </row>
    <row r="1339" spans="1:13" ht="15" customHeight="1">
      <c r="A1339" t="s">
        <v>22</v>
      </c>
      <c r="B1339">
        <f t="shared" si="80"/>
        <v>33.711596</v>
      </c>
      <c r="C1339">
        <f t="shared" si="81"/>
        <v>-117.859452</v>
      </c>
      <c r="D1339">
        <f t="shared" si="82"/>
        <v>53</v>
      </c>
      <c r="E1339">
        <v>31.5</v>
      </c>
      <c r="F1339">
        <f t="shared" si="83"/>
        <v>21.5</v>
      </c>
      <c r="G1339">
        <v>34.957000000000001</v>
      </c>
      <c r="H1339">
        <v>0.67100000000000004</v>
      </c>
      <c r="I1339">
        <v>1.923</v>
      </c>
      <c r="J1339">
        <v>6</v>
      </c>
      <c r="K1339">
        <v>13</v>
      </c>
      <c r="L1339">
        <v>9</v>
      </c>
      <c r="M1339">
        <v>2.2000000000000002</v>
      </c>
    </row>
    <row r="1340" spans="1:13" ht="15" customHeight="1">
      <c r="A1340" t="s">
        <v>22</v>
      </c>
      <c r="B1340">
        <f t="shared" si="80"/>
        <v>33.711596</v>
      </c>
      <c r="C1340">
        <f t="shared" si="81"/>
        <v>-117.859452</v>
      </c>
      <c r="D1340">
        <f t="shared" si="82"/>
        <v>53</v>
      </c>
      <c r="E1340">
        <v>32.5</v>
      </c>
      <c r="F1340">
        <f t="shared" si="83"/>
        <v>20.5</v>
      </c>
      <c r="G1340">
        <v>58.917000000000002</v>
      </c>
      <c r="H1340">
        <v>2.202</v>
      </c>
      <c r="I1340">
        <v>3.7450000000000001</v>
      </c>
      <c r="J1340">
        <v>5</v>
      </c>
      <c r="K1340">
        <v>28</v>
      </c>
      <c r="L1340">
        <v>18</v>
      </c>
      <c r="M1340">
        <v>3.7869999999999999</v>
      </c>
    </row>
    <row r="1341" spans="1:13" ht="15" customHeight="1">
      <c r="A1341" t="s">
        <v>22</v>
      </c>
      <c r="B1341">
        <f t="shared" si="80"/>
        <v>33.711596</v>
      </c>
      <c r="C1341">
        <f t="shared" si="81"/>
        <v>-117.859452</v>
      </c>
      <c r="D1341">
        <f t="shared" si="82"/>
        <v>53</v>
      </c>
      <c r="E1341">
        <v>33.5</v>
      </c>
      <c r="F1341">
        <f t="shared" si="83"/>
        <v>19.5</v>
      </c>
      <c r="G1341">
        <v>40.917000000000002</v>
      </c>
      <c r="H1341">
        <v>2.0099999999999998</v>
      </c>
      <c r="I1341">
        <v>4.93</v>
      </c>
      <c r="J1341">
        <v>3</v>
      </c>
      <c r="K1341">
        <v>39</v>
      </c>
      <c r="L1341">
        <v>25</v>
      </c>
      <c r="M1341">
        <v>2.5819999999999999</v>
      </c>
    </row>
    <row r="1342" spans="1:13" ht="15" customHeight="1">
      <c r="A1342" t="s">
        <v>22</v>
      </c>
      <c r="B1342">
        <f t="shared" si="80"/>
        <v>33.711596</v>
      </c>
      <c r="C1342">
        <f t="shared" si="81"/>
        <v>-117.859452</v>
      </c>
      <c r="D1342">
        <f t="shared" si="82"/>
        <v>53</v>
      </c>
      <c r="E1342">
        <v>34.5</v>
      </c>
      <c r="F1342">
        <f t="shared" si="83"/>
        <v>18.5</v>
      </c>
      <c r="G1342">
        <v>20.832999999999998</v>
      </c>
      <c r="H1342">
        <v>1.1180000000000001</v>
      </c>
      <c r="I1342">
        <v>5.407</v>
      </c>
      <c r="J1342">
        <v>3</v>
      </c>
      <c r="K1342">
        <v>20</v>
      </c>
      <c r="L1342">
        <v>13</v>
      </c>
      <c r="M1342">
        <v>1.2390000000000001</v>
      </c>
    </row>
    <row r="1343" spans="1:13" ht="15" customHeight="1">
      <c r="A1343" t="s">
        <v>22</v>
      </c>
      <c r="B1343">
        <f t="shared" si="80"/>
        <v>33.711596</v>
      </c>
      <c r="C1343">
        <f t="shared" si="81"/>
        <v>-117.859452</v>
      </c>
      <c r="D1343">
        <f t="shared" si="82"/>
        <v>53</v>
      </c>
      <c r="E1343">
        <v>35.5</v>
      </c>
      <c r="F1343">
        <f t="shared" si="83"/>
        <v>17.5</v>
      </c>
      <c r="G1343">
        <v>80.867000000000004</v>
      </c>
      <c r="H1343">
        <v>0.77</v>
      </c>
      <c r="I1343">
        <v>0.95399999999999996</v>
      </c>
      <c r="J1343">
        <v>8</v>
      </c>
      <c r="K1343">
        <v>19</v>
      </c>
      <c r="L1343">
        <v>12</v>
      </c>
      <c r="M1343" s="1">
        <v>9000000000</v>
      </c>
    </row>
    <row r="1344" spans="1:13" ht="15" customHeight="1">
      <c r="A1344" t="s">
        <v>22</v>
      </c>
      <c r="B1344">
        <f t="shared" si="80"/>
        <v>33.711596</v>
      </c>
      <c r="C1344">
        <f t="shared" si="81"/>
        <v>-117.859452</v>
      </c>
      <c r="D1344">
        <f t="shared" si="82"/>
        <v>53</v>
      </c>
      <c r="E1344">
        <v>36.5</v>
      </c>
      <c r="F1344">
        <f t="shared" si="83"/>
        <v>16.5</v>
      </c>
      <c r="G1344">
        <v>153.75</v>
      </c>
      <c r="H1344">
        <v>0.375</v>
      </c>
      <c r="I1344">
        <v>0.24399999999999999</v>
      </c>
      <c r="J1344">
        <v>9</v>
      </c>
      <c r="K1344">
        <v>29</v>
      </c>
      <c r="L1344">
        <v>18</v>
      </c>
      <c r="M1344" s="1">
        <v>9000000000</v>
      </c>
    </row>
    <row r="1345" spans="1:13" ht="15" customHeight="1">
      <c r="A1345" t="s">
        <v>22</v>
      </c>
      <c r="B1345">
        <f t="shared" si="80"/>
        <v>33.711596</v>
      </c>
      <c r="C1345">
        <f t="shared" si="81"/>
        <v>-117.859452</v>
      </c>
      <c r="D1345">
        <f t="shared" si="82"/>
        <v>53</v>
      </c>
      <c r="E1345">
        <v>37.5</v>
      </c>
      <c r="F1345">
        <f t="shared" si="83"/>
        <v>15.5</v>
      </c>
      <c r="G1345">
        <v>132.233</v>
      </c>
      <c r="H1345">
        <v>0.313</v>
      </c>
      <c r="I1345">
        <v>0.23699999999999999</v>
      </c>
      <c r="J1345">
        <v>9</v>
      </c>
      <c r="K1345">
        <v>25</v>
      </c>
      <c r="L1345">
        <v>15</v>
      </c>
      <c r="M1345" s="1">
        <v>9000000000</v>
      </c>
    </row>
    <row r="1346" spans="1:13" ht="15" customHeight="1">
      <c r="A1346" t="s">
        <v>22</v>
      </c>
      <c r="B1346">
        <f t="shared" ref="B1346:B1409" si="84">VLOOKUP(A1346,XYdata,3,FALSE)</f>
        <v>33.711596</v>
      </c>
      <c r="C1346">
        <f t="shared" ref="C1346:C1409" si="85">VLOOKUP(A1346,XYdata,2,FALSE)</f>
        <v>-117.859452</v>
      </c>
      <c r="D1346">
        <f t="shared" ref="D1346:D1409" si="86">VLOOKUP(A1346,Elevation,2,FALSE)</f>
        <v>53</v>
      </c>
      <c r="E1346">
        <v>38.5</v>
      </c>
      <c r="F1346">
        <f t="shared" si="83"/>
        <v>14.5</v>
      </c>
      <c r="G1346">
        <v>111.767</v>
      </c>
      <c r="H1346">
        <v>0.46500000000000002</v>
      </c>
      <c r="I1346">
        <v>0.41599999999999998</v>
      </c>
      <c r="J1346">
        <v>9</v>
      </c>
      <c r="K1346">
        <v>21</v>
      </c>
      <c r="L1346">
        <v>13</v>
      </c>
      <c r="M1346" s="1">
        <v>9000000000</v>
      </c>
    </row>
    <row r="1347" spans="1:13" ht="15" customHeight="1">
      <c r="A1347" t="s">
        <v>22</v>
      </c>
      <c r="B1347">
        <f t="shared" si="84"/>
        <v>33.711596</v>
      </c>
      <c r="C1347">
        <f t="shared" si="85"/>
        <v>-117.859452</v>
      </c>
      <c r="D1347">
        <f t="shared" si="86"/>
        <v>53</v>
      </c>
      <c r="E1347">
        <v>39.5</v>
      </c>
      <c r="F1347">
        <f t="shared" ref="F1347:F1410" si="87">D1347-E1347</f>
        <v>13.5</v>
      </c>
      <c r="G1347">
        <v>92.516999999999996</v>
      </c>
      <c r="H1347">
        <v>0.628</v>
      </c>
      <c r="I1347">
        <v>0.67900000000000005</v>
      </c>
      <c r="J1347">
        <v>8</v>
      </c>
      <c r="K1347">
        <v>22</v>
      </c>
      <c r="L1347">
        <v>13</v>
      </c>
      <c r="M1347" s="1">
        <v>9000000000</v>
      </c>
    </row>
    <row r="1348" spans="1:13" ht="15" customHeight="1">
      <c r="A1348" t="s">
        <v>22</v>
      </c>
      <c r="B1348">
        <f t="shared" si="84"/>
        <v>33.711596</v>
      </c>
      <c r="C1348">
        <f t="shared" si="85"/>
        <v>-117.859452</v>
      </c>
      <c r="D1348">
        <f t="shared" si="86"/>
        <v>53</v>
      </c>
      <c r="E1348">
        <v>40.5</v>
      </c>
      <c r="F1348">
        <f t="shared" si="87"/>
        <v>12.5</v>
      </c>
      <c r="G1348">
        <v>26.067</v>
      </c>
      <c r="H1348">
        <v>0.248</v>
      </c>
      <c r="I1348">
        <v>0.95099999999999996</v>
      </c>
      <c r="J1348">
        <v>7</v>
      </c>
      <c r="K1348">
        <v>8</v>
      </c>
      <c r="L1348">
        <v>5</v>
      </c>
      <c r="M1348" s="1">
        <v>9000000000</v>
      </c>
    </row>
    <row r="1349" spans="1:13" ht="15" customHeight="1">
      <c r="A1349" t="s">
        <v>22</v>
      </c>
      <c r="B1349">
        <f t="shared" si="84"/>
        <v>33.711596</v>
      </c>
      <c r="C1349">
        <f t="shared" si="85"/>
        <v>-117.859452</v>
      </c>
      <c r="D1349">
        <f t="shared" si="86"/>
        <v>53</v>
      </c>
      <c r="E1349">
        <v>41.499000000000002</v>
      </c>
      <c r="F1349">
        <f t="shared" si="87"/>
        <v>11.500999999999998</v>
      </c>
      <c r="G1349">
        <v>20.271000000000001</v>
      </c>
      <c r="H1349">
        <v>0.63600000000000001</v>
      </c>
      <c r="I1349">
        <v>3.121</v>
      </c>
      <c r="J1349">
        <v>5</v>
      </c>
      <c r="K1349">
        <v>10</v>
      </c>
      <c r="L1349">
        <v>6</v>
      </c>
      <c r="M1349">
        <v>1.1890000000000001</v>
      </c>
    </row>
    <row r="1350" spans="1:13" ht="15" customHeight="1">
      <c r="A1350" t="s">
        <v>22</v>
      </c>
      <c r="B1350">
        <f t="shared" si="84"/>
        <v>33.711596</v>
      </c>
      <c r="C1350">
        <f t="shared" si="85"/>
        <v>-117.859452</v>
      </c>
      <c r="D1350">
        <f t="shared" si="86"/>
        <v>53</v>
      </c>
      <c r="E1350">
        <v>42.499000000000002</v>
      </c>
      <c r="F1350">
        <f t="shared" si="87"/>
        <v>10.500999999999998</v>
      </c>
      <c r="G1350">
        <v>134.38300000000001</v>
      </c>
      <c r="H1350">
        <v>0.76500000000000001</v>
      </c>
      <c r="I1350">
        <v>0.56999999999999995</v>
      </c>
      <c r="J1350">
        <v>9</v>
      </c>
      <c r="K1350">
        <v>26</v>
      </c>
      <c r="L1350">
        <v>15</v>
      </c>
      <c r="M1350" s="1">
        <v>9000000000</v>
      </c>
    </row>
    <row r="1351" spans="1:13" ht="15" customHeight="1">
      <c r="A1351" t="s">
        <v>22</v>
      </c>
      <c r="B1351">
        <f t="shared" si="84"/>
        <v>33.711596</v>
      </c>
      <c r="C1351">
        <f t="shared" si="85"/>
        <v>-117.859452</v>
      </c>
      <c r="D1351">
        <f t="shared" si="86"/>
        <v>53</v>
      </c>
      <c r="E1351">
        <v>43.499000000000002</v>
      </c>
      <c r="F1351">
        <f t="shared" si="87"/>
        <v>9.5009999999999977</v>
      </c>
      <c r="G1351">
        <v>171.9</v>
      </c>
      <c r="H1351">
        <v>1.2669999999999999</v>
      </c>
      <c r="I1351">
        <v>0.73699999999999999</v>
      </c>
      <c r="J1351">
        <v>9</v>
      </c>
      <c r="K1351">
        <v>33</v>
      </c>
      <c r="L1351">
        <v>19</v>
      </c>
      <c r="M1351" s="1">
        <v>9000000000</v>
      </c>
    </row>
    <row r="1352" spans="1:13" ht="15" customHeight="1">
      <c r="A1352" t="s">
        <v>22</v>
      </c>
      <c r="B1352">
        <f t="shared" si="84"/>
        <v>33.711596</v>
      </c>
      <c r="C1352">
        <f t="shared" si="85"/>
        <v>-117.859452</v>
      </c>
      <c r="D1352">
        <f t="shared" si="86"/>
        <v>53</v>
      </c>
      <c r="E1352">
        <v>44.499000000000002</v>
      </c>
      <c r="F1352">
        <f t="shared" si="87"/>
        <v>8.5009999999999977</v>
      </c>
      <c r="G1352">
        <v>98.466999999999999</v>
      </c>
      <c r="H1352">
        <v>2.952</v>
      </c>
      <c r="I1352">
        <v>3.0019999999999998</v>
      </c>
      <c r="J1352">
        <v>6</v>
      </c>
      <c r="K1352">
        <v>38</v>
      </c>
      <c r="L1352">
        <v>21</v>
      </c>
      <c r="M1352">
        <v>6.3730000000000002</v>
      </c>
    </row>
    <row r="1353" spans="1:13" ht="15" customHeight="1">
      <c r="A1353" t="s">
        <v>22</v>
      </c>
      <c r="B1353">
        <f t="shared" si="84"/>
        <v>33.711596</v>
      </c>
      <c r="C1353">
        <f t="shared" si="85"/>
        <v>-117.859452</v>
      </c>
      <c r="D1353">
        <f t="shared" si="86"/>
        <v>53</v>
      </c>
      <c r="E1353">
        <v>45.499000000000002</v>
      </c>
      <c r="F1353">
        <f t="shared" si="87"/>
        <v>7.5009999999999977</v>
      </c>
      <c r="G1353">
        <v>85.117000000000004</v>
      </c>
      <c r="H1353">
        <v>3.4820000000000002</v>
      </c>
      <c r="I1353">
        <v>4.0960000000000001</v>
      </c>
      <c r="J1353">
        <v>5</v>
      </c>
      <c r="K1353">
        <v>41</v>
      </c>
      <c r="L1353">
        <v>23</v>
      </c>
      <c r="M1353">
        <v>5.4809999999999999</v>
      </c>
    </row>
    <row r="1354" spans="1:13" ht="15" customHeight="1">
      <c r="A1354" t="s">
        <v>22</v>
      </c>
      <c r="B1354">
        <f t="shared" si="84"/>
        <v>33.711596</v>
      </c>
      <c r="C1354">
        <f t="shared" si="85"/>
        <v>-117.859452</v>
      </c>
      <c r="D1354">
        <f t="shared" si="86"/>
        <v>53</v>
      </c>
      <c r="E1354">
        <v>46.499000000000002</v>
      </c>
      <c r="F1354">
        <f t="shared" si="87"/>
        <v>6.5009999999999977</v>
      </c>
      <c r="G1354">
        <v>73.2</v>
      </c>
      <c r="H1354">
        <v>3.49</v>
      </c>
      <c r="I1354">
        <v>4.7789999999999999</v>
      </c>
      <c r="J1354">
        <v>11</v>
      </c>
      <c r="K1354">
        <v>70</v>
      </c>
      <c r="L1354">
        <v>39</v>
      </c>
      <c r="M1354" s="1">
        <v>9000000000</v>
      </c>
    </row>
    <row r="1355" spans="1:13" ht="15" customHeight="1">
      <c r="A1355" t="s">
        <v>22</v>
      </c>
      <c r="B1355">
        <f t="shared" si="84"/>
        <v>33.711596</v>
      </c>
      <c r="C1355">
        <f t="shared" si="85"/>
        <v>-117.859452</v>
      </c>
      <c r="D1355">
        <f t="shared" si="86"/>
        <v>53</v>
      </c>
      <c r="E1355">
        <v>47.499000000000002</v>
      </c>
      <c r="F1355">
        <f t="shared" si="87"/>
        <v>5.5009999999999977</v>
      </c>
      <c r="G1355">
        <v>118</v>
      </c>
      <c r="H1355">
        <v>4.9669999999999996</v>
      </c>
      <c r="I1355">
        <v>4.2160000000000002</v>
      </c>
      <c r="J1355">
        <v>11</v>
      </c>
      <c r="K1355">
        <v>113</v>
      </c>
      <c r="L1355">
        <v>61</v>
      </c>
      <c r="M1355" s="1">
        <v>9000000000</v>
      </c>
    </row>
    <row r="1356" spans="1:13" ht="15" customHeight="1">
      <c r="A1356" t="s">
        <v>22</v>
      </c>
      <c r="B1356">
        <f t="shared" si="84"/>
        <v>33.711596</v>
      </c>
      <c r="C1356">
        <f t="shared" si="85"/>
        <v>-117.859452</v>
      </c>
      <c r="D1356">
        <f t="shared" si="86"/>
        <v>53</v>
      </c>
      <c r="E1356">
        <v>48.499000000000002</v>
      </c>
      <c r="F1356">
        <f t="shared" si="87"/>
        <v>4.5009999999999977</v>
      </c>
      <c r="G1356">
        <v>114.633</v>
      </c>
      <c r="H1356">
        <v>4.4850000000000003</v>
      </c>
      <c r="I1356">
        <v>3.9180000000000001</v>
      </c>
      <c r="J1356">
        <v>5</v>
      </c>
      <c r="K1356">
        <v>55</v>
      </c>
      <c r="L1356">
        <v>30</v>
      </c>
      <c r="M1356">
        <v>7.4340000000000002</v>
      </c>
    </row>
    <row r="1357" spans="1:13" ht="15" customHeight="1">
      <c r="A1357" t="s">
        <v>22</v>
      </c>
      <c r="B1357">
        <f t="shared" si="84"/>
        <v>33.711596</v>
      </c>
      <c r="C1357">
        <f t="shared" si="85"/>
        <v>-117.859452</v>
      </c>
      <c r="D1357">
        <f t="shared" si="86"/>
        <v>53</v>
      </c>
      <c r="E1357">
        <v>49.499000000000002</v>
      </c>
      <c r="F1357">
        <f t="shared" si="87"/>
        <v>3.5009999999999977</v>
      </c>
      <c r="G1357">
        <v>115.533</v>
      </c>
      <c r="H1357">
        <v>2.8279999999999998</v>
      </c>
      <c r="I1357">
        <v>2.452</v>
      </c>
      <c r="J1357">
        <v>7</v>
      </c>
      <c r="K1357">
        <v>37</v>
      </c>
      <c r="L1357">
        <v>20</v>
      </c>
      <c r="M1357" s="1">
        <v>9000000000</v>
      </c>
    </row>
    <row r="1358" spans="1:13" ht="15" customHeight="1">
      <c r="A1358" t="s">
        <v>22</v>
      </c>
      <c r="B1358">
        <f t="shared" si="84"/>
        <v>33.711596</v>
      </c>
      <c r="C1358">
        <f t="shared" si="85"/>
        <v>-117.859452</v>
      </c>
      <c r="D1358">
        <f t="shared" si="86"/>
        <v>53</v>
      </c>
      <c r="E1358">
        <v>50.499000000000002</v>
      </c>
      <c r="F1358">
        <f t="shared" si="87"/>
        <v>2.5009999999999977</v>
      </c>
      <c r="G1358">
        <v>196.18299999999999</v>
      </c>
      <c r="H1358">
        <v>1.863</v>
      </c>
      <c r="I1358">
        <v>0.95099999999999996</v>
      </c>
      <c r="J1358">
        <v>9</v>
      </c>
      <c r="K1358">
        <v>38</v>
      </c>
      <c r="L1358">
        <v>20</v>
      </c>
      <c r="M1358" s="1">
        <v>9000000000</v>
      </c>
    </row>
    <row r="1359" spans="1:13" ht="15" customHeight="1">
      <c r="A1359" t="s">
        <v>22</v>
      </c>
      <c r="B1359">
        <f t="shared" si="84"/>
        <v>33.711596</v>
      </c>
      <c r="C1359">
        <f t="shared" si="85"/>
        <v>-117.859452</v>
      </c>
      <c r="D1359">
        <f t="shared" si="86"/>
        <v>53</v>
      </c>
      <c r="E1359">
        <v>51.499000000000002</v>
      </c>
      <c r="F1359">
        <f t="shared" si="87"/>
        <v>1.5009999999999977</v>
      </c>
      <c r="G1359">
        <v>192.55</v>
      </c>
      <c r="H1359">
        <v>2.6480000000000001</v>
      </c>
      <c r="I1359">
        <v>1.375</v>
      </c>
      <c r="J1359">
        <v>8</v>
      </c>
      <c r="K1359">
        <v>46</v>
      </c>
      <c r="L1359">
        <v>24</v>
      </c>
      <c r="M1359" s="1">
        <v>9000000000</v>
      </c>
    </row>
    <row r="1360" spans="1:13" ht="15" customHeight="1">
      <c r="A1360" t="s">
        <v>22</v>
      </c>
      <c r="B1360">
        <f t="shared" si="84"/>
        <v>33.711596</v>
      </c>
      <c r="C1360">
        <f t="shared" si="85"/>
        <v>-117.859452</v>
      </c>
      <c r="D1360">
        <f t="shared" si="86"/>
        <v>53</v>
      </c>
      <c r="E1360">
        <v>52.499000000000002</v>
      </c>
      <c r="F1360">
        <f t="shared" si="87"/>
        <v>0.50099999999999767</v>
      </c>
      <c r="G1360">
        <v>54.843000000000004</v>
      </c>
      <c r="H1360">
        <v>2.5459999999999998</v>
      </c>
      <c r="I1360">
        <v>4.6539999999999999</v>
      </c>
      <c r="J1360">
        <v>4</v>
      </c>
      <c r="K1360">
        <v>35</v>
      </c>
      <c r="L1360">
        <v>18</v>
      </c>
      <c r="M1360">
        <v>3.4319999999999999</v>
      </c>
    </row>
    <row r="1361" spans="1:13" ht="15" customHeight="1">
      <c r="A1361" t="s">
        <v>22</v>
      </c>
      <c r="B1361">
        <f t="shared" si="84"/>
        <v>33.711596</v>
      </c>
      <c r="C1361">
        <f t="shared" si="85"/>
        <v>-117.859452</v>
      </c>
      <c r="D1361">
        <f t="shared" si="86"/>
        <v>53</v>
      </c>
      <c r="E1361">
        <v>53.499000000000002</v>
      </c>
      <c r="F1361">
        <f t="shared" si="87"/>
        <v>-0.49900000000000233</v>
      </c>
      <c r="G1361">
        <v>35.049999999999997</v>
      </c>
      <c r="H1361">
        <v>1.2969999999999999</v>
      </c>
      <c r="I1361">
        <v>3.7170000000000001</v>
      </c>
      <c r="J1361">
        <v>5</v>
      </c>
      <c r="K1361">
        <v>17</v>
      </c>
      <c r="L1361">
        <v>9</v>
      </c>
      <c r="M1361">
        <v>2.1059999999999999</v>
      </c>
    </row>
    <row r="1362" spans="1:13" ht="15" customHeight="1">
      <c r="A1362" t="s">
        <v>22</v>
      </c>
      <c r="B1362">
        <f t="shared" si="84"/>
        <v>33.711596</v>
      </c>
      <c r="C1362">
        <f t="shared" si="85"/>
        <v>-117.859452</v>
      </c>
      <c r="D1362">
        <f t="shared" si="86"/>
        <v>53</v>
      </c>
      <c r="E1362">
        <v>54.499000000000002</v>
      </c>
      <c r="F1362">
        <f t="shared" si="87"/>
        <v>-1.4990000000000023</v>
      </c>
      <c r="G1362">
        <v>139.44999999999999</v>
      </c>
      <c r="H1362">
        <v>3.298</v>
      </c>
      <c r="I1362">
        <v>2.3679999999999999</v>
      </c>
      <c r="J1362">
        <v>7</v>
      </c>
      <c r="K1362">
        <v>44</v>
      </c>
      <c r="L1362">
        <v>22</v>
      </c>
      <c r="M1362" s="1">
        <v>9000000000</v>
      </c>
    </row>
    <row r="1363" spans="1:13" ht="15" customHeight="1">
      <c r="A1363" t="s">
        <v>22</v>
      </c>
      <c r="B1363">
        <f t="shared" si="84"/>
        <v>33.711596</v>
      </c>
      <c r="C1363">
        <f t="shared" si="85"/>
        <v>-117.859452</v>
      </c>
      <c r="D1363">
        <f t="shared" si="86"/>
        <v>53</v>
      </c>
      <c r="E1363">
        <v>55.499000000000002</v>
      </c>
      <c r="F1363">
        <f t="shared" si="87"/>
        <v>-2.4990000000000023</v>
      </c>
      <c r="G1363">
        <v>100.217</v>
      </c>
      <c r="H1363">
        <v>4.298</v>
      </c>
      <c r="I1363">
        <v>4.298</v>
      </c>
      <c r="J1363">
        <v>11</v>
      </c>
      <c r="K1363">
        <v>96</v>
      </c>
      <c r="L1363">
        <v>48</v>
      </c>
      <c r="M1363" s="1">
        <v>9000000000</v>
      </c>
    </row>
    <row r="1364" spans="1:13" ht="15" customHeight="1">
      <c r="A1364" t="s">
        <v>22</v>
      </c>
      <c r="B1364">
        <f t="shared" si="84"/>
        <v>33.711596</v>
      </c>
      <c r="C1364">
        <f t="shared" si="85"/>
        <v>-117.859452</v>
      </c>
      <c r="D1364">
        <f t="shared" si="86"/>
        <v>53</v>
      </c>
      <c r="E1364">
        <v>56.499000000000002</v>
      </c>
      <c r="F1364">
        <f t="shared" si="87"/>
        <v>-3.4990000000000023</v>
      </c>
      <c r="G1364">
        <v>69.233000000000004</v>
      </c>
      <c r="H1364">
        <v>2.9780000000000002</v>
      </c>
      <c r="I1364">
        <v>4.3120000000000003</v>
      </c>
      <c r="J1364">
        <v>5</v>
      </c>
      <c r="K1364">
        <v>33</v>
      </c>
      <c r="L1364">
        <v>17</v>
      </c>
      <c r="M1364">
        <v>4.3730000000000002</v>
      </c>
    </row>
    <row r="1365" spans="1:13" ht="15" customHeight="1">
      <c r="A1365" t="s">
        <v>22</v>
      </c>
      <c r="B1365">
        <f t="shared" si="84"/>
        <v>33.711596</v>
      </c>
      <c r="C1365">
        <f t="shared" si="85"/>
        <v>-117.859452</v>
      </c>
      <c r="D1365">
        <f t="shared" si="86"/>
        <v>53</v>
      </c>
      <c r="E1365">
        <v>57.499000000000002</v>
      </c>
      <c r="F1365">
        <f t="shared" si="87"/>
        <v>-4.4990000000000023</v>
      </c>
      <c r="G1365">
        <v>87.683000000000007</v>
      </c>
      <c r="H1365">
        <v>2.57</v>
      </c>
      <c r="I1365">
        <v>2.9369999999999998</v>
      </c>
      <c r="J1365">
        <v>6</v>
      </c>
      <c r="K1365">
        <v>34</v>
      </c>
      <c r="L1365">
        <v>17</v>
      </c>
      <c r="M1365">
        <v>5.5970000000000004</v>
      </c>
    </row>
    <row r="1366" spans="1:13" ht="15" customHeight="1">
      <c r="A1366" t="s">
        <v>22</v>
      </c>
      <c r="B1366">
        <f t="shared" si="84"/>
        <v>33.711596</v>
      </c>
      <c r="C1366">
        <f t="shared" si="85"/>
        <v>-117.859452</v>
      </c>
      <c r="D1366">
        <f t="shared" si="86"/>
        <v>53</v>
      </c>
      <c r="E1366">
        <v>58.499000000000002</v>
      </c>
      <c r="F1366">
        <f t="shared" si="87"/>
        <v>-5.4990000000000023</v>
      </c>
      <c r="G1366">
        <v>264.03300000000002</v>
      </c>
      <c r="H1366">
        <v>2.407</v>
      </c>
      <c r="I1366">
        <v>0.91200000000000003</v>
      </c>
      <c r="J1366">
        <v>9</v>
      </c>
      <c r="K1366">
        <v>51</v>
      </c>
      <c r="L1366">
        <v>26</v>
      </c>
      <c r="M1366" s="1">
        <v>9000000000</v>
      </c>
    </row>
    <row r="1367" spans="1:13" ht="15" customHeight="1">
      <c r="A1367" t="s">
        <v>22</v>
      </c>
      <c r="B1367">
        <f t="shared" si="84"/>
        <v>33.711596</v>
      </c>
      <c r="C1367">
        <f t="shared" si="85"/>
        <v>-117.859452</v>
      </c>
      <c r="D1367">
        <f t="shared" si="86"/>
        <v>53</v>
      </c>
      <c r="E1367">
        <v>59.499000000000002</v>
      </c>
      <c r="F1367">
        <f t="shared" si="87"/>
        <v>-6.4990000000000023</v>
      </c>
      <c r="G1367">
        <v>61.517000000000003</v>
      </c>
      <c r="H1367">
        <v>2.125</v>
      </c>
      <c r="I1367">
        <v>3.464</v>
      </c>
      <c r="J1367">
        <v>5</v>
      </c>
      <c r="K1367">
        <v>29</v>
      </c>
      <c r="L1367">
        <v>15</v>
      </c>
      <c r="M1367">
        <v>3.8460000000000001</v>
      </c>
    </row>
    <row r="1368" spans="1:13" ht="15" customHeight="1">
      <c r="A1368" t="s">
        <v>22</v>
      </c>
      <c r="B1368">
        <f t="shared" si="84"/>
        <v>33.711596</v>
      </c>
      <c r="C1368">
        <f t="shared" si="85"/>
        <v>-117.859452</v>
      </c>
      <c r="D1368">
        <f t="shared" si="86"/>
        <v>53</v>
      </c>
      <c r="E1368">
        <v>60.499000000000002</v>
      </c>
      <c r="F1368">
        <f t="shared" si="87"/>
        <v>-7.4990000000000023</v>
      </c>
      <c r="G1368">
        <v>29.233000000000001</v>
      </c>
      <c r="H1368">
        <v>1.0349999999999999</v>
      </c>
      <c r="I1368">
        <v>3.5590000000000002</v>
      </c>
      <c r="J1368">
        <v>5</v>
      </c>
      <c r="K1368">
        <v>14</v>
      </c>
      <c r="L1368">
        <v>7</v>
      </c>
      <c r="M1368">
        <v>1.69</v>
      </c>
    </row>
    <row r="1369" spans="1:13" ht="15" customHeight="1">
      <c r="A1369" t="s">
        <v>22</v>
      </c>
      <c r="B1369">
        <f t="shared" si="84"/>
        <v>33.711596</v>
      </c>
      <c r="C1369">
        <f t="shared" si="85"/>
        <v>-117.859452</v>
      </c>
      <c r="D1369">
        <f t="shared" si="86"/>
        <v>53</v>
      </c>
      <c r="E1369">
        <v>61.499000000000002</v>
      </c>
      <c r="F1369">
        <f t="shared" si="87"/>
        <v>-8.4990000000000023</v>
      </c>
      <c r="G1369">
        <v>48.75</v>
      </c>
      <c r="H1369">
        <v>1.6080000000000001</v>
      </c>
      <c r="I1369">
        <v>3.3090000000000002</v>
      </c>
      <c r="J1369">
        <v>5</v>
      </c>
      <c r="K1369">
        <v>23</v>
      </c>
      <c r="L1369">
        <v>12</v>
      </c>
      <c r="M1369">
        <v>2.9870000000000001</v>
      </c>
    </row>
    <row r="1370" spans="1:13" ht="15" customHeight="1">
      <c r="A1370" t="s">
        <v>22</v>
      </c>
      <c r="B1370">
        <f t="shared" si="84"/>
        <v>33.711596</v>
      </c>
      <c r="C1370">
        <f t="shared" si="85"/>
        <v>-117.859452</v>
      </c>
      <c r="D1370">
        <f t="shared" si="86"/>
        <v>53</v>
      </c>
      <c r="E1370">
        <v>62.499000000000002</v>
      </c>
      <c r="F1370">
        <f t="shared" si="87"/>
        <v>-9.4990000000000023</v>
      </c>
      <c r="G1370">
        <v>47.585999999999999</v>
      </c>
      <c r="H1370">
        <v>1.4510000000000001</v>
      </c>
      <c r="I1370">
        <v>3.0590000000000002</v>
      </c>
      <c r="J1370">
        <v>6</v>
      </c>
      <c r="K1370">
        <v>18</v>
      </c>
      <c r="L1370">
        <v>9</v>
      </c>
      <c r="M1370">
        <v>2.9060000000000001</v>
      </c>
    </row>
    <row r="1371" spans="1:13" ht="15" customHeight="1">
      <c r="A1371" t="s">
        <v>22</v>
      </c>
      <c r="B1371">
        <f t="shared" si="84"/>
        <v>33.711596</v>
      </c>
      <c r="C1371">
        <f t="shared" si="85"/>
        <v>-117.859452</v>
      </c>
      <c r="D1371">
        <f t="shared" si="86"/>
        <v>53</v>
      </c>
      <c r="E1371">
        <v>63.499000000000002</v>
      </c>
      <c r="F1371">
        <f t="shared" si="87"/>
        <v>-10.499000000000002</v>
      </c>
      <c r="G1371">
        <v>59.133000000000003</v>
      </c>
      <c r="H1371">
        <v>1.9370000000000001</v>
      </c>
      <c r="I1371">
        <v>3.2850000000000001</v>
      </c>
      <c r="J1371">
        <v>6</v>
      </c>
      <c r="K1371">
        <v>23</v>
      </c>
      <c r="L1371">
        <v>12</v>
      </c>
      <c r="M1371">
        <v>3.669</v>
      </c>
    </row>
    <row r="1372" spans="1:13" ht="15" customHeight="1">
      <c r="A1372" t="s">
        <v>22</v>
      </c>
      <c r="B1372">
        <f t="shared" si="84"/>
        <v>33.711596</v>
      </c>
      <c r="C1372">
        <f t="shared" si="85"/>
        <v>-117.859452</v>
      </c>
      <c r="D1372">
        <f t="shared" si="86"/>
        <v>53</v>
      </c>
      <c r="E1372">
        <v>64.498999999999995</v>
      </c>
      <c r="F1372">
        <f t="shared" si="87"/>
        <v>-11.498999999999995</v>
      </c>
      <c r="G1372">
        <v>60.917000000000002</v>
      </c>
      <c r="H1372">
        <v>2.1269999999999998</v>
      </c>
      <c r="I1372">
        <v>3.4980000000000002</v>
      </c>
      <c r="J1372">
        <v>5</v>
      </c>
      <c r="K1372">
        <v>29</v>
      </c>
      <c r="L1372">
        <v>15</v>
      </c>
      <c r="M1372">
        <v>3.7879999999999998</v>
      </c>
    </row>
    <row r="1373" spans="1:13" ht="15" customHeight="1">
      <c r="A1373" t="s">
        <v>22</v>
      </c>
      <c r="B1373">
        <f t="shared" si="84"/>
        <v>33.711596</v>
      </c>
      <c r="C1373">
        <f t="shared" si="85"/>
        <v>-117.859452</v>
      </c>
      <c r="D1373">
        <f t="shared" si="86"/>
        <v>53</v>
      </c>
      <c r="E1373">
        <v>65.498999999999995</v>
      </c>
      <c r="F1373">
        <f t="shared" si="87"/>
        <v>-12.498999999999995</v>
      </c>
      <c r="G1373">
        <v>32.133000000000003</v>
      </c>
      <c r="H1373">
        <v>1.5049999999999999</v>
      </c>
      <c r="I1373">
        <v>4.7030000000000003</v>
      </c>
      <c r="J1373">
        <v>3</v>
      </c>
      <c r="K1373">
        <v>31</v>
      </c>
      <c r="L1373">
        <v>16</v>
      </c>
      <c r="M1373">
        <v>1.8640000000000001</v>
      </c>
    </row>
    <row r="1374" spans="1:13" ht="15" customHeight="1">
      <c r="A1374" t="s">
        <v>22</v>
      </c>
      <c r="B1374">
        <f t="shared" si="84"/>
        <v>33.711596</v>
      </c>
      <c r="C1374">
        <f t="shared" si="85"/>
        <v>-117.859452</v>
      </c>
      <c r="D1374">
        <f t="shared" si="86"/>
        <v>53</v>
      </c>
      <c r="E1374">
        <v>66.498999999999995</v>
      </c>
      <c r="F1374">
        <f t="shared" si="87"/>
        <v>-13.498999999999995</v>
      </c>
      <c r="G1374">
        <v>22.8</v>
      </c>
      <c r="H1374">
        <v>0.71</v>
      </c>
      <c r="I1374">
        <v>3.1389999999999998</v>
      </c>
      <c r="J1374">
        <v>5</v>
      </c>
      <c r="K1374">
        <v>11</v>
      </c>
      <c r="L1374">
        <v>6</v>
      </c>
      <c r="M1374">
        <v>1.234</v>
      </c>
    </row>
    <row r="1375" spans="1:13" ht="15" customHeight="1">
      <c r="A1375" t="s">
        <v>22</v>
      </c>
      <c r="B1375">
        <f t="shared" si="84"/>
        <v>33.711596</v>
      </c>
      <c r="C1375">
        <f t="shared" si="85"/>
        <v>-117.859452</v>
      </c>
      <c r="D1375">
        <f t="shared" si="86"/>
        <v>53</v>
      </c>
      <c r="E1375">
        <v>67.498999999999995</v>
      </c>
      <c r="F1375">
        <f t="shared" si="87"/>
        <v>-14.498999999999995</v>
      </c>
      <c r="G1375">
        <v>24.183</v>
      </c>
      <c r="H1375">
        <v>0.83299999999999996</v>
      </c>
      <c r="I1375">
        <v>3.46</v>
      </c>
      <c r="J1375">
        <v>5</v>
      </c>
      <c r="K1375">
        <v>12</v>
      </c>
      <c r="L1375">
        <v>6</v>
      </c>
      <c r="M1375">
        <v>1.3280000000000001</v>
      </c>
    </row>
    <row r="1376" spans="1:13" ht="15" customHeight="1">
      <c r="A1376" t="s">
        <v>22</v>
      </c>
      <c r="B1376">
        <f t="shared" si="84"/>
        <v>33.711596</v>
      </c>
      <c r="C1376">
        <f t="shared" si="85"/>
        <v>-117.859452</v>
      </c>
      <c r="D1376">
        <f t="shared" si="86"/>
        <v>53</v>
      </c>
      <c r="E1376">
        <v>68.498999999999995</v>
      </c>
      <c r="F1376">
        <f t="shared" si="87"/>
        <v>-15.498999999999995</v>
      </c>
      <c r="G1376">
        <v>80.233000000000004</v>
      </c>
      <c r="H1376">
        <v>1.855</v>
      </c>
      <c r="I1376">
        <v>2.3149999999999999</v>
      </c>
      <c r="J1376">
        <v>7</v>
      </c>
      <c r="K1376">
        <v>26</v>
      </c>
      <c r="L1376">
        <v>13</v>
      </c>
      <c r="M1376" s="1">
        <v>9000000000</v>
      </c>
    </row>
    <row r="1377" spans="1:13" ht="15" customHeight="1">
      <c r="A1377" t="s">
        <v>22</v>
      </c>
      <c r="B1377">
        <f t="shared" si="84"/>
        <v>33.711596</v>
      </c>
      <c r="C1377">
        <f t="shared" si="85"/>
        <v>-117.859452</v>
      </c>
      <c r="D1377">
        <f t="shared" si="86"/>
        <v>53</v>
      </c>
      <c r="E1377">
        <v>69.498999999999995</v>
      </c>
      <c r="F1377">
        <f t="shared" si="87"/>
        <v>-16.498999999999995</v>
      </c>
      <c r="G1377">
        <v>33.450000000000003</v>
      </c>
      <c r="H1377">
        <v>1.333</v>
      </c>
      <c r="I1377">
        <v>3.9980000000000002</v>
      </c>
      <c r="J1377">
        <v>4</v>
      </c>
      <c r="K1377">
        <v>21</v>
      </c>
      <c r="L1377">
        <v>11</v>
      </c>
      <c r="M1377">
        <v>1.9370000000000001</v>
      </c>
    </row>
    <row r="1378" spans="1:13" ht="15" customHeight="1">
      <c r="A1378" t="s">
        <v>22</v>
      </c>
      <c r="B1378">
        <f t="shared" si="84"/>
        <v>33.711596</v>
      </c>
      <c r="C1378">
        <f t="shared" si="85"/>
        <v>-117.859452</v>
      </c>
      <c r="D1378">
        <f t="shared" si="86"/>
        <v>53</v>
      </c>
      <c r="E1378">
        <v>70.498999999999995</v>
      </c>
      <c r="F1378">
        <f t="shared" si="87"/>
        <v>-17.498999999999995</v>
      </c>
      <c r="G1378">
        <v>25.917000000000002</v>
      </c>
      <c r="H1378">
        <v>0.95799999999999996</v>
      </c>
      <c r="I1378">
        <v>3.71</v>
      </c>
      <c r="J1378">
        <v>4</v>
      </c>
      <c r="K1378">
        <v>16</v>
      </c>
      <c r="L1378">
        <v>8</v>
      </c>
      <c r="M1378">
        <v>1.4319999999999999</v>
      </c>
    </row>
    <row r="1379" spans="1:13" ht="15" customHeight="1">
      <c r="A1379" t="s">
        <v>22</v>
      </c>
      <c r="B1379">
        <f t="shared" si="84"/>
        <v>33.711596</v>
      </c>
      <c r="C1379">
        <f t="shared" si="85"/>
        <v>-117.859452</v>
      </c>
      <c r="D1379">
        <f t="shared" si="86"/>
        <v>53</v>
      </c>
      <c r="E1379">
        <v>71.498999999999995</v>
      </c>
      <c r="F1379">
        <f t="shared" si="87"/>
        <v>-18.498999999999995</v>
      </c>
      <c r="G1379">
        <v>26.683</v>
      </c>
      <c r="H1379">
        <v>0.76200000000000001</v>
      </c>
      <c r="I1379">
        <v>2.8580000000000001</v>
      </c>
      <c r="J1379">
        <v>5</v>
      </c>
      <c r="K1379">
        <v>13</v>
      </c>
      <c r="L1379">
        <v>7</v>
      </c>
      <c r="M1379">
        <v>1.482</v>
      </c>
    </row>
    <row r="1380" spans="1:13" ht="15" customHeight="1">
      <c r="A1380" t="s">
        <v>22</v>
      </c>
      <c r="B1380">
        <f t="shared" si="84"/>
        <v>33.711596</v>
      </c>
      <c r="C1380">
        <f t="shared" si="85"/>
        <v>-117.859452</v>
      </c>
      <c r="D1380">
        <f t="shared" si="86"/>
        <v>53</v>
      </c>
      <c r="E1380">
        <v>72.498999999999995</v>
      </c>
      <c r="F1380">
        <f t="shared" si="87"/>
        <v>-19.498999999999995</v>
      </c>
      <c r="G1380">
        <v>21.157</v>
      </c>
      <c r="H1380">
        <v>0.72299999999999998</v>
      </c>
      <c r="I1380">
        <v>3.4119999999999999</v>
      </c>
      <c r="J1380">
        <v>5</v>
      </c>
      <c r="K1380">
        <v>10</v>
      </c>
      <c r="L1380">
        <v>5</v>
      </c>
      <c r="M1380">
        <v>1.1140000000000001</v>
      </c>
    </row>
    <row r="1381" spans="1:13" ht="15" customHeight="1">
      <c r="A1381" t="s">
        <v>22</v>
      </c>
      <c r="B1381">
        <f t="shared" si="84"/>
        <v>33.711596</v>
      </c>
      <c r="C1381">
        <f t="shared" si="85"/>
        <v>-117.859452</v>
      </c>
      <c r="D1381">
        <f t="shared" si="86"/>
        <v>53</v>
      </c>
      <c r="E1381">
        <v>73.498999999999995</v>
      </c>
      <c r="F1381">
        <f t="shared" si="87"/>
        <v>-20.498999999999995</v>
      </c>
      <c r="G1381">
        <v>21.8</v>
      </c>
      <c r="H1381">
        <v>0.70299999999999996</v>
      </c>
      <c r="I1381">
        <v>3.214</v>
      </c>
      <c r="J1381">
        <v>5</v>
      </c>
      <c r="K1381">
        <v>10</v>
      </c>
      <c r="L1381">
        <v>5</v>
      </c>
      <c r="M1381">
        <v>1.1559999999999999</v>
      </c>
    </row>
    <row r="1382" spans="1:13" ht="15" customHeight="1">
      <c r="A1382" t="s">
        <v>22</v>
      </c>
      <c r="B1382">
        <f t="shared" si="84"/>
        <v>33.711596</v>
      </c>
      <c r="C1382">
        <f t="shared" si="85"/>
        <v>-117.859452</v>
      </c>
      <c r="D1382">
        <f t="shared" si="86"/>
        <v>53</v>
      </c>
      <c r="E1382">
        <v>74.498999999999995</v>
      </c>
      <c r="F1382">
        <f t="shared" si="87"/>
        <v>-21.498999999999995</v>
      </c>
      <c r="G1382">
        <v>20.766999999999999</v>
      </c>
      <c r="H1382">
        <v>0.69799999999999995</v>
      </c>
      <c r="I1382">
        <v>3.347</v>
      </c>
      <c r="J1382">
        <v>5</v>
      </c>
      <c r="K1382">
        <v>10</v>
      </c>
      <c r="L1382">
        <v>5</v>
      </c>
      <c r="M1382">
        <v>1.0840000000000001</v>
      </c>
    </row>
    <row r="1383" spans="1:13" ht="15" customHeight="1">
      <c r="A1383" t="s">
        <v>22</v>
      </c>
      <c r="B1383">
        <f t="shared" si="84"/>
        <v>33.711596</v>
      </c>
      <c r="C1383">
        <f t="shared" si="85"/>
        <v>-117.859452</v>
      </c>
      <c r="D1383">
        <f t="shared" si="86"/>
        <v>53</v>
      </c>
      <c r="E1383">
        <v>75.498999999999995</v>
      </c>
      <c r="F1383">
        <f t="shared" si="87"/>
        <v>-22.498999999999995</v>
      </c>
      <c r="G1383">
        <v>23.266999999999999</v>
      </c>
      <c r="H1383">
        <v>0.68300000000000005</v>
      </c>
      <c r="I1383">
        <v>2.92</v>
      </c>
      <c r="J1383">
        <v>5</v>
      </c>
      <c r="K1383">
        <v>11</v>
      </c>
      <c r="L1383">
        <v>6</v>
      </c>
      <c r="M1383">
        <v>1.2490000000000001</v>
      </c>
    </row>
    <row r="1384" spans="1:13" ht="15" customHeight="1">
      <c r="A1384" t="s">
        <v>22</v>
      </c>
      <c r="B1384">
        <f t="shared" si="84"/>
        <v>33.711596</v>
      </c>
      <c r="C1384">
        <f t="shared" si="85"/>
        <v>-117.859452</v>
      </c>
      <c r="D1384">
        <f t="shared" si="86"/>
        <v>53</v>
      </c>
      <c r="E1384">
        <v>76.498999999999995</v>
      </c>
      <c r="F1384">
        <f t="shared" si="87"/>
        <v>-23.498999999999995</v>
      </c>
      <c r="G1384">
        <v>23.983000000000001</v>
      </c>
      <c r="H1384">
        <v>0.628</v>
      </c>
      <c r="I1384">
        <v>2.589</v>
      </c>
      <c r="J1384">
        <v>5</v>
      </c>
      <c r="K1384">
        <v>12</v>
      </c>
      <c r="L1384">
        <v>6</v>
      </c>
      <c r="M1384">
        <v>1.3029999999999999</v>
      </c>
    </row>
    <row r="1385" spans="1:13" ht="15" customHeight="1">
      <c r="A1385" t="s">
        <v>22</v>
      </c>
      <c r="B1385">
        <f t="shared" si="84"/>
        <v>33.711596</v>
      </c>
      <c r="C1385">
        <f t="shared" si="85"/>
        <v>-117.859452</v>
      </c>
      <c r="D1385">
        <f t="shared" si="86"/>
        <v>53</v>
      </c>
      <c r="E1385">
        <v>77.498999999999995</v>
      </c>
      <c r="F1385">
        <f t="shared" si="87"/>
        <v>-24.498999999999995</v>
      </c>
      <c r="G1385">
        <v>28.867000000000001</v>
      </c>
      <c r="H1385">
        <v>0.90700000000000003</v>
      </c>
      <c r="I1385">
        <v>3.0510000000000002</v>
      </c>
      <c r="J1385">
        <v>5</v>
      </c>
      <c r="K1385">
        <v>14</v>
      </c>
      <c r="L1385">
        <v>7</v>
      </c>
      <c r="M1385">
        <v>1.6619999999999999</v>
      </c>
    </row>
    <row r="1386" spans="1:13" ht="15" customHeight="1">
      <c r="A1386" t="s">
        <v>22</v>
      </c>
      <c r="B1386">
        <f t="shared" si="84"/>
        <v>33.711596</v>
      </c>
      <c r="C1386">
        <f t="shared" si="85"/>
        <v>-117.859452</v>
      </c>
      <c r="D1386">
        <f t="shared" si="86"/>
        <v>53</v>
      </c>
      <c r="E1386">
        <v>78.498999999999995</v>
      </c>
      <c r="F1386">
        <f t="shared" si="87"/>
        <v>-25.498999999999995</v>
      </c>
      <c r="G1386">
        <v>64.900000000000006</v>
      </c>
      <c r="H1386">
        <v>3.073</v>
      </c>
      <c r="I1386">
        <v>4.7229999999999999</v>
      </c>
      <c r="J1386">
        <v>4</v>
      </c>
      <c r="K1386">
        <v>42</v>
      </c>
      <c r="L1386">
        <v>21</v>
      </c>
      <c r="M1386">
        <v>4.0149999999999997</v>
      </c>
    </row>
    <row r="1387" spans="1:13" ht="15" customHeight="1">
      <c r="A1387" t="s">
        <v>22</v>
      </c>
      <c r="B1387">
        <f t="shared" si="84"/>
        <v>33.711596</v>
      </c>
      <c r="C1387">
        <f t="shared" si="85"/>
        <v>-117.859452</v>
      </c>
      <c r="D1387">
        <f t="shared" si="86"/>
        <v>53</v>
      </c>
      <c r="E1387">
        <v>79.498999999999995</v>
      </c>
      <c r="F1387">
        <f t="shared" si="87"/>
        <v>-26.498999999999995</v>
      </c>
      <c r="G1387">
        <v>36.433</v>
      </c>
      <c r="H1387">
        <v>1.7929999999999999</v>
      </c>
      <c r="I1387">
        <v>4.9109999999999996</v>
      </c>
      <c r="J1387">
        <v>3</v>
      </c>
      <c r="K1387">
        <v>35</v>
      </c>
      <c r="L1387">
        <v>18</v>
      </c>
      <c r="M1387">
        <v>2.1070000000000002</v>
      </c>
    </row>
    <row r="1388" spans="1:13" ht="15" customHeight="1">
      <c r="A1388" t="s">
        <v>22</v>
      </c>
      <c r="B1388">
        <f t="shared" si="84"/>
        <v>33.711596</v>
      </c>
      <c r="C1388">
        <f t="shared" si="85"/>
        <v>-117.859452</v>
      </c>
      <c r="D1388">
        <f t="shared" si="86"/>
        <v>53</v>
      </c>
      <c r="E1388">
        <v>80.498999999999995</v>
      </c>
      <c r="F1388">
        <f t="shared" si="87"/>
        <v>-27.498999999999995</v>
      </c>
      <c r="G1388">
        <v>28.016999999999999</v>
      </c>
      <c r="H1388">
        <v>1.1919999999999999</v>
      </c>
      <c r="I1388">
        <v>4.157</v>
      </c>
      <c r="J1388">
        <v>4</v>
      </c>
      <c r="K1388">
        <v>18</v>
      </c>
      <c r="L1388">
        <v>9</v>
      </c>
      <c r="M1388">
        <v>1.58</v>
      </c>
    </row>
    <row r="1389" spans="1:13" ht="15" customHeight="1">
      <c r="A1389" t="s">
        <v>22</v>
      </c>
      <c r="B1389">
        <f t="shared" si="84"/>
        <v>33.711596</v>
      </c>
      <c r="C1389">
        <f t="shared" si="85"/>
        <v>-117.859452</v>
      </c>
      <c r="D1389">
        <f t="shared" si="86"/>
        <v>53</v>
      </c>
      <c r="E1389">
        <v>81.498999999999995</v>
      </c>
      <c r="F1389">
        <f t="shared" si="87"/>
        <v>-28.498999999999995</v>
      </c>
      <c r="G1389">
        <v>61.5</v>
      </c>
      <c r="H1389">
        <v>2.4369999999999998</v>
      </c>
      <c r="I1389">
        <v>3.9430000000000001</v>
      </c>
      <c r="J1389">
        <v>5</v>
      </c>
      <c r="K1389">
        <v>30</v>
      </c>
      <c r="L1389">
        <v>15</v>
      </c>
      <c r="M1389">
        <v>3.7839999999999998</v>
      </c>
    </row>
    <row r="1390" spans="1:13" ht="15" customHeight="1">
      <c r="A1390" t="s">
        <v>22</v>
      </c>
      <c r="B1390">
        <f t="shared" si="84"/>
        <v>33.711596</v>
      </c>
      <c r="C1390">
        <f t="shared" si="85"/>
        <v>-117.859452</v>
      </c>
      <c r="D1390">
        <f t="shared" si="86"/>
        <v>53</v>
      </c>
      <c r="E1390">
        <v>82.498999999999995</v>
      </c>
      <c r="F1390">
        <f t="shared" si="87"/>
        <v>-29.498999999999995</v>
      </c>
      <c r="G1390">
        <v>72.816999999999993</v>
      </c>
      <c r="H1390">
        <v>1.7150000000000001</v>
      </c>
      <c r="I1390">
        <v>2.3610000000000002</v>
      </c>
      <c r="J1390">
        <v>6</v>
      </c>
      <c r="K1390">
        <v>28</v>
      </c>
      <c r="L1390">
        <v>14</v>
      </c>
      <c r="M1390">
        <v>4.5030000000000001</v>
      </c>
    </row>
    <row r="1391" spans="1:13" ht="15" customHeight="1">
      <c r="A1391" t="s">
        <v>22</v>
      </c>
      <c r="B1391">
        <f t="shared" si="84"/>
        <v>33.711596</v>
      </c>
      <c r="C1391">
        <f t="shared" si="85"/>
        <v>-117.859452</v>
      </c>
      <c r="D1391">
        <f t="shared" si="86"/>
        <v>53</v>
      </c>
      <c r="E1391">
        <v>83.498999999999995</v>
      </c>
      <c r="F1391">
        <f t="shared" si="87"/>
        <v>-30.498999999999995</v>
      </c>
      <c r="G1391">
        <v>20.457000000000001</v>
      </c>
      <c r="H1391">
        <v>0.53600000000000003</v>
      </c>
      <c r="I1391">
        <v>2.6349999999999998</v>
      </c>
      <c r="J1391">
        <v>5</v>
      </c>
      <c r="K1391">
        <v>10</v>
      </c>
      <c r="L1391">
        <v>5</v>
      </c>
      <c r="M1391">
        <v>1.0109999999999999</v>
      </c>
    </row>
    <row r="1392" spans="1:13" ht="15" customHeight="1">
      <c r="A1392" t="s">
        <v>22</v>
      </c>
      <c r="B1392">
        <f t="shared" si="84"/>
        <v>33.711596</v>
      </c>
      <c r="C1392">
        <f t="shared" si="85"/>
        <v>-117.859452</v>
      </c>
      <c r="D1392">
        <f t="shared" si="86"/>
        <v>53</v>
      </c>
      <c r="E1392">
        <v>84.498999999999995</v>
      </c>
      <c r="F1392">
        <f t="shared" si="87"/>
        <v>-31.498999999999995</v>
      </c>
      <c r="G1392">
        <v>25.5</v>
      </c>
      <c r="H1392">
        <v>0.94199999999999995</v>
      </c>
      <c r="I1392">
        <v>3.71</v>
      </c>
      <c r="J1392">
        <v>4</v>
      </c>
      <c r="K1392">
        <v>16</v>
      </c>
      <c r="L1392">
        <v>8</v>
      </c>
      <c r="M1392">
        <v>1.3440000000000001</v>
      </c>
    </row>
    <row r="1393" spans="1:13" ht="15" customHeight="1">
      <c r="A1393" t="s">
        <v>22</v>
      </c>
      <c r="B1393">
        <f t="shared" si="84"/>
        <v>33.711596</v>
      </c>
      <c r="C1393">
        <f t="shared" si="85"/>
        <v>-117.859452</v>
      </c>
      <c r="D1393">
        <f t="shared" si="86"/>
        <v>53</v>
      </c>
      <c r="E1393">
        <v>85.498999999999995</v>
      </c>
      <c r="F1393">
        <f t="shared" si="87"/>
        <v>-32.498999999999995</v>
      </c>
      <c r="G1393">
        <v>33</v>
      </c>
      <c r="H1393">
        <v>1.143</v>
      </c>
      <c r="I1393">
        <v>3.4750000000000001</v>
      </c>
      <c r="J1393">
        <v>5</v>
      </c>
      <c r="K1393">
        <v>16</v>
      </c>
      <c r="L1393">
        <v>8</v>
      </c>
      <c r="M1393">
        <v>1.841</v>
      </c>
    </row>
    <row r="1394" spans="1:13" ht="15" customHeight="1">
      <c r="A1394" t="s">
        <v>22</v>
      </c>
      <c r="B1394">
        <f t="shared" si="84"/>
        <v>33.711596</v>
      </c>
      <c r="C1394">
        <f t="shared" si="85"/>
        <v>-117.859452</v>
      </c>
      <c r="D1394">
        <f t="shared" si="86"/>
        <v>53</v>
      </c>
      <c r="E1394">
        <v>86.498999999999995</v>
      </c>
      <c r="F1394">
        <f t="shared" si="87"/>
        <v>-33.498999999999995</v>
      </c>
      <c r="G1394">
        <v>40.633000000000003</v>
      </c>
      <c r="H1394">
        <v>1.4279999999999999</v>
      </c>
      <c r="I1394">
        <v>3.524</v>
      </c>
      <c r="J1394">
        <v>5</v>
      </c>
      <c r="K1394">
        <v>19</v>
      </c>
      <c r="L1394">
        <v>10</v>
      </c>
      <c r="M1394">
        <v>2.3460000000000001</v>
      </c>
    </row>
    <row r="1395" spans="1:13" ht="15" customHeight="1">
      <c r="A1395" t="s">
        <v>22</v>
      </c>
      <c r="B1395">
        <f t="shared" si="84"/>
        <v>33.711596</v>
      </c>
      <c r="C1395">
        <f t="shared" si="85"/>
        <v>-117.859452</v>
      </c>
      <c r="D1395">
        <f t="shared" si="86"/>
        <v>53</v>
      </c>
      <c r="E1395">
        <v>87.498999999999995</v>
      </c>
      <c r="F1395">
        <f t="shared" si="87"/>
        <v>-34.498999999999995</v>
      </c>
      <c r="G1395">
        <v>47.966999999999999</v>
      </c>
      <c r="H1395">
        <v>1.97</v>
      </c>
      <c r="I1395">
        <v>4.1130000000000004</v>
      </c>
      <c r="J1395">
        <v>5</v>
      </c>
      <c r="K1395">
        <v>23</v>
      </c>
      <c r="L1395">
        <v>12</v>
      </c>
      <c r="M1395">
        <v>2.8330000000000002</v>
      </c>
    </row>
    <row r="1396" spans="1:13" ht="15" customHeight="1">
      <c r="A1396" t="s">
        <v>22</v>
      </c>
      <c r="B1396">
        <f t="shared" si="84"/>
        <v>33.711596</v>
      </c>
      <c r="C1396">
        <f t="shared" si="85"/>
        <v>-117.859452</v>
      </c>
      <c r="D1396">
        <f t="shared" si="86"/>
        <v>53</v>
      </c>
      <c r="E1396">
        <v>88.498999999999995</v>
      </c>
      <c r="F1396">
        <f t="shared" si="87"/>
        <v>-35.498999999999995</v>
      </c>
      <c r="G1396">
        <v>160.983</v>
      </c>
      <c r="H1396">
        <v>3.5179999999999998</v>
      </c>
      <c r="I1396">
        <v>2.1880000000000002</v>
      </c>
      <c r="J1396">
        <v>7</v>
      </c>
      <c r="K1396">
        <v>51</v>
      </c>
      <c r="L1396">
        <v>26</v>
      </c>
      <c r="M1396" s="1">
        <v>9000000000</v>
      </c>
    </row>
    <row r="1397" spans="1:13" ht="15" customHeight="1">
      <c r="A1397" t="s">
        <v>22</v>
      </c>
      <c r="B1397">
        <f t="shared" si="84"/>
        <v>33.711596</v>
      </c>
      <c r="C1397">
        <f t="shared" si="85"/>
        <v>-117.859452</v>
      </c>
      <c r="D1397">
        <f t="shared" si="86"/>
        <v>53</v>
      </c>
      <c r="E1397">
        <v>89.498999999999995</v>
      </c>
      <c r="F1397">
        <f t="shared" si="87"/>
        <v>-36.498999999999995</v>
      </c>
      <c r="G1397">
        <v>359.55</v>
      </c>
      <c r="H1397">
        <v>2.14</v>
      </c>
      <c r="I1397">
        <v>0.59599999999999997</v>
      </c>
      <c r="J1397">
        <v>10</v>
      </c>
      <c r="K1397">
        <v>57</v>
      </c>
      <c r="L1397">
        <v>29</v>
      </c>
      <c r="M1397" s="1">
        <v>9000000000</v>
      </c>
    </row>
    <row r="1398" spans="1:13" ht="15" customHeight="1">
      <c r="A1398" t="s">
        <v>22</v>
      </c>
      <c r="B1398">
        <f t="shared" si="84"/>
        <v>33.711596</v>
      </c>
      <c r="C1398">
        <f t="shared" si="85"/>
        <v>-117.859452</v>
      </c>
      <c r="D1398">
        <f t="shared" si="86"/>
        <v>53</v>
      </c>
      <c r="E1398">
        <v>90.498999999999995</v>
      </c>
      <c r="F1398">
        <f t="shared" si="87"/>
        <v>-37.498999999999995</v>
      </c>
      <c r="G1398">
        <v>427.16699999999997</v>
      </c>
      <c r="H1398">
        <v>2.4969999999999999</v>
      </c>
      <c r="I1398">
        <v>0.58499999999999996</v>
      </c>
      <c r="J1398">
        <v>10</v>
      </c>
      <c r="K1398">
        <v>68</v>
      </c>
      <c r="L1398">
        <v>34</v>
      </c>
      <c r="M1398" s="1">
        <v>9000000000</v>
      </c>
    </row>
    <row r="1399" spans="1:13" ht="15" customHeight="1">
      <c r="A1399" t="s">
        <v>22</v>
      </c>
      <c r="B1399">
        <f t="shared" si="84"/>
        <v>33.711596</v>
      </c>
      <c r="C1399">
        <f t="shared" si="85"/>
        <v>-117.859452</v>
      </c>
      <c r="D1399">
        <f t="shared" si="86"/>
        <v>53</v>
      </c>
      <c r="E1399">
        <v>91.498999999999995</v>
      </c>
      <c r="F1399">
        <f t="shared" si="87"/>
        <v>-38.498999999999995</v>
      </c>
      <c r="G1399">
        <v>301.08300000000003</v>
      </c>
      <c r="H1399">
        <v>2.23</v>
      </c>
      <c r="I1399">
        <v>0.74099999999999999</v>
      </c>
      <c r="J1399">
        <v>9</v>
      </c>
      <c r="K1399">
        <v>58</v>
      </c>
      <c r="L1399">
        <v>29</v>
      </c>
      <c r="M1399" s="1">
        <v>9000000000</v>
      </c>
    </row>
    <row r="1400" spans="1:13" ht="15" customHeight="1">
      <c r="A1400" t="s">
        <v>22</v>
      </c>
      <c r="B1400">
        <f t="shared" si="84"/>
        <v>33.711596</v>
      </c>
      <c r="C1400">
        <f t="shared" si="85"/>
        <v>-117.859452</v>
      </c>
      <c r="D1400">
        <f t="shared" si="86"/>
        <v>53</v>
      </c>
      <c r="E1400">
        <v>92.498999999999995</v>
      </c>
      <c r="F1400">
        <f t="shared" si="87"/>
        <v>-39.498999999999995</v>
      </c>
      <c r="G1400">
        <v>124.383</v>
      </c>
      <c r="H1400">
        <v>3.8330000000000002</v>
      </c>
      <c r="I1400">
        <v>3.08</v>
      </c>
      <c r="J1400">
        <v>6</v>
      </c>
      <c r="K1400">
        <v>48</v>
      </c>
      <c r="L1400">
        <v>24</v>
      </c>
      <c r="M1400">
        <v>7.915</v>
      </c>
    </row>
    <row r="1401" spans="1:13" ht="15" customHeight="1">
      <c r="A1401" t="s">
        <v>22</v>
      </c>
      <c r="B1401">
        <f t="shared" si="84"/>
        <v>33.711596</v>
      </c>
      <c r="C1401">
        <f t="shared" si="85"/>
        <v>-117.859452</v>
      </c>
      <c r="D1401">
        <f t="shared" si="86"/>
        <v>53</v>
      </c>
      <c r="E1401">
        <v>93.498999999999995</v>
      </c>
      <c r="F1401">
        <f t="shared" si="87"/>
        <v>-40.498999999999995</v>
      </c>
      <c r="G1401">
        <v>244.65700000000001</v>
      </c>
      <c r="H1401">
        <v>2.859</v>
      </c>
      <c r="I1401">
        <v>1.169</v>
      </c>
      <c r="J1401">
        <v>9</v>
      </c>
      <c r="K1401">
        <v>47</v>
      </c>
      <c r="L1401">
        <v>24</v>
      </c>
      <c r="M1401" s="1">
        <v>9000000000</v>
      </c>
    </row>
    <row r="1402" spans="1:13" ht="15" customHeight="1">
      <c r="A1402" t="s">
        <v>22</v>
      </c>
      <c r="B1402">
        <f t="shared" si="84"/>
        <v>33.711596</v>
      </c>
      <c r="C1402">
        <f t="shared" si="85"/>
        <v>-117.859452</v>
      </c>
      <c r="D1402">
        <f t="shared" si="86"/>
        <v>53</v>
      </c>
      <c r="E1402">
        <v>94.498999999999995</v>
      </c>
      <c r="F1402">
        <f t="shared" si="87"/>
        <v>-41.498999999999995</v>
      </c>
      <c r="G1402">
        <v>249.6</v>
      </c>
      <c r="H1402">
        <v>2.5649999999999999</v>
      </c>
      <c r="I1402">
        <v>1.028</v>
      </c>
      <c r="J1402">
        <v>9</v>
      </c>
      <c r="K1402">
        <v>48</v>
      </c>
      <c r="L1402">
        <v>24</v>
      </c>
      <c r="M1402" s="1">
        <v>9000000000</v>
      </c>
    </row>
    <row r="1403" spans="1:13" ht="15" customHeight="1">
      <c r="A1403" t="s">
        <v>22</v>
      </c>
      <c r="B1403">
        <f t="shared" si="84"/>
        <v>33.711596</v>
      </c>
      <c r="C1403">
        <f t="shared" si="85"/>
        <v>-117.859452</v>
      </c>
      <c r="D1403">
        <f t="shared" si="86"/>
        <v>53</v>
      </c>
      <c r="E1403">
        <v>95.498999999999995</v>
      </c>
      <c r="F1403">
        <f t="shared" si="87"/>
        <v>-42.498999999999995</v>
      </c>
      <c r="G1403">
        <v>36.716999999999999</v>
      </c>
      <c r="H1403">
        <v>1.1180000000000001</v>
      </c>
      <c r="I1403">
        <v>3.0510000000000002</v>
      </c>
      <c r="J1403">
        <v>5</v>
      </c>
      <c r="K1403">
        <v>18</v>
      </c>
      <c r="L1403">
        <v>9</v>
      </c>
      <c r="M1403">
        <v>2.0489999999999999</v>
      </c>
    </row>
    <row r="1404" spans="1:13" ht="15" customHeight="1">
      <c r="A1404" t="s">
        <v>22</v>
      </c>
      <c r="B1404">
        <f t="shared" si="84"/>
        <v>33.711596</v>
      </c>
      <c r="C1404">
        <f t="shared" si="85"/>
        <v>-117.859452</v>
      </c>
      <c r="D1404">
        <f t="shared" si="86"/>
        <v>53</v>
      </c>
      <c r="E1404">
        <v>96.498999999999995</v>
      </c>
      <c r="F1404">
        <f t="shared" si="87"/>
        <v>-43.498999999999995</v>
      </c>
      <c r="G1404">
        <v>35.017000000000003</v>
      </c>
      <c r="H1404">
        <v>0.997</v>
      </c>
      <c r="I1404">
        <v>2.8490000000000002</v>
      </c>
      <c r="J1404">
        <v>6</v>
      </c>
      <c r="K1404">
        <v>13</v>
      </c>
      <c r="L1404">
        <v>7</v>
      </c>
      <c r="M1404">
        <v>1.9339999999999999</v>
      </c>
    </row>
    <row r="1405" spans="1:13" ht="15" customHeight="1">
      <c r="A1405" t="s">
        <v>22</v>
      </c>
      <c r="B1405">
        <f t="shared" si="84"/>
        <v>33.711596</v>
      </c>
      <c r="C1405">
        <f t="shared" si="85"/>
        <v>-117.859452</v>
      </c>
      <c r="D1405">
        <f t="shared" si="86"/>
        <v>53</v>
      </c>
      <c r="E1405">
        <v>97.498999999999995</v>
      </c>
      <c r="F1405">
        <f t="shared" si="87"/>
        <v>-44.498999999999995</v>
      </c>
      <c r="G1405">
        <v>38.832999999999998</v>
      </c>
      <c r="H1405">
        <v>1.177</v>
      </c>
      <c r="I1405">
        <v>3.0289999999999999</v>
      </c>
      <c r="J1405">
        <v>5</v>
      </c>
      <c r="K1405">
        <v>19</v>
      </c>
      <c r="L1405">
        <v>10</v>
      </c>
      <c r="M1405">
        <v>2.1880000000000002</v>
      </c>
    </row>
    <row r="1406" spans="1:13" ht="15" customHeight="1">
      <c r="A1406" t="s">
        <v>22</v>
      </c>
      <c r="B1406">
        <f t="shared" si="84"/>
        <v>33.711596</v>
      </c>
      <c r="C1406">
        <f t="shared" si="85"/>
        <v>-117.859452</v>
      </c>
      <c r="D1406">
        <f t="shared" si="86"/>
        <v>53</v>
      </c>
      <c r="E1406">
        <v>98.498999999999995</v>
      </c>
      <c r="F1406">
        <f t="shared" si="87"/>
        <v>-45.498999999999995</v>
      </c>
      <c r="G1406">
        <v>42.517000000000003</v>
      </c>
      <c r="H1406">
        <v>2.0230000000000001</v>
      </c>
      <c r="I1406">
        <v>4.7480000000000002</v>
      </c>
      <c r="J1406">
        <v>4</v>
      </c>
      <c r="K1406">
        <v>27</v>
      </c>
      <c r="L1406">
        <v>14</v>
      </c>
      <c r="M1406">
        <v>2.4350000000000001</v>
      </c>
    </row>
    <row r="1407" spans="1:13" ht="15" customHeight="1">
      <c r="A1407" t="s">
        <v>22</v>
      </c>
      <c r="B1407">
        <f t="shared" si="84"/>
        <v>33.711596</v>
      </c>
      <c r="C1407">
        <f t="shared" si="85"/>
        <v>-117.859452</v>
      </c>
      <c r="D1407">
        <f t="shared" si="86"/>
        <v>53</v>
      </c>
      <c r="E1407">
        <v>99.498999999999995</v>
      </c>
      <c r="F1407">
        <f t="shared" si="87"/>
        <v>-46.498999999999995</v>
      </c>
      <c r="G1407">
        <v>61.082999999999998</v>
      </c>
      <c r="H1407">
        <v>2.2250000000000001</v>
      </c>
      <c r="I1407">
        <v>3.6309999999999998</v>
      </c>
      <c r="J1407">
        <v>5</v>
      </c>
      <c r="K1407">
        <v>29</v>
      </c>
      <c r="L1407">
        <v>15</v>
      </c>
      <c r="M1407">
        <v>3.6749999999999998</v>
      </c>
    </row>
    <row r="1408" spans="1:13" ht="15" customHeight="1">
      <c r="A1408" t="s">
        <v>22</v>
      </c>
      <c r="B1408">
        <f t="shared" si="84"/>
        <v>33.711596</v>
      </c>
      <c r="C1408">
        <f t="shared" si="85"/>
        <v>-117.859452</v>
      </c>
      <c r="D1408">
        <f t="shared" si="86"/>
        <v>53</v>
      </c>
      <c r="E1408">
        <v>100.499</v>
      </c>
      <c r="F1408">
        <f t="shared" si="87"/>
        <v>-47.498999999999995</v>
      </c>
      <c r="G1408">
        <v>204.6</v>
      </c>
      <c r="H1408">
        <v>3.0430000000000001</v>
      </c>
      <c r="I1408">
        <v>1.488</v>
      </c>
      <c r="J1408">
        <v>8</v>
      </c>
      <c r="K1408">
        <v>49</v>
      </c>
      <c r="L1408">
        <v>25</v>
      </c>
      <c r="M1408" s="1">
        <v>9000000000</v>
      </c>
    </row>
    <row r="1409" spans="1:13" ht="15" customHeight="1">
      <c r="A1409" t="s">
        <v>22</v>
      </c>
      <c r="B1409">
        <f t="shared" si="84"/>
        <v>33.711596</v>
      </c>
      <c r="C1409">
        <f t="shared" si="85"/>
        <v>-117.859452</v>
      </c>
      <c r="D1409">
        <f t="shared" si="86"/>
        <v>53</v>
      </c>
      <c r="E1409">
        <v>101.499</v>
      </c>
      <c r="F1409">
        <f t="shared" si="87"/>
        <v>-48.498999999999995</v>
      </c>
      <c r="G1409">
        <v>250.81700000000001</v>
      </c>
      <c r="H1409">
        <v>3.085</v>
      </c>
      <c r="I1409">
        <v>1.23</v>
      </c>
      <c r="J1409">
        <v>9</v>
      </c>
      <c r="K1409">
        <v>48</v>
      </c>
      <c r="L1409">
        <v>24</v>
      </c>
      <c r="M1409" s="1">
        <v>9000000000</v>
      </c>
    </row>
    <row r="1410" spans="1:13" ht="15" customHeight="1">
      <c r="A1410" t="s">
        <v>22</v>
      </c>
      <c r="B1410">
        <f t="shared" ref="B1410:B1473" si="88">VLOOKUP(A1410,XYdata,3,FALSE)</f>
        <v>33.711596</v>
      </c>
      <c r="C1410">
        <f t="shared" ref="C1410:C1473" si="89">VLOOKUP(A1410,XYdata,2,FALSE)</f>
        <v>-117.859452</v>
      </c>
      <c r="D1410">
        <f t="shared" ref="D1410:D1473" si="90">VLOOKUP(A1410,Elevation,2,FALSE)</f>
        <v>53</v>
      </c>
      <c r="E1410">
        <v>102.499</v>
      </c>
      <c r="F1410">
        <f t="shared" si="87"/>
        <v>-49.498999999999995</v>
      </c>
      <c r="G1410">
        <v>183.65</v>
      </c>
      <c r="H1410">
        <v>3.5920000000000001</v>
      </c>
      <c r="I1410">
        <v>1.9570000000000001</v>
      </c>
      <c r="J1410">
        <v>7</v>
      </c>
      <c r="K1410">
        <v>59</v>
      </c>
      <c r="L1410">
        <v>30</v>
      </c>
      <c r="M1410" s="1">
        <v>9000000000</v>
      </c>
    </row>
    <row r="1411" spans="1:13" ht="15" customHeight="1">
      <c r="A1411" t="s">
        <v>22</v>
      </c>
      <c r="B1411">
        <f t="shared" si="88"/>
        <v>33.711596</v>
      </c>
      <c r="C1411">
        <f t="shared" si="89"/>
        <v>-117.859452</v>
      </c>
      <c r="D1411">
        <f t="shared" si="90"/>
        <v>53</v>
      </c>
      <c r="E1411">
        <v>103.499</v>
      </c>
      <c r="F1411">
        <f t="shared" ref="F1411:F1474" si="91">D1411-E1411</f>
        <v>-50.498999999999995</v>
      </c>
      <c r="G1411">
        <v>74.183000000000007</v>
      </c>
      <c r="H1411">
        <v>2.81</v>
      </c>
      <c r="I1411">
        <v>3.7930000000000001</v>
      </c>
      <c r="J1411">
        <v>5</v>
      </c>
      <c r="K1411">
        <v>35</v>
      </c>
      <c r="L1411">
        <v>18</v>
      </c>
      <c r="M1411">
        <v>4.5119999999999996</v>
      </c>
    </row>
    <row r="1412" spans="1:13" ht="15" customHeight="1">
      <c r="A1412" t="s">
        <v>22</v>
      </c>
      <c r="B1412">
        <f t="shared" si="88"/>
        <v>33.711596</v>
      </c>
      <c r="C1412">
        <f t="shared" si="89"/>
        <v>-117.859452</v>
      </c>
      <c r="D1412">
        <f t="shared" si="90"/>
        <v>53</v>
      </c>
      <c r="E1412">
        <v>104.499</v>
      </c>
      <c r="F1412">
        <f t="shared" si="91"/>
        <v>-51.498999999999995</v>
      </c>
      <c r="G1412">
        <v>48.670999999999999</v>
      </c>
      <c r="H1412">
        <v>2.0329999999999999</v>
      </c>
      <c r="I1412">
        <v>4.1840000000000002</v>
      </c>
      <c r="J1412">
        <v>5</v>
      </c>
      <c r="K1412">
        <v>23</v>
      </c>
      <c r="L1412">
        <v>12</v>
      </c>
      <c r="M1412">
        <v>2.8079999999999998</v>
      </c>
    </row>
    <row r="1413" spans="1:13" ht="15" customHeight="1">
      <c r="A1413" t="s">
        <v>22</v>
      </c>
      <c r="B1413">
        <f t="shared" si="88"/>
        <v>33.711596</v>
      </c>
      <c r="C1413">
        <f t="shared" si="89"/>
        <v>-117.859452</v>
      </c>
      <c r="D1413">
        <f t="shared" si="90"/>
        <v>53</v>
      </c>
      <c r="E1413">
        <v>105.499</v>
      </c>
      <c r="F1413">
        <f t="shared" si="91"/>
        <v>-52.498999999999995</v>
      </c>
      <c r="G1413">
        <v>29</v>
      </c>
      <c r="H1413">
        <v>0.93700000000000006</v>
      </c>
      <c r="I1413">
        <v>3.2389999999999999</v>
      </c>
      <c r="J1413">
        <v>5</v>
      </c>
      <c r="K1413">
        <v>14</v>
      </c>
      <c r="L1413">
        <v>7</v>
      </c>
      <c r="M1413">
        <v>1.492</v>
      </c>
    </row>
    <row r="1414" spans="1:13" ht="15" customHeight="1">
      <c r="A1414" t="s">
        <v>22</v>
      </c>
      <c r="B1414">
        <f t="shared" si="88"/>
        <v>33.711596</v>
      </c>
      <c r="C1414">
        <f t="shared" si="89"/>
        <v>-117.859452</v>
      </c>
      <c r="D1414">
        <f t="shared" si="90"/>
        <v>53</v>
      </c>
      <c r="E1414">
        <v>106.499</v>
      </c>
      <c r="F1414">
        <f t="shared" si="91"/>
        <v>-53.498999999999995</v>
      </c>
      <c r="G1414">
        <v>37.232999999999997</v>
      </c>
      <c r="H1414">
        <v>1.59</v>
      </c>
      <c r="I1414">
        <v>4.274</v>
      </c>
      <c r="J1414">
        <v>4</v>
      </c>
      <c r="K1414">
        <v>24</v>
      </c>
      <c r="L1414">
        <v>12</v>
      </c>
      <c r="M1414">
        <v>2.04</v>
      </c>
    </row>
    <row r="1415" spans="1:13" ht="15" customHeight="1">
      <c r="A1415" t="s">
        <v>22</v>
      </c>
      <c r="B1415">
        <f t="shared" si="88"/>
        <v>33.711596</v>
      </c>
      <c r="C1415">
        <f t="shared" si="89"/>
        <v>-117.859452</v>
      </c>
      <c r="D1415">
        <f t="shared" si="90"/>
        <v>53</v>
      </c>
      <c r="E1415">
        <v>107.499</v>
      </c>
      <c r="F1415">
        <f t="shared" si="91"/>
        <v>-54.498999999999995</v>
      </c>
      <c r="G1415">
        <v>40.283000000000001</v>
      </c>
      <c r="H1415">
        <v>1.4830000000000001</v>
      </c>
      <c r="I1415">
        <v>3.681</v>
      </c>
      <c r="J1415">
        <v>5</v>
      </c>
      <c r="K1415">
        <v>19</v>
      </c>
      <c r="L1415">
        <v>10</v>
      </c>
      <c r="M1415">
        <v>2.2429999999999999</v>
      </c>
    </row>
    <row r="1416" spans="1:13" ht="15" customHeight="1">
      <c r="A1416" t="s">
        <v>22</v>
      </c>
      <c r="B1416">
        <f t="shared" si="88"/>
        <v>33.711596</v>
      </c>
      <c r="C1416">
        <f t="shared" si="89"/>
        <v>-117.859452</v>
      </c>
      <c r="D1416">
        <f t="shared" si="90"/>
        <v>53</v>
      </c>
      <c r="E1416">
        <v>108.499</v>
      </c>
      <c r="F1416">
        <f t="shared" si="91"/>
        <v>-55.498999999999995</v>
      </c>
      <c r="G1416">
        <v>33.017000000000003</v>
      </c>
      <c r="H1416">
        <v>1.1499999999999999</v>
      </c>
      <c r="I1416">
        <v>3.4830000000000001</v>
      </c>
      <c r="J1416">
        <v>5</v>
      </c>
      <c r="K1416">
        <v>16</v>
      </c>
      <c r="L1416">
        <v>8</v>
      </c>
      <c r="M1416">
        <v>1.7529999999999999</v>
      </c>
    </row>
    <row r="1417" spans="1:13" ht="15" customHeight="1">
      <c r="A1417" t="s">
        <v>22</v>
      </c>
      <c r="B1417">
        <f t="shared" si="88"/>
        <v>33.711596</v>
      </c>
      <c r="C1417">
        <f t="shared" si="89"/>
        <v>-117.859452</v>
      </c>
      <c r="D1417">
        <f t="shared" si="90"/>
        <v>53</v>
      </c>
      <c r="E1417">
        <v>109.499</v>
      </c>
      <c r="F1417">
        <f t="shared" si="91"/>
        <v>-56.498999999999995</v>
      </c>
      <c r="G1417">
        <v>46.8</v>
      </c>
      <c r="H1417">
        <v>1.8220000000000001</v>
      </c>
      <c r="I1417">
        <v>3.89</v>
      </c>
      <c r="J1417">
        <v>5</v>
      </c>
      <c r="K1417">
        <v>22</v>
      </c>
      <c r="L1417">
        <v>11</v>
      </c>
      <c r="M1417">
        <v>2.67</v>
      </c>
    </row>
    <row r="1418" spans="1:13" ht="15" customHeight="1">
      <c r="A1418" t="s">
        <v>22</v>
      </c>
      <c r="B1418">
        <f t="shared" si="88"/>
        <v>33.711596</v>
      </c>
      <c r="C1418">
        <f t="shared" si="89"/>
        <v>-117.859452</v>
      </c>
      <c r="D1418">
        <f t="shared" si="90"/>
        <v>53</v>
      </c>
      <c r="E1418">
        <v>110.499</v>
      </c>
      <c r="F1418">
        <f t="shared" si="91"/>
        <v>-57.498999999999995</v>
      </c>
      <c r="G1418">
        <v>122.233</v>
      </c>
      <c r="H1418">
        <v>5.0730000000000004</v>
      </c>
      <c r="I1418">
        <v>4.1529999999999996</v>
      </c>
      <c r="J1418">
        <v>11</v>
      </c>
      <c r="K1418">
        <v>117</v>
      </c>
      <c r="L1418">
        <v>59</v>
      </c>
      <c r="M1418" s="1">
        <v>9000000000</v>
      </c>
    </row>
    <row r="1419" spans="1:13" ht="15" customHeight="1">
      <c r="A1419" t="s">
        <v>22</v>
      </c>
      <c r="B1419">
        <f t="shared" si="88"/>
        <v>33.711596</v>
      </c>
      <c r="C1419">
        <f t="shared" si="89"/>
        <v>-117.859452</v>
      </c>
      <c r="D1419">
        <f t="shared" si="90"/>
        <v>53</v>
      </c>
      <c r="E1419">
        <v>111.499</v>
      </c>
      <c r="F1419">
        <f t="shared" si="91"/>
        <v>-58.498999999999995</v>
      </c>
      <c r="G1419">
        <v>82.1</v>
      </c>
      <c r="H1419">
        <v>3.1349999999999998</v>
      </c>
      <c r="I1419">
        <v>3.8220000000000001</v>
      </c>
      <c r="J1419">
        <v>5</v>
      </c>
      <c r="K1419">
        <v>39</v>
      </c>
      <c r="L1419">
        <v>20</v>
      </c>
      <c r="M1419">
        <v>5.0069999999999997</v>
      </c>
    </row>
    <row r="1420" spans="1:13" ht="15" customHeight="1">
      <c r="A1420" t="s">
        <v>22</v>
      </c>
      <c r="B1420">
        <f t="shared" si="88"/>
        <v>33.711596</v>
      </c>
      <c r="C1420">
        <f t="shared" si="89"/>
        <v>-117.859452</v>
      </c>
      <c r="D1420">
        <f t="shared" si="90"/>
        <v>53</v>
      </c>
      <c r="E1420">
        <v>112.499</v>
      </c>
      <c r="F1420">
        <f t="shared" si="91"/>
        <v>-59.498999999999995</v>
      </c>
      <c r="G1420">
        <v>346.83300000000003</v>
      </c>
      <c r="H1420">
        <v>8.2050000000000001</v>
      </c>
      <c r="I1420">
        <v>2.3660000000000001</v>
      </c>
      <c r="J1420">
        <v>8</v>
      </c>
      <c r="K1420">
        <v>83</v>
      </c>
      <c r="L1420">
        <v>42</v>
      </c>
      <c r="M1420" s="1">
        <v>9000000000</v>
      </c>
    </row>
    <row r="1421" spans="1:13" ht="15" customHeight="1">
      <c r="A1421" t="s">
        <v>22</v>
      </c>
      <c r="B1421">
        <f t="shared" si="88"/>
        <v>33.711596</v>
      </c>
      <c r="C1421">
        <f t="shared" si="89"/>
        <v>-117.859452</v>
      </c>
      <c r="D1421">
        <f t="shared" si="90"/>
        <v>53</v>
      </c>
      <c r="E1421">
        <v>113.499</v>
      </c>
      <c r="F1421">
        <f t="shared" si="91"/>
        <v>-60.498999999999995</v>
      </c>
      <c r="G1421">
        <v>305.89999999999998</v>
      </c>
      <c r="H1421">
        <v>10.61</v>
      </c>
      <c r="I1421">
        <v>3.47</v>
      </c>
      <c r="J1421">
        <v>12</v>
      </c>
      <c r="K1421">
        <v>146</v>
      </c>
      <c r="L1421">
        <v>73</v>
      </c>
      <c r="M1421" s="1">
        <v>9000000000</v>
      </c>
    </row>
    <row r="1422" spans="1:13" ht="15" customHeight="1">
      <c r="A1422" t="s">
        <v>177</v>
      </c>
      <c r="B1422">
        <f t="shared" si="88"/>
        <v>33.712969000000001</v>
      </c>
      <c r="C1422">
        <f t="shared" si="89"/>
        <v>-117.85730700000001</v>
      </c>
      <c r="D1422">
        <f t="shared" si="90"/>
        <v>57</v>
      </c>
      <c r="E1422">
        <v>0.5</v>
      </c>
      <c r="F1422">
        <f t="shared" si="91"/>
        <v>56.5</v>
      </c>
      <c r="G1422">
        <v>3.95</v>
      </c>
      <c r="H1422">
        <v>1.7000000000000001E-2</v>
      </c>
      <c r="I1422">
        <v>0.42199999999999999</v>
      </c>
      <c r="J1422">
        <v>1</v>
      </c>
      <c r="K1422">
        <v>2</v>
      </c>
      <c r="L1422">
        <v>3</v>
      </c>
      <c r="M1422">
        <v>0.26200000000000001</v>
      </c>
    </row>
    <row r="1423" spans="1:13" ht="15" customHeight="1">
      <c r="A1423" t="s">
        <v>177</v>
      </c>
      <c r="B1423">
        <f t="shared" si="88"/>
        <v>33.712969000000001</v>
      </c>
      <c r="C1423">
        <f t="shared" si="89"/>
        <v>-117.85730700000001</v>
      </c>
      <c r="D1423">
        <f t="shared" si="90"/>
        <v>57</v>
      </c>
      <c r="E1423">
        <v>1.5</v>
      </c>
      <c r="F1423">
        <f t="shared" si="91"/>
        <v>55.5</v>
      </c>
      <c r="G1423">
        <v>6.7</v>
      </c>
      <c r="H1423">
        <v>0.11799999999999999</v>
      </c>
      <c r="I1423">
        <v>1.7709999999999999</v>
      </c>
      <c r="J1423">
        <v>4</v>
      </c>
      <c r="K1423">
        <v>4</v>
      </c>
      <c r="L1423">
        <v>6</v>
      </c>
      <c r="M1423">
        <v>0.44</v>
      </c>
    </row>
    <row r="1424" spans="1:13" ht="15" customHeight="1">
      <c r="A1424" t="s">
        <v>177</v>
      </c>
      <c r="B1424">
        <f t="shared" si="88"/>
        <v>33.712969000000001</v>
      </c>
      <c r="C1424">
        <f t="shared" si="89"/>
        <v>-117.85730700000001</v>
      </c>
      <c r="D1424">
        <f t="shared" si="90"/>
        <v>57</v>
      </c>
      <c r="E1424">
        <v>2.5</v>
      </c>
      <c r="F1424">
        <f t="shared" si="91"/>
        <v>54.5</v>
      </c>
      <c r="G1424">
        <v>12.35</v>
      </c>
      <c r="H1424">
        <v>0.505</v>
      </c>
      <c r="I1424">
        <v>4.0949999999999998</v>
      </c>
      <c r="J1424">
        <v>3</v>
      </c>
      <c r="K1424">
        <v>12</v>
      </c>
      <c r="L1424">
        <v>18</v>
      </c>
      <c r="M1424">
        <v>0.81299999999999994</v>
      </c>
    </row>
    <row r="1425" spans="1:13" ht="15" customHeight="1">
      <c r="A1425" t="s">
        <v>177</v>
      </c>
      <c r="B1425">
        <f t="shared" si="88"/>
        <v>33.712969000000001</v>
      </c>
      <c r="C1425">
        <f t="shared" si="89"/>
        <v>-117.85730700000001</v>
      </c>
      <c r="D1425">
        <f t="shared" si="90"/>
        <v>57</v>
      </c>
      <c r="E1425">
        <v>3.5</v>
      </c>
      <c r="F1425">
        <f t="shared" si="91"/>
        <v>53.5</v>
      </c>
      <c r="G1425">
        <v>14.117000000000001</v>
      </c>
      <c r="H1425">
        <v>0.59199999999999997</v>
      </c>
      <c r="I1425">
        <v>4.2060000000000004</v>
      </c>
      <c r="J1425">
        <v>3</v>
      </c>
      <c r="K1425">
        <v>13</v>
      </c>
      <c r="L1425">
        <v>20</v>
      </c>
      <c r="M1425">
        <v>0.92400000000000004</v>
      </c>
    </row>
    <row r="1426" spans="1:13" ht="15" customHeight="1">
      <c r="A1426" t="s">
        <v>177</v>
      </c>
      <c r="B1426">
        <f t="shared" si="88"/>
        <v>33.712969000000001</v>
      </c>
      <c r="C1426">
        <f t="shared" si="89"/>
        <v>-117.85730700000001</v>
      </c>
      <c r="D1426">
        <f t="shared" si="90"/>
        <v>57</v>
      </c>
      <c r="E1426">
        <v>4.5</v>
      </c>
      <c r="F1426">
        <f t="shared" si="91"/>
        <v>52.5</v>
      </c>
      <c r="G1426">
        <v>16.233000000000001</v>
      </c>
      <c r="H1426">
        <v>0.59799999999999998</v>
      </c>
      <c r="I1426">
        <v>3.6930000000000001</v>
      </c>
      <c r="J1426">
        <v>4</v>
      </c>
      <c r="K1426">
        <v>10</v>
      </c>
      <c r="L1426">
        <v>15</v>
      </c>
      <c r="M1426">
        <v>1.0620000000000001</v>
      </c>
    </row>
    <row r="1427" spans="1:13" ht="15" customHeight="1">
      <c r="A1427" t="s">
        <v>177</v>
      </c>
      <c r="B1427">
        <f t="shared" si="88"/>
        <v>33.712969000000001</v>
      </c>
      <c r="C1427">
        <f t="shared" si="89"/>
        <v>-117.85730700000001</v>
      </c>
      <c r="D1427">
        <f t="shared" si="90"/>
        <v>57</v>
      </c>
      <c r="E1427">
        <v>5.5</v>
      </c>
      <c r="F1427">
        <f t="shared" si="91"/>
        <v>51.5</v>
      </c>
      <c r="G1427">
        <v>13.532999999999999</v>
      </c>
      <c r="H1427">
        <v>0.47299999999999998</v>
      </c>
      <c r="I1427">
        <v>3.5059999999999998</v>
      </c>
      <c r="J1427">
        <v>4</v>
      </c>
      <c r="K1427">
        <v>9</v>
      </c>
      <c r="L1427">
        <v>14</v>
      </c>
      <c r="M1427">
        <v>0.878</v>
      </c>
    </row>
    <row r="1428" spans="1:13" ht="15" customHeight="1">
      <c r="A1428" t="s">
        <v>177</v>
      </c>
      <c r="B1428">
        <f t="shared" si="88"/>
        <v>33.712969000000001</v>
      </c>
      <c r="C1428">
        <f t="shared" si="89"/>
        <v>-117.85730700000001</v>
      </c>
      <c r="D1428">
        <f t="shared" si="90"/>
        <v>57</v>
      </c>
      <c r="E1428">
        <v>6.5</v>
      </c>
      <c r="F1428">
        <f t="shared" si="91"/>
        <v>50.5</v>
      </c>
      <c r="G1428">
        <v>12.333</v>
      </c>
      <c r="H1428">
        <v>0.49199999999999999</v>
      </c>
      <c r="I1428">
        <v>3.9969999999999999</v>
      </c>
      <c r="J1428">
        <v>3</v>
      </c>
      <c r="K1428">
        <v>12</v>
      </c>
      <c r="L1428">
        <v>18</v>
      </c>
      <c r="M1428">
        <v>0.79400000000000004</v>
      </c>
    </row>
    <row r="1429" spans="1:13" ht="15" customHeight="1">
      <c r="A1429" t="s">
        <v>177</v>
      </c>
      <c r="B1429">
        <f t="shared" si="88"/>
        <v>33.712969000000001</v>
      </c>
      <c r="C1429">
        <f t="shared" si="89"/>
        <v>-117.85730700000001</v>
      </c>
      <c r="D1429">
        <f t="shared" si="90"/>
        <v>57</v>
      </c>
      <c r="E1429">
        <v>7.5</v>
      </c>
      <c r="F1429">
        <f t="shared" si="91"/>
        <v>49.5</v>
      </c>
      <c r="G1429">
        <v>9.6170000000000009</v>
      </c>
      <c r="H1429">
        <v>0.41199999999999998</v>
      </c>
      <c r="I1429">
        <v>4.2960000000000003</v>
      </c>
      <c r="J1429">
        <v>3</v>
      </c>
      <c r="K1429">
        <v>9</v>
      </c>
      <c r="L1429">
        <v>14</v>
      </c>
      <c r="M1429">
        <v>0.60899999999999999</v>
      </c>
    </row>
    <row r="1430" spans="1:13" ht="15" customHeight="1">
      <c r="A1430" t="s">
        <v>177</v>
      </c>
      <c r="B1430">
        <f t="shared" si="88"/>
        <v>33.712969000000001</v>
      </c>
      <c r="C1430">
        <f t="shared" si="89"/>
        <v>-117.85730700000001</v>
      </c>
      <c r="D1430">
        <f t="shared" si="90"/>
        <v>57</v>
      </c>
      <c r="E1430">
        <v>8.5</v>
      </c>
      <c r="F1430">
        <f t="shared" si="91"/>
        <v>48.5</v>
      </c>
      <c r="G1430">
        <v>9.2330000000000005</v>
      </c>
      <c r="H1430">
        <v>0.34499999999999997</v>
      </c>
      <c r="I1430">
        <v>3.7429999999999999</v>
      </c>
      <c r="J1430">
        <v>3</v>
      </c>
      <c r="K1430">
        <v>9</v>
      </c>
      <c r="L1430">
        <v>14</v>
      </c>
      <c r="M1430">
        <v>0.58099999999999996</v>
      </c>
    </row>
    <row r="1431" spans="1:13" ht="15" customHeight="1">
      <c r="A1431" t="s">
        <v>177</v>
      </c>
      <c r="B1431">
        <f t="shared" si="88"/>
        <v>33.712969000000001</v>
      </c>
      <c r="C1431">
        <f t="shared" si="89"/>
        <v>-117.85730700000001</v>
      </c>
      <c r="D1431">
        <f t="shared" si="90"/>
        <v>57</v>
      </c>
      <c r="E1431">
        <v>9.5</v>
      </c>
      <c r="F1431">
        <f t="shared" si="91"/>
        <v>47.5</v>
      </c>
      <c r="G1431">
        <v>12.183</v>
      </c>
      <c r="H1431">
        <v>0.46</v>
      </c>
      <c r="I1431">
        <v>3.7810000000000001</v>
      </c>
      <c r="J1431">
        <v>3</v>
      </c>
      <c r="K1431">
        <v>12</v>
      </c>
      <c r="L1431">
        <v>18</v>
      </c>
      <c r="M1431">
        <v>0.77300000000000002</v>
      </c>
    </row>
    <row r="1432" spans="1:13" ht="15" customHeight="1">
      <c r="A1432" t="s">
        <v>177</v>
      </c>
      <c r="B1432">
        <f t="shared" si="88"/>
        <v>33.712969000000001</v>
      </c>
      <c r="C1432">
        <f t="shared" si="89"/>
        <v>-117.85730700000001</v>
      </c>
      <c r="D1432">
        <f t="shared" si="90"/>
        <v>57</v>
      </c>
      <c r="E1432">
        <v>10.5</v>
      </c>
      <c r="F1432">
        <f t="shared" si="91"/>
        <v>46.5</v>
      </c>
      <c r="G1432">
        <v>12.843</v>
      </c>
      <c r="H1432">
        <v>0.51600000000000001</v>
      </c>
      <c r="I1432">
        <v>4.0289999999999999</v>
      </c>
      <c r="J1432">
        <v>3</v>
      </c>
      <c r="K1432">
        <v>12</v>
      </c>
      <c r="L1432">
        <v>17</v>
      </c>
      <c r="M1432">
        <v>0.81100000000000005</v>
      </c>
    </row>
    <row r="1433" spans="1:13" ht="15" customHeight="1">
      <c r="A1433" t="s">
        <v>177</v>
      </c>
      <c r="B1433">
        <f t="shared" si="88"/>
        <v>33.712969000000001</v>
      </c>
      <c r="C1433">
        <f t="shared" si="89"/>
        <v>-117.85730700000001</v>
      </c>
      <c r="D1433">
        <f t="shared" si="90"/>
        <v>57</v>
      </c>
      <c r="E1433">
        <v>11.5</v>
      </c>
      <c r="F1433">
        <f t="shared" si="91"/>
        <v>45.5</v>
      </c>
      <c r="G1433">
        <v>11.367000000000001</v>
      </c>
      <c r="H1433">
        <v>0.42199999999999999</v>
      </c>
      <c r="I1433">
        <v>3.726</v>
      </c>
      <c r="J1433">
        <v>3</v>
      </c>
      <c r="K1433">
        <v>11</v>
      </c>
      <c r="L1433">
        <v>15</v>
      </c>
      <c r="M1433">
        <v>0.70799999999999996</v>
      </c>
    </row>
    <row r="1434" spans="1:13" ht="15" customHeight="1">
      <c r="A1434" t="s">
        <v>177</v>
      </c>
      <c r="B1434">
        <f t="shared" si="88"/>
        <v>33.712969000000001</v>
      </c>
      <c r="C1434">
        <f t="shared" si="89"/>
        <v>-117.85730700000001</v>
      </c>
      <c r="D1434">
        <f t="shared" si="90"/>
        <v>57</v>
      </c>
      <c r="E1434">
        <v>12.5</v>
      </c>
      <c r="F1434">
        <f t="shared" si="91"/>
        <v>44.5</v>
      </c>
      <c r="G1434">
        <v>8.8000000000000007</v>
      </c>
      <c r="H1434">
        <v>0.36499999999999999</v>
      </c>
      <c r="I1434">
        <v>4.1790000000000003</v>
      </c>
      <c r="J1434">
        <v>3</v>
      </c>
      <c r="K1434">
        <v>8</v>
      </c>
      <c r="L1434">
        <v>10</v>
      </c>
      <c r="M1434">
        <v>0.53200000000000003</v>
      </c>
    </row>
    <row r="1435" spans="1:13" ht="15" customHeight="1">
      <c r="A1435" t="s">
        <v>177</v>
      </c>
      <c r="B1435">
        <f t="shared" si="88"/>
        <v>33.712969000000001</v>
      </c>
      <c r="C1435">
        <f t="shared" si="89"/>
        <v>-117.85730700000001</v>
      </c>
      <c r="D1435">
        <f t="shared" si="90"/>
        <v>57</v>
      </c>
      <c r="E1435">
        <v>13.5</v>
      </c>
      <c r="F1435">
        <f t="shared" si="91"/>
        <v>43.5</v>
      </c>
      <c r="G1435">
        <v>10.050000000000001</v>
      </c>
      <c r="H1435">
        <v>0.37</v>
      </c>
      <c r="I1435">
        <v>3.7</v>
      </c>
      <c r="J1435">
        <v>3</v>
      </c>
      <c r="K1435">
        <v>10</v>
      </c>
      <c r="L1435">
        <v>12</v>
      </c>
      <c r="M1435">
        <v>0.61199999999999999</v>
      </c>
    </row>
    <row r="1436" spans="1:13" ht="15" customHeight="1">
      <c r="A1436" t="s">
        <v>177</v>
      </c>
      <c r="B1436">
        <f t="shared" si="88"/>
        <v>33.712969000000001</v>
      </c>
      <c r="C1436">
        <f t="shared" si="89"/>
        <v>-117.85730700000001</v>
      </c>
      <c r="D1436">
        <f t="shared" si="90"/>
        <v>57</v>
      </c>
      <c r="E1436">
        <v>14.5</v>
      </c>
      <c r="F1436">
        <f t="shared" si="91"/>
        <v>42.5</v>
      </c>
      <c r="G1436">
        <v>14.766999999999999</v>
      </c>
      <c r="H1436">
        <v>0.57199999999999995</v>
      </c>
      <c r="I1436">
        <v>3.8980000000000001</v>
      </c>
      <c r="J1436">
        <v>4</v>
      </c>
      <c r="K1436">
        <v>9</v>
      </c>
      <c r="L1436">
        <v>10</v>
      </c>
      <c r="M1436">
        <v>0.91900000000000004</v>
      </c>
    </row>
    <row r="1437" spans="1:13" ht="15" customHeight="1">
      <c r="A1437" t="s">
        <v>177</v>
      </c>
      <c r="B1437">
        <f t="shared" si="88"/>
        <v>33.712969000000001</v>
      </c>
      <c r="C1437">
        <f t="shared" si="89"/>
        <v>-117.85730700000001</v>
      </c>
      <c r="D1437">
        <f t="shared" si="90"/>
        <v>57</v>
      </c>
      <c r="E1437">
        <v>15.5</v>
      </c>
      <c r="F1437">
        <f t="shared" si="91"/>
        <v>41.5</v>
      </c>
      <c r="G1437">
        <v>18.3</v>
      </c>
      <c r="H1437">
        <v>0.76</v>
      </c>
      <c r="I1437">
        <v>4.1639999999999997</v>
      </c>
      <c r="J1437">
        <v>3</v>
      </c>
      <c r="K1437">
        <v>17</v>
      </c>
      <c r="L1437">
        <v>18</v>
      </c>
      <c r="M1437">
        <v>1.1539999999999999</v>
      </c>
    </row>
    <row r="1438" spans="1:13" ht="15" customHeight="1">
      <c r="A1438" t="s">
        <v>177</v>
      </c>
      <c r="B1438">
        <f t="shared" si="88"/>
        <v>33.712969000000001</v>
      </c>
      <c r="C1438">
        <f t="shared" si="89"/>
        <v>-117.85730700000001</v>
      </c>
      <c r="D1438">
        <f t="shared" si="90"/>
        <v>57</v>
      </c>
      <c r="E1438">
        <v>16.5</v>
      </c>
      <c r="F1438">
        <f t="shared" si="91"/>
        <v>40.5</v>
      </c>
      <c r="G1438">
        <v>16.766999999999999</v>
      </c>
      <c r="H1438">
        <v>0.70199999999999996</v>
      </c>
      <c r="I1438">
        <v>4.1929999999999996</v>
      </c>
      <c r="J1438">
        <v>3</v>
      </c>
      <c r="K1438">
        <v>16</v>
      </c>
      <c r="L1438">
        <v>16</v>
      </c>
      <c r="M1438">
        <v>1.0489999999999999</v>
      </c>
    </row>
    <row r="1439" spans="1:13" ht="15" customHeight="1">
      <c r="A1439" t="s">
        <v>177</v>
      </c>
      <c r="B1439">
        <f t="shared" si="88"/>
        <v>33.712969000000001</v>
      </c>
      <c r="C1439">
        <f t="shared" si="89"/>
        <v>-117.85730700000001</v>
      </c>
      <c r="D1439">
        <f t="shared" si="90"/>
        <v>57</v>
      </c>
      <c r="E1439">
        <v>17.5</v>
      </c>
      <c r="F1439">
        <f t="shared" si="91"/>
        <v>39.5</v>
      </c>
      <c r="G1439">
        <v>15.167</v>
      </c>
      <c r="H1439">
        <v>0.65800000000000003</v>
      </c>
      <c r="I1439">
        <v>4.3449999999999998</v>
      </c>
      <c r="J1439">
        <v>3</v>
      </c>
      <c r="K1439">
        <v>15</v>
      </c>
      <c r="L1439">
        <v>14</v>
      </c>
      <c r="M1439">
        <v>0.93899999999999995</v>
      </c>
    </row>
    <row r="1440" spans="1:13" ht="15" customHeight="1">
      <c r="A1440" t="s">
        <v>177</v>
      </c>
      <c r="B1440">
        <f t="shared" si="88"/>
        <v>33.712969000000001</v>
      </c>
      <c r="C1440">
        <f t="shared" si="89"/>
        <v>-117.85730700000001</v>
      </c>
      <c r="D1440">
        <f t="shared" si="90"/>
        <v>57</v>
      </c>
      <c r="E1440">
        <v>18.5</v>
      </c>
      <c r="F1440">
        <f t="shared" si="91"/>
        <v>38.5</v>
      </c>
      <c r="G1440">
        <v>12.25</v>
      </c>
      <c r="H1440">
        <v>0.44500000000000001</v>
      </c>
      <c r="I1440">
        <v>3.6429999999999998</v>
      </c>
      <c r="J1440">
        <v>4</v>
      </c>
      <c r="K1440">
        <v>8</v>
      </c>
      <c r="L1440">
        <v>7</v>
      </c>
      <c r="M1440">
        <v>0.74</v>
      </c>
    </row>
    <row r="1441" spans="1:13" ht="15" customHeight="1">
      <c r="A1441" t="s">
        <v>177</v>
      </c>
      <c r="B1441">
        <f t="shared" si="88"/>
        <v>33.712969000000001</v>
      </c>
      <c r="C1441">
        <f t="shared" si="89"/>
        <v>-117.85730700000001</v>
      </c>
      <c r="D1441">
        <f t="shared" si="90"/>
        <v>57</v>
      </c>
      <c r="E1441">
        <v>19.5</v>
      </c>
      <c r="F1441">
        <f t="shared" si="91"/>
        <v>37.5</v>
      </c>
      <c r="G1441">
        <v>10.717000000000001</v>
      </c>
      <c r="H1441">
        <v>0.30299999999999999</v>
      </c>
      <c r="I1441">
        <v>2.83</v>
      </c>
      <c r="J1441">
        <v>4</v>
      </c>
      <c r="K1441">
        <v>7</v>
      </c>
      <c r="L1441">
        <v>6</v>
      </c>
      <c r="M1441">
        <v>0.63600000000000001</v>
      </c>
    </row>
    <row r="1442" spans="1:13" ht="15" customHeight="1">
      <c r="A1442" t="s">
        <v>177</v>
      </c>
      <c r="B1442">
        <f t="shared" si="88"/>
        <v>33.712969000000001</v>
      </c>
      <c r="C1442">
        <f t="shared" si="89"/>
        <v>-117.85730700000001</v>
      </c>
      <c r="D1442">
        <f t="shared" si="90"/>
        <v>57</v>
      </c>
      <c r="E1442">
        <v>20.5</v>
      </c>
      <c r="F1442">
        <f t="shared" si="91"/>
        <v>36.5</v>
      </c>
      <c r="G1442">
        <v>10.057</v>
      </c>
      <c r="H1442">
        <v>0.23100000000000001</v>
      </c>
      <c r="I1442">
        <v>2.3010000000000002</v>
      </c>
      <c r="J1442">
        <v>5</v>
      </c>
      <c r="K1442">
        <v>5</v>
      </c>
      <c r="L1442">
        <v>4</v>
      </c>
      <c r="M1442">
        <v>0.58799999999999997</v>
      </c>
    </row>
    <row r="1443" spans="1:13" ht="15" customHeight="1">
      <c r="A1443" t="s">
        <v>177</v>
      </c>
      <c r="B1443">
        <f t="shared" si="88"/>
        <v>33.712969000000001</v>
      </c>
      <c r="C1443">
        <f t="shared" si="89"/>
        <v>-117.85730700000001</v>
      </c>
      <c r="D1443">
        <f t="shared" si="90"/>
        <v>57</v>
      </c>
      <c r="E1443">
        <v>21.5</v>
      </c>
      <c r="F1443">
        <f t="shared" si="91"/>
        <v>35.5</v>
      </c>
      <c r="G1443">
        <v>11.266999999999999</v>
      </c>
      <c r="H1443">
        <v>0.29199999999999998</v>
      </c>
      <c r="I1443">
        <v>2.5739999999999998</v>
      </c>
      <c r="J1443">
        <v>5</v>
      </c>
      <c r="K1443">
        <v>5</v>
      </c>
      <c r="L1443">
        <v>4</v>
      </c>
      <c r="M1443">
        <v>0.66900000000000004</v>
      </c>
    </row>
    <row r="1444" spans="1:13" ht="15" customHeight="1">
      <c r="A1444" t="s">
        <v>177</v>
      </c>
      <c r="B1444">
        <f t="shared" si="88"/>
        <v>33.712969000000001</v>
      </c>
      <c r="C1444">
        <f t="shared" si="89"/>
        <v>-117.85730700000001</v>
      </c>
      <c r="D1444">
        <f t="shared" si="90"/>
        <v>57</v>
      </c>
      <c r="E1444">
        <v>22.5</v>
      </c>
      <c r="F1444">
        <f t="shared" si="91"/>
        <v>34.5</v>
      </c>
      <c r="G1444">
        <v>14.117000000000001</v>
      </c>
      <c r="H1444">
        <v>0.46800000000000003</v>
      </c>
      <c r="I1444">
        <v>3.298</v>
      </c>
      <c r="J1444">
        <v>4</v>
      </c>
      <c r="K1444">
        <v>9</v>
      </c>
      <c r="L1444">
        <v>7</v>
      </c>
      <c r="M1444">
        <v>0.85599999999999998</v>
      </c>
    </row>
    <row r="1445" spans="1:13" ht="15" customHeight="1">
      <c r="A1445" t="s">
        <v>177</v>
      </c>
      <c r="B1445">
        <f t="shared" si="88"/>
        <v>33.712969000000001</v>
      </c>
      <c r="C1445">
        <f t="shared" si="89"/>
        <v>-117.85730700000001</v>
      </c>
      <c r="D1445">
        <f t="shared" si="90"/>
        <v>57</v>
      </c>
      <c r="E1445">
        <v>23.5</v>
      </c>
      <c r="F1445">
        <f t="shared" si="91"/>
        <v>33.5</v>
      </c>
      <c r="G1445">
        <v>12.333</v>
      </c>
      <c r="H1445">
        <v>0.3</v>
      </c>
      <c r="I1445">
        <v>2.4159999999999999</v>
      </c>
      <c r="J1445">
        <v>5</v>
      </c>
      <c r="K1445">
        <v>6</v>
      </c>
      <c r="L1445">
        <v>5</v>
      </c>
      <c r="M1445">
        <v>0.73299999999999998</v>
      </c>
    </row>
    <row r="1446" spans="1:13" ht="15" customHeight="1">
      <c r="A1446" t="s">
        <v>177</v>
      </c>
      <c r="B1446">
        <f t="shared" si="88"/>
        <v>33.712969000000001</v>
      </c>
      <c r="C1446">
        <f t="shared" si="89"/>
        <v>-117.85730700000001</v>
      </c>
      <c r="D1446">
        <f t="shared" si="90"/>
        <v>57</v>
      </c>
      <c r="E1446">
        <v>24.5</v>
      </c>
      <c r="F1446">
        <f t="shared" si="91"/>
        <v>32.5</v>
      </c>
      <c r="G1446">
        <v>12.95</v>
      </c>
      <c r="H1446">
        <v>0.26800000000000002</v>
      </c>
      <c r="I1446">
        <v>2.0609999999999999</v>
      </c>
      <c r="J1446">
        <v>5</v>
      </c>
      <c r="K1446">
        <v>6</v>
      </c>
      <c r="L1446">
        <v>4</v>
      </c>
      <c r="M1446">
        <v>0.76900000000000002</v>
      </c>
    </row>
    <row r="1447" spans="1:13" ht="15" customHeight="1">
      <c r="A1447" t="s">
        <v>177</v>
      </c>
      <c r="B1447">
        <f t="shared" si="88"/>
        <v>33.712969000000001</v>
      </c>
      <c r="C1447">
        <f t="shared" si="89"/>
        <v>-117.85730700000001</v>
      </c>
      <c r="D1447">
        <f t="shared" si="90"/>
        <v>57</v>
      </c>
      <c r="E1447">
        <v>25.5</v>
      </c>
      <c r="F1447">
        <f t="shared" si="91"/>
        <v>31.5</v>
      </c>
      <c r="G1447">
        <v>15.15</v>
      </c>
      <c r="H1447">
        <v>0.47299999999999998</v>
      </c>
      <c r="I1447">
        <v>3.1070000000000002</v>
      </c>
      <c r="J1447">
        <v>5</v>
      </c>
      <c r="K1447">
        <v>7</v>
      </c>
      <c r="L1447">
        <v>5</v>
      </c>
      <c r="M1447">
        <v>0.91300000000000003</v>
      </c>
    </row>
    <row r="1448" spans="1:13" ht="15" customHeight="1">
      <c r="A1448" t="s">
        <v>177</v>
      </c>
      <c r="B1448">
        <f t="shared" si="88"/>
        <v>33.712969000000001</v>
      </c>
      <c r="C1448">
        <f t="shared" si="89"/>
        <v>-117.85730700000001</v>
      </c>
      <c r="D1448">
        <f t="shared" si="90"/>
        <v>57</v>
      </c>
      <c r="E1448">
        <v>26.5</v>
      </c>
      <c r="F1448">
        <f t="shared" si="91"/>
        <v>30.5</v>
      </c>
      <c r="G1448">
        <v>18.783000000000001</v>
      </c>
      <c r="H1448">
        <v>0.66300000000000003</v>
      </c>
      <c r="I1448">
        <v>3.5219999999999998</v>
      </c>
      <c r="J1448">
        <v>4</v>
      </c>
      <c r="K1448">
        <v>12</v>
      </c>
      <c r="L1448">
        <v>9</v>
      </c>
      <c r="M1448">
        <v>1.149</v>
      </c>
    </row>
    <row r="1449" spans="1:13" ht="15" customHeight="1">
      <c r="A1449" t="s">
        <v>177</v>
      </c>
      <c r="B1449">
        <f t="shared" si="88"/>
        <v>33.712969000000001</v>
      </c>
      <c r="C1449">
        <f t="shared" si="89"/>
        <v>-117.85730700000001</v>
      </c>
      <c r="D1449">
        <f t="shared" si="90"/>
        <v>57</v>
      </c>
      <c r="E1449">
        <v>27.5</v>
      </c>
      <c r="F1449">
        <f t="shared" si="91"/>
        <v>29.5</v>
      </c>
      <c r="G1449">
        <v>10.667</v>
      </c>
      <c r="H1449">
        <v>0.27300000000000002</v>
      </c>
      <c r="I1449">
        <v>2.5510000000000002</v>
      </c>
      <c r="J1449">
        <v>4</v>
      </c>
      <c r="K1449">
        <v>7</v>
      </c>
      <c r="L1449">
        <v>5</v>
      </c>
      <c r="M1449">
        <v>0.60399999999999998</v>
      </c>
    </row>
    <row r="1450" spans="1:13" ht="15" customHeight="1">
      <c r="A1450" t="s">
        <v>177</v>
      </c>
      <c r="B1450">
        <f t="shared" si="88"/>
        <v>33.712969000000001</v>
      </c>
      <c r="C1450">
        <f t="shared" si="89"/>
        <v>-117.85730700000001</v>
      </c>
      <c r="D1450">
        <f t="shared" si="90"/>
        <v>57</v>
      </c>
      <c r="E1450">
        <v>28.5</v>
      </c>
      <c r="F1450">
        <f t="shared" si="91"/>
        <v>28.5</v>
      </c>
      <c r="G1450">
        <v>16</v>
      </c>
      <c r="H1450">
        <v>0.53700000000000003</v>
      </c>
      <c r="I1450">
        <v>3.347</v>
      </c>
      <c r="J1450">
        <v>4</v>
      </c>
      <c r="K1450">
        <v>10</v>
      </c>
      <c r="L1450">
        <v>7</v>
      </c>
      <c r="M1450">
        <v>0.95399999999999996</v>
      </c>
    </row>
    <row r="1451" spans="1:13" ht="15" customHeight="1">
      <c r="A1451" t="s">
        <v>177</v>
      </c>
      <c r="B1451">
        <f t="shared" si="88"/>
        <v>33.712969000000001</v>
      </c>
      <c r="C1451">
        <f t="shared" si="89"/>
        <v>-117.85730700000001</v>
      </c>
      <c r="D1451">
        <f t="shared" si="90"/>
        <v>57</v>
      </c>
      <c r="E1451">
        <v>29.5</v>
      </c>
      <c r="F1451">
        <f t="shared" si="91"/>
        <v>27.5</v>
      </c>
      <c r="G1451">
        <v>16.183</v>
      </c>
      <c r="H1451">
        <v>0.59499999999999997</v>
      </c>
      <c r="I1451">
        <v>3.673</v>
      </c>
      <c r="J1451">
        <v>4</v>
      </c>
      <c r="K1451">
        <v>10</v>
      </c>
      <c r="L1451">
        <v>7</v>
      </c>
      <c r="M1451">
        <v>0.96099999999999997</v>
      </c>
    </row>
    <row r="1452" spans="1:13" ht="15" customHeight="1">
      <c r="A1452" t="s">
        <v>177</v>
      </c>
      <c r="B1452">
        <f t="shared" si="88"/>
        <v>33.712969000000001</v>
      </c>
      <c r="C1452">
        <f t="shared" si="89"/>
        <v>-117.85730700000001</v>
      </c>
      <c r="D1452">
        <f t="shared" si="90"/>
        <v>57</v>
      </c>
      <c r="E1452">
        <v>30.5</v>
      </c>
      <c r="F1452">
        <f t="shared" si="91"/>
        <v>26.5</v>
      </c>
      <c r="G1452">
        <v>14.35</v>
      </c>
      <c r="H1452">
        <v>0.38300000000000001</v>
      </c>
      <c r="I1452">
        <v>2.6619999999999999</v>
      </c>
      <c r="J1452">
        <v>5</v>
      </c>
      <c r="K1452">
        <v>7</v>
      </c>
      <c r="L1452">
        <v>5</v>
      </c>
      <c r="M1452">
        <v>0.83699999999999997</v>
      </c>
    </row>
    <row r="1453" spans="1:13" ht="15" customHeight="1">
      <c r="A1453" t="s">
        <v>177</v>
      </c>
      <c r="B1453">
        <f t="shared" si="88"/>
        <v>33.712969000000001</v>
      </c>
      <c r="C1453">
        <f t="shared" si="89"/>
        <v>-117.85730700000001</v>
      </c>
      <c r="D1453">
        <f t="shared" si="90"/>
        <v>57</v>
      </c>
      <c r="E1453">
        <v>31.5</v>
      </c>
      <c r="F1453">
        <f t="shared" si="91"/>
        <v>25.5</v>
      </c>
      <c r="G1453">
        <v>31.757000000000001</v>
      </c>
      <c r="H1453">
        <v>1.5740000000000001</v>
      </c>
      <c r="I1453">
        <v>4.9530000000000003</v>
      </c>
      <c r="J1453">
        <v>3</v>
      </c>
      <c r="K1453">
        <v>30</v>
      </c>
      <c r="L1453">
        <v>20</v>
      </c>
      <c r="M1453">
        <v>1.992</v>
      </c>
    </row>
    <row r="1454" spans="1:13" ht="15" customHeight="1">
      <c r="A1454" t="s">
        <v>177</v>
      </c>
      <c r="B1454">
        <f t="shared" si="88"/>
        <v>33.712969000000001</v>
      </c>
      <c r="C1454">
        <f t="shared" si="89"/>
        <v>-117.85730700000001</v>
      </c>
      <c r="D1454">
        <f t="shared" si="90"/>
        <v>57</v>
      </c>
      <c r="E1454">
        <v>32.5</v>
      </c>
      <c r="F1454">
        <f t="shared" si="91"/>
        <v>24.5</v>
      </c>
      <c r="G1454">
        <v>38.067</v>
      </c>
      <c r="H1454">
        <v>1.337</v>
      </c>
      <c r="I1454">
        <v>3.504</v>
      </c>
      <c r="J1454">
        <v>5</v>
      </c>
      <c r="K1454">
        <v>18</v>
      </c>
      <c r="L1454">
        <v>12</v>
      </c>
      <c r="M1454">
        <v>2.4119999999999999</v>
      </c>
    </row>
    <row r="1455" spans="1:13" ht="15" customHeight="1">
      <c r="A1455" t="s">
        <v>177</v>
      </c>
      <c r="B1455">
        <f t="shared" si="88"/>
        <v>33.712969000000001</v>
      </c>
      <c r="C1455">
        <f t="shared" si="89"/>
        <v>-117.85730700000001</v>
      </c>
      <c r="D1455">
        <f t="shared" si="90"/>
        <v>57</v>
      </c>
      <c r="E1455">
        <v>33.5</v>
      </c>
      <c r="F1455">
        <f t="shared" si="91"/>
        <v>23.5</v>
      </c>
      <c r="G1455">
        <v>51.95</v>
      </c>
      <c r="H1455">
        <v>2.0750000000000002</v>
      </c>
      <c r="I1455">
        <v>3.9790000000000001</v>
      </c>
      <c r="J1455">
        <v>5</v>
      </c>
      <c r="K1455">
        <v>25</v>
      </c>
      <c r="L1455">
        <v>16</v>
      </c>
      <c r="M1455">
        <v>3.3410000000000002</v>
      </c>
    </row>
    <row r="1456" spans="1:13" ht="15" customHeight="1">
      <c r="A1456" t="s">
        <v>177</v>
      </c>
      <c r="B1456">
        <f t="shared" si="88"/>
        <v>33.712969000000001</v>
      </c>
      <c r="C1456">
        <f t="shared" si="89"/>
        <v>-117.85730700000001</v>
      </c>
      <c r="D1456">
        <f t="shared" si="90"/>
        <v>57</v>
      </c>
      <c r="E1456">
        <v>34.5</v>
      </c>
      <c r="F1456">
        <f t="shared" si="91"/>
        <v>22.5</v>
      </c>
      <c r="G1456">
        <v>46.883000000000003</v>
      </c>
      <c r="H1456">
        <v>2.4049999999999998</v>
      </c>
      <c r="I1456">
        <v>5.1130000000000004</v>
      </c>
      <c r="J1456">
        <v>3</v>
      </c>
      <c r="K1456">
        <v>45</v>
      </c>
      <c r="L1456">
        <v>29</v>
      </c>
      <c r="M1456">
        <v>2.996</v>
      </c>
    </row>
    <row r="1457" spans="1:13" ht="15" customHeight="1">
      <c r="A1457" t="s">
        <v>177</v>
      </c>
      <c r="B1457">
        <f t="shared" si="88"/>
        <v>33.712969000000001</v>
      </c>
      <c r="C1457">
        <f t="shared" si="89"/>
        <v>-117.85730700000001</v>
      </c>
      <c r="D1457">
        <f t="shared" si="90"/>
        <v>57</v>
      </c>
      <c r="E1457">
        <v>35.5</v>
      </c>
      <c r="F1457">
        <f t="shared" si="91"/>
        <v>21.5</v>
      </c>
      <c r="G1457">
        <v>28.35</v>
      </c>
      <c r="H1457">
        <v>1.1499999999999999</v>
      </c>
      <c r="I1457">
        <v>4.0609999999999999</v>
      </c>
      <c r="J1457">
        <v>4</v>
      </c>
      <c r="K1457">
        <v>18</v>
      </c>
      <c r="L1457">
        <v>11</v>
      </c>
      <c r="M1457">
        <v>1.744</v>
      </c>
    </row>
    <row r="1458" spans="1:13" ht="15" customHeight="1">
      <c r="A1458" t="s">
        <v>177</v>
      </c>
      <c r="B1458">
        <f t="shared" si="88"/>
        <v>33.712969000000001</v>
      </c>
      <c r="C1458">
        <f t="shared" si="89"/>
        <v>-117.85730700000001</v>
      </c>
      <c r="D1458">
        <f t="shared" si="90"/>
        <v>57</v>
      </c>
      <c r="E1458">
        <v>36.5</v>
      </c>
      <c r="F1458">
        <f t="shared" si="91"/>
        <v>20.5</v>
      </c>
      <c r="G1458">
        <v>19.05</v>
      </c>
      <c r="H1458">
        <v>0.82799999999999996</v>
      </c>
      <c r="I1458">
        <v>4.3559999999999999</v>
      </c>
      <c r="J1458">
        <v>3</v>
      </c>
      <c r="K1458">
        <v>18</v>
      </c>
      <c r="L1458">
        <v>11</v>
      </c>
      <c r="M1458">
        <v>1.1200000000000001</v>
      </c>
    </row>
    <row r="1459" spans="1:13" ht="15" customHeight="1">
      <c r="A1459" t="s">
        <v>177</v>
      </c>
      <c r="B1459">
        <f t="shared" si="88"/>
        <v>33.712969000000001</v>
      </c>
      <c r="C1459">
        <f t="shared" si="89"/>
        <v>-117.85730700000001</v>
      </c>
      <c r="D1459">
        <f t="shared" si="90"/>
        <v>57</v>
      </c>
      <c r="E1459">
        <v>37.5</v>
      </c>
      <c r="F1459">
        <f t="shared" si="91"/>
        <v>19.5</v>
      </c>
      <c r="G1459">
        <v>30.533000000000001</v>
      </c>
      <c r="H1459">
        <v>0.96499999999999997</v>
      </c>
      <c r="I1459">
        <v>3.173</v>
      </c>
      <c r="J1459">
        <v>5</v>
      </c>
      <c r="K1459">
        <v>15</v>
      </c>
      <c r="L1459">
        <v>9</v>
      </c>
      <c r="M1459">
        <v>1.8759999999999999</v>
      </c>
    </row>
    <row r="1460" spans="1:13" ht="15" customHeight="1">
      <c r="A1460" t="s">
        <v>177</v>
      </c>
      <c r="B1460">
        <f t="shared" si="88"/>
        <v>33.712969000000001</v>
      </c>
      <c r="C1460">
        <f t="shared" si="89"/>
        <v>-117.85730700000001</v>
      </c>
      <c r="D1460">
        <f t="shared" si="90"/>
        <v>57</v>
      </c>
      <c r="E1460">
        <v>38.5</v>
      </c>
      <c r="F1460">
        <f t="shared" si="91"/>
        <v>18.5</v>
      </c>
      <c r="G1460">
        <v>29.683</v>
      </c>
      <c r="H1460">
        <v>1.3420000000000001</v>
      </c>
      <c r="I1460">
        <v>4.5380000000000003</v>
      </c>
      <c r="J1460">
        <v>4</v>
      </c>
      <c r="K1460">
        <v>19</v>
      </c>
      <c r="L1460">
        <v>11</v>
      </c>
      <c r="M1460">
        <v>1.8149999999999999</v>
      </c>
    </row>
    <row r="1461" spans="1:13" ht="15" customHeight="1">
      <c r="A1461" t="s">
        <v>177</v>
      </c>
      <c r="B1461">
        <f t="shared" si="88"/>
        <v>33.712969000000001</v>
      </c>
      <c r="C1461">
        <f t="shared" si="89"/>
        <v>-117.85730700000001</v>
      </c>
      <c r="D1461">
        <f t="shared" si="90"/>
        <v>57</v>
      </c>
      <c r="E1461">
        <v>39.5</v>
      </c>
      <c r="F1461">
        <f t="shared" si="91"/>
        <v>17.5</v>
      </c>
      <c r="G1461">
        <v>35.866999999999997</v>
      </c>
      <c r="H1461">
        <v>1.3819999999999999</v>
      </c>
      <c r="I1461">
        <v>3.8679999999999999</v>
      </c>
      <c r="J1461">
        <v>5</v>
      </c>
      <c r="K1461">
        <v>17</v>
      </c>
      <c r="L1461">
        <v>10</v>
      </c>
      <c r="M1461">
        <v>2.2210000000000001</v>
      </c>
    </row>
    <row r="1462" spans="1:13" ht="15" customHeight="1">
      <c r="A1462" t="s">
        <v>177</v>
      </c>
      <c r="B1462">
        <f t="shared" si="88"/>
        <v>33.712969000000001</v>
      </c>
      <c r="C1462">
        <f t="shared" si="89"/>
        <v>-117.85730700000001</v>
      </c>
      <c r="D1462">
        <f t="shared" si="90"/>
        <v>57</v>
      </c>
      <c r="E1462">
        <v>40.5</v>
      </c>
      <c r="F1462">
        <f t="shared" si="91"/>
        <v>16.5</v>
      </c>
      <c r="G1462">
        <v>89.066999999999993</v>
      </c>
      <c r="H1462">
        <v>3.04</v>
      </c>
      <c r="I1462">
        <v>3.4180000000000001</v>
      </c>
      <c r="J1462">
        <v>6</v>
      </c>
      <c r="K1462">
        <v>34</v>
      </c>
      <c r="L1462">
        <v>20</v>
      </c>
      <c r="M1462">
        <v>5.7640000000000002</v>
      </c>
    </row>
    <row r="1463" spans="1:13" ht="15" customHeight="1">
      <c r="A1463" t="s">
        <v>177</v>
      </c>
      <c r="B1463">
        <f t="shared" si="88"/>
        <v>33.712969000000001</v>
      </c>
      <c r="C1463">
        <f t="shared" si="89"/>
        <v>-117.85730700000001</v>
      </c>
      <c r="D1463">
        <f t="shared" si="90"/>
        <v>57</v>
      </c>
      <c r="E1463">
        <v>41.499000000000002</v>
      </c>
      <c r="F1463">
        <f t="shared" si="91"/>
        <v>15.500999999999998</v>
      </c>
      <c r="G1463">
        <v>73.414000000000001</v>
      </c>
      <c r="H1463">
        <v>2.1640000000000001</v>
      </c>
      <c r="I1463">
        <v>2.9529999999999998</v>
      </c>
      <c r="J1463">
        <v>6</v>
      </c>
      <c r="K1463">
        <v>28</v>
      </c>
      <c r="L1463">
        <v>16</v>
      </c>
      <c r="M1463">
        <v>4.7169999999999996</v>
      </c>
    </row>
    <row r="1464" spans="1:13" ht="15" customHeight="1">
      <c r="A1464" t="s">
        <v>177</v>
      </c>
      <c r="B1464">
        <f t="shared" si="88"/>
        <v>33.712969000000001</v>
      </c>
      <c r="C1464">
        <f t="shared" si="89"/>
        <v>-117.85730700000001</v>
      </c>
      <c r="D1464">
        <f t="shared" si="90"/>
        <v>57</v>
      </c>
      <c r="E1464">
        <v>42.499000000000002</v>
      </c>
      <c r="F1464">
        <f t="shared" si="91"/>
        <v>14.500999999999998</v>
      </c>
      <c r="G1464">
        <v>102.033</v>
      </c>
      <c r="H1464">
        <v>2.9420000000000002</v>
      </c>
      <c r="I1464">
        <v>2.8879999999999999</v>
      </c>
      <c r="J1464">
        <v>6</v>
      </c>
      <c r="K1464">
        <v>39</v>
      </c>
      <c r="L1464">
        <v>22</v>
      </c>
      <c r="M1464">
        <v>6.6180000000000003</v>
      </c>
    </row>
    <row r="1465" spans="1:13" ht="15" customHeight="1">
      <c r="A1465" t="s">
        <v>177</v>
      </c>
      <c r="B1465">
        <f t="shared" si="88"/>
        <v>33.712969000000001</v>
      </c>
      <c r="C1465">
        <f t="shared" si="89"/>
        <v>-117.85730700000001</v>
      </c>
      <c r="D1465">
        <f t="shared" si="90"/>
        <v>57</v>
      </c>
      <c r="E1465">
        <v>43.499000000000002</v>
      </c>
      <c r="F1465">
        <f t="shared" si="91"/>
        <v>13.500999999999998</v>
      </c>
      <c r="G1465">
        <v>137.96700000000001</v>
      </c>
      <c r="H1465">
        <v>3.2829999999999999</v>
      </c>
      <c r="I1465">
        <v>2.383</v>
      </c>
      <c r="J1465">
        <v>7</v>
      </c>
      <c r="K1465">
        <v>44</v>
      </c>
      <c r="L1465">
        <v>25</v>
      </c>
      <c r="M1465" s="1">
        <v>9000000000</v>
      </c>
    </row>
    <row r="1466" spans="1:13" ht="15" customHeight="1">
      <c r="A1466" t="s">
        <v>177</v>
      </c>
      <c r="B1466">
        <f t="shared" si="88"/>
        <v>33.712969000000001</v>
      </c>
      <c r="C1466">
        <f t="shared" si="89"/>
        <v>-117.85730700000001</v>
      </c>
      <c r="D1466">
        <f t="shared" si="90"/>
        <v>57</v>
      </c>
      <c r="E1466">
        <v>44.499000000000002</v>
      </c>
      <c r="F1466">
        <f t="shared" si="91"/>
        <v>12.500999999999998</v>
      </c>
      <c r="G1466">
        <v>175.75</v>
      </c>
      <c r="H1466">
        <v>7.8330000000000002</v>
      </c>
      <c r="I1466">
        <v>4.4610000000000003</v>
      </c>
      <c r="J1466">
        <v>11</v>
      </c>
      <c r="K1466">
        <v>168</v>
      </c>
      <c r="L1466">
        <v>95</v>
      </c>
      <c r="M1466" s="1">
        <v>9000000000</v>
      </c>
    </row>
    <row r="1467" spans="1:13" ht="15" customHeight="1">
      <c r="A1467" t="s">
        <v>177</v>
      </c>
      <c r="B1467">
        <f t="shared" si="88"/>
        <v>33.712969000000001</v>
      </c>
      <c r="C1467">
        <f t="shared" si="89"/>
        <v>-117.85730700000001</v>
      </c>
      <c r="D1467">
        <f t="shared" si="90"/>
        <v>57</v>
      </c>
      <c r="E1467">
        <v>45.499000000000002</v>
      </c>
      <c r="F1467">
        <f t="shared" si="91"/>
        <v>11.500999999999998</v>
      </c>
      <c r="G1467">
        <v>64.183000000000007</v>
      </c>
      <c r="H1467">
        <v>2.4830000000000001</v>
      </c>
      <c r="I1467">
        <v>3.88</v>
      </c>
      <c r="J1467">
        <v>5</v>
      </c>
      <c r="K1467">
        <v>31</v>
      </c>
      <c r="L1467">
        <v>17</v>
      </c>
      <c r="M1467">
        <v>4.0810000000000004</v>
      </c>
    </row>
    <row r="1468" spans="1:13" ht="15" customHeight="1">
      <c r="A1468" t="s">
        <v>177</v>
      </c>
      <c r="B1468">
        <f t="shared" si="88"/>
        <v>33.712969000000001</v>
      </c>
      <c r="C1468">
        <f t="shared" si="89"/>
        <v>-117.85730700000001</v>
      </c>
      <c r="D1468">
        <f t="shared" si="90"/>
        <v>57</v>
      </c>
      <c r="E1468">
        <v>46.499000000000002</v>
      </c>
      <c r="F1468">
        <f t="shared" si="91"/>
        <v>10.500999999999998</v>
      </c>
      <c r="G1468">
        <v>75.599999999999994</v>
      </c>
      <c r="H1468">
        <v>3.5150000000000001</v>
      </c>
      <c r="I1468">
        <v>4.6619999999999999</v>
      </c>
      <c r="J1468">
        <v>11</v>
      </c>
      <c r="K1468">
        <v>72</v>
      </c>
      <c r="L1468">
        <v>40</v>
      </c>
      <c r="M1468" s="1">
        <v>9000000000</v>
      </c>
    </row>
    <row r="1469" spans="1:13" ht="15" customHeight="1">
      <c r="A1469" t="s">
        <v>177</v>
      </c>
      <c r="B1469">
        <f t="shared" si="88"/>
        <v>33.712969000000001</v>
      </c>
      <c r="C1469">
        <f t="shared" si="89"/>
        <v>-117.85730700000001</v>
      </c>
      <c r="D1469">
        <f t="shared" si="90"/>
        <v>57</v>
      </c>
      <c r="E1469">
        <v>47.499000000000002</v>
      </c>
      <c r="F1469">
        <f t="shared" si="91"/>
        <v>9.5009999999999977</v>
      </c>
      <c r="G1469">
        <v>24.966999999999999</v>
      </c>
      <c r="H1469">
        <v>1.125</v>
      </c>
      <c r="I1469">
        <v>4.5419999999999998</v>
      </c>
      <c r="J1469">
        <v>3</v>
      </c>
      <c r="K1469">
        <v>24</v>
      </c>
      <c r="L1469">
        <v>13</v>
      </c>
      <c r="M1469">
        <v>1.4570000000000001</v>
      </c>
    </row>
    <row r="1470" spans="1:13" ht="15" customHeight="1">
      <c r="A1470" t="s">
        <v>177</v>
      </c>
      <c r="B1470">
        <f t="shared" si="88"/>
        <v>33.712969000000001</v>
      </c>
      <c r="C1470">
        <f t="shared" si="89"/>
        <v>-117.85730700000001</v>
      </c>
      <c r="D1470">
        <f t="shared" si="90"/>
        <v>57</v>
      </c>
      <c r="E1470">
        <v>48.499000000000002</v>
      </c>
      <c r="F1470">
        <f t="shared" si="91"/>
        <v>8.5009999999999977</v>
      </c>
      <c r="G1470">
        <v>33.366999999999997</v>
      </c>
      <c r="H1470">
        <v>1.7969999999999999</v>
      </c>
      <c r="I1470">
        <v>5.4139999999999997</v>
      </c>
      <c r="J1470">
        <v>3</v>
      </c>
      <c r="K1470">
        <v>32</v>
      </c>
      <c r="L1470">
        <v>17</v>
      </c>
      <c r="M1470">
        <v>2.0139999999999998</v>
      </c>
    </row>
    <row r="1471" spans="1:13" ht="15" customHeight="1">
      <c r="A1471" t="s">
        <v>177</v>
      </c>
      <c r="B1471">
        <f t="shared" si="88"/>
        <v>33.712969000000001</v>
      </c>
      <c r="C1471">
        <f t="shared" si="89"/>
        <v>-117.85730700000001</v>
      </c>
      <c r="D1471">
        <f t="shared" si="90"/>
        <v>57</v>
      </c>
      <c r="E1471">
        <v>49.499000000000002</v>
      </c>
      <c r="F1471">
        <f t="shared" si="91"/>
        <v>7.5009999999999977</v>
      </c>
      <c r="G1471">
        <v>158.28299999999999</v>
      </c>
      <c r="H1471">
        <v>2.1669999999999998</v>
      </c>
      <c r="I1471">
        <v>1.37</v>
      </c>
      <c r="J1471">
        <v>8</v>
      </c>
      <c r="K1471">
        <v>38</v>
      </c>
      <c r="L1471">
        <v>20</v>
      </c>
      <c r="M1471" s="1">
        <v>9000000000</v>
      </c>
    </row>
    <row r="1472" spans="1:13" ht="15" customHeight="1">
      <c r="A1472" t="s">
        <v>177</v>
      </c>
      <c r="B1472">
        <f t="shared" si="88"/>
        <v>33.712969000000001</v>
      </c>
      <c r="C1472">
        <f t="shared" si="89"/>
        <v>-117.85730700000001</v>
      </c>
      <c r="D1472">
        <f t="shared" si="90"/>
        <v>57</v>
      </c>
      <c r="E1472">
        <v>50.499000000000002</v>
      </c>
      <c r="F1472">
        <f t="shared" si="91"/>
        <v>6.5009999999999977</v>
      </c>
      <c r="G1472">
        <v>184.56700000000001</v>
      </c>
      <c r="H1472">
        <v>2.2480000000000002</v>
      </c>
      <c r="I1472">
        <v>1.2170000000000001</v>
      </c>
      <c r="J1472">
        <v>8</v>
      </c>
      <c r="K1472">
        <v>44</v>
      </c>
      <c r="L1472">
        <v>23</v>
      </c>
      <c r="M1472" s="1">
        <v>9000000000</v>
      </c>
    </row>
    <row r="1473" spans="1:13" ht="15" customHeight="1">
      <c r="A1473" t="s">
        <v>177</v>
      </c>
      <c r="B1473">
        <f t="shared" si="88"/>
        <v>33.712969000000001</v>
      </c>
      <c r="C1473">
        <f t="shared" si="89"/>
        <v>-117.85730700000001</v>
      </c>
      <c r="D1473">
        <f t="shared" si="90"/>
        <v>57</v>
      </c>
      <c r="E1473">
        <v>51.499000000000002</v>
      </c>
      <c r="F1473">
        <f t="shared" si="91"/>
        <v>5.5009999999999977</v>
      </c>
      <c r="G1473">
        <v>128.31700000000001</v>
      </c>
      <c r="H1473">
        <v>1.617</v>
      </c>
      <c r="I1473">
        <v>1.258</v>
      </c>
      <c r="J1473">
        <v>8</v>
      </c>
      <c r="K1473">
        <v>31</v>
      </c>
      <c r="L1473">
        <v>16</v>
      </c>
      <c r="M1473" s="1">
        <v>9000000000</v>
      </c>
    </row>
    <row r="1474" spans="1:13" ht="15" customHeight="1">
      <c r="A1474" t="s">
        <v>177</v>
      </c>
      <c r="B1474">
        <f t="shared" ref="B1474:B1537" si="92">VLOOKUP(A1474,XYdata,3,FALSE)</f>
        <v>33.712969000000001</v>
      </c>
      <c r="C1474">
        <f t="shared" ref="C1474:C1537" si="93">VLOOKUP(A1474,XYdata,2,FALSE)</f>
        <v>-117.85730700000001</v>
      </c>
      <c r="D1474">
        <f t="shared" ref="D1474:D1537" si="94">VLOOKUP(A1474,Elevation,2,FALSE)</f>
        <v>57</v>
      </c>
      <c r="E1474">
        <v>52.499000000000002</v>
      </c>
      <c r="F1474">
        <f t="shared" si="91"/>
        <v>4.5009999999999977</v>
      </c>
      <c r="G1474">
        <v>141.75700000000001</v>
      </c>
      <c r="H1474">
        <v>2.327</v>
      </c>
      <c r="I1474">
        <v>1.639</v>
      </c>
      <c r="J1474">
        <v>8</v>
      </c>
      <c r="K1474">
        <v>34</v>
      </c>
      <c r="L1474">
        <v>18</v>
      </c>
      <c r="M1474" s="1">
        <v>9000000000</v>
      </c>
    </row>
    <row r="1475" spans="1:13" ht="15" customHeight="1">
      <c r="A1475" t="s">
        <v>177</v>
      </c>
      <c r="B1475">
        <f t="shared" si="92"/>
        <v>33.712969000000001</v>
      </c>
      <c r="C1475">
        <f t="shared" si="93"/>
        <v>-117.85730700000001</v>
      </c>
      <c r="D1475">
        <f t="shared" si="94"/>
        <v>57</v>
      </c>
      <c r="E1475">
        <v>53.499000000000002</v>
      </c>
      <c r="F1475">
        <f t="shared" ref="F1475:F1538" si="95">D1475-E1475</f>
        <v>3.5009999999999977</v>
      </c>
      <c r="G1475">
        <v>153.71700000000001</v>
      </c>
      <c r="H1475">
        <v>2.6419999999999999</v>
      </c>
      <c r="I1475">
        <v>1.716</v>
      </c>
      <c r="J1475">
        <v>8</v>
      </c>
      <c r="K1475">
        <v>37</v>
      </c>
      <c r="L1475">
        <v>19</v>
      </c>
      <c r="M1475" s="1">
        <v>9000000000</v>
      </c>
    </row>
    <row r="1476" spans="1:13" ht="15" customHeight="1">
      <c r="A1476" t="s">
        <v>177</v>
      </c>
      <c r="B1476">
        <f t="shared" si="92"/>
        <v>33.712969000000001</v>
      </c>
      <c r="C1476">
        <f t="shared" si="93"/>
        <v>-117.85730700000001</v>
      </c>
      <c r="D1476">
        <f t="shared" si="94"/>
        <v>57</v>
      </c>
      <c r="E1476">
        <v>54.499000000000002</v>
      </c>
      <c r="F1476">
        <f t="shared" si="95"/>
        <v>2.5009999999999977</v>
      </c>
      <c r="G1476">
        <v>151.19999999999999</v>
      </c>
      <c r="H1476">
        <v>3.3029999999999999</v>
      </c>
      <c r="I1476">
        <v>2.1850000000000001</v>
      </c>
      <c r="J1476">
        <v>7</v>
      </c>
      <c r="K1476">
        <v>48</v>
      </c>
      <c r="L1476">
        <v>24</v>
      </c>
      <c r="M1476" s="1">
        <v>9000000000</v>
      </c>
    </row>
    <row r="1477" spans="1:13" ht="15" customHeight="1">
      <c r="A1477" t="s">
        <v>177</v>
      </c>
      <c r="B1477">
        <f t="shared" si="92"/>
        <v>33.712969000000001</v>
      </c>
      <c r="C1477">
        <f t="shared" si="93"/>
        <v>-117.85730700000001</v>
      </c>
      <c r="D1477">
        <f t="shared" si="94"/>
        <v>57</v>
      </c>
      <c r="E1477">
        <v>55.499000000000002</v>
      </c>
      <c r="F1477">
        <f t="shared" si="95"/>
        <v>1.5009999999999977</v>
      </c>
      <c r="G1477">
        <v>64.783000000000001</v>
      </c>
      <c r="H1477">
        <v>2.145</v>
      </c>
      <c r="I1477">
        <v>3.3149999999999999</v>
      </c>
      <c r="J1477">
        <v>6</v>
      </c>
      <c r="K1477">
        <v>25</v>
      </c>
      <c r="L1477">
        <v>13</v>
      </c>
      <c r="M1477">
        <v>4.0860000000000003</v>
      </c>
    </row>
    <row r="1478" spans="1:13" ht="15" customHeight="1">
      <c r="A1478" t="s">
        <v>177</v>
      </c>
      <c r="B1478">
        <f t="shared" si="92"/>
        <v>33.712969000000001</v>
      </c>
      <c r="C1478">
        <f t="shared" si="93"/>
        <v>-117.85730700000001</v>
      </c>
      <c r="D1478">
        <f t="shared" si="94"/>
        <v>57</v>
      </c>
      <c r="E1478">
        <v>56.499000000000002</v>
      </c>
      <c r="F1478">
        <f t="shared" si="95"/>
        <v>0.50099999999999767</v>
      </c>
      <c r="G1478">
        <v>87.582999999999998</v>
      </c>
      <c r="H1478">
        <v>2.98</v>
      </c>
      <c r="I1478">
        <v>3.4079999999999999</v>
      </c>
      <c r="J1478">
        <v>6</v>
      </c>
      <c r="K1478">
        <v>34</v>
      </c>
      <c r="L1478">
        <v>17</v>
      </c>
      <c r="M1478">
        <v>5.5990000000000002</v>
      </c>
    </row>
    <row r="1479" spans="1:13" ht="15" customHeight="1">
      <c r="A1479" t="s">
        <v>177</v>
      </c>
      <c r="B1479">
        <f t="shared" si="92"/>
        <v>33.712969000000001</v>
      </c>
      <c r="C1479">
        <f t="shared" si="93"/>
        <v>-117.85730700000001</v>
      </c>
      <c r="D1479">
        <f t="shared" si="94"/>
        <v>57</v>
      </c>
      <c r="E1479">
        <v>57.499000000000002</v>
      </c>
      <c r="F1479">
        <f t="shared" si="95"/>
        <v>-0.49900000000000233</v>
      </c>
      <c r="G1479">
        <v>79.216999999999999</v>
      </c>
      <c r="H1479">
        <v>3.153</v>
      </c>
      <c r="I1479">
        <v>3.99</v>
      </c>
      <c r="J1479">
        <v>5</v>
      </c>
      <c r="K1479">
        <v>38</v>
      </c>
      <c r="L1479">
        <v>19</v>
      </c>
      <c r="M1479">
        <v>5.0330000000000004</v>
      </c>
    </row>
    <row r="1480" spans="1:13" ht="15" customHeight="1">
      <c r="A1480" t="s">
        <v>177</v>
      </c>
      <c r="B1480">
        <f t="shared" si="92"/>
        <v>33.712969000000001</v>
      </c>
      <c r="C1480">
        <f t="shared" si="93"/>
        <v>-117.85730700000001</v>
      </c>
      <c r="D1480">
        <f t="shared" si="94"/>
        <v>57</v>
      </c>
      <c r="E1480">
        <v>58.499000000000002</v>
      </c>
      <c r="F1480">
        <f t="shared" si="95"/>
        <v>-1.4990000000000023</v>
      </c>
      <c r="G1480">
        <v>55.633000000000003</v>
      </c>
      <c r="H1480">
        <v>1.625</v>
      </c>
      <c r="I1480">
        <v>2.931</v>
      </c>
      <c r="J1480">
        <v>6</v>
      </c>
      <c r="K1480">
        <v>21</v>
      </c>
      <c r="L1480">
        <v>11</v>
      </c>
      <c r="M1480">
        <v>3.456</v>
      </c>
    </row>
    <row r="1481" spans="1:13" ht="15" customHeight="1">
      <c r="A1481" t="s">
        <v>177</v>
      </c>
      <c r="B1481">
        <f t="shared" si="92"/>
        <v>33.712969000000001</v>
      </c>
      <c r="C1481">
        <f t="shared" si="93"/>
        <v>-117.85730700000001</v>
      </c>
      <c r="D1481">
        <f t="shared" si="94"/>
        <v>57</v>
      </c>
      <c r="E1481">
        <v>59.499000000000002</v>
      </c>
      <c r="F1481">
        <f t="shared" si="95"/>
        <v>-2.4990000000000023</v>
      </c>
      <c r="G1481">
        <v>27</v>
      </c>
      <c r="H1481">
        <v>0.92</v>
      </c>
      <c r="I1481">
        <v>3.431</v>
      </c>
      <c r="J1481">
        <v>5</v>
      </c>
      <c r="K1481">
        <v>13</v>
      </c>
      <c r="L1481">
        <v>7</v>
      </c>
      <c r="M1481">
        <v>1.544</v>
      </c>
    </row>
    <row r="1482" spans="1:13" ht="15" customHeight="1">
      <c r="A1482" t="s">
        <v>177</v>
      </c>
      <c r="B1482">
        <f t="shared" si="92"/>
        <v>33.712969000000001</v>
      </c>
      <c r="C1482">
        <f t="shared" si="93"/>
        <v>-117.85730700000001</v>
      </c>
      <c r="D1482">
        <f t="shared" si="94"/>
        <v>57</v>
      </c>
      <c r="E1482">
        <v>60.499000000000002</v>
      </c>
      <c r="F1482">
        <f t="shared" si="95"/>
        <v>-3.4990000000000023</v>
      </c>
      <c r="G1482">
        <v>48.082999999999998</v>
      </c>
      <c r="H1482">
        <v>2.4329999999999998</v>
      </c>
      <c r="I1482">
        <v>5.0780000000000003</v>
      </c>
      <c r="J1482">
        <v>3</v>
      </c>
      <c r="K1482">
        <v>46</v>
      </c>
      <c r="L1482">
        <v>23</v>
      </c>
      <c r="M1482">
        <v>2.9460000000000002</v>
      </c>
    </row>
    <row r="1483" spans="1:13" ht="15" customHeight="1">
      <c r="A1483" t="s">
        <v>177</v>
      </c>
      <c r="B1483">
        <f t="shared" si="92"/>
        <v>33.712969000000001</v>
      </c>
      <c r="C1483">
        <f t="shared" si="93"/>
        <v>-117.85730700000001</v>
      </c>
      <c r="D1483">
        <f t="shared" si="94"/>
        <v>57</v>
      </c>
      <c r="E1483">
        <v>61.499000000000002</v>
      </c>
      <c r="F1483">
        <f t="shared" si="95"/>
        <v>-4.4990000000000023</v>
      </c>
      <c r="G1483">
        <v>70.783000000000001</v>
      </c>
      <c r="H1483">
        <v>2.15</v>
      </c>
      <c r="I1483">
        <v>3.044</v>
      </c>
      <c r="J1483">
        <v>6</v>
      </c>
      <c r="K1483">
        <v>27</v>
      </c>
      <c r="L1483">
        <v>14</v>
      </c>
      <c r="M1483">
        <v>4.4569999999999999</v>
      </c>
    </row>
    <row r="1484" spans="1:13" ht="15" customHeight="1">
      <c r="A1484" t="s">
        <v>177</v>
      </c>
      <c r="B1484">
        <f t="shared" si="92"/>
        <v>33.712969000000001</v>
      </c>
      <c r="C1484">
        <f t="shared" si="93"/>
        <v>-117.85730700000001</v>
      </c>
      <c r="D1484">
        <f t="shared" si="94"/>
        <v>57</v>
      </c>
      <c r="E1484">
        <v>62.499000000000002</v>
      </c>
      <c r="F1484">
        <f t="shared" si="95"/>
        <v>-5.4990000000000023</v>
      </c>
      <c r="G1484">
        <v>80.271000000000001</v>
      </c>
      <c r="H1484">
        <v>1.6639999999999999</v>
      </c>
      <c r="I1484">
        <v>2.077</v>
      </c>
      <c r="J1484">
        <v>7</v>
      </c>
      <c r="K1484">
        <v>26</v>
      </c>
      <c r="L1484">
        <v>13</v>
      </c>
      <c r="M1484" s="1">
        <v>9000000000</v>
      </c>
    </row>
    <row r="1485" spans="1:13" ht="15" customHeight="1">
      <c r="A1485" t="s">
        <v>177</v>
      </c>
      <c r="B1485">
        <f t="shared" si="92"/>
        <v>33.712969000000001</v>
      </c>
      <c r="C1485">
        <f t="shared" si="93"/>
        <v>-117.85730700000001</v>
      </c>
      <c r="D1485">
        <f t="shared" si="94"/>
        <v>57</v>
      </c>
      <c r="E1485">
        <v>63.499000000000002</v>
      </c>
      <c r="F1485">
        <f t="shared" si="95"/>
        <v>-6.4990000000000023</v>
      </c>
      <c r="G1485">
        <v>84.55</v>
      </c>
      <c r="H1485">
        <v>1.758</v>
      </c>
      <c r="I1485">
        <v>2.0819999999999999</v>
      </c>
      <c r="J1485">
        <v>7</v>
      </c>
      <c r="K1485">
        <v>27</v>
      </c>
      <c r="L1485">
        <v>14</v>
      </c>
      <c r="M1485" s="1">
        <v>9000000000</v>
      </c>
    </row>
    <row r="1486" spans="1:13" ht="15" customHeight="1">
      <c r="A1486" t="s">
        <v>177</v>
      </c>
      <c r="B1486">
        <f t="shared" si="92"/>
        <v>33.712969000000001</v>
      </c>
      <c r="C1486">
        <f t="shared" si="93"/>
        <v>-117.85730700000001</v>
      </c>
      <c r="D1486">
        <f t="shared" si="94"/>
        <v>57</v>
      </c>
      <c r="E1486">
        <v>64.498999999999995</v>
      </c>
      <c r="F1486">
        <f t="shared" si="95"/>
        <v>-7.4989999999999952</v>
      </c>
      <c r="G1486">
        <v>68.2</v>
      </c>
      <c r="H1486">
        <v>2.117</v>
      </c>
      <c r="I1486">
        <v>3.105</v>
      </c>
      <c r="J1486">
        <v>6</v>
      </c>
      <c r="K1486">
        <v>26</v>
      </c>
      <c r="L1486">
        <v>13</v>
      </c>
      <c r="M1486">
        <v>4.28</v>
      </c>
    </row>
    <row r="1487" spans="1:13" ht="15" customHeight="1">
      <c r="A1487" t="s">
        <v>177</v>
      </c>
      <c r="B1487">
        <f t="shared" si="92"/>
        <v>33.712969000000001</v>
      </c>
      <c r="C1487">
        <f t="shared" si="93"/>
        <v>-117.85730700000001</v>
      </c>
      <c r="D1487">
        <f t="shared" si="94"/>
        <v>57</v>
      </c>
      <c r="E1487">
        <v>65.498999999999995</v>
      </c>
      <c r="F1487">
        <f t="shared" si="95"/>
        <v>-8.4989999999999952</v>
      </c>
      <c r="G1487">
        <v>67.867000000000004</v>
      </c>
      <c r="H1487">
        <v>2.532</v>
      </c>
      <c r="I1487">
        <v>3.7370000000000001</v>
      </c>
      <c r="J1487">
        <v>5</v>
      </c>
      <c r="K1487">
        <v>32</v>
      </c>
      <c r="L1487">
        <v>16</v>
      </c>
      <c r="M1487">
        <v>4.2480000000000002</v>
      </c>
    </row>
    <row r="1488" spans="1:13" ht="15" customHeight="1">
      <c r="A1488" t="s">
        <v>177</v>
      </c>
      <c r="B1488">
        <f t="shared" si="92"/>
        <v>33.712969000000001</v>
      </c>
      <c r="C1488">
        <f t="shared" si="93"/>
        <v>-117.85730700000001</v>
      </c>
      <c r="D1488">
        <f t="shared" si="94"/>
        <v>57</v>
      </c>
      <c r="E1488">
        <v>66.498999999999995</v>
      </c>
      <c r="F1488">
        <f t="shared" si="95"/>
        <v>-9.4989999999999952</v>
      </c>
      <c r="G1488">
        <v>74.332999999999998</v>
      </c>
      <c r="H1488">
        <v>2.3530000000000002</v>
      </c>
      <c r="I1488">
        <v>3.1720000000000002</v>
      </c>
      <c r="J1488">
        <v>6</v>
      </c>
      <c r="K1488">
        <v>28</v>
      </c>
      <c r="L1488">
        <v>14</v>
      </c>
      <c r="M1488">
        <v>4.6740000000000004</v>
      </c>
    </row>
    <row r="1489" spans="1:13" ht="15" customHeight="1">
      <c r="A1489" t="s">
        <v>177</v>
      </c>
      <c r="B1489">
        <f t="shared" si="92"/>
        <v>33.712969000000001</v>
      </c>
      <c r="C1489">
        <f t="shared" si="93"/>
        <v>-117.85730700000001</v>
      </c>
      <c r="D1489">
        <f t="shared" si="94"/>
        <v>57</v>
      </c>
      <c r="E1489">
        <v>67.498999999999995</v>
      </c>
      <c r="F1489">
        <f t="shared" si="95"/>
        <v>-10.498999999999995</v>
      </c>
      <c r="G1489">
        <v>78.917000000000002</v>
      </c>
      <c r="H1489">
        <v>1.8149999999999999</v>
      </c>
      <c r="I1489">
        <v>2.3039999999999998</v>
      </c>
      <c r="J1489">
        <v>7</v>
      </c>
      <c r="K1489">
        <v>25</v>
      </c>
      <c r="L1489">
        <v>13</v>
      </c>
      <c r="M1489" s="1">
        <v>9000000000</v>
      </c>
    </row>
    <row r="1490" spans="1:13" ht="15" customHeight="1">
      <c r="A1490" t="s">
        <v>177</v>
      </c>
      <c r="B1490">
        <f t="shared" si="92"/>
        <v>33.712969000000001</v>
      </c>
      <c r="C1490">
        <f t="shared" si="93"/>
        <v>-117.85730700000001</v>
      </c>
      <c r="D1490">
        <f t="shared" si="94"/>
        <v>57</v>
      </c>
      <c r="E1490">
        <v>68.498999999999995</v>
      </c>
      <c r="F1490">
        <f t="shared" si="95"/>
        <v>-11.498999999999995</v>
      </c>
      <c r="G1490">
        <v>29.65</v>
      </c>
      <c r="H1490">
        <v>0.89800000000000002</v>
      </c>
      <c r="I1490">
        <v>3.0419999999999998</v>
      </c>
      <c r="J1490">
        <v>5</v>
      </c>
      <c r="K1490">
        <v>14</v>
      </c>
      <c r="L1490">
        <v>7</v>
      </c>
      <c r="M1490">
        <v>1.6879999999999999</v>
      </c>
    </row>
    <row r="1491" spans="1:13" ht="15" customHeight="1">
      <c r="A1491" t="s">
        <v>177</v>
      </c>
      <c r="B1491">
        <f t="shared" si="92"/>
        <v>33.712969000000001</v>
      </c>
      <c r="C1491">
        <f t="shared" si="93"/>
        <v>-117.85730700000001</v>
      </c>
      <c r="D1491">
        <f t="shared" si="94"/>
        <v>57</v>
      </c>
      <c r="E1491">
        <v>69.498999999999995</v>
      </c>
      <c r="F1491">
        <f t="shared" si="95"/>
        <v>-12.498999999999995</v>
      </c>
      <c r="G1491">
        <v>21.716999999999999</v>
      </c>
      <c r="H1491">
        <v>0.503</v>
      </c>
      <c r="I1491">
        <v>2.33</v>
      </c>
      <c r="J1491">
        <v>6</v>
      </c>
      <c r="K1491">
        <v>8</v>
      </c>
      <c r="L1491">
        <v>4</v>
      </c>
      <c r="M1491">
        <v>1.155</v>
      </c>
    </row>
    <row r="1492" spans="1:13" ht="15" customHeight="1">
      <c r="A1492" t="s">
        <v>177</v>
      </c>
      <c r="B1492">
        <f t="shared" si="92"/>
        <v>33.712969000000001</v>
      </c>
      <c r="C1492">
        <f t="shared" si="93"/>
        <v>-117.85730700000001</v>
      </c>
      <c r="D1492">
        <f t="shared" si="94"/>
        <v>57</v>
      </c>
      <c r="E1492">
        <v>70.498999999999995</v>
      </c>
      <c r="F1492">
        <f t="shared" si="95"/>
        <v>-13.498999999999995</v>
      </c>
      <c r="G1492">
        <v>20.367000000000001</v>
      </c>
      <c r="H1492">
        <v>0.40799999999999997</v>
      </c>
      <c r="I1492">
        <v>2.0099999999999998</v>
      </c>
      <c r="J1492">
        <v>6</v>
      </c>
      <c r="K1492">
        <v>8</v>
      </c>
      <c r="L1492">
        <v>4</v>
      </c>
      <c r="M1492">
        <v>1.0649999999999999</v>
      </c>
    </row>
    <row r="1493" spans="1:13" ht="15" customHeight="1">
      <c r="A1493" t="s">
        <v>177</v>
      </c>
      <c r="B1493">
        <f t="shared" si="92"/>
        <v>33.712969000000001</v>
      </c>
      <c r="C1493">
        <f t="shared" si="93"/>
        <v>-117.85730700000001</v>
      </c>
      <c r="D1493">
        <f t="shared" si="94"/>
        <v>57</v>
      </c>
      <c r="E1493">
        <v>71.498999999999995</v>
      </c>
      <c r="F1493">
        <f t="shared" si="95"/>
        <v>-14.498999999999995</v>
      </c>
      <c r="G1493">
        <v>24.917000000000002</v>
      </c>
      <c r="H1493">
        <v>0.72799999999999998</v>
      </c>
      <c r="I1493">
        <v>2.9289999999999998</v>
      </c>
      <c r="J1493">
        <v>5</v>
      </c>
      <c r="K1493">
        <v>12</v>
      </c>
      <c r="L1493">
        <v>6</v>
      </c>
      <c r="M1493">
        <v>1.3640000000000001</v>
      </c>
    </row>
    <row r="1494" spans="1:13" ht="15" customHeight="1">
      <c r="A1494" t="s">
        <v>177</v>
      </c>
      <c r="B1494">
        <f t="shared" si="92"/>
        <v>33.712969000000001</v>
      </c>
      <c r="C1494">
        <f t="shared" si="93"/>
        <v>-117.85730700000001</v>
      </c>
      <c r="D1494">
        <f t="shared" si="94"/>
        <v>57</v>
      </c>
      <c r="E1494">
        <v>72.498999999999995</v>
      </c>
      <c r="F1494">
        <f t="shared" si="95"/>
        <v>-15.498999999999995</v>
      </c>
      <c r="G1494">
        <v>21.814</v>
      </c>
      <c r="H1494">
        <v>0.73099999999999998</v>
      </c>
      <c r="I1494">
        <v>3.3530000000000002</v>
      </c>
      <c r="J1494">
        <v>5</v>
      </c>
      <c r="K1494">
        <v>10</v>
      </c>
      <c r="L1494">
        <v>5</v>
      </c>
      <c r="M1494">
        <v>1.157</v>
      </c>
    </row>
    <row r="1495" spans="1:13" ht="15" customHeight="1">
      <c r="A1495" t="s">
        <v>177</v>
      </c>
      <c r="B1495">
        <f t="shared" si="92"/>
        <v>33.712969000000001</v>
      </c>
      <c r="C1495">
        <f t="shared" si="93"/>
        <v>-117.85730700000001</v>
      </c>
      <c r="D1495">
        <f t="shared" si="94"/>
        <v>57</v>
      </c>
      <c r="E1495">
        <v>73.498999999999995</v>
      </c>
      <c r="F1495">
        <f t="shared" si="95"/>
        <v>-16.498999999999995</v>
      </c>
      <c r="G1495">
        <v>20.05</v>
      </c>
      <c r="H1495">
        <v>0.57699999999999996</v>
      </c>
      <c r="I1495">
        <v>2.8690000000000002</v>
      </c>
      <c r="J1495">
        <v>5</v>
      </c>
      <c r="K1495">
        <v>10</v>
      </c>
      <c r="L1495">
        <v>5</v>
      </c>
      <c r="M1495">
        <v>1.038</v>
      </c>
    </row>
    <row r="1496" spans="1:13" ht="15" customHeight="1">
      <c r="A1496" t="s">
        <v>177</v>
      </c>
      <c r="B1496">
        <f t="shared" si="92"/>
        <v>33.712969000000001</v>
      </c>
      <c r="C1496">
        <f t="shared" si="93"/>
        <v>-117.85730700000001</v>
      </c>
      <c r="D1496">
        <f t="shared" si="94"/>
        <v>57</v>
      </c>
      <c r="E1496">
        <v>74.498999999999995</v>
      </c>
      <c r="F1496">
        <f t="shared" si="95"/>
        <v>-17.498999999999995</v>
      </c>
      <c r="G1496">
        <v>22.2</v>
      </c>
      <c r="H1496">
        <v>0.76</v>
      </c>
      <c r="I1496">
        <v>3.411</v>
      </c>
      <c r="J1496">
        <v>5</v>
      </c>
      <c r="K1496">
        <v>11</v>
      </c>
      <c r="L1496">
        <v>6</v>
      </c>
      <c r="M1496">
        <v>1.18</v>
      </c>
    </row>
    <row r="1497" spans="1:13" ht="15" customHeight="1">
      <c r="A1497" t="s">
        <v>177</v>
      </c>
      <c r="B1497">
        <f t="shared" si="92"/>
        <v>33.712969000000001</v>
      </c>
      <c r="C1497">
        <f t="shared" si="93"/>
        <v>-117.85730700000001</v>
      </c>
      <c r="D1497">
        <f t="shared" si="94"/>
        <v>57</v>
      </c>
      <c r="E1497">
        <v>75.498999999999995</v>
      </c>
      <c r="F1497">
        <f t="shared" si="95"/>
        <v>-18.498999999999995</v>
      </c>
      <c r="G1497">
        <v>21.382999999999999</v>
      </c>
      <c r="H1497">
        <v>0.57299999999999995</v>
      </c>
      <c r="I1497">
        <v>2.665</v>
      </c>
      <c r="J1497">
        <v>5</v>
      </c>
      <c r="K1497">
        <v>10</v>
      </c>
      <c r="L1497">
        <v>5</v>
      </c>
      <c r="M1497">
        <v>1.125</v>
      </c>
    </row>
    <row r="1498" spans="1:13" ht="15" customHeight="1">
      <c r="A1498" t="s">
        <v>177</v>
      </c>
      <c r="B1498">
        <f t="shared" si="92"/>
        <v>33.712969000000001</v>
      </c>
      <c r="C1498">
        <f t="shared" si="93"/>
        <v>-117.85730700000001</v>
      </c>
      <c r="D1498">
        <f t="shared" si="94"/>
        <v>57</v>
      </c>
      <c r="E1498">
        <v>76.498999999999995</v>
      </c>
      <c r="F1498">
        <f t="shared" si="95"/>
        <v>-19.498999999999995</v>
      </c>
      <c r="G1498">
        <v>21.85</v>
      </c>
      <c r="H1498">
        <v>0.56799999999999995</v>
      </c>
      <c r="I1498">
        <v>2.4820000000000002</v>
      </c>
      <c r="J1498">
        <v>5</v>
      </c>
      <c r="K1498">
        <v>11</v>
      </c>
      <c r="L1498">
        <v>6</v>
      </c>
      <c r="M1498">
        <v>1.2130000000000001</v>
      </c>
    </row>
    <row r="1499" spans="1:13" ht="15" customHeight="1">
      <c r="A1499" t="s">
        <v>177</v>
      </c>
      <c r="B1499">
        <f t="shared" si="92"/>
        <v>33.712969000000001</v>
      </c>
      <c r="C1499">
        <f t="shared" si="93"/>
        <v>-117.85730700000001</v>
      </c>
      <c r="D1499">
        <f t="shared" si="94"/>
        <v>57</v>
      </c>
      <c r="E1499">
        <v>77.498999999999995</v>
      </c>
      <c r="F1499">
        <f t="shared" si="95"/>
        <v>-20.498999999999995</v>
      </c>
      <c r="G1499">
        <v>23.45</v>
      </c>
      <c r="H1499">
        <v>0.623</v>
      </c>
      <c r="I1499">
        <v>2.4769999999999999</v>
      </c>
      <c r="J1499">
        <v>6</v>
      </c>
      <c r="K1499">
        <v>10</v>
      </c>
      <c r="L1499">
        <v>5</v>
      </c>
      <c r="M1499">
        <v>1.36</v>
      </c>
    </row>
    <row r="1500" spans="1:13" ht="15" customHeight="1">
      <c r="A1500" t="s">
        <v>177</v>
      </c>
      <c r="B1500">
        <f t="shared" si="92"/>
        <v>33.712969000000001</v>
      </c>
      <c r="C1500">
        <f t="shared" si="93"/>
        <v>-117.85730700000001</v>
      </c>
      <c r="D1500">
        <f t="shared" si="94"/>
        <v>57</v>
      </c>
      <c r="E1500">
        <v>78.498999999999995</v>
      </c>
      <c r="F1500">
        <f t="shared" si="95"/>
        <v>-21.498999999999995</v>
      </c>
      <c r="G1500">
        <v>61.517000000000003</v>
      </c>
      <c r="H1500">
        <v>1.488</v>
      </c>
      <c r="I1500">
        <v>2.3769999999999998</v>
      </c>
      <c r="J1500">
        <v>6</v>
      </c>
      <c r="K1500">
        <v>24</v>
      </c>
      <c r="L1500">
        <v>12</v>
      </c>
      <c r="M1500">
        <v>3.8519999999999999</v>
      </c>
    </row>
    <row r="1501" spans="1:13" ht="15" customHeight="1">
      <c r="A1501" t="s">
        <v>177</v>
      </c>
      <c r="B1501">
        <f t="shared" si="92"/>
        <v>33.712969000000001</v>
      </c>
      <c r="C1501">
        <f t="shared" si="93"/>
        <v>-117.85730700000001</v>
      </c>
      <c r="D1501">
        <f t="shared" si="94"/>
        <v>57</v>
      </c>
      <c r="E1501">
        <v>79.498999999999995</v>
      </c>
      <c r="F1501">
        <f t="shared" si="95"/>
        <v>-22.498999999999995</v>
      </c>
      <c r="G1501">
        <v>44.966999999999999</v>
      </c>
      <c r="H1501">
        <v>2.0579999999999998</v>
      </c>
      <c r="I1501">
        <v>4.593</v>
      </c>
      <c r="J1501">
        <v>4</v>
      </c>
      <c r="K1501">
        <v>29</v>
      </c>
      <c r="L1501">
        <v>15</v>
      </c>
      <c r="M1501">
        <v>2.661</v>
      </c>
    </row>
    <row r="1502" spans="1:13" ht="15" customHeight="1">
      <c r="A1502" t="s">
        <v>177</v>
      </c>
      <c r="B1502">
        <f t="shared" si="92"/>
        <v>33.712969000000001</v>
      </c>
      <c r="C1502">
        <f t="shared" si="93"/>
        <v>-117.85730700000001</v>
      </c>
      <c r="D1502">
        <f t="shared" si="94"/>
        <v>57</v>
      </c>
      <c r="E1502">
        <v>80.498999999999995</v>
      </c>
      <c r="F1502">
        <f t="shared" si="95"/>
        <v>-23.498999999999995</v>
      </c>
      <c r="G1502">
        <v>64.917000000000002</v>
      </c>
      <c r="H1502">
        <v>1.282</v>
      </c>
      <c r="I1502">
        <v>1.978</v>
      </c>
      <c r="J1502">
        <v>7</v>
      </c>
      <c r="K1502">
        <v>21</v>
      </c>
      <c r="L1502">
        <v>11</v>
      </c>
      <c r="M1502" s="1">
        <v>9000000000</v>
      </c>
    </row>
    <row r="1503" spans="1:13" ht="15" customHeight="1">
      <c r="A1503" t="s">
        <v>177</v>
      </c>
      <c r="B1503">
        <f t="shared" si="92"/>
        <v>33.712969000000001</v>
      </c>
      <c r="C1503">
        <f t="shared" si="93"/>
        <v>-117.85730700000001</v>
      </c>
      <c r="D1503">
        <f t="shared" si="94"/>
        <v>57</v>
      </c>
      <c r="E1503">
        <v>81.498999999999995</v>
      </c>
      <c r="F1503">
        <f t="shared" si="95"/>
        <v>-24.498999999999995</v>
      </c>
      <c r="G1503">
        <v>219.93299999999999</v>
      </c>
      <c r="H1503">
        <v>1.0629999999999999</v>
      </c>
      <c r="I1503">
        <v>0.48399999999999999</v>
      </c>
      <c r="J1503">
        <v>9</v>
      </c>
      <c r="K1503">
        <v>42</v>
      </c>
      <c r="L1503">
        <v>21</v>
      </c>
      <c r="M1503" s="1">
        <v>9000000000</v>
      </c>
    </row>
    <row r="1504" spans="1:13" ht="15" customHeight="1">
      <c r="A1504" t="s">
        <v>177</v>
      </c>
      <c r="B1504">
        <f t="shared" si="92"/>
        <v>33.712969000000001</v>
      </c>
      <c r="C1504">
        <f t="shared" si="93"/>
        <v>-117.85730700000001</v>
      </c>
      <c r="D1504">
        <f t="shared" si="94"/>
        <v>57</v>
      </c>
      <c r="E1504">
        <v>82.498999999999995</v>
      </c>
      <c r="F1504">
        <f t="shared" si="95"/>
        <v>-25.498999999999995</v>
      </c>
      <c r="G1504">
        <v>237.233</v>
      </c>
      <c r="H1504">
        <v>1.077</v>
      </c>
      <c r="I1504">
        <v>0.45400000000000001</v>
      </c>
      <c r="J1504">
        <v>9</v>
      </c>
      <c r="K1504">
        <v>45</v>
      </c>
      <c r="L1504">
        <v>23</v>
      </c>
      <c r="M1504" s="1">
        <v>9000000000</v>
      </c>
    </row>
    <row r="1505" spans="1:13" ht="15" customHeight="1">
      <c r="A1505" t="s">
        <v>177</v>
      </c>
      <c r="B1505">
        <f t="shared" si="92"/>
        <v>33.712969000000001</v>
      </c>
      <c r="C1505">
        <f t="shared" si="93"/>
        <v>-117.85730700000001</v>
      </c>
      <c r="D1505">
        <f t="shared" si="94"/>
        <v>57</v>
      </c>
      <c r="E1505">
        <v>83.498999999999995</v>
      </c>
      <c r="F1505">
        <f t="shared" si="95"/>
        <v>-26.498999999999995</v>
      </c>
      <c r="G1505">
        <v>241.214</v>
      </c>
      <c r="H1505">
        <v>0.90100000000000002</v>
      </c>
      <c r="I1505">
        <v>0.374</v>
      </c>
      <c r="J1505">
        <v>10</v>
      </c>
      <c r="K1505">
        <v>39</v>
      </c>
      <c r="L1505">
        <v>20</v>
      </c>
      <c r="M1505" s="1">
        <v>9000000000</v>
      </c>
    </row>
    <row r="1506" spans="1:13" ht="15" customHeight="1">
      <c r="A1506" t="s">
        <v>177</v>
      </c>
      <c r="B1506">
        <f t="shared" si="92"/>
        <v>33.712969000000001</v>
      </c>
      <c r="C1506">
        <f t="shared" si="93"/>
        <v>-117.85730700000001</v>
      </c>
      <c r="D1506">
        <f t="shared" si="94"/>
        <v>57</v>
      </c>
      <c r="E1506">
        <v>84.498999999999995</v>
      </c>
      <c r="F1506">
        <f t="shared" si="95"/>
        <v>-27.498999999999995</v>
      </c>
      <c r="G1506">
        <v>298.53300000000002</v>
      </c>
      <c r="H1506">
        <v>3.3919999999999999</v>
      </c>
      <c r="I1506">
        <v>1.1359999999999999</v>
      </c>
      <c r="J1506">
        <v>9</v>
      </c>
      <c r="K1506">
        <v>57</v>
      </c>
      <c r="L1506">
        <v>29</v>
      </c>
      <c r="M1506" s="1">
        <v>9000000000</v>
      </c>
    </row>
    <row r="1507" spans="1:13" ht="15" customHeight="1">
      <c r="A1507" t="s">
        <v>177</v>
      </c>
      <c r="B1507">
        <f t="shared" si="92"/>
        <v>33.712969000000001</v>
      </c>
      <c r="C1507">
        <f t="shared" si="93"/>
        <v>-117.85730700000001</v>
      </c>
      <c r="D1507">
        <f t="shared" si="94"/>
        <v>57</v>
      </c>
      <c r="E1507">
        <v>85.498999999999995</v>
      </c>
      <c r="F1507">
        <f t="shared" si="95"/>
        <v>-28.498999999999995</v>
      </c>
      <c r="G1507">
        <v>623.31700000000001</v>
      </c>
      <c r="H1507">
        <v>4.2530000000000001</v>
      </c>
      <c r="I1507">
        <v>0.68200000000000005</v>
      </c>
      <c r="J1507">
        <v>10</v>
      </c>
      <c r="K1507">
        <v>100</v>
      </c>
      <c r="L1507">
        <v>50</v>
      </c>
      <c r="M1507" s="1">
        <v>9000000000</v>
      </c>
    </row>
    <row r="1508" spans="1:13" ht="15" customHeight="1">
      <c r="A1508" t="s">
        <v>177</v>
      </c>
      <c r="B1508">
        <f t="shared" si="92"/>
        <v>33.712969000000001</v>
      </c>
      <c r="C1508">
        <f t="shared" si="93"/>
        <v>-117.85730700000001</v>
      </c>
      <c r="D1508">
        <f t="shared" si="94"/>
        <v>57</v>
      </c>
      <c r="E1508">
        <v>86.498999999999995</v>
      </c>
      <c r="F1508">
        <f t="shared" si="95"/>
        <v>-29.498999999999995</v>
      </c>
      <c r="G1508">
        <v>548.79999999999995</v>
      </c>
      <c r="H1508">
        <v>2.5</v>
      </c>
      <c r="I1508">
        <v>0.45500000000000002</v>
      </c>
      <c r="J1508">
        <v>10</v>
      </c>
      <c r="K1508">
        <v>88</v>
      </c>
      <c r="L1508">
        <v>44</v>
      </c>
      <c r="M1508" s="1">
        <v>9000000000</v>
      </c>
    </row>
    <row r="1509" spans="1:13" ht="15" customHeight="1">
      <c r="A1509" t="s">
        <v>23</v>
      </c>
      <c r="B1509">
        <f t="shared" si="92"/>
        <v>33.714486999999998</v>
      </c>
      <c r="C1509">
        <f t="shared" si="93"/>
        <v>-117.85727799999999</v>
      </c>
      <c r="D1509">
        <f t="shared" si="94"/>
        <v>59</v>
      </c>
      <c r="E1509">
        <v>0.5</v>
      </c>
      <c r="F1509">
        <f t="shared" si="95"/>
        <v>58.5</v>
      </c>
      <c r="G1509">
        <v>3.05</v>
      </c>
      <c r="H1509">
        <v>1.7999999999999999E-2</v>
      </c>
      <c r="I1509">
        <v>0.60799999999999998</v>
      </c>
      <c r="J1509">
        <v>1</v>
      </c>
      <c r="K1509">
        <v>1</v>
      </c>
      <c r="L1509">
        <v>2</v>
      </c>
      <c r="M1509">
        <v>0.19900000000000001</v>
      </c>
    </row>
    <row r="1510" spans="1:13" ht="15" customHeight="1">
      <c r="A1510" t="s">
        <v>23</v>
      </c>
      <c r="B1510">
        <f t="shared" si="92"/>
        <v>33.714486999999998</v>
      </c>
      <c r="C1510">
        <f t="shared" si="93"/>
        <v>-117.85727799999999</v>
      </c>
      <c r="D1510">
        <f t="shared" si="94"/>
        <v>59</v>
      </c>
      <c r="E1510">
        <v>1.5</v>
      </c>
      <c r="F1510">
        <f t="shared" si="95"/>
        <v>57.5</v>
      </c>
      <c r="G1510">
        <v>5.8170000000000002</v>
      </c>
      <c r="H1510">
        <v>0.20200000000000001</v>
      </c>
      <c r="I1510">
        <v>3.4870000000000001</v>
      </c>
      <c r="J1510">
        <v>3</v>
      </c>
      <c r="K1510">
        <v>6</v>
      </c>
      <c r="L1510">
        <v>9</v>
      </c>
      <c r="M1510">
        <v>0.38</v>
      </c>
    </row>
    <row r="1511" spans="1:13" ht="15" customHeight="1">
      <c r="A1511" t="s">
        <v>23</v>
      </c>
      <c r="B1511">
        <f t="shared" si="92"/>
        <v>33.714486999999998</v>
      </c>
      <c r="C1511">
        <f t="shared" si="93"/>
        <v>-117.85727799999999</v>
      </c>
      <c r="D1511">
        <f t="shared" si="94"/>
        <v>59</v>
      </c>
      <c r="E1511">
        <v>2.5</v>
      </c>
      <c r="F1511">
        <f t="shared" si="95"/>
        <v>56.5</v>
      </c>
      <c r="G1511">
        <v>4.117</v>
      </c>
      <c r="H1511">
        <v>0.16300000000000001</v>
      </c>
      <c r="I1511">
        <v>3.968</v>
      </c>
      <c r="J1511">
        <v>3</v>
      </c>
      <c r="K1511">
        <v>4</v>
      </c>
      <c r="L1511">
        <v>6</v>
      </c>
      <c r="M1511">
        <v>0.26500000000000001</v>
      </c>
    </row>
    <row r="1512" spans="1:13" ht="15" customHeight="1">
      <c r="A1512" t="s">
        <v>23</v>
      </c>
      <c r="B1512">
        <f t="shared" si="92"/>
        <v>33.714486999999998</v>
      </c>
      <c r="C1512">
        <f t="shared" si="93"/>
        <v>-117.85727799999999</v>
      </c>
      <c r="D1512">
        <f t="shared" si="94"/>
        <v>59</v>
      </c>
      <c r="E1512">
        <v>3.5</v>
      </c>
      <c r="F1512">
        <f t="shared" si="95"/>
        <v>55.5</v>
      </c>
      <c r="G1512">
        <v>4.6500000000000004</v>
      </c>
      <c r="H1512">
        <v>0.19</v>
      </c>
      <c r="I1512">
        <v>4.101</v>
      </c>
      <c r="J1512">
        <v>3</v>
      </c>
      <c r="K1512">
        <v>4</v>
      </c>
      <c r="L1512">
        <v>6</v>
      </c>
      <c r="M1512">
        <v>0.29599999999999999</v>
      </c>
    </row>
    <row r="1513" spans="1:13" ht="15" customHeight="1">
      <c r="A1513" t="s">
        <v>23</v>
      </c>
      <c r="B1513">
        <f t="shared" si="92"/>
        <v>33.714486999999998</v>
      </c>
      <c r="C1513">
        <f t="shared" si="93"/>
        <v>-117.85727799999999</v>
      </c>
      <c r="D1513">
        <f t="shared" si="94"/>
        <v>59</v>
      </c>
      <c r="E1513">
        <v>4.5</v>
      </c>
      <c r="F1513">
        <f t="shared" si="95"/>
        <v>54.5</v>
      </c>
      <c r="G1513">
        <v>7.1829999999999998</v>
      </c>
      <c r="H1513">
        <v>0.255</v>
      </c>
      <c r="I1513">
        <v>3.5579999999999998</v>
      </c>
      <c r="J1513">
        <v>3</v>
      </c>
      <c r="K1513">
        <v>7</v>
      </c>
      <c r="L1513">
        <v>11</v>
      </c>
      <c r="M1513">
        <v>0.46</v>
      </c>
    </row>
    <row r="1514" spans="1:13" ht="15" customHeight="1">
      <c r="A1514" t="s">
        <v>23</v>
      </c>
      <c r="B1514">
        <f t="shared" si="92"/>
        <v>33.714486999999998</v>
      </c>
      <c r="C1514">
        <f t="shared" si="93"/>
        <v>-117.85727799999999</v>
      </c>
      <c r="D1514">
        <f t="shared" si="94"/>
        <v>59</v>
      </c>
      <c r="E1514">
        <v>5.5</v>
      </c>
      <c r="F1514">
        <f t="shared" si="95"/>
        <v>53.5</v>
      </c>
      <c r="G1514">
        <v>12.75</v>
      </c>
      <c r="H1514">
        <v>0.41499999999999998</v>
      </c>
      <c r="I1514">
        <v>3.2589999999999999</v>
      </c>
      <c r="J1514">
        <v>4</v>
      </c>
      <c r="K1514">
        <v>8</v>
      </c>
      <c r="L1514">
        <v>12</v>
      </c>
      <c r="M1514">
        <v>0.82799999999999996</v>
      </c>
    </row>
    <row r="1515" spans="1:13" ht="15" customHeight="1">
      <c r="A1515" t="s">
        <v>23</v>
      </c>
      <c r="B1515">
        <f t="shared" si="92"/>
        <v>33.714486999999998</v>
      </c>
      <c r="C1515">
        <f t="shared" si="93"/>
        <v>-117.85727799999999</v>
      </c>
      <c r="D1515">
        <f t="shared" si="94"/>
        <v>59</v>
      </c>
      <c r="E1515">
        <v>6.5</v>
      </c>
      <c r="F1515">
        <f t="shared" si="95"/>
        <v>52.5</v>
      </c>
      <c r="G1515">
        <v>12.367000000000001</v>
      </c>
      <c r="H1515">
        <v>0.44</v>
      </c>
      <c r="I1515">
        <v>3.5680000000000001</v>
      </c>
      <c r="J1515">
        <v>4</v>
      </c>
      <c r="K1515">
        <v>8</v>
      </c>
      <c r="L1515">
        <v>12</v>
      </c>
      <c r="M1515">
        <v>0.79700000000000004</v>
      </c>
    </row>
    <row r="1516" spans="1:13" ht="15" customHeight="1">
      <c r="A1516" t="s">
        <v>23</v>
      </c>
      <c r="B1516">
        <f t="shared" si="92"/>
        <v>33.714486999999998</v>
      </c>
      <c r="C1516">
        <f t="shared" si="93"/>
        <v>-117.85727799999999</v>
      </c>
      <c r="D1516">
        <f t="shared" si="94"/>
        <v>59</v>
      </c>
      <c r="E1516">
        <v>7.5</v>
      </c>
      <c r="F1516">
        <f t="shared" si="95"/>
        <v>51.5</v>
      </c>
      <c r="G1516">
        <v>14.032999999999999</v>
      </c>
      <c r="H1516">
        <v>0.59499999999999997</v>
      </c>
      <c r="I1516">
        <v>4.2549999999999999</v>
      </c>
      <c r="J1516">
        <v>3</v>
      </c>
      <c r="K1516">
        <v>13</v>
      </c>
      <c r="L1516">
        <v>20</v>
      </c>
      <c r="M1516">
        <v>0.90300000000000002</v>
      </c>
    </row>
    <row r="1517" spans="1:13" ht="15" customHeight="1">
      <c r="A1517" t="s">
        <v>23</v>
      </c>
      <c r="B1517">
        <f t="shared" si="92"/>
        <v>33.714486999999998</v>
      </c>
      <c r="C1517">
        <f t="shared" si="93"/>
        <v>-117.85727799999999</v>
      </c>
      <c r="D1517">
        <f t="shared" si="94"/>
        <v>59</v>
      </c>
      <c r="E1517">
        <v>8.5</v>
      </c>
      <c r="F1517">
        <f t="shared" si="95"/>
        <v>50.5</v>
      </c>
      <c r="G1517">
        <v>11.1</v>
      </c>
      <c r="H1517">
        <v>0.48499999999999999</v>
      </c>
      <c r="I1517">
        <v>4.4089999999999998</v>
      </c>
      <c r="J1517">
        <v>3</v>
      </c>
      <c r="K1517">
        <v>11</v>
      </c>
      <c r="L1517">
        <v>17</v>
      </c>
      <c r="M1517">
        <v>0.7</v>
      </c>
    </row>
    <row r="1518" spans="1:13" ht="15" customHeight="1">
      <c r="A1518" t="s">
        <v>23</v>
      </c>
      <c r="B1518">
        <f t="shared" si="92"/>
        <v>33.714486999999998</v>
      </c>
      <c r="C1518">
        <f t="shared" si="93"/>
        <v>-117.85727799999999</v>
      </c>
      <c r="D1518">
        <f t="shared" si="94"/>
        <v>59</v>
      </c>
      <c r="E1518">
        <v>9.5</v>
      </c>
      <c r="F1518">
        <f t="shared" si="95"/>
        <v>49.5</v>
      </c>
      <c r="G1518">
        <v>11.016999999999999</v>
      </c>
      <c r="H1518">
        <v>0.46800000000000003</v>
      </c>
      <c r="I1518">
        <v>4.2709999999999999</v>
      </c>
      <c r="J1518">
        <v>3</v>
      </c>
      <c r="K1518">
        <v>11</v>
      </c>
      <c r="L1518">
        <v>17</v>
      </c>
      <c r="M1518">
        <v>0.69299999999999995</v>
      </c>
    </row>
    <row r="1519" spans="1:13" ht="15" customHeight="1">
      <c r="A1519" t="s">
        <v>23</v>
      </c>
      <c r="B1519">
        <f t="shared" si="92"/>
        <v>33.714486999999998</v>
      </c>
      <c r="C1519">
        <f t="shared" si="93"/>
        <v>-117.85727799999999</v>
      </c>
      <c r="D1519">
        <f t="shared" si="94"/>
        <v>59</v>
      </c>
      <c r="E1519">
        <v>10.5</v>
      </c>
      <c r="F1519">
        <f t="shared" si="95"/>
        <v>48.5</v>
      </c>
      <c r="G1519">
        <v>9.4290000000000003</v>
      </c>
      <c r="H1519">
        <v>0.41</v>
      </c>
      <c r="I1519">
        <v>4.375</v>
      </c>
      <c r="J1519">
        <v>3</v>
      </c>
      <c r="K1519">
        <v>9</v>
      </c>
      <c r="L1519">
        <v>13</v>
      </c>
      <c r="M1519">
        <v>0.58299999999999996</v>
      </c>
    </row>
    <row r="1520" spans="1:13" ht="15" customHeight="1">
      <c r="A1520" t="s">
        <v>23</v>
      </c>
      <c r="B1520">
        <f t="shared" si="92"/>
        <v>33.714486999999998</v>
      </c>
      <c r="C1520">
        <f t="shared" si="93"/>
        <v>-117.85727799999999</v>
      </c>
      <c r="D1520">
        <f t="shared" si="94"/>
        <v>59</v>
      </c>
      <c r="E1520">
        <v>11.5</v>
      </c>
      <c r="F1520">
        <f t="shared" si="95"/>
        <v>47.5</v>
      </c>
      <c r="G1520">
        <v>9.3170000000000002</v>
      </c>
      <c r="H1520">
        <v>0.41299999999999998</v>
      </c>
      <c r="I1520">
        <v>4.4850000000000003</v>
      </c>
      <c r="J1520">
        <v>3</v>
      </c>
      <c r="K1520">
        <v>9</v>
      </c>
      <c r="L1520">
        <v>12</v>
      </c>
      <c r="M1520">
        <v>0.56899999999999995</v>
      </c>
    </row>
    <row r="1521" spans="1:13" ht="15" customHeight="1">
      <c r="A1521" t="s">
        <v>23</v>
      </c>
      <c r="B1521">
        <f t="shared" si="92"/>
        <v>33.714486999999998</v>
      </c>
      <c r="C1521">
        <f t="shared" si="93"/>
        <v>-117.85727799999999</v>
      </c>
      <c r="D1521">
        <f t="shared" si="94"/>
        <v>59</v>
      </c>
      <c r="E1521">
        <v>12.5</v>
      </c>
      <c r="F1521">
        <f t="shared" si="95"/>
        <v>46.5</v>
      </c>
      <c r="G1521">
        <v>7.2169999999999996</v>
      </c>
      <c r="H1521">
        <v>0.28799999999999998</v>
      </c>
      <c r="I1521">
        <v>4.0330000000000004</v>
      </c>
      <c r="J1521">
        <v>3</v>
      </c>
      <c r="K1521">
        <v>7</v>
      </c>
      <c r="L1521">
        <v>9</v>
      </c>
      <c r="M1521">
        <v>0.42699999999999999</v>
      </c>
    </row>
    <row r="1522" spans="1:13" ht="15" customHeight="1">
      <c r="A1522" t="s">
        <v>23</v>
      </c>
      <c r="B1522">
        <f t="shared" si="92"/>
        <v>33.714486999999998</v>
      </c>
      <c r="C1522">
        <f t="shared" si="93"/>
        <v>-117.85727799999999</v>
      </c>
      <c r="D1522">
        <f t="shared" si="94"/>
        <v>59</v>
      </c>
      <c r="E1522">
        <v>13.5</v>
      </c>
      <c r="F1522">
        <f t="shared" si="95"/>
        <v>45.5</v>
      </c>
      <c r="G1522">
        <v>8.8829999999999991</v>
      </c>
      <c r="H1522">
        <v>0.318</v>
      </c>
      <c r="I1522">
        <v>3.597</v>
      </c>
      <c r="J1522">
        <v>3</v>
      </c>
      <c r="K1522">
        <v>8</v>
      </c>
      <c r="L1522">
        <v>9</v>
      </c>
      <c r="M1522">
        <v>0.53600000000000003</v>
      </c>
    </row>
    <row r="1523" spans="1:13" ht="15" customHeight="1">
      <c r="A1523" t="s">
        <v>23</v>
      </c>
      <c r="B1523">
        <f t="shared" si="92"/>
        <v>33.714486999999998</v>
      </c>
      <c r="C1523">
        <f t="shared" si="93"/>
        <v>-117.85727799999999</v>
      </c>
      <c r="D1523">
        <f t="shared" si="94"/>
        <v>59</v>
      </c>
      <c r="E1523">
        <v>14.5</v>
      </c>
      <c r="F1523">
        <f t="shared" si="95"/>
        <v>44.5</v>
      </c>
      <c r="G1523">
        <v>11.717000000000001</v>
      </c>
      <c r="H1523">
        <v>0.36499999999999999</v>
      </c>
      <c r="I1523">
        <v>3.129</v>
      </c>
      <c r="J1523">
        <v>4</v>
      </c>
      <c r="K1523">
        <v>7</v>
      </c>
      <c r="L1523">
        <v>8</v>
      </c>
      <c r="M1523">
        <v>0.72</v>
      </c>
    </row>
    <row r="1524" spans="1:13" ht="15" customHeight="1">
      <c r="A1524" t="s">
        <v>23</v>
      </c>
      <c r="B1524">
        <f t="shared" si="92"/>
        <v>33.714486999999998</v>
      </c>
      <c r="C1524">
        <f t="shared" si="93"/>
        <v>-117.85727799999999</v>
      </c>
      <c r="D1524">
        <f t="shared" si="94"/>
        <v>59</v>
      </c>
      <c r="E1524">
        <v>15.5</v>
      </c>
      <c r="F1524">
        <f t="shared" si="95"/>
        <v>43.5</v>
      </c>
      <c r="G1524">
        <v>12.483000000000001</v>
      </c>
      <c r="H1524">
        <v>0.4</v>
      </c>
      <c r="I1524">
        <v>3.226</v>
      </c>
      <c r="J1524">
        <v>4</v>
      </c>
      <c r="K1524">
        <v>8</v>
      </c>
      <c r="L1524">
        <v>8</v>
      </c>
      <c r="M1524">
        <v>0.76500000000000001</v>
      </c>
    </row>
    <row r="1525" spans="1:13" ht="15" customHeight="1">
      <c r="A1525" t="s">
        <v>23</v>
      </c>
      <c r="B1525">
        <f t="shared" si="92"/>
        <v>33.714486999999998</v>
      </c>
      <c r="C1525">
        <f t="shared" si="93"/>
        <v>-117.85727799999999</v>
      </c>
      <c r="D1525">
        <f t="shared" si="94"/>
        <v>59</v>
      </c>
      <c r="E1525">
        <v>16.5</v>
      </c>
      <c r="F1525">
        <f t="shared" si="95"/>
        <v>42.5</v>
      </c>
      <c r="G1525">
        <v>10.467000000000001</v>
      </c>
      <c r="H1525">
        <v>0.34799999999999998</v>
      </c>
      <c r="I1525">
        <v>3.3490000000000002</v>
      </c>
      <c r="J1525">
        <v>4</v>
      </c>
      <c r="K1525">
        <v>7</v>
      </c>
      <c r="L1525">
        <v>7</v>
      </c>
      <c r="M1525">
        <v>0.627</v>
      </c>
    </row>
    <row r="1526" spans="1:13" ht="15" customHeight="1">
      <c r="A1526" t="s">
        <v>23</v>
      </c>
      <c r="B1526">
        <f t="shared" si="92"/>
        <v>33.714486999999998</v>
      </c>
      <c r="C1526">
        <f t="shared" si="93"/>
        <v>-117.85727799999999</v>
      </c>
      <c r="D1526">
        <f t="shared" si="94"/>
        <v>59</v>
      </c>
      <c r="E1526">
        <v>17.5</v>
      </c>
      <c r="F1526">
        <f t="shared" si="95"/>
        <v>41.5</v>
      </c>
      <c r="G1526">
        <v>8.5329999999999995</v>
      </c>
      <c r="H1526">
        <v>0.27</v>
      </c>
      <c r="I1526">
        <v>3.17</v>
      </c>
      <c r="J1526">
        <v>3</v>
      </c>
      <c r="K1526">
        <v>8</v>
      </c>
      <c r="L1526">
        <v>8</v>
      </c>
      <c r="M1526">
        <v>0.498</v>
      </c>
    </row>
    <row r="1527" spans="1:13" ht="15" customHeight="1">
      <c r="A1527" t="s">
        <v>23</v>
      </c>
      <c r="B1527">
        <f t="shared" si="92"/>
        <v>33.714486999999998</v>
      </c>
      <c r="C1527">
        <f t="shared" si="93"/>
        <v>-117.85727799999999</v>
      </c>
      <c r="D1527">
        <f t="shared" si="94"/>
        <v>59</v>
      </c>
      <c r="E1527">
        <v>18.5</v>
      </c>
      <c r="F1527">
        <f t="shared" si="95"/>
        <v>40.5</v>
      </c>
      <c r="G1527">
        <v>22.183</v>
      </c>
      <c r="H1527">
        <v>0.252</v>
      </c>
      <c r="I1527">
        <v>1.1379999999999999</v>
      </c>
      <c r="J1527">
        <v>6</v>
      </c>
      <c r="K1527">
        <v>8</v>
      </c>
      <c r="L1527">
        <v>7</v>
      </c>
      <c r="M1527">
        <v>1.401</v>
      </c>
    </row>
    <row r="1528" spans="1:13" ht="15" customHeight="1">
      <c r="A1528" t="s">
        <v>23</v>
      </c>
      <c r="B1528">
        <f t="shared" si="92"/>
        <v>33.714486999999998</v>
      </c>
      <c r="C1528">
        <f t="shared" si="93"/>
        <v>-117.85727799999999</v>
      </c>
      <c r="D1528">
        <f t="shared" si="94"/>
        <v>59</v>
      </c>
      <c r="E1528">
        <v>19.5</v>
      </c>
      <c r="F1528">
        <f t="shared" si="95"/>
        <v>39.5</v>
      </c>
      <c r="G1528">
        <v>7.25</v>
      </c>
      <c r="H1528">
        <v>0.222</v>
      </c>
      <c r="I1528">
        <v>3.1</v>
      </c>
      <c r="J1528">
        <v>3</v>
      </c>
      <c r="K1528">
        <v>7</v>
      </c>
      <c r="L1528">
        <v>6</v>
      </c>
      <c r="M1528">
        <v>0.39900000000000002</v>
      </c>
    </row>
    <row r="1529" spans="1:13" ht="15" customHeight="1">
      <c r="A1529" t="s">
        <v>23</v>
      </c>
      <c r="B1529">
        <f t="shared" si="92"/>
        <v>33.714486999999998</v>
      </c>
      <c r="C1529">
        <f t="shared" si="93"/>
        <v>-117.85727799999999</v>
      </c>
      <c r="D1529">
        <f t="shared" si="94"/>
        <v>59</v>
      </c>
      <c r="E1529">
        <v>20.5</v>
      </c>
      <c r="F1529">
        <f t="shared" si="95"/>
        <v>38.5</v>
      </c>
      <c r="G1529">
        <v>7.1859999999999999</v>
      </c>
      <c r="H1529">
        <v>0.19</v>
      </c>
      <c r="I1529">
        <v>2.665</v>
      </c>
      <c r="J1529">
        <v>4</v>
      </c>
      <c r="K1529">
        <v>5</v>
      </c>
      <c r="L1529">
        <v>4</v>
      </c>
      <c r="M1529">
        <v>0.39300000000000002</v>
      </c>
    </row>
    <row r="1530" spans="1:13" ht="15" customHeight="1">
      <c r="A1530" t="s">
        <v>23</v>
      </c>
      <c r="B1530">
        <f t="shared" si="92"/>
        <v>33.714486999999998</v>
      </c>
      <c r="C1530">
        <f t="shared" si="93"/>
        <v>-117.85727799999999</v>
      </c>
      <c r="D1530">
        <f t="shared" si="94"/>
        <v>59</v>
      </c>
      <c r="E1530">
        <v>21.5</v>
      </c>
      <c r="F1530">
        <f t="shared" si="95"/>
        <v>37.5</v>
      </c>
      <c r="G1530">
        <v>7.75</v>
      </c>
      <c r="H1530">
        <v>0.21</v>
      </c>
      <c r="I1530">
        <v>2.7269999999999999</v>
      </c>
      <c r="J1530">
        <v>4</v>
      </c>
      <c r="K1530">
        <v>5</v>
      </c>
      <c r="L1530">
        <v>4</v>
      </c>
      <c r="M1530">
        <v>0.42699999999999999</v>
      </c>
    </row>
    <row r="1531" spans="1:13" ht="15" customHeight="1">
      <c r="A1531" t="s">
        <v>23</v>
      </c>
      <c r="B1531">
        <f t="shared" si="92"/>
        <v>33.714486999999998</v>
      </c>
      <c r="C1531">
        <f t="shared" si="93"/>
        <v>-117.85727799999999</v>
      </c>
      <c r="D1531">
        <f t="shared" si="94"/>
        <v>59</v>
      </c>
      <c r="E1531">
        <v>22.5</v>
      </c>
      <c r="F1531">
        <f t="shared" si="95"/>
        <v>36.5</v>
      </c>
      <c r="G1531">
        <v>7.7670000000000003</v>
      </c>
      <c r="H1531">
        <v>0.19700000000000001</v>
      </c>
      <c r="I1531">
        <v>2.532</v>
      </c>
      <c r="J1531">
        <v>4</v>
      </c>
      <c r="K1531">
        <v>5</v>
      </c>
      <c r="L1531">
        <v>4</v>
      </c>
      <c r="M1531">
        <v>0.42799999999999999</v>
      </c>
    </row>
    <row r="1532" spans="1:13" ht="15" customHeight="1">
      <c r="A1532" t="s">
        <v>23</v>
      </c>
      <c r="B1532">
        <f t="shared" si="92"/>
        <v>33.714486999999998</v>
      </c>
      <c r="C1532">
        <f t="shared" si="93"/>
        <v>-117.85727799999999</v>
      </c>
      <c r="D1532">
        <f t="shared" si="94"/>
        <v>59</v>
      </c>
      <c r="E1532">
        <v>23.5</v>
      </c>
      <c r="F1532">
        <f t="shared" si="95"/>
        <v>35.5</v>
      </c>
      <c r="G1532">
        <v>10.833</v>
      </c>
      <c r="H1532">
        <v>0.28999999999999998</v>
      </c>
      <c r="I1532">
        <v>2.677</v>
      </c>
      <c r="J1532">
        <v>4</v>
      </c>
      <c r="K1532">
        <v>7</v>
      </c>
      <c r="L1532">
        <v>5</v>
      </c>
      <c r="M1532">
        <v>0.628</v>
      </c>
    </row>
    <row r="1533" spans="1:13" ht="15" customHeight="1">
      <c r="A1533" t="s">
        <v>23</v>
      </c>
      <c r="B1533">
        <f t="shared" si="92"/>
        <v>33.714486999999998</v>
      </c>
      <c r="C1533">
        <f t="shared" si="93"/>
        <v>-117.85727799999999</v>
      </c>
      <c r="D1533">
        <f t="shared" si="94"/>
        <v>59</v>
      </c>
      <c r="E1533">
        <v>24.5</v>
      </c>
      <c r="F1533">
        <f t="shared" si="95"/>
        <v>34.5</v>
      </c>
      <c r="G1533">
        <v>7.8170000000000002</v>
      </c>
      <c r="H1533">
        <v>0.215</v>
      </c>
      <c r="I1533">
        <v>2.7509999999999999</v>
      </c>
      <c r="J1533">
        <v>4</v>
      </c>
      <c r="K1533">
        <v>5</v>
      </c>
      <c r="L1533">
        <v>4</v>
      </c>
      <c r="M1533">
        <v>0.42299999999999999</v>
      </c>
    </row>
    <row r="1534" spans="1:13" ht="15" customHeight="1">
      <c r="A1534" t="s">
        <v>23</v>
      </c>
      <c r="B1534">
        <f t="shared" si="92"/>
        <v>33.714486999999998</v>
      </c>
      <c r="C1534">
        <f t="shared" si="93"/>
        <v>-117.85727799999999</v>
      </c>
      <c r="D1534">
        <f t="shared" si="94"/>
        <v>59</v>
      </c>
      <c r="E1534">
        <v>25.5</v>
      </c>
      <c r="F1534">
        <f t="shared" si="95"/>
        <v>33.5</v>
      </c>
      <c r="G1534">
        <v>11.917</v>
      </c>
      <c r="H1534">
        <v>0.32200000000000001</v>
      </c>
      <c r="I1534">
        <v>2.6920000000000002</v>
      </c>
      <c r="J1534">
        <v>5</v>
      </c>
      <c r="K1534">
        <v>6</v>
      </c>
      <c r="L1534">
        <v>4</v>
      </c>
      <c r="M1534">
        <v>0.69499999999999995</v>
      </c>
    </row>
    <row r="1535" spans="1:13" ht="15" customHeight="1">
      <c r="A1535" t="s">
        <v>23</v>
      </c>
      <c r="B1535">
        <f t="shared" si="92"/>
        <v>33.714486999999998</v>
      </c>
      <c r="C1535">
        <f t="shared" si="93"/>
        <v>-117.85727799999999</v>
      </c>
      <c r="D1535">
        <f t="shared" si="94"/>
        <v>59</v>
      </c>
      <c r="E1535">
        <v>26.5</v>
      </c>
      <c r="F1535">
        <f t="shared" si="95"/>
        <v>32.5</v>
      </c>
      <c r="G1535">
        <v>28.617000000000001</v>
      </c>
      <c r="H1535">
        <v>0.99199999999999999</v>
      </c>
      <c r="I1535">
        <v>3.4670000000000001</v>
      </c>
      <c r="J1535">
        <v>5</v>
      </c>
      <c r="K1535">
        <v>14</v>
      </c>
      <c r="L1535">
        <v>10</v>
      </c>
      <c r="M1535">
        <v>1.8009999999999999</v>
      </c>
    </row>
    <row r="1536" spans="1:13" ht="15" customHeight="1">
      <c r="A1536" t="s">
        <v>23</v>
      </c>
      <c r="B1536">
        <f t="shared" si="92"/>
        <v>33.714486999999998</v>
      </c>
      <c r="C1536">
        <f t="shared" si="93"/>
        <v>-117.85727799999999</v>
      </c>
      <c r="D1536">
        <f t="shared" si="94"/>
        <v>59</v>
      </c>
      <c r="E1536">
        <v>27.5</v>
      </c>
      <c r="F1536">
        <f t="shared" si="95"/>
        <v>31.5</v>
      </c>
      <c r="G1536">
        <v>48.65</v>
      </c>
      <c r="H1536">
        <v>1.8220000000000001</v>
      </c>
      <c r="I1536">
        <v>3.7559999999999998</v>
      </c>
      <c r="J1536">
        <v>5</v>
      </c>
      <c r="K1536">
        <v>23</v>
      </c>
      <c r="L1536">
        <v>16</v>
      </c>
      <c r="M1536">
        <v>3.1230000000000002</v>
      </c>
    </row>
    <row r="1537" spans="1:13" ht="15" customHeight="1">
      <c r="A1537" t="s">
        <v>23</v>
      </c>
      <c r="B1537">
        <f t="shared" si="92"/>
        <v>33.714486999999998</v>
      </c>
      <c r="C1537">
        <f t="shared" si="93"/>
        <v>-117.85727799999999</v>
      </c>
      <c r="D1537">
        <f t="shared" si="94"/>
        <v>59</v>
      </c>
      <c r="E1537">
        <v>28.5</v>
      </c>
      <c r="F1537">
        <f t="shared" si="95"/>
        <v>30.5</v>
      </c>
      <c r="G1537">
        <v>12.467000000000001</v>
      </c>
      <c r="H1537">
        <v>0.308</v>
      </c>
      <c r="I1537">
        <v>2.5030000000000001</v>
      </c>
      <c r="J1537">
        <v>5</v>
      </c>
      <c r="K1537">
        <v>6</v>
      </c>
      <c r="L1537">
        <v>4</v>
      </c>
      <c r="M1537">
        <v>0.70699999999999996</v>
      </c>
    </row>
    <row r="1538" spans="1:13" ht="15" customHeight="1">
      <c r="A1538" t="s">
        <v>23</v>
      </c>
      <c r="B1538">
        <f t="shared" ref="B1538:B1601" si="96">VLOOKUP(A1538,XYdata,3,FALSE)</f>
        <v>33.714486999999998</v>
      </c>
      <c r="C1538">
        <f t="shared" ref="C1538:C1601" si="97">VLOOKUP(A1538,XYdata,2,FALSE)</f>
        <v>-117.85727799999999</v>
      </c>
      <c r="D1538">
        <f t="shared" ref="D1538:D1601" si="98">VLOOKUP(A1538,Elevation,2,FALSE)</f>
        <v>59</v>
      </c>
      <c r="E1538">
        <v>29.5</v>
      </c>
      <c r="F1538">
        <f t="shared" si="95"/>
        <v>29.5</v>
      </c>
      <c r="G1538">
        <v>15.95</v>
      </c>
      <c r="H1538">
        <v>0.55500000000000005</v>
      </c>
      <c r="I1538">
        <v>3.5089999999999999</v>
      </c>
      <c r="J1538">
        <v>4</v>
      </c>
      <c r="K1538">
        <v>10</v>
      </c>
      <c r="L1538">
        <v>7</v>
      </c>
      <c r="M1538">
        <v>0.93600000000000005</v>
      </c>
    </row>
    <row r="1539" spans="1:13" ht="15" customHeight="1">
      <c r="A1539" t="s">
        <v>23</v>
      </c>
      <c r="B1539">
        <f t="shared" si="96"/>
        <v>33.714486999999998</v>
      </c>
      <c r="C1539">
        <f t="shared" si="97"/>
        <v>-117.85727799999999</v>
      </c>
      <c r="D1539">
        <f t="shared" si="98"/>
        <v>59</v>
      </c>
      <c r="E1539">
        <v>30.5</v>
      </c>
      <c r="F1539">
        <f t="shared" ref="F1539:F1602" si="99">D1539-E1539</f>
        <v>28.5</v>
      </c>
      <c r="G1539">
        <v>17.600000000000001</v>
      </c>
      <c r="H1539">
        <v>0.52500000000000002</v>
      </c>
      <c r="I1539">
        <v>3.0030000000000001</v>
      </c>
      <c r="J1539">
        <v>5</v>
      </c>
      <c r="K1539">
        <v>8</v>
      </c>
      <c r="L1539">
        <v>5</v>
      </c>
      <c r="M1539">
        <v>1.0429999999999999</v>
      </c>
    </row>
    <row r="1540" spans="1:13" ht="15" customHeight="1">
      <c r="A1540" t="s">
        <v>23</v>
      </c>
      <c r="B1540">
        <f t="shared" si="96"/>
        <v>33.714486999999998</v>
      </c>
      <c r="C1540">
        <f t="shared" si="97"/>
        <v>-117.85727799999999</v>
      </c>
      <c r="D1540">
        <f t="shared" si="98"/>
        <v>59</v>
      </c>
      <c r="E1540">
        <v>31.5</v>
      </c>
      <c r="F1540">
        <f t="shared" si="99"/>
        <v>27.5</v>
      </c>
      <c r="G1540">
        <v>33.200000000000003</v>
      </c>
      <c r="H1540">
        <v>1.6459999999999999</v>
      </c>
      <c r="I1540">
        <v>4.9720000000000004</v>
      </c>
      <c r="J1540">
        <v>3</v>
      </c>
      <c r="K1540">
        <v>32</v>
      </c>
      <c r="L1540">
        <v>21</v>
      </c>
      <c r="M1540">
        <v>2.08</v>
      </c>
    </row>
    <row r="1541" spans="1:13" ht="15" customHeight="1">
      <c r="A1541" t="s">
        <v>23</v>
      </c>
      <c r="B1541">
        <f t="shared" si="96"/>
        <v>33.714486999999998</v>
      </c>
      <c r="C1541">
        <f t="shared" si="97"/>
        <v>-117.85727799999999</v>
      </c>
      <c r="D1541">
        <f t="shared" si="98"/>
        <v>59</v>
      </c>
      <c r="E1541">
        <v>32.5</v>
      </c>
      <c r="F1541">
        <f t="shared" si="99"/>
        <v>26.5</v>
      </c>
      <c r="G1541">
        <v>23.167000000000002</v>
      </c>
      <c r="H1541">
        <v>1.155</v>
      </c>
      <c r="I1541">
        <v>5.0140000000000002</v>
      </c>
      <c r="J1541">
        <v>3</v>
      </c>
      <c r="K1541">
        <v>22</v>
      </c>
      <c r="L1541">
        <v>14</v>
      </c>
      <c r="M1541">
        <v>1.405</v>
      </c>
    </row>
    <row r="1542" spans="1:13" ht="15" customHeight="1">
      <c r="A1542" t="s">
        <v>23</v>
      </c>
      <c r="B1542">
        <f t="shared" si="96"/>
        <v>33.714486999999998</v>
      </c>
      <c r="C1542">
        <f t="shared" si="97"/>
        <v>-117.85727799999999</v>
      </c>
      <c r="D1542">
        <f t="shared" si="98"/>
        <v>59</v>
      </c>
      <c r="E1542">
        <v>33.5</v>
      </c>
      <c r="F1542">
        <f t="shared" si="99"/>
        <v>25.5</v>
      </c>
      <c r="G1542">
        <v>17.45</v>
      </c>
      <c r="H1542">
        <v>0.77800000000000002</v>
      </c>
      <c r="I1542">
        <v>4.4859999999999998</v>
      </c>
      <c r="J1542">
        <v>3</v>
      </c>
      <c r="K1542">
        <v>17</v>
      </c>
      <c r="L1542">
        <v>11</v>
      </c>
      <c r="M1542">
        <v>1.022</v>
      </c>
    </row>
    <row r="1543" spans="1:13" ht="15" customHeight="1">
      <c r="A1543" t="s">
        <v>23</v>
      </c>
      <c r="B1543">
        <f t="shared" si="96"/>
        <v>33.714486999999998</v>
      </c>
      <c r="C1543">
        <f t="shared" si="97"/>
        <v>-117.85727799999999</v>
      </c>
      <c r="D1543">
        <f t="shared" si="98"/>
        <v>59</v>
      </c>
      <c r="E1543">
        <v>34.5</v>
      </c>
      <c r="F1543">
        <f t="shared" si="99"/>
        <v>24.5</v>
      </c>
      <c r="G1543">
        <v>23.15</v>
      </c>
      <c r="H1543">
        <v>1.238</v>
      </c>
      <c r="I1543">
        <v>5.3719999999999999</v>
      </c>
      <c r="J1543">
        <v>3</v>
      </c>
      <c r="K1543">
        <v>22</v>
      </c>
      <c r="L1543">
        <v>14</v>
      </c>
      <c r="M1543">
        <v>1.3979999999999999</v>
      </c>
    </row>
    <row r="1544" spans="1:13" ht="15" customHeight="1">
      <c r="A1544" t="s">
        <v>23</v>
      </c>
      <c r="B1544">
        <f t="shared" si="96"/>
        <v>33.714486999999998</v>
      </c>
      <c r="C1544">
        <f t="shared" si="97"/>
        <v>-117.85727799999999</v>
      </c>
      <c r="D1544">
        <f t="shared" si="98"/>
        <v>59</v>
      </c>
      <c r="E1544">
        <v>35.5</v>
      </c>
      <c r="F1544">
        <f t="shared" si="99"/>
        <v>23.5</v>
      </c>
      <c r="G1544">
        <v>31.082999999999998</v>
      </c>
      <c r="H1544">
        <v>1.252</v>
      </c>
      <c r="I1544">
        <v>4.04</v>
      </c>
      <c r="J1544">
        <v>4</v>
      </c>
      <c r="K1544">
        <v>20</v>
      </c>
      <c r="L1544">
        <v>13</v>
      </c>
      <c r="M1544">
        <v>1.9219999999999999</v>
      </c>
    </row>
    <row r="1545" spans="1:13" ht="15" customHeight="1">
      <c r="A1545" t="s">
        <v>23</v>
      </c>
      <c r="B1545">
        <f t="shared" si="96"/>
        <v>33.714486999999998</v>
      </c>
      <c r="C1545">
        <f t="shared" si="97"/>
        <v>-117.85727799999999</v>
      </c>
      <c r="D1545">
        <f t="shared" si="98"/>
        <v>59</v>
      </c>
      <c r="E1545">
        <v>36.5</v>
      </c>
      <c r="F1545">
        <f t="shared" si="99"/>
        <v>22.5</v>
      </c>
      <c r="G1545">
        <v>62.082999999999998</v>
      </c>
      <c r="H1545">
        <v>2.2330000000000001</v>
      </c>
      <c r="I1545">
        <v>3.5990000000000002</v>
      </c>
      <c r="J1545">
        <v>5</v>
      </c>
      <c r="K1545">
        <v>30</v>
      </c>
      <c r="L1545">
        <v>19</v>
      </c>
      <c r="M1545">
        <v>3.9889999999999999</v>
      </c>
    </row>
    <row r="1546" spans="1:13" ht="15" customHeight="1">
      <c r="A1546" t="s">
        <v>23</v>
      </c>
      <c r="B1546">
        <f t="shared" si="96"/>
        <v>33.714486999999998</v>
      </c>
      <c r="C1546">
        <f t="shared" si="97"/>
        <v>-117.85727799999999</v>
      </c>
      <c r="D1546">
        <f t="shared" si="98"/>
        <v>59</v>
      </c>
      <c r="E1546">
        <v>37.5</v>
      </c>
      <c r="F1546">
        <f t="shared" si="99"/>
        <v>21.5</v>
      </c>
      <c r="G1546">
        <v>72.2</v>
      </c>
      <c r="H1546">
        <v>2.7669999999999999</v>
      </c>
      <c r="I1546">
        <v>3.827</v>
      </c>
      <c r="J1546">
        <v>5</v>
      </c>
      <c r="K1546">
        <v>35</v>
      </c>
      <c r="L1546">
        <v>22</v>
      </c>
      <c r="M1546">
        <v>4.6689999999999996</v>
      </c>
    </row>
    <row r="1547" spans="1:13" ht="15" customHeight="1">
      <c r="A1547" t="s">
        <v>23</v>
      </c>
      <c r="B1547">
        <f t="shared" si="96"/>
        <v>33.714486999999998</v>
      </c>
      <c r="C1547">
        <f t="shared" si="97"/>
        <v>-117.85727799999999</v>
      </c>
      <c r="D1547">
        <f t="shared" si="98"/>
        <v>59</v>
      </c>
      <c r="E1547">
        <v>38.5</v>
      </c>
      <c r="F1547">
        <f t="shared" si="99"/>
        <v>20.5</v>
      </c>
      <c r="G1547">
        <v>79.066999999999993</v>
      </c>
      <c r="H1547">
        <v>3.63</v>
      </c>
      <c r="I1547">
        <v>4.5890000000000004</v>
      </c>
      <c r="J1547">
        <v>11</v>
      </c>
      <c r="K1547">
        <v>76</v>
      </c>
      <c r="L1547">
        <v>46</v>
      </c>
      <c r="M1547" s="1">
        <v>9000000000</v>
      </c>
    </row>
    <row r="1548" spans="1:13" ht="15" customHeight="1">
      <c r="A1548" t="s">
        <v>23</v>
      </c>
      <c r="B1548">
        <f t="shared" si="96"/>
        <v>33.714486999999998</v>
      </c>
      <c r="C1548">
        <f t="shared" si="97"/>
        <v>-117.85727799999999</v>
      </c>
      <c r="D1548">
        <f t="shared" si="98"/>
        <v>59</v>
      </c>
      <c r="E1548">
        <v>39.5</v>
      </c>
      <c r="F1548">
        <f t="shared" si="99"/>
        <v>19.5</v>
      </c>
      <c r="G1548">
        <v>68.599999999999994</v>
      </c>
      <c r="H1548">
        <v>3.403</v>
      </c>
      <c r="I1548">
        <v>4.9669999999999996</v>
      </c>
      <c r="J1548">
        <v>11</v>
      </c>
      <c r="K1548">
        <v>66</v>
      </c>
      <c r="L1548">
        <v>39</v>
      </c>
      <c r="M1548" s="1">
        <v>9000000000</v>
      </c>
    </row>
    <row r="1549" spans="1:13" ht="15" customHeight="1">
      <c r="A1549" t="s">
        <v>23</v>
      </c>
      <c r="B1549">
        <f t="shared" si="96"/>
        <v>33.714486999999998</v>
      </c>
      <c r="C1549">
        <f t="shared" si="97"/>
        <v>-117.85727799999999</v>
      </c>
      <c r="D1549">
        <f t="shared" si="98"/>
        <v>59</v>
      </c>
      <c r="E1549">
        <v>40.5</v>
      </c>
      <c r="F1549">
        <f t="shared" si="99"/>
        <v>18.5</v>
      </c>
      <c r="G1549">
        <v>68.832999999999998</v>
      </c>
      <c r="H1549">
        <v>3.577</v>
      </c>
      <c r="I1549">
        <v>5.202</v>
      </c>
      <c r="J1549">
        <v>11</v>
      </c>
      <c r="K1549">
        <v>66</v>
      </c>
      <c r="L1549">
        <v>39</v>
      </c>
      <c r="M1549" s="1">
        <v>9000000000</v>
      </c>
    </row>
    <row r="1550" spans="1:13" ht="15" customHeight="1">
      <c r="A1550" t="s">
        <v>23</v>
      </c>
      <c r="B1550">
        <f t="shared" si="96"/>
        <v>33.714486999999998</v>
      </c>
      <c r="C1550">
        <f t="shared" si="97"/>
        <v>-117.85727799999999</v>
      </c>
      <c r="D1550">
        <f t="shared" si="98"/>
        <v>59</v>
      </c>
      <c r="E1550">
        <v>41.499000000000002</v>
      </c>
      <c r="F1550">
        <f t="shared" si="99"/>
        <v>17.500999999999998</v>
      </c>
      <c r="G1550">
        <v>33.200000000000003</v>
      </c>
      <c r="H1550">
        <v>1.821</v>
      </c>
      <c r="I1550">
        <v>5.5030000000000001</v>
      </c>
      <c r="J1550">
        <v>3</v>
      </c>
      <c r="K1550">
        <v>32</v>
      </c>
      <c r="L1550">
        <v>19</v>
      </c>
      <c r="M1550">
        <v>2.0379999999999998</v>
      </c>
    </row>
    <row r="1551" spans="1:13" ht="15" customHeight="1">
      <c r="A1551" t="s">
        <v>23</v>
      </c>
      <c r="B1551">
        <f t="shared" si="96"/>
        <v>33.714486999999998</v>
      </c>
      <c r="C1551">
        <f t="shared" si="97"/>
        <v>-117.85727799999999</v>
      </c>
      <c r="D1551">
        <f t="shared" si="98"/>
        <v>59</v>
      </c>
      <c r="E1551">
        <v>42.499000000000002</v>
      </c>
      <c r="F1551">
        <f t="shared" si="99"/>
        <v>16.500999999999998</v>
      </c>
      <c r="G1551">
        <v>45.75</v>
      </c>
      <c r="H1551">
        <v>1.593</v>
      </c>
      <c r="I1551">
        <v>3.49</v>
      </c>
      <c r="J1551">
        <v>5</v>
      </c>
      <c r="K1551">
        <v>22</v>
      </c>
      <c r="L1551">
        <v>13</v>
      </c>
      <c r="M1551">
        <v>2.87</v>
      </c>
    </row>
    <row r="1552" spans="1:13" ht="15" customHeight="1">
      <c r="A1552" t="s">
        <v>23</v>
      </c>
      <c r="B1552">
        <f t="shared" si="96"/>
        <v>33.714486999999998</v>
      </c>
      <c r="C1552">
        <f t="shared" si="97"/>
        <v>-117.85727799999999</v>
      </c>
      <c r="D1552">
        <f t="shared" si="98"/>
        <v>59</v>
      </c>
      <c r="E1552">
        <v>43.499000000000002</v>
      </c>
      <c r="F1552">
        <f t="shared" si="99"/>
        <v>15.500999999999998</v>
      </c>
      <c r="G1552">
        <v>54.332999999999998</v>
      </c>
      <c r="H1552">
        <v>2.7549999999999999</v>
      </c>
      <c r="I1552">
        <v>5.0810000000000004</v>
      </c>
      <c r="J1552">
        <v>4</v>
      </c>
      <c r="K1552">
        <v>35</v>
      </c>
      <c r="L1552">
        <v>20</v>
      </c>
      <c r="M1552">
        <v>3.4369999999999998</v>
      </c>
    </row>
    <row r="1553" spans="1:13" ht="15" customHeight="1">
      <c r="A1553" t="s">
        <v>23</v>
      </c>
      <c r="B1553">
        <f t="shared" si="96"/>
        <v>33.714486999999998</v>
      </c>
      <c r="C1553">
        <f t="shared" si="97"/>
        <v>-117.85727799999999</v>
      </c>
      <c r="D1553">
        <f t="shared" si="98"/>
        <v>59</v>
      </c>
      <c r="E1553">
        <v>44.499000000000002</v>
      </c>
      <c r="F1553">
        <f t="shared" si="99"/>
        <v>14.500999999999998</v>
      </c>
      <c r="G1553">
        <v>153.983</v>
      </c>
      <c r="H1553">
        <v>3.5169999999999999</v>
      </c>
      <c r="I1553">
        <v>2.286</v>
      </c>
      <c r="J1553">
        <v>7</v>
      </c>
      <c r="K1553">
        <v>49</v>
      </c>
      <c r="L1553">
        <v>28</v>
      </c>
      <c r="M1553" s="1">
        <v>9000000000</v>
      </c>
    </row>
    <row r="1554" spans="1:13" ht="15" customHeight="1">
      <c r="A1554" t="s">
        <v>23</v>
      </c>
      <c r="B1554">
        <f t="shared" si="96"/>
        <v>33.714486999999998</v>
      </c>
      <c r="C1554">
        <f t="shared" si="97"/>
        <v>-117.85727799999999</v>
      </c>
      <c r="D1554">
        <f t="shared" si="98"/>
        <v>59</v>
      </c>
      <c r="E1554">
        <v>45.499000000000002</v>
      </c>
      <c r="F1554">
        <f t="shared" si="99"/>
        <v>13.500999999999998</v>
      </c>
      <c r="G1554">
        <v>40.317</v>
      </c>
      <c r="H1554">
        <v>1.68</v>
      </c>
      <c r="I1554">
        <v>4.1840000000000002</v>
      </c>
      <c r="J1554">
        <v>4</v>
      </c>
      <c r="K1554">
        <v>26</v>
      </c>
      <c r="L1554">
        <v>14</v>
      </c>
      <c r="M1554">
        <v>2.4910000000000001</v>
      </c>
    </row>
    <row r="1555" spans="1:13" ht="15" customHeight="1">
      <c r="A1555" t="s">
        <v>23</v>
      </c>
      <c r="B1555">
        <f t="shared" si="96"/>
        <v>33.714486999999998</v>
      </c>
      <c r="C1555">
        <f t="shared" si="97"/>
        <v>-117.85727799999999</v>
      </c>
      <c r="D1555">
        <f t="shared" si="98"/>
        <v>59</v>
      </c>
      <c r="E1555">
        <v>46.499000000000002</v>
      </c>
      <c r="F1555">
        <f t="shared" si="99"/>
        <v>12.500999999999998</v>
      </c>
      <c r="G1555">
        <v>59.616999999999997</v>
      </c>
      <c r="H1555">
        <v>2.3149999999999999</v>
      </c>
      <c r="I1555">
        <v>3.8919999999999999</v>
      </c>
      <c r="J1555">
        <v>5</v>
      </c>
      <c r="K1555">
        <v>28</v>
      </c>
      <c r="L1555">
        <v>15</v>
      </c>
      <c r="M1555">
        <v>3.7759999999999998</v>
      </c>
    </row>
    <row r="1556" spans="1:13" ht="15" customHeight="1">
      <c r="A1556" t="s">
        <v>23</v>
      </c>
      <c r="B1556">
        <f t="shared" si="96"/>
        <v>33.714486999999998</v>
      </c>
      <c r="C1556">
        <f t="shared" si="97"/>
        <v>-117.85727799999999</v>
      </c>
      <c r="D1556">
        <f t="shared" si="98"/>
        <v>59</v>
      </c>
      <c r="E1556">
        <v>47.499000000000002</v>
      </c>
      <c r="F1556">
        <f t="shared" si="99"/>
        <v>11.500999999999998</v>
      </c>
      <c r="G1556">
        <v>94.417000000000002</v>
      </c>
      <c r="H1556">
        <v>3.5</v>
      </c>
      <c r="I1556">
        <v>3.7130000000000001</v>
      </c>
      <c r="J1556">
        <v>5</v>
      </c>
      <c r="K1556">
        <v>45</v>
      </c>
      <c r="L1556">
        <v>24</v>
      </c>
      <c r="M1556">
        <v>6.09</v>
      </c>
    </row>
    <row r="1557" spans="1:13" ht="15" customHeight="1">
      <c r="A1557" t="s">
        <v>23</v>
      </c>
      <c r="B1557">
        <f t="shared" si="96"/>
        <v>33.714486999999998</v>
      </c>
      <c r="C1557">
        <f t="shared" si="97"/>
        <v>-117.85727799999999</v>
      </c>
      <c r="D1557">
        <f t="shared" si="98"/>
        <v>59</v>
      </c>
      <c r="E1557">
        <v>48.499000000000002</v>
      </c>
      <c r="F1557">
        <f t="shared" si="99"/>
        <v>10.500999999999998</v>
      </c>
      <c r="G1557">
        <v>59.267000000000003</v>
      </c>
      <c r="H1557">
        <v>2.1779999999999999</v>
      </c>
      <c r="I1557">
        <v>3.6840000000000002</v>
      </c>
      <c r="J1557">
        <v>5</v>
      </c>
      <c r="K1557">
        <v>28</v>
      </c>
      <c r="L1557">
        <v>15</v>
      </c>
      <c r="M1557">
        <v>3.7440000000000002</v>
      </c>
    </row>
    <row r="1558" spans="1:13" ht="15" customHeight="1">
      <c r="A1558" t="s">
        <v>23</v>
      </c>
      <c r="B1558">
        <f t="shared" si="96"/>
        <v>33.714486999999998</v>
      </c>
      <c r="C1558">
        <f t="shared" si="97"/>
        <v>-117.85727799999999</v>
      </c>
      <c r="D1558">
        <f t="shared" si="98"/>
        <v>59</v>
      </c>
      <c r="E1558">
        <v>49.499000000000002</v>
      </c>
      <c r="F1558">
        <f t="shared" si="99"/>
        <v>9.5009999999999977</v>
      </c>
      <c r="G1558">
        <v>29.516999999999999</v>
      </c>
      <c r="H1558">
        <v>1.3680000000000001</v>
      </c>
      <c r="I1558">
        <v>4.657</v>
      </c>
      <c r="J1558">
        <v>3</v>
      </c>
      <c r="K1558">
        <v>28</v>
      </c>
      <c r="L1558">
        <v>15</v>
      </c>
      <c r="M1558">
        <v>1.7569999999999999</v>
      </c>
    </row>
    <row r="1559" spans="1:13" ht="15" customHeight="1">
      <c r="A1559" t="s">
        <v>23</v>
      </c>
      <c r="B1559">
        <f t="shared" si="96"/>
        <v>33.714486999999998</v>
      </c>
      <c r="C1559">
        <f t="shared" si="97"/>
        <v>-117.85727799999999</v>
      </c>
      <c r="D1559">
        <f t="shared" si="98"/>
        <v>59</v>
      </c>
      <c r="E1559">
        <v>50.499000000000002</v>
      </c>
      <c r="F1559">
        <f t="shared" si="99"/>
        <v>8.5009999999999977</v>
      </c>
      <c r="G1559">
        <v>115</v>
      </c>
      <c r="H1559">
        <v>2.077</v>
      </c>
      <c r="I1559">
        <v>1.8069999999999999</v>
      </c>
      <c r="J1559">
        <v>7</v>
      </c>
      <c r="K1559">
        <v>37</v>
      </c>
      <c r="L1559">
        <v>19</v>
      </c>
      <c r="M1559" s="1">
        <v>9000000000</v>
      </c>
    </row>
    <row r="1560" spans="1:13" ht="15" customHeight="1">
      <c r="A1560" t="s">
        <v>23</v>
      </c>
      <c r="B1560">
        <f t="shared" si="96"/>
        <v>33.714486999999998</v>
      </c>
      <c r="C1560">
        <f t="shared" si="97"/>
        <v>-117.85727799999999</v>
      </c>
      <c r="D1560">
        <f t="shared" si="98"/>
        <v>59</v>
      </c>
      <c r="E1560">
        <v>51.499000000000002</v>
      </c>
      <c r="F1560">
        <f t="shared" si="99"/>
        <v>7.5009999999999977</v>
      </c>
      <c r="G1560">
        <v>156.35</v>
      </c>
      <c r="H1560">
        <v>2.5819999999999999</v>
      </c>
      <c r="I1560">
        <v>1.653</v>
      </c>
      <c r="J1560">
        <v>8</v>
      </c>
      <c r="K1560">
        <v>37</v>
      </c>
      <c r="L1560">
        <v>19</v>
      </c>
      <c r="M1560" s="1">
        <v>9000000000</v>
      </c>
    </row>
    <row r="1561" spans="1:13" ht="15" customHeight="1">
      <c r="A1561" t="s">
        <v>23</v>
      </c>
      <c r="B1561">
        <f t="shared" si="96"/>
        <v>33.714486999999998</v>
      </c>
      <c r="C1561">
        <f t="shared" si="97"/>
        <v>-117.85727799999999</v>
      </c>
      <c r="D1561">
        <f t="shared" si="98"/>
        <v>59</v>
      </c>
      <c r="E1561">
        <v>52.499000000000002</v>
      </c>
      <c r="F1561">
        <f t="shared" si="99"/>
        <v>6.5009999999999977</v>
      </c>
      <c r="G1561">
        <v>195.34299999999999</v>
      </c>
      <c r="H1561">
        <v>2.589</v>
      </c>
      <c r="I1561">
        <v>1.3260000000000001</v>
      </c>
      <c r="J1561">
        <v>8</v>
      </c>
      <c r="K1561">
        <v>47</v>
      </c>
      <c r="L1561">
        <v>24</v>
      </c>
      <c r="M1561" s="1">
        <v>9000000000</v>
      </c>
    </row>
    <row r="1562" spans="1:13" ht="15" customHeight="1">
      <c r="A1562" t="s">
        <v>23</v>
      </c>
      <c r="B1562">
        <f t="shared" si="96"/>
        <v>33.714486999999998</v>
      </c>
      <c r="C1562">
        <f t="shared" si="97"/>
        <v>-117.85727799999999</v>
      </c>
      <c r="D1562">
        <f t="shared" si="98"/>
        <v>59</v>
      </c>
      <c r="E1562">
        <v>53.499000000000002</v>
      </c>
      <c r="F1562">
        <f t="shared" si="99"/>
        <v>5.5009999999999977</v>
      </c>
      <c r="G1562">
        <v>228.21700000000001</v>
      </c>
      <c r="H1562">
        <v>2.9169999999999998</v>
      </c>
      <c r="I1562">
        <v>1.2789999999999999</v>
      </c>
      <c r="J1562">
        <v>9</v>
      </c>
      <c r="K1562">
        <v>44</v>
      </c>
      <c r="L1562">
        <v>22</v>
      </c>
      <c r="M1562" s="1">
        <v>9000000000</v>
      </c>
    </row>
    <row r="1563" spans="1:13" ht="15" customHeight="1">
      <c r="A1563" t="s">
        <v>23</v>
      </c>
      <c r="B1563">
        <f t="shared" si="96"/>
        <v>33.714486999999998</v>
      </c>
      <c r="C1563">
        <f t="shared" si="97"/>
        <v>-117.85727799999999</v>
      </c>
      <c r="D1563">
        <f t="shared" si="98"/>
        <v>59</v>
      </c>
      <c r="E1563">
        <v>54.499000000000002</v>
      </c>
      <c r="F1563">
        <f t="shared" si="99"/>
        <v>4.5009999999999977</v>
      </c>
      <c r="G1563">
        <v>309.83300000000003</v>
      </c>
      <c r="H1563">
        <v>2.4950000000000001</v>
      </c>
      <c r="I1563">
        <v>0.80500000000000005</v>
      </c>
      <c r="J1563">
        <v>9</v>
      </c>
      <c r="K1563">
        <v>59</v>
      </c>
      <c r="L1563">
        <v>30</v>
      </c>
      <c r="M1563" s="1">
        <v>9000000000</v>
      </c>
    </row>
    <row r="1564" spans="1:13" ht="15" customHeight="1">
      <c r="A1564" t="s">
        <v>23</v>
      </c>
      <c r="B1564">
        <f t="shared" si="96"/>
        <v>33.714486999999998</v>
      </c>
      <c r="C1564">
        <f t="shared" si="97"/>
        <v>-117.85727799999999</v>
      </c>
      <c r="D1564">
        <f t="shared" si="98"/>
        <v>59</v>
      </c>
      <c r="E1564">
        <v>55.499000000000002</v>
      </c>
      <c r="F1564">
        <f t="shared" si="99"/>
        <v>3.5009999999999977</v>
      </c>
      <c r="G1564">
        <v>398.4</v>
      </c>
      <c r="H1564">
        <v>2.8370000000000002</v>
      </c>
      <c r="I1564">
        <v>0.71199999999999997</v>
      </c>
      <c r="J1564">
        <v>10</v>
      </c>
      <c r="K1564">
        <v>64</v>
      </c>
      <c r="L1564">
        <v>32</v>
      </c>
      <c r="M1564" s="1">
        <v>9000000000</v>
      </c>
    </row>
    <row r="1565" spans="1:13" ht="15" customHeight="1">
      <c r="A1565" t="s">
        <v>23</v>
      </c>
      <c r="B1565">
        <f t="shared" si="96"/>
        <v>33.714486999999998</v>
      </c>
      <c r="C1565">
        <f t="shared" si="97"/>
        <v>-117.85727799999999</v>
      </c>
      <c r="D1565">
        <f t="shared" si="98"/>
        <v>59</v>
      </c>
      <c r="E1565">
        <v>56.499000000000002</v>
      </c>
      <c r="F1565">
        <f t="shared" si="99"/>
        <v>2.5009999999999977</v>
      </c>
      <c r="G1565">
        <v>410.15</v>
      </c>
      <c r="H1565">
        <v>2.5680000000000001</v>
      </c>
      <c r="I1565">
        <v>0.626</v>
      </c>
      <c r="J1565">
        <v>10</v>
      </c>
      <c r="K1565">
        <v>66</v>
      </c>
      <c r="L1565">
        <v>33</v>
      </c>
      <c r="M1565" s="1">
        <v>9000000000</v>
      </c>
    </row>
    <row r="1566" spans="1:13" ht="15" customHeight="1">
      <c r="A1566" t="s">
        <v>23</v>
      </c>
      <c r="B1566">
        <f t="shared" si="96"/>
        <v>33.714486999999998</v>
      </c>
      <c r="C1566">
        <f t="shared" si="97"/>
        <v>-117.85727799999999</v>
      </c>
      <c r="D1566">
        <f t="shared" si="98"/>
        <v>59</v>
      </c>
      <c r="E1566">
        <v>57.499000000000002</v>
      </c>
      <c r="F1566">
        <f t="shared" si="99"/>
        <v>1.5009999999999977</v>
      </c>
      <c r="G1566">
        <v>388.7</v>
      </c>
      <c r="H1566">
        <v>4.0629999999999997</v>
      </c>
      <c r="I1566">
        <v>1.0449999999999999</v>
      </c>
      <c r="J1566">
        <v>9</v>
      </c>
      <c r="K1566">
        <v>75</v>
      </c>
      <c r="L1566">
        <v>38</v>
      </c>
      <c r="M1566" s="1">
        <v>9000000000</v>
      </c>
    </row>
    <row r="1567" spans="1:13" ht="15" customHeight="1">
      <c r="A1567" t="s">
        <v>23</v>
      </c>
      <c r="B1567">
        <f t="shared" si="96"/>
        <v>33.714486999999998</v>
      </c>
      <c r="C1567">
        <f t="shared" si="97"/>
        <v>-117.85727799999999</v>
      </c>
      <c r="D1567">
        <f t="shared" si="98"/>
        <v>59</v>
      </c>
      <c r="E1567">
        <v>58.499000000000002</v>
      </c>
      <c r="F1567">
        <f t="shared" si="99"/>
        <v>0.50099999999999767</v>
      </c>
      <c r="G1567">
        <v>295.16699999999997</v>
      </c>
      <c r="H1567">
        <v>6.0469999999999997</v>
      </c>
      <c r="I1567">
        <v>2.0470000000000002</v>
      </c>
      <c r="J1567">
        <v>8</v>
      </c>
      <c r="K1567">
        <v>71</v>
      </c>
      <c r="L1567">
        <v>36</v>
      </c>
      <c r="M1567" s="1">
        <v>9000000000</v>
      </c>
    </row>
    <row r="1568" spans="1:13" ht="15" customHeight="1">
      <c r="A1568" t="s">
        <v>23</v>
      </c>
      <c r="B1568">
        <f t="shared" si="96"/>
        <v>33.714486999999998</v>
      </c>
      <c r="C1568">
        <f t="shared" si="97"/>
        <v>-117.85727799999999</v>
      </c>
      <c r="D1568">
        <f t="shared" si="98"/>
        <v>59</v>
      </c>
      <c r="E1568">
        <v>59.499000000000002</v>
      </c>
      <c r="F1568">
        <f t="shared" si="99"/>
        <v>-0.49900000000000233</v>
      </c>
      <c r="G1568">
        <v>309.46699999999998</v>
      </c>
      <c r="H1568">
        <v>6.4470000000000001</v>
      </c>
      <c r="I1568">
        <v>2.0819999999999999</v>
      </c>
      <c r="J1568">
        <v>8</v>
      </c>
      <c r="K1568">
        <v>74</v>
      </c>
      <c r="L1568">
        <v>37</v>
      </c>
      <c r="M1568" s="1">
        <v>9000000000</v>
      </c>
    </row>
    <row r="1569" spans="1:13" ht="15" customHeight="1">
      <c r="A1569" t="s">
        <v>23</v>
      </c>
      <c r="B1569">
        <f t="shared" si="96"/>
        <v>33.714486999999998</v>
      </c>
      <c r="C1569">
        <f t="shared" si="97"/>
        <v>-117.85727799999999</v>
      </c>
      <c r="D1569">
        <f t="shared" si="98"/>
        <v>59</v>
      </c>
      <c r="E1569">
        <v>60.499000000000002</v>
      </c>
      <c r="F1569">
        <f t="shared" si="99"/>
        <v>-1.4990000000000023</v>
      </c>
      <c r="G1569">
        <v>299.83300000000003</v>
      </c>
      <c r="H1569">
        <v>3.8580000000000001</v>
      </c>
      <c r="I1569">
        <v>1.286</v>
      </c>
      <c r="J1569">
        <v>9</v>
      </c>
      <c r="K1569">
        <v>57</v>
      </c>
      <c r="L1569">
        <v>29</v>
      </c>
      <c r="M1569" s="1">
        <v>9000000000</v>
      </c>
    </row>
    <row r="1570" spans="1:13" ht="15" customHeight="1">
      <c r="A1570" t="s">
        <v>23</v>
      </c>
      <c r="B1570">
        <f t="shared" si="96"/>
        <v>33.714486999999998</v>
      </c>
      <c r="C1570">
        <f t="shared" si="97"/>
        <v>-117.85727799999999</v>
      </c>
      <c r="D1570">
        <f t="shared" si="98"/>
        <v>59</v>
      </c>
      <c r="E1570">
        <v>61.499000000000002</v>
      </c>
      <c r="F1570">
        <f t="shared" si="99"/>
        <v>-2.4990000000000023</v>
      </c>
      <c r="G1570">
        <v>319.45</v>
      </c>
      <c r="H1570">
        <v>1.74</v>
      </c>
      <c r="I1570">
        <v>0.54500000000000004</v>
      </c>
      <c r="J1570">
        <v>10</v>
      </c>
      <c r="K1570">
        <v>51</v>
      </c>
      <c r="L1570">
        <v>26</v>
      </c>
      <c r="M1570" s="1">
        <v>9000000000</v>
      </c>
    </row>
    <row r="1571" spans="1:13" ht="15" customHeight="1">
      <c r="A1571" t="s">
        <v>23</v>
      </c>
      <c r="B1571">
        <f t="shared" si="96"/>
        <v>33.714486999999998</v>
      </c>
      <c r="C1571">
        <f t="shared" si="97"/>
        <v>-117.85727799999999</v>
      </c>
      <c r="D1571">
        <f t="shared" si="98"/>
        <v>59</v>
      </c>
      <c r="E1571">
        <v>62.499000000000002</v>
      </c>
      <c r="F1571">
        <f t="shared" si="99"/>
        <v>-3.4990000000000023</v>
      </c>
      <c r="G1571">
        <v>397.68599999999998</v>
      </c>
      <c r="H1571">
        <v>1.7370000000000001</v>
      </c>
      <c r="I1571">
        <v>0.437</v>
      </c>
      <c r="J1571">
        <v>10</v>
      </c>
      <c r="K1571">
        <v>64</v>
      </c>
      <c r="L1571">
        <v>32</v>
      </c>
      <c r="M1571" s="1">
        <v>9000000000</v>
      </c>
    </row>
    <row r="1572" spans="1:13" ht="15" customHeight="1">
      <c r="A1572" t="s">
        <v>23</v>
      </c>
      <c r="B1572">
        <f t="shared" si="96"/>
        <v>33.714486999999998</v>
      </c>
      <c r="C1572">
        <f t="shared" si="97"/>
        <v>-117.85727799999999</v>
      </c>
      <c r="D1572">
        <f t="shared" si="98"/>
        <v>59</v>
      </c>
      <c r="E1572">
        <v>63.499000000000002</v>
      </c>
      <c r="F1572">
        <f t="shared" si="99"/>
        <v>-4.4990000000000023</v>
      </c>
      <c r="G1572">
        <v>376.36700000000002</v>
      </c>
      <c r="H1572">
        <v>2.2650000000000001</v>
      </c>
      <c r="I1572">
        <v>0.60199999999999998</v>
      </c>
      <c r="J1572">
        <v>10</v>
      </c>
      <c r="K1572">
        <v>60</v>
      </c>
      <c r="L1572">
        <v>30</v>
      </c>
      <c r="M1572" s="1">
        <v>9000000000</v>
      </c>
    </row>
    <row r="1573" spans="1:13" ht="15" customHeight="1">
      <c r="A1573" t="s">
        <v>23</v>
      </c>
      <c r="B1573">
        <f t="shared" si="96"/>
        <v>33.714486999999998</v>
      </c>
      <c r="C1573">
        <f t="shared" si="97"/>
        <v>-117.85727799999999</v>
      </c>
      <c r="D1573">
        <f t="shared" si="98"/>
        <v>59</v>
      </c>
      <c r="E1573">
        <v>64.498999999999995</v>
      </c>
      <c r="F1573">
        <f t="shared" si="99"/>
        <v>-5.4989999999999952</v>
      </c>
      <c r="G1573">
        <v>389.4</v>
      </c>
      <c r="H1573">
        <v>2.9820000000000002</v>
      </c>
      <c r="I1573">
        <v>0.76500000000000001</v>
      </c>
      <c r="J1573">
        <v>10</v>
      </c>
      <c r="K1573">
        <v>62</v>
      </c>
      <c r="L1573">
        <v>31</v>
      </c>
      <c r="M1573" s="1">
        <v>9000000000</v>
      </c>
    </row>
    <row r="1574" spans="1:13" ht="15" customHeight="1">
      <c r="A1574" t="s">
        <v>23</v>
      </c>
      <c r="B1574">
        <f t="shared" si="96"/>
        <v>33.714486999999998</v>
      </c>
      <c r="C1574">
        <f t="shared" si="97"/>
        <v>-117.85727799999999</v>
      </c>
      <c r="D1574">
        <f t="shared" si="98"/>
        <v>59</v>
      </c>
      <c r="E1574">
        <v>65.498999999999995</v>
      </c>
      <c r="F1574">
        <f t="shared" si="99"/>
        <v>-6.4989999999999952</v>
      </c>
      <c r="G1574">
        <v>419.41699999999997</v>
      </c>
      <c r="H1574">
        <v>5.7279999999999998</v>
      </c>
      <c r="I1574">
        <v>1.365</v>
      </c>
      <c r="J1574">
        <v>9</v>
      </c>
      <c r="K1574">
        <v>80</v>
      </c>
      <c r="L1574">
        <v>40</v>
      </c>
      <c r="M1574" s="1">
        <v>9000000000</v>
      </c>
    </row>
    <row r="1575" spans="1:13" ht="15" customHeight="1">
      <c r="A1575" t="s">
        <v>23</v>
      </c>
      <c r="B1575">
        <f t="shared" si="96"/>
        <v>33.714486999999998</v>
      </c>
      <c r="C1575">
        <f t="shared" si="97"/>
        <v>-117.85727799999999</v>
      </c>
      <c r="D1575">
        <f t="shared" si="98"/>
        <v>59</v>
      </c>
      <c r="E1575">
        <v>66.498999999999995</v>
      </c>
      <c r="F1575">
        <f t="shared" si="99"/>
        <v>-7.4989999999999952</v>
      </c>
      <c r="G1575">
        <v>155</v>
      </c>
      <c r="H1575">
        <v>3.9580000000000002</v>
      </c>
      <c r="I1575">
        <v>2.5510000000000002</v>
      </c>
      <c r="J1575">
        <v>7</v>
      </c>
      <c r="K1575">
        <v>50</v>
      </c>
      <c r="L1575">
        <v>25</v>
      </c>
      <c r="M1575" s="1">
        <v>9000000000</v>
      </c>
    </row>
    <row r="1576" spans="1:13" ht="15" customHeight="1">
      <c r="A1576" t="s">
        <v>23</v>
      </c>
      <c r="B1576">
        <f t="shared" si="96"/>
        <v>33.714486999999998</v>
      </c>
      <c r="C1576">
        <f t="shared" si="97"/>
        <v>-117.85727799999999</v>
      </c>
      <c r="D1576">
        <f t="shared" si="98"/>
        <v>59</v>
      </c>
      <c r="E1576">
        <v>67.498999999999995</v>
      </c>
      <c r="F1576">
        <f t="shared" si="99"/>
        <v>-8.4989999999999952</v>
      </c>
      <c r="G1576">
        <v>103.7</v>
      </c>
      <c r="H1576">
        <v>2.702</v>
      </c>
      <c r="I1576">
        <v>2.6</v>
      </c>
      <c r="J1576">
        <v>7</v>
      </c>
      <c r="K1576">
        <v>33</v>
      </c>
      <c r="L1576">
        <v>17</v>
      </c>
      <c r="M1576" s="1">
        <v>9000000000</v>
      </c>
    </row>
    <row r="1577" spans="1:13" ht="15" customHeight="1">
      <c r="A1577" t="s">
        <v>23</v>
      </c>
      <c r="B1577">
        <f t="shared" si="96"/>
        <v>33.714486999999998</v>
      </c>
      <c r="C1577">
        <f t="shared" si="97"/>
        <v>-117.85727799999999</v>
      </c>
      <c r="D1577">
        <f t="shared" si="98"/>
        <v>59</v>
      </c>
      <c r="E1577">
        <v>68.498999999999995</v>
      </c>
      <c r="F1577">
        <f t="shared" si="99"/>
        <v>-9.4989999999999952</v>
      </c>
      <c r="G1577">
        <v>43.317</v>
      </c>
      <c r="H1577">
        <v>1.528</v>
      </c>
      <c r="I1577">
        <v>3.536</v>
      </c>
      <c r="J1577">
        <v>5</v>
      </c>
      <c r="K1577">
        <v>21</v>
      </c>
      <c r="L1577">
        <v>11</v>
      </c>
      <c r="M1577">
        <v>2.5990000000000002</v>
      </c>
    </row>
    <row r="1578" spans="1:13" ht="15" customHeight="1">
      <c r="A1578" t="s">
        <v>23</v>
      </c>
      <c r="B1578">
        <f t="shared" si="96"/>
        <v>33.714486999999998</v>
      </c>
      <c r="C1578">
        <f t="shared" si="97"/>
        <v>-117.85727799999999</v>
      </c>
      <c r="D1578">
        <f t="shared" si="98"/>
        <v>59</v>
      </c>
      <c r="E1578">
        <v>69.498999999999995</v>
      </c>
      <c r="F1578">
        <f t="shared" si="99"/>
        <v>-10.498999999999995</v>
      </c>
      <c r="G1578">
        <v>101</v>
      </c>
      <c r="H1578">
        <v>2.7250000000000001</v>
      </c>
      <c r="I1578">
        <v>2.702</v>
      </c>
      <c r="J1578">
        <v>6</v>
      </c>
      <c r="K1578">
        <v>39</v>
      </c>
      <c r="L1578">
        <v>20</v>
      </c>
      <c r="M1578">
        <v>6.4379999999999997</v>
      </c>
    </row>
    <row r="1579" spans="1:13" ht="15" customHeight="1">
      <c r="A1579" t="s">
        <v>23</v>
      </c>
      <c r="B1579">
        <f t="shared" si="96"/>
        <v>33.714486999999998</v>
      </c>
      <c r="C1579">
        <f t="shared" si="97"/>
        <v>-117.85727799999999</v>
      </c>
      <c r="D1579">
        <f t="shared" si="98"/>
        <v>59</v>
      </c>
      <c r="E1579">
        <v>70.498999999999995</v>
      </c>
      <c r="F1579">
        <f t="shared" si="99"/>
        <v>-11.498999999999995</v>
      </c>
      <c r="G1579">
        <v>27.317</v>
      </c>
      <c r="H1579">
        <v>0.98199999999999998</v>
      </c>
      <c r="I1579">
        <v>3.6070000000000002</v>
      </c>
      <c r="J1579">
        <v>5</v>
      </c>
      <c r="K1579">
        <v>13</v>
      </c>
      <c r="L1579">
        <v>7</v>
      </c>
      <c r="M1579">
        <v>1.524</v>
      </c>
    </row>
    <row r="1580" spans="1:13" ht="15" customHeight="1">
      <c r="A1580" t="s">
        <v>23</v>
      </c>
      <c r="B1580">
        <f t="shared" si="96"/>
        <v>33.714486999999998</v>
      </c>
      <c r="C1580">
        <f t="shared" si="97"/>
        <v>-117.85727799999999</v>
      </c>
      <c r="D1580">
        <f t="shared" si="98"/>
        <v>59</v>
      </c>
      <c r="E1580">
        <v>71.498999999999995</v>
      </c>
      <c r="F1580">
        <f t="shared" si="99"/>
        <v>-12.498999999999995</v>
      </c>
      <c r="G1580">
        <v>24.817</v>
      </c>
      <c r="H1580">
        <v>0.66</v>
      </c>
      <c r="I1580">
        <v>2.67</v>
      </c>
      <c r="J1580">
        <v>5</v>
      </c>
      <c r="K1580">
        <v>12</v>
      </c>
      <c r="L1580">
        <v>6</v>
      </c>
      <c r="M1580">
        <v>1.353</v>
      </c>
    </row>
    <row r="1581" spans="1:13" ht="15" customHeight="1">
      <c r="A1581" t="s">
        <v>23</v>
      </c>
      <c r="B1581">
        <f t="shared" si="96"/>
        <v>33.714486999999998</v>
      </c>
      <c r="C1581">
        <f t="shared" si="97"/>
        <v>-117.85727799999999</v>
      </c>
      <c r="D1581">
        <f t="shared" si="98"/>
        <v>59</v>
      </c>
      <c r="E1581">
        <v>72.498999999999995</v>
      </c>
      <c r="F1581">
        <f t="shared" si="99"/>
        <v>-13.498999999999995</v>
      </c>
      <c r="G1581">
        <v>23.771000000000001</v>
      </c>
      <c r="H1581">
        <v>0.62</v>
      </c>
      <c r="I1581">
        <v>2.61</v>
      </c>
      <c r="J1581">
        <v>5</v>
      </c>
      <c r="K1581">
        <v>11</v>
      </c>
      <c r="L1581">
        <v>6</v>
      </c>
      <c r="M1581">
        <v>1.2849999999999999</v>
      </c>
    </row>
    <row r="1582" spans="1:13" ht="15" customHeight="1">
      <c r="A1582" t="s">
        <v>23</v>
      </c>
      <c r="B1582">
        <f t="shared" si="96"/>
        <v>33.714486999999998</v>
      </c>
      <c r="C1582">
        <f t="shared" si="97"/>
        <v>-117.85727799999999</v>
      </c>
      <c r="D1582">
        <f t="shared" si="98"/>
        <v>59</v>
      </c>
      <c r="E1582">
        <v>73.498999999999995</v>
      </c>
      <c r="F1582">
        <f t="shared" si="99"/>
        <v>-14.498999999999995</v>
      </c>
      <c r="G1582">
        <v>26.483000000000001</v>
      </c>
      <c r="H1582">
        <v>0.84</v>
      </c>
      <c r="I1582">
        <v>3.1720000000000002</v>
      </c>
      <c r="J1582">
        <v>5</v>
      </c>
      <c r="K1582">
        <v>13</v>
      </c>
      <c r="L1582">
        <v>7</v>
      </c>
      <c r="M1582">
        <v>1.4630000000000001</v>
      </c>
    </row>
    <row r="1583" spans="1:13" ht="15" customHeight="1">
      <c r="A1583" t="s">
        <v>23</v>
      </c>
      <c r="B1583">
        <f t="shared" si="96"/>
        <v>33.714486999999998</v>
      </c>
      <c r="C1583">
        <f t="shared" si="97"/>
        <v>-117.85727799999999</v>
      </c>
      <c r="D1583">
        <f t="shared" si="98"/>
        <v>59</v>
      </c>
      <c r="E1583">
        <v>74.498999999999995</v>
      </c>
      <c r="F1583">
        <f t="shared" si="99"/>
        <v>-15.498999999999995</v>
      </c>
      <c r="G1583">
        <v>22.5</v>
      </c>
      <c r="H1583">
        <v>0.58699999999999997</v>
      </c>
      <c r="I1583">
        <v>2.5880000000000001</v>
      </c>
      <c r="J1583">
        <v>5</v>
      </c>
      <c r="K1583">
        <v>11</v>
      </c>
      <c r="L1583">
        <v>6</v>
      </c>
      <c r="M1583">
        <v>1.204</v>
      </c>
    </row>
    <row r="1584" spans="1:13" ht="15" customHeight="1">
      <c r="A1584" t="s">
        <v>23</v>
      </c>
      <c r="B1584">
        <f t="shared" si="96"/>
        <v>33.714486999999998</v>
      </c>
      <c r="C1584">
        <f t="shared" si="97"/>
        <v>-117.85727799999999</v>
      </c>
      <c r="D1584">
        <f t="shared" si="98"/>
        <v>59</v>
      </c>
      <c r="E1584">
        <v>75.498999999999995</v>
      </c>
      <c r="F1584">
        <f t="shared" si="99"/>
        <v>-16.498999999999995</v>
      </c>
      <c r="G1584">
        <v>21.567</v>
      </c>
      <c r="H1584">
        <v>0.61699999999999999</v>
      </c>
      <c r="I1584">
        <v>2.8140000000000001</v>
      </c>
      <c r="J1584">
        <v>5</v>
      </c>
      <c r="K1584">
        <v>10</v>
      </c>
      <c r="L1584">
        <v>5</v>
      </c>
      <c r="M1584">
        <v>1.1499999999999999</v>
      </c>
    </row>
    <row r="1585" spans="1:13" ht="15" customHeight="1">
      <c r="A1585" t="s">
        <v>23</v>
      </c>
      <c r="B1585">
        <f t="shared" si="96"/>
        <v>33.714486999999998</v>
      </c>
      <c r="C1585">
        <f t="shared" si="97"/>
        <v>-117.85727799999999</v>
      </c>
      <c r="D1585">
        <f t="shared" si="98"/>
        <v>59</v>
      </c>
      <c r="E1585">
        <v>76.498999999999995</v>
      </c>
      <c r="F1585">
        <f t="shared" si="99"/>
        <v>-17.498999999999995</v>
      </c>
      <c r="G1585">
        <v>19.867000000000001</v>
      </c>
      <c r="H1585">
        <v>0.63300000000000001</v>
      </c>
      <c r="I1585">
        <v>3.1019999999999999</v>
      </c>
      <c r="J1585">
        <v>5</v>
      </c>
      <c r="K1585">
        <v>10</v>
      </c>
      <c r="L1585">
        <v>5</v>
      </c>
      <c r="M1585">
        <v>1.046</v>
      </c>
    </row>
    <row r="1586" spans="1:13" ht="15" customHeight="1">
      <c r="A1586" t="s">
        <v>23</v>
      </c>
      <c r="B1586">
        <f t="shared" si="96"/>
        <v>33.714486999999998</v>
      </c>
      <c r="C1586">
        <f t="shared" si="97"/>
        <v>-117.85727799999999</v>
      </c>
      <c r="D1586">
        <f t="shared" si="98"/>
        <v>59</v>
      </c>
      <c r="E1586">
        <v>77.498999999999995</v>
      </c>
      <c r="F1586">
        <f t="shared" si="99"/>
        <v>-18.498999999999995</v>
      </c>
      <c r="G1586">
        <v>22.4</v>
      </c>
      <c r="H1586">
        <v>0.753</v>
      </c>
      <c r="I1586">
        <v>3.2240000000000002</v>
      </c>
      <c r="J1586">
        <v>5</v>
      </c>
      <c r="K1586">
        <v>11</v>
      </c>
      <c r="L1586">
        <v>6</v>
      </c>
      <c r="M1586">
        <v>1.238</v>
      </c>
    </row>
    <row r="1587" spans="1:13" ht="15" customHeight="1">
      <c r="A1587" t="s">
        <v>23</v>
      </c>
      <c r="B1587">
        <f t="shared" si="96"/>
        <v>33.714486999999998</v>
      </c>
      <c r="C1587">
        <f t="shared" si="97"/>
        <v>-117.85727799999999</v>
      </c>
      <c r="D1587">
        <f t="shared" si="98"/>
        <v>59</v>
      </c>
      <c r="E1587">
        <v>78.498999999999995</v>
      </c>
      <c r="F1587">
        <f t="shared" si="99"/>
        <v>-19.498999999999995</v>
      </c>
      <c r="G1587">
        <v>22.067</v>
      </c>
      <c r="H1587">
        <v>0.64200000000000002</v>
      </c>
      <c r="I1587">
        <v>2.7069999999999999</v>
      </c>
      <c r="J1587">
        <v>5</v>
      </c>
      <c r="K1587">
        <v>11</v>
      </c>
      <c r="L1587">
        <v>6</v>
      </c>
      <c r="M1587">
        <v>1.256</v>
      </c>
    </row>
    <row r="1588" spans="1:13" ht="15" customHeight="1">
      <c r="A1588" t="s">
        <v>23</v>
      </c>
      <c r="B1588">
        <f t="shared" si="96"/>
        <v>33.714486999999998</v>
      </c>
      <c r="C1588">
        <f t="shared" si="97"/>
        <v>-117.85727799999999</v>
      </c>
      <c r="D1588">
        <f t="shared" si="98"/>
        <v>59</v>
      </c>
      <c r="E1588">
        <v>79.498999999999995</v>
      </c>
      <c r="F1588">
        <f t="shared" si="99"/>
        <v>-20.498999999999995</v>
      </c>
      <c r="G1588">
        <v>21.667000000000002</v>
      </c>
      <c r="H1588">
        <v>0.72</v>
      </c>
      <c r="I1588">
        <v>3.0880000000000001</v>
      </c>
      <c r="J1588">
        <v>5</v>
      </c>
      <c r="K1588">
        <v>11</v>
      </c>
      <c r="L1588">
        <v>6</v>
      </c>
      <c r="M1588">
        <v>1.2270000000000001</v>
      </c>
    </row>
    <row r="1589" spans="1:13" ht="15" customHeight="1">
      <c r="A1589" t="s">
        <v>23</v>
      </c>
      <c r="B1589">
        <f t="shared" si="96"/>
        <v>33.714486999999998</v>
      </c>
      <c r="C1589">
        <f t="shared" si="97"/>
        <v>-117.85727799999999</v>
      </c>
      <c r="D1589">
        <f t="shared" si="98"/>
        <v>59</v>
      </c>
      <c r="E1589">
        <v>80.498999999999995</v>
      </c>
      <c r="F1589">
        <f t="shared" si="99"/>
        <v>-21.498999999999995</v>
      </c>
      <c r="G1589">
        <v>21.466999999999999</v>
      </c>
      <c r="H1589">
        <v>0.65500000000000003</v>
      </c>
      <c r="I1589">
        <v>2.8330000000000002</v>
      </c>
      <c r="J1589">
        <v>5</v>
      </c>
      <c r="K1589">
        <v>11</v>
      </c>
      <c r="L1589">
        <v>6</v>
      </c>
      <c r="M1589">
        <v>1.2090000000000001</v>
      </c>
    </row>
    <row r="1590" spans="1:13" ht="15" customHeight="1">
      <c r="A1590" t="s">
        <v>23</v>
      </c>
      <c r="B1590">
        <f t="shared" si="96"/>
        <v>33.714486999999998</v>
      </c>
      <c r="C1590">
        <f t="shared" si="97"/>
        <v>-117.85727799999999</v>
      </c>
      <c r="D1590">
        <f t="shared" si="98"/>
        <v>59</v>
      </c>
      <c r="E1590">
        <v>81.498999999999995</v>
      </c>
      <c r="F1590">
        <f t="shared" si="99"/>
        <v>-22.498999999999995</v>
      </c>
      <c r="G1590">
        <v>39.616999999999997</v>
      </c>
      <c r="H1590">
        <v>1.573</v>
      </c>
      <c r="I1590">
        <v>3.915</v>
      </c>
      <c r="J1590">
        <v>5</v>
      </c>
      <c r="K1590">
        <v>19</v>
      </c>
      <c r="L1590">
        <v>10</v>
      </c>
      <c r="M1590">
        <v>2.343</v>
      </c>
    </row>
    <row r="1591" spans="1:13" ht="15" customHeight="1">
      <c r="A1591" t="s">
        <v>23</v>
      </c>
      <c r="B1591">
        <f t="shared" si="96"/>
        <v>33.714486999999998</v>
      </c>
      <c r="C1591">
        <f t="shared" si="97"/>
        <v>-117.85727799999999</v>
      </c>
      <c r="D1591">
        <f t="shared" si="98"/>
        <v>59</v>
      </c>
      <c r="E1591">
        <v>82.498999999999995</v>
      </c>
      <c r="F1591">
        <f t="shared" si="99"/>
        <v>-23.498999999999995</v>
      </c>
      <c r="G1591">
        <v>29.632999999999999</v>
      </c>
      <c r="H1591">
        <v>1.02</v>
      </c>
      <c r="I1591">
        <v>3.335</v>
      </c>
      <c r="J1591">
        <v>5</v>
      </c>
      <c r="K1591">
        <v>15</v>
      </c>
      <c r="L1591">
        <v>8</v>
      </c>
      <c r="M1591">
        <v>1.6990000000000001</v>
      </c>
    </row>
    <row r="1592" spans="1:13" ht="15" customHeight="1">
      <c r="A1592" t="s">
        <v>23</v>
      </c>
      <c r="B1592">
        <f t="shared" si="96"/>
        <v>33.714486999999998</v>
      </c>
      <c r="C1592">
        <f t="shared" si="97"/>
        <v>-117.85727799999999</v>
      </c>
      <c r="D1592">
        <f t="shared" si="98"/>
        <v>59</v>
      </c>
      <c r="E1592">
        <v>83.498999999999995</v>
      </c>
      <c r="F1592">
        <f t="shared" si="99"/>
        <v>-24.498999999999995</v>
      </c>
      <c r="G1592">
        <v>34.700000000000003</v>
      </c>
      <c r="H1592">
        <v>1.32</v>
      </c>
      <c r="I1592">
        <v>3.6739999999999999</v>
      </c>
      <c r="J1592">
        <v>5</v>
      </c>
      <c r="K1592">
        <v>17</v>
      </c>
      <c r="L1592">
        <v>9</v>
      </c>
      <c r="M1592">
        <v>2.0510000000000002</v>
      </c>
    </row>
    <row r="1593" spans="1:13" ht="15" customHeight="1">
      <c r="A1593" t="s">
        <v>23</v>
      </c>
      <c r="B1593">
        <f t="shared" si="96"/>
        <v>33.714486999999998</v>
      </c>
      <c r="C1593">
        <f t="shared" si="97"/>
        <v>-117.85727799999999</v>
      </c>
      <c r="D1593">
        <f t="shared" si="98"/>
        <v>59</v>
      </c>
      <c r="E1593">
        <v>84.498999999999995</v>
      </c>
      <c r="F1593">
        <f t="shared" si="99"/>
        <v>-25.498999999999995</v>
      </c>
      <c r="G1593">
        <v>23.733000000000001</v>
      </c>
      <c r="H1593">
        <v>0.61799999999999999</v>
      </c>
      <c r="I1593">
        <v>2.387</v>
      </c>
      <c r="J1593">
        <v>6</v>
      </c>
      <c r="K1593">
        <v>10</v>
      </c>
      <c r="L1593">
        <v>5</v>
      </c>
      <c r="M1593">
        <v>1.3779999999999999</v>
      </c>
    </row>
    <row r="1594" spans="1:13" ht="15" customHeight="1">
      <c r="A1594" t="s">
        <v>23</v>
      </c>
      <c r="B1594">
        <f t="shared" si="96"/>
        <v>33.714486999999998</v>
      </c>
      <c r="C1594">
        <f t="shared" si="97"/>
        <v>-117.85727799999999</v>
      </c>
      <c r="D1594">
        <f t="shared" si="98"/>
        <v>59</v>
      </c>
      <c r="E1594">
        <v>85.498999999999995</v>
      </c>
      <c r="F1594">
        <f t="shared" si="99"/>
        <v>-26.498999999999995</v>
      </c>
      <c r="G1594">
        <v>62.783000000000001</v>
      </c>
      <c r="H1594">
        <v>2.0720000000000001</v>
      </c>
      <c r="I1594">
        <v>3.3010000000000002</v>
      </c>
      <c r="J1594">
        <v>6</v>
      </c>
      <c r="K1594">
        <v>24</v>
      </c>
      <c r="L1594">
        <v>12</v>
      </c>
      <c r="M1594">
        <v>3.8319999999999999</v>
      </c>
    </row>
    <row r="1595" spans="1:13" ht="15" customHeight="1">
      <c r="A1595" t="s">
        <v>23</v>
      </c>
      <c r="B1595">
        <f t="shared" si="96"/>
        <v>33.714486999999998</v>
      </c>
      <c r="C1595">
        <f t="shared" si="97"/>
        <v>-117.85727799999999</v>
      </c>
      <c r="D1595">
        <f t="shared" si="98"/>
        <v>59</v>
      </c>
      <c r="E1595">
        <v>86.498999999999995</v>
      </c>
      <c r="F1595">
        <f t="shared" si="99"/>
        <v>-27.498999999999995</v>
      </c>
      <c r="G1595">
        <v>27.882999999999999</v>
      </c>
      <c r="H1595">
        <v>1.038</v>
      </c>
      <c r="I1595">
        <v>3.742</v>
      </c>
      <c r="J1595">
        <v>5</v>
      </c>
      <c r="K1595">
        <v>13</v>
      </c>
      <c r="L1595">
        <v>7</v>
      </c>
      <c r="M1595">
        <v>1.4930000000000001</v>
      </c>
    </row>
    <row r="1596" spans="1:13" ht="15" customHeight="1">
      <c r="A1596" t="s">
        <v>23</v>
      </c>
      <c r="B1596">
        <f t="shared" si="96"/>
        <v>33.714486999999998</v>
      </c>
      <c r="C1596">
        <f t="shared" si="97"/>
        <v>-117.85727799999999</v>
      </c>
      <c r="D1596">
        <f t="shared" si="98"/>
        <v>59</v>
      </c>
      <c r="E1596">
        <v>87.498999999999995</v>
      </c>
      <c r="F1596">
        <f t="shared" si="99"/>
        <v>-28.498999999999995</v>
      </c>
      <c r="G1596">
        <v>45.517000000000003</v>
      </c>
      <c r="H1596">
        <v>1.7729999999999999</v>
      </c>
      <c r="I1596">
        <v>3.9020000000000001</v>
      </c>
      <c r="J1596">
        <v>5</v>
      </c>
      <c r="K1596">
        <v>22</v>
      </c>
      <c r="L1596">
        <v>11</v>
      </c>
      <c r="M1596">
        <v>2.669</v>
      </c>
    </row>
    <row r="1597" spans="1:13" ht="15" customHeight="1">
      <c r="A1597" t="s">
        <v>23</v>
      </c>
      <c r="B1597">
        <f t="shared" si="96"/>
        <v>33.714486999999998</v>
      </c>
      <c r="C1597">
        <f t="shared" si="97"/>
        <v>-117.85727799999999</v>
      </c>
      <c r="D1597">
        <f t="shared" si="98"/>
        <v>59</v>
      </c>
      <c r="E1597">
        <v>88.498999999999995</v>
      </c>
      <c r="F1597">
        <f t="shared" si="99"/>
        <v>-29.498999999999995</v>
      </c>
      <c r="G1597">
        <v>23.817</v>
      </c>
      <c r="H1597">
        <v>0.68799999999999994</v>
      </c>
      <c r="I1597">
        <v>2.8959999999999999</v>
      </c>
      <c r="J1597">
        <v>5</v>
      </c>
      <c r="K1597">
        <v>11</v>
      </c>
      <c r="L1597">
        <v>6</v>
      </c>
      <c r="M1597">
        <v>1.2190000000000001</v>
      </c>
    </row>
    <row r="1598" spans="1:13" ht="15" customHeight="1">
      <c r="A1598" t="s">
        <v>23</v>
      </c>
      <c r="B1598">
        <f t="shared" si="96"/>
        <v>33.714486999999998</v>
      </c>
      <c r="C1598">
        <f t="shared" si="97"/>
        <v>-117.85727799999999</v>
      </c>
      <c r="D1598">
        <f t="shared" si="98"/>
        <v>59</v>
      </c>
      <c r="E1598">
        <v>89.498999999999995</v>
      </c>
      <c r="F1598">
        <f t="shared" si="99"/>
        <v>-30.498999999999995</v>
      </c>
      <c r="G1598">
        <v>23.617000000000001</v>
      </c>
      <c r="H1598">
        <v>0.63500000000000001</v>
      </c>
      <c r="I1598">
        <v>2.6850000000000001</v>
      </c>
      <c r="J1598">
        <v>5</v>
      </c>
      <c r="K1598">
        <v>11</v>
      </c>
      <c r="L1598">
        <v>6</v>
      </c>
      <c r="M1598">
        <v>1.2070000000000001</v>
      </c>
    </row>
    <row r="1599" spans="1:13" ht="15" customHeight="1">
      <c r="A1599" t="s">
        <v>23</v>
      </c>
      <c r="B1599">
        <f t="shared" si="96"/>
        <v>33.714486999999998</v>
      </c>
      <c r="C1599">
        <f t="shared" si="97"/>
        <v>-117.85727799999999</v>
      </c>
      <c r="D1599">
        <f t="shared" si="98"/>
        <v>59</v>
      </c>
      <c r="E1599">
        <v>90.498999999999995</v>
      </c>
      <c r="F1599">
        <f t="shared" si="99"/>
        <v>-31.498999999999995</v>
      </c>
      <c r="G1599">
        <v>27.332999999999998</v>
      </c>
      <c r="H1599">
        <v>1.0449999999999999</v>
      </c>
      <c r="I1599">
        <v>3.8119999999999998</v>
      </c>
      <c r="J1599">
        <v>4</v>
      </c>
      <c r="K1599">
        <v>18</v>
      </c>
      <c r="L1599">
        <v>9</v>
      </c>
      <c r="M1599">
        <v>1.454</v>
      </c>
    </row>
    <row r="1600" spans="1:13" ht="15" customHeight="1">
      <c r="A1600" t="s">
        <v>23</v>
      </c>
      <c r="B1600">
        <f t="shared" si="96"/>
        <v>33.714486999999998</v>
      </c>
      <c r="C1600">
        <f t="shared" si="97"/>
        <v>-117.85727799999999</v>
      </c>
      <c r="D1600">
        <f t="shared" si="98"/>
        <v>59</v>
      </c>
      <c r="E1600">
        <v>91.498999999999995</v>
      </c>
      <c r="F1600">
        <f t="shared" si="99"/>
        <v>-32.498999999999995</v>
      </c>
      <c r="G1600">
        <v>29.567</v>
      </c>
      <c r="H1600">
        <v>1.018</v>
      </c>
      <c r="I1600">
        <v>3.4329999999999998</v>
      </c>
      <c r="J1600">
        <v>5</v>
      </c>
      <c r="K1600">
        <v>14</v>
      </c>
      <c r="L1600">
        <v>7</v>
      </c>
      <c r="M1600">
        <v>1.6</v>
      </c>
    </row>
    <row r="1601" spans="1:13" ht="15" customHeight="1">
      <c r="A1601" t="s">
        <v>23</v>
      </c>
      <c r="B1601">
        <f t="shared" si="96"/>
        <v>33.714486999999998</v>
      </c>
      <c r="C1601">
        <f t="shared" si="97"/>
        <v>-117.85727799999999</v>
      </c>
      <c r="D1601">
        <f t="shared" si="98"/>
        <v>59</v>
      </c>
      <c r="E1601">
        <v>92.498999999999995</v>
      </c>
      <c r="F1601">
        <f t="shared" si="99"/>
        <v>-33.498999999999995</v>
      </c>
      <c r="G1601">
        <v>29.632999999999999</v>
      </c>
      <c r="H1601">
        <v>0.998</v>
      </c>
      <c r="I1601">
        <v>3.3540000000000001</v>
      </c>
      <c r="J1601">
        <v>5</v>
      </c>
      <c r="K1601">
        <v>14</v>
      </c>
      <c r="L1601">
        <v>7</v>
      </c>
      <c r="M1601">
        <v>1.603</v>
      </c>
    </row>
    <row r="1602" spans="1:13" ht="15" customHeight="1">
      <c r="A1602" t="s">
        <v>23</v>
      </c>
      <c r="B1602">
        <f t="shared" ref="B1602:B1665" si="100">VLOOKUP(A1602,XYdata,3,FALSE)</f>
        <v>33.714486999999998</v>
      </c>
      <c r="C1602">
        <f t="shared" ref="C1602:C1665" si="101">VLOOKUP(A1602,XYdata,2,FALSE)</f>
        <v>-117.85727799999999</v>
      </c>
      <c r="D1602">
        <f t="shared" ref="D1602:D1665" si="102">VLOOKUP(A1602,Elevation,2,FALSE)</f>
        <v>59</v>
      </c>
      <c r="E1602">
        <v>93.498999999999995</v>
      </c>
      <c r="F1602">
        <f t="shared" si="99"/>
        <v>-34.498999999999995</v>
      </c>
      <c r="G1602">
        <v>38.700000000000003</v>
      </c>
      <c r="H1602">
        <v>1.2969999999999999</v>
      </c>
      <c r="I1602">
        <v>3.3420000000000001</v>
      </c>
      <c r="J1602">
        <v>5</v>
      </c>
      <c r="K1602">
        <v>19</v>
      </c>
      <c r="L1602">
        <v>10</v>
      </c>
      <c r="M1602">
        <v>2.202</v>
      </c>
    </row>
    <row r="1603" spans="1:13" ht="15" customHeight="1">
      <c r="A1603" t="s">
        <v>23</v>
      </c>
      <c r="B1603">
        <f t="shared" si="100"/>
        <v>33.714486999999998</v>
      </c>
      <c r="C1603">
        <f t="shared" si="101"/>
        <v>-117.85727799999999</v>
      </c>
      <c r="D1603">
        <f t="shared" si="102"/>
        <v>59</v>
      </c>
      <c r="E1603">
        <v>94.498999999999995</v>
      </c>
      <c r="F1603">
        <f t="shared" ref="F1603:F1666" si="103">D1603-E1603</f>
        <v>-35.498999999999995</v>
      </c>
      <c r="G1603">
        <v>39.450000000000003</v>
      </c>
      <c r="H1603">
        <v>1.278</v>
      </c>
      <c r="I1603">
        <v>3.2269999999999999</v>
      </c>
      <c r="J1603">
        <v>5</v>
      </c>
      <c r="K1603">
        <v>19</v>
      </c>
      <c r="L1603">
        <v>10</v>
      </c>
      <c r="M1603">
        <v>2.2509999999999999</v>
      </c>
    </row>
    <row r="1604" spans="1:13" ht="15" customHeight="1">
      <c r="A1604" t="s">
        <v>23</v>
      </c>
      <c r="B1604">
        <f t="shared" si="100"/>
        <v>33.714486999999998</v>
      </c>
      <c r="C1604">
        <f t="shared" si="101"/>
        <v>-117.85727799999999</v>
      </c>
      <c r="D1604">
        <f t="shared" si="102"/>
        <v>59</v>
      </c>
      <c r="E1604">
        <v>95.498999999999995</v>
      </c>
      <c r="F1604">
        <f t="shared" si="103"/>
        <v>-36.498999999999995</v>
      </c>
      <c r="G1604">
        <v>45.082999999999998</v>
      </c>
      <c r="H1604">
        <v>1.538</v>
      </c>
      <c r="I1604">
        <v>3.391</v>
      </c>
      <c r="J1604">
        <v>5</v>
      </c>
      <c r="K1604">
        <v>22</v>
      </c>
      <c r="L1604">
        <v>11</v>
      </c>
      <c r="M1604">
        <v>2.63</v>
      </c>
    </row>
    <row r="1605" spans="1:13" ht="15" customHeight="1">
      <c r="A1605" t="s">
        <v>23</v>
      </c>
      <c r="B1605">
        <f t="shared" si="100"/>
        <v>33.714486999999998</v>
      </c>
      <c r="C1605">
        <f t="shared" si="101"/>
        <v>-117.85727799999999</v>
      </c>
      <c r="D1605">
        <f t="shared" si="102"/>
        <v>59</v>
      </c>
      <c r="E1605">
        <v>96.498999999999995</v>
      </c>
      <c r="F1605">
        <f t="shared" si="103"/>
        <v>-37.498999999999995</v>
      </c>
      <c r="G1605">
        <v>31.35</v>
      </c>
      <c r="H1605">
        <v>1.077</v>
      </c>
      <c r="I1605">
        <v>3.3330000000000002</v>
      </c>
      <c r="J1605">
        <v>5</v>
      </c>
      <c r="K1605">
        <v>15</v>
      </c>
      <c r="L1605">
        <v>8</v>
      </c>
      <c r="M1605">
        <v>1.7549999999999999</v>
      </c>
    </row>
    <row r="1606" spans="1:13" ht="15" customHeight="1">
      <c r="A1606" t="s">
        <v>23</v>
      </c>
      <c r="B1606">
        <f t="shared" si="100"/>
        <v>33.714486999999998</v>
      </c>
      <c r="C1606">
        <f t="shared" si="101"/>
        <v>-117.85727799999999</v>
      </c>
      <c r="D1606">
        <f t="shared" si="102"/>
        <v>59</v>
      </c>
      <c r="E1606">
        <v>97.498999999999995</v>
      </c>
      <c r="F1606">
        <f t="shared" si="103"/>
        <v>-38.498999999999995</v>
      </c>
      <c r="G1606">
        <v>27.6</v>
      </c>
      <c r="H1606">
        <v>0.81299999999999994</v>
      </c>
      <c r="I1606">
        <v>2.7730000000000001</v>
      </c>
      <c r="J1606">
        <v>6</v>
      </c>
      <c r="K1606">
        <v>11</v>
      </c>
      <c r="L1606">
        <v>6</v>
      </c>
      <c r="M1606">
        <v>1.5529999999999999</v>
      </c>
    </row>
    <row r="1607" spans="1:13" ht="15" customHeight="1">
      <c r="A1607" t="s">
        <v>23</v>
      </c>
      <c r="B1607">
        <f t="shared" si="100"/>
        <v>33.714486999999998</v>
      </c>
      <c r="C1607">
        <f t="shared" si="101"/>
        <v>-117.85727799999999</v>
      </c>
      <c r="D1607">
        <f t="shared" si="102"/>
        <v>59</v>
      </c>
      <c r="E1607">
        <v>98.498999999999995</v>
      </c>
      <c r="F1607">
        <f t="shared" si="103"/>
        <v>-39.498999999999995</v>
      </c>
      <c r="G1607">
        <v>34.5</v>
      </c>
      <c r="H1607">
        <v>1.2030000000000001</v>
      </c>
      <c r="I1607">
        <v>3.335</v>
      </c>
      <c r="J1607">
        <v>5</v>
      </c>
      <c r="K1607">
        <v>17</v>
      </c>
      <c r="L1607">
        <v>9</v>
      </c>
      <c r="M1607">
        <v>1.9990000000000001</v>
      </c>
    </row>
    <row r="1608" spans="1:13" ht="15" customHeight="1">
      <c r="A1608" t="s">
        <v>23</v>
      </c>
      <c r="B1608">
        <f t="shared" si="100"/>
        <v>33.714486999999998</v>
      </c>
      <c r="C1608">
        <f t="shared" si="101"/>
        <v>-117.85727799999999</v>
      </c>
      <c r="D1608">
        <f t="shared" si="102"/>
        <v>59</v>
      </c>
      <c r="E1608">
        <v>99.498999999999995</v>
      </c>
      <c r="F1608">
        <f t="shared" si="103"/>
        <v>-40.498999999999995</v>
      </c>
      <c r="G1608">
        <v>28.117000000000001</v>
      </c>
      <c r="H1608">
        <v>0.97299999999999998</v>
      </c>
      <c r="I1608">
        <v>3.2850000000000001</v>
      </c>
      <c r="J1608">
        <v>5</v>
      </c>
      <c r="K1608">
        <v>14</v>
      </c>
      <c r="L1608">
        <v>7</v>
      </c>
      <c r="M1608">
        <v>1.5640000000000001</v>
      </c>
    </row>
    <row r="1609" spans="1:13" ht="15" customHeight="1">
      <c r="A1609" t="s">
        <v>23</v>
      </c>
      <c r="B1609">
        <f t="shared" si="100"/>
        <v>33.714486999999998</v>
      </c>
      <c r="C1609">
        <f t="shared" si="101"/>
        <v>-117.85727799999999</v>
      </c>
      <c r="D1609">
        <f t="shared" si="102"/>
        <v>59</v>
      </c>
      <c r="E1609">
        <v>100.499</v>
      </c>
      <c r="F1609">
        <f t="shared" si="103"/>
        <v>-41.498999999999995</v>
      </c>
      <c r="G1609">
        <v>29.2</v>
      </c>
      <c r="H1609">
        <v>0.872</v>
      </c>
      <c r="I1609">
        <v>2.7919999999999998</v>
      </c>
      <c r="J1609">
        <v>6</v>
      </c>
      <c r="K1609">
        <v>12</v>
      </c>
      <c r="L1609">
        <v>6</v>
      </c>
      <c r="M1609">
        <v>1.6659999999999999</v>
      </c>
    </row>
    <row r="1610" spans="1:13" ht="15" customHeight="1">
      <c r="A1610" t="s">
        <v>23</v>
      </c>
      <c r="B1610">
        <f t="shared" si="100"/>
        <v>33.714486999999998</v>
      </c>
      <c r="C1610">
        <f t="shared" si="101"/>
        <v>-117.85727799999999</v>
      </c>
      <c r="D1610">
        <f t="shared" si="102"/>
        <v>59</v>
      </c>
      <c r="E1610">
        <v>101.499</v>
      </c>
      <c r="F1610">
        <f t="shared" si="103"/>
        <v>-42.498999999999995</v>
      </c>
      <c r="G1610">
        <v>114.65</v>
      </c>
      <c r="H1610">
        <v>3.0129999999999999</v>
      </c>
      <c r="I1610">
        <v>2.62</v>
      </c>
      <c r="J1610">
        <v>7</v>
      </c>
      <c r="K1610">
        <v>37</v>
      </c>
      <c r="L1610">
        <v>19</v>
      </c>
      <c r="M1610" s="1">
        <v>9000000000</v>
      </c>
    </row>
    <row r="1611" spans="1:13" ht="15" customHeight="1">
      <c r="A1611" t="s">
        <v>23</v>
      </c>
      <c r="B1611">
        <f t="shared" si="100"/>
        <v>33.714486999999998</v>
      </c>
      <c r="C1611">
        <f t="shared" si="101"/>
        <v>-117.85727799999999</v>
      </c>
      <c r="D1611">
        <f t="shared" si="102"/>
        <v>59</v>
      </c>
      <c r="E1611">
        <v>102.499</v>
      </c>
      <c r="F1611">
        <f t="shared" si="103"/>
        <v>-43.498999999999995</v>
      </c>
      <c r="G1611">
        <v>130.43299999999999</v>
      </c>
      <c r="H1611">
        <v>1.8120000000000001</v>
      </c>
      <c r="I1611">
        <v>1.39</v>
      </c>
      <c r="J1611">
        <v>8</v>
      </c>
      <c r="K1611">
        <v>31</v>
      </c>
      <c r="L1611">
        <v>16</v>
      </c>
      <c r="M1611" s="1">
        <v>9000000000</v>
      </c>
    </row>
    <row r="1612" spans="1:13" ht="15" customHeight="1">
      <c r="A1612" t="s">
        <v>23</v>
      </c>
      <c r="B1612">
        <f t="shared" si="100"/>
        <v>33.714486999999998</v>
      </c>
      <c r="C1612">
        <f t="shared" si="101"/>
        <v>-117.85727799999999</v>
      </c>
      <c r="D1612">
        <f t="shared" si="102"/>
        <v>59</v>
      </c>
      <c r="E1612">
        <v>103.499</v>
      </c>
      <c r="F1612">
        <f t="shared" si="103"/>
        <v>-44.498999999999995</v>
      </c>
      <c r="G1612">
        <v>52.533000000000001</v>
      </c>
      <c r="H1612">
        <v>1.2050000000000001</v>
      </c>
      <c r="I1612">
        <v>2.2919999999999998</v>
      </c>
      <c r="J1612">
        <v>6</v>
      </c>
      <c r="K1612">
        <v>20</v>
      </c>
      <c r="L1612">
        <v>10</v>
      </c>
      <c r="M1612">
        <v>3.077</v>
      </c>
    </row>
    <row r="1613" spans="1:13" ht="15" customHeight="1">
      <c r="A1613" t="s">
        <v>23</v>
      </c>
      <c r="B1613">
        <f t="shared" si="100"/>
        <v>33.714486999999998</v>
      </c>
      <c r="C1613">
        <f t="shared" si="101"/>
        <v>-117.85727799999999</v>
      </c>
      <c r="D1613">
        <f t="shared" si="102"/>
        <v>59</v>
      </c>
      <c r="E1613">
        <v>104.499</v>
      </c>
      <c r="F1613">
        <f t="shared" si="103"/>
        <v>-45.498999999999995</v>
      </c>
      <c r="G1613">
        <v>261.286</v>
      </c>
      <c r="H1613">
        <v>4.0359999999999996</v>
      </c>
      <c r="I1613">
        <v>1.5449999999999999</v>
      </c>
      <c r="J1613">
        <v>8</v>
      </c>
      <c r="K1613">
        <v>63</v>
      </c>
      <c r="L1613">
        <v>32</v>
      </c>
      <c r="M1613" s="1">
        <v>9000000000</v>
      </c>
    </row>
    <row r="1614" spans="1:13" ht="15" customHeight="1">
      <c r="A1614" t="s">
        <v>23</v>
      </c>
      <c r="B1614">
        <f t="shared" si="100"/>
        <v>33.714486999999998</v>
      </c>
      <c r="C1614">
        <f t="shared" si="101"/>
        <v>-117.85727799999999</v>
      </c>
      <c r="D1614">
        <f t="shared" si="102"/>
        <v>59</v>
      </c>
      <c r="E1614">
        <v>105.499</v>
      </c>
      <c r="F1614">
        <f t="shared" si="103"/>
        <v>-46.498999999999995</v>
      </c>
      <c r="G1614">
        <v>205.2</v>
      </c>
      <c r="H1614">
        <v>4.0049999999999999</v>
      </c>
      <c r="I1614">
        <v>1.9510000000000001</v>
      </c>
      <c r="J1614">
        <v>8</v>
      </c>
      <c r="K1614">
        <v>49</v>
      </c>
      <c r="L1614">
        <v>25</v>
      </c>
      <c r="M1614" s="1">
        <v>9000000000</v>
      </c>
    </row>
    <row r="1615" spans="1:13" ht="15" customHeight="1">
      <c r="A1615" t="s">
        <v>23</v>
      </c>
      <c r="B1615">
        <f t="shared" si="100"/>
        <v>33.714486999999998</v>
      </c>
      <c r="C1615">
        <f t="shared" si="101"/>
        <v>-117.85727799999999</v>
      </c>
      <c r="D1615">
        <f t="shared" si="102"/>
        <v>59</v>
      </c>
      <c r="E1615">
        <v>106.499</v>
      </c>
      <c r="F1615">
        <f t="shared" si="103"/>
        <v>-47.498999999999995</v>
      </c>
      <c r="G1615">
        <v>271.767</v>
      </c>
      <c r="H1615">
        <v>5.0369999999999999</v>
      </c>
      <c r="I1615">
        <v>1.8540000000000001</v>
      </c>
      <c r="J1615">
        <v>8</v>
      </c>
      <c r="K1615">
        <v>65</v>
      </c>
      <c r="L1615">
        <v>33</v>
      </c>
      <c r="M1615" s="1">
        <v>9000000000</v>
      </c>
    </row>
    <row r="1616" spans="1:13" ht="15" customHeight="1">
      <c r="A1616" t="s">
        <v>23</v>
      </c>
      <c r="B1616">
        <f t="shared" si="100"/>
        <v>33.714486999999998</v>
      </c>
      <c r="C1616">
        <f t="shared" si="101"/>
        <v>-117.85727799999999</v>
      </c>
      <c r="D1616">
        <f t="shared" si="102"/>
        <v>59</v>
      </c>
      <c r="E1616">
        <v>107.499</v>
      </c>
      <c r="F1616">
        <f t="shared" si="103"/>
        <v>-48.498999999999995</v>
      </c>
      <c r="G1616">
        <v>294.28300000000002</v>
      </c>
      <c r="H1616">
        <v>3.4279999999999999</v>
      </c>
      <c r="I1616">
        <v>1.165</v>
      </c>
      <c r="J1616">
        <v>9</v>
      </c>
      <c r="K1616">
        <v>56</v>
      </c>
      <c r="L1616">
        <v>28</v>
      </c>
      <c r="M1616" s="1">
        <v>9000000000</v>
      </c>
    </row>
    <row r="1617" spans="1:13" ht="15" customHeight="1">
      <c r="A1617" t="s">
        <v>23</v>
      </c>
      <c r="B1617">
        <f t="shared" si="100"/>
        <v>33.714486999999998</v>
      </c>
      <c r="C1617">
        <f t="shared" si="101"/>
        <v>-117.85727799999999</v>
      </c>
      <c r="D1617">
        <f t="shared" si="102"/>
        <v>59</v>
      </c>
      <c r="E1617">
        <v>108.499</v>
      </c>
      <c r="F1617">
        <f t="shared" si="103"/>
        <v>-49.498999999999995</v>
      </c>
      <c r="G1617">
        <v>52.05</v>
      </c>
      <c r="H1617">
        <v>2.5680000000000001</v>
      </c>
      <c r="I1617">
        <v>4.923</v>
      </c>
      <c r="J1617">
        <v>4</v>
      </c>
      <c r="K1617">
        <v>33</v>
      </c>
      <c r="L1617">
        <v>17</v>
      </c>
      <c r="M1617">
        <v>3.0289999999999999</v>
      </c>
    </row>
    <row r="1618" spans="1:13" ht="15" customHeight="1">
      <c r="A1618" t="s">
        <v>23</v>
      </c>
      <c r="B1618">
        <f t="shared" si="100"/>
        <v>33.714486999999998</v>
      </c>
      <c r="C1618">
        <f t="shared" si="101"/>
        <v>-117.85727799999999</v>
      </c>
      <c r="D1618">
        <f t="shared" si="102"/>
        <v>59</v>
      </c>
      <c r="E1618">
        <v>109.499</v>
      </c>
      <c r="F1618">
        <f t="shared" si="103"/>
        <v>-50.498999999999995</v>
      </c>
      <c r="G1618">
        <v>55.45</v>
      </c>
      <c r="H1618">
        <v>2.44</v>
      </c>
      <c r="I1618">
        <v>4.3810000000000002</v>
      </c>
      <c r="J1618">
        <v>4</v>
      </c>
      <c r="K1618">
        <v>36</v>
      </c>
      <c r="L1618">
        <v>18</v>
      </c>
      <c r="M1618">
        <v>3.2610000000000001</v>
      </c>
    </row>
    <row r="1619" spans="1:13" ht="15" customHeight="1">
      <c r="A1619" t="s">
        <v>23</v>
      </c>
      <c r="B1619">
        <f t="shared" si="100"/>
        <v>33.714486999999998</v>
      </c>
      <c r="C1619">
        <f t="shared" si="101"/>
        <v>-117.85727799999999</v>
      </c>
      <c r="D1619">
        <f t="shared" si="102"/>
        <v>59</v>
      </c>
      <c r="E1619">
        <v>110.499</v>
      </c>
      <c r="F1619">
        <f t="shared" si="103"/>
        <v>-51.498999999999995</v>
      </c>
      <c r="G1619">
        <v>43.517000000000003</v>
      </c>
      <c r="H1619">
        <v>1.6319999999999999</v>
      </c>
      <c r="I1619">
        <v>3.7280000000000002</v>
      </c>
      <c r="J1619">
        <v>5</v>
      </c>
      <c r="K1619">
        <v>21</v>
      </c>
      <c r="L1619">
        <v>11</v>
      </c>
      <c r="M1619">
        <v>2.4609999999999999</v>
      </c>
    </row>
    <row r="1620" spans="1:13" ht="15" customHeight="1">
      <c r="A1620" t="s">
        <v>23</v>
      </c>
      <c r="B1620">
        <f t="shared" si="100"/>
        <v>33.714486999999998</v>
      </c>
      <c r="C1620">
        <f t="shared" si="101"/>
        <v>-117.85727799999999</v>
      </c>
      <c r="D1620">
        <f t="shared" si="102"/>
        <v>59</v>
      </c>
      <c r="E1620">
        <v>111.499</v>
      </c>
      <c r="F1620">
        <f t="shared" si="103"/>
        <v>-52.498999999999995</v>
      </c>
      <c r="G1620">
        <v>37.567</v>
      </c>
      <c r="H1620">
        <v>1.363</v>
      </c>
      <c r="I1620">
        <v>3.5880000000000001</v>
      </c>
      <c r="J1620">
        <v>5</v>
      </c>
      <c r="K1620">
        <v>18</v>
      </c>
      <c r="L1620">
        <v>9</v>
      </c>
      <c r="M1620">
        <v>2.0720000000000001</v>
      </c>
    </row>
    <row r="1621" spans="1:13" ht="15" customHeight="1">
      <c r="A1621" t="s">
        <v>23</v>
      </c>
      <c r="B1621">
        <f t="shared" si="100"/>
        <v>33.714486999999998</v>
      </c>
      <c r="C1621">
        <f t="shared" si="101"/>
        <v>-117.85727799999999</v>
      </c>
      <c r="D1621">
        <f t="shared" si="102"/>
        <v>59</v>
      </c>
      <c r="E1621">
        <v>112.499</v>
      </c>
      <c r="F1621">
        <f t="shared" si="103"/>
        <v>-53.498999999999995</v>
      </c>
      <c r="G1621">
        <v>31.516999999999999</v>
      </c>
      <c r="H1621">
        <v>0.97699999999999998</v>
      </c>
      <c r="I1621">
        <v>3.036</v>
      </c>
      <c r="J1621">
        <v>5</v>
      </c>
      <c r="K1621">
        <v>15</v>
      </c>
      <c r="L1621">
        <v>8</v>
      </c>
      <c r="M1621">
        <v>1.679</v>
      </c>
    </row>
    <row r="1622" spans="1:13" ht="15" customHeight="1">
      <c r="A1622" t="s">
        <v>23</v>
      </c>
      <c r="B1622">
        <f t="shared" si="100"/>
        <v>33.714486999999998</v>
      </c>
      <c r="C1622">
        <f t="shared" si="101"/>
        <v>-117.85727799999999</v>
      </c>
      <c r="D1622">
        <f t="shared" si="102"/>
        <v>59</v>
      </c>
      <c r="E1622">
        <v>113.499</v>
      </c>
      <c r="F1622">
        <f t="shared" si="103"/>
        <v>-54.498999999999995</v>
      </c>
      <c r="G1622">
        <v>54.067</v>
      </c>
      <c r="H1622">
        <v>2.2349999999999999</v>
      </c>
      <c r="I1622">
        <v>4.0069999999999997</v>
      </c>
      <c r="J1622">
        <v>5</v>
      </c>
      <c r="K1622">
        <v>27</v>
      </c>
      <c r="L1622">
        <v>14</v>
      </c>
      <c r="M1622">
        <v>3.25</v>
      </c>
    </row>
    <row r="1623" spans="1:13" ht="15" customHeight="1">
      <c r="A1623" t="s">
        <v>23</v>
      </c>
      <c r="B1623">
        <f t="shared" si="100"/>
        <v>33.714486999999998</v>
      </c>
      <c r="C1623">
        <f t="shared" si="101"/>
        <v>-117.85727799999999</v>
      </c>
      <c r="D1623">
        <f t="shared" si="102"/>
        <v>59</v>
      </c>
      <c r="E1623">
        <v>114.499</v>
      </c>
      <c r="F1623">
        <f t="shared" si="103"/>
        <v>-55.498999999999995</v>
      </c>
      <c r="G1623">
        <v>227.65700000000001</v>
      </c>
      <c r="H1623">
        <v>5.2329999999999997</v>
      </c>
      <c r="I1623">
        <v>2.298</v>
      </c>
      <c r="J1623">
        <v>7</v>
      </c>
      <c r="K1623">
        <v>73</v>
      </c>
      <c r="L1623">
        <v>37</v>
      </c>
      <c r="M1623" s="1">
        <v>9000000000</v>
      </c>
    </row>
    <row r="1624" spans="1:13" ht="15" customHeight="1">
      <c r="A1624" t="s">
        <v>23</v>
      </c>
      <c r="B1624">
        <f t="shared" si="100"/>
        <v>33.714486999999998</v>
      </c>
      <c r="C1624">
        <f t="shared" si="101"/>
        <v>-117.85727799999999</v>
      </c>
      <c r="D1624">
        <f t="shared" si="102"/>
        <v>59</v>
      </c>
      <c r="E1624">
        <v>115.499</v>
      </c>
      <c r="F1624">
        <f t="shared" si="103"/>
        <v>-56.498999999999995</v>
      </c>
      <c r="G1624">
        <v>104.1</v>
      </c>
      <c r="H1624">
        <v>4.0949999999999998</v>
      </c>
      <c r="I1624">
        <v>3.9350000000000001</v>
      </c>
      <c r="J1624">
        <v>5</v>
      </c>
      <c r="K1624">
        <v>50</v>
      </c>
      <c r="L1624">
        <v>25</v>
      </c>
      <c r="M1624">
        <v>6.46</v>
      </c>
    </row>
    <row r="1625" spans="1:13" ht="15" customHeight="1">
      <c r="A1625" t="s">
        <v>23</v>
      </c>
      <c r="B1625">
        <f t="shared" si="100"/>
        <v>33.714486999999998</v>
      </c>
      <c r="C1625">
        <f t="shared" si="101"/>
        <v>-117.85727799999999</v>
      </c>
      <c r="D1625">
        <f t="shared" si="102"/>
        <v>59</v>
      </c>
      <c r="E1625">
        <v>116.499</v>
      </c>
      <c r="F1625">
        <f t="shared" si="103"/>
        <v>-57.498999999999995</v>
      </c>
      <c r="G1625">
        <v>322.21699999999998</v>
      </c>
      <c r="H1625">
        <v>8.3279999999999994</v>
      </c>
      <c r="I1625">
        <v>2.5859999999999999</v>
      </c>
      <c r="J1625">
        <v>12</v>
      </c>
      <c r="K1625">
        <v>154</v>
      </c>
      <c r="L1625">
        <v>77</v>
      </c>
      <c r="M1625" s="1">
        <v>9000000000</v>
      </c>
    </row>
    <row r="1626" spans="1:13" ht="15" customHeight="1">
      <c r="A1626" t="s">
        <v>23</v>
      </c>
      <c r="B1626">
        <f t="shared" si="100"/>
        <v>33.714486999999998</v>
      </c>
      <c r="C1626">
        <f t="shared" si="101"/>
        <v>-117.85727799999999</v>
      </c>
      <c r="D1626">
        <f t="shared" si="102"/>
        <v>59</v>
      </c>
      <c r="E1626">
        <v>117.498</v>
      </c>
      <c r="F1626">
        <f t="shared" si="103"/>
        <v>-58.498000000000005</v>
      </c>
      <c r="G1626">
        <v>262.81700000000001</v>
      </c>
      <c r="H1626">
        <v>5.6619999999999999</v>
      </c>
      <c r="I1626">
        <v>2.1560000000000001</v>
      </c>
      <c r="J1626">
        <v>8</v>
      </c>
      <c r="K1626">
        <v>63</v>
      </c>
      <c r="L1626">
        <v>32</v>
      </c>
      <c r="M1626" s="1">
        <v>9000000000</v>
      </c>
    </row>
    <row r="1627" spans="1:13" ht="15" customHeight="1">
      <c r="A1627" t="s">
        <v>23</v>
      </c>
      <c r="B1627">
        <f t="shared" si="100"/>
        <v>33.714486999999998</v>
      </c>
      <c r="C1627">
        <f t="shared" si="101"/>
        <v>-117.85727799999999</v>
      </c>
      <c r="D1627">
        <f t="shared" si="102"/>
        <v>59</v>
      </c>
      <c r="E1627">
        <v>118.498</v>
      </c>
      <c r="F1627">
        <f t="shared" si="103"/>
        <v>-59.498000000000005</v>
      </c>
      <c r="G1627">
        <v>212.767</v>
      </c>
      <c r="H1627">
        <v>5.2930000000000001</v>
      </c>
      <c r="I1627">
        <v>2.4900000000000002</v>
      </c>
      <c r="J1627">
        <v>7</v>
      </c>
      <c r="K1627">
        <v>68</v>
      </c>
      <c r="L1627">
        <v>34</v>
      </c>
      <c r="M1627" s="1">
        <v>9000000000</v>
      </c>
    </row>
    <row r="1628" spans="1:13" ht="15" customHeight="1">
      <c r="A1628" t="s">
        <v>23</v>
      </c>
      <c r="B1628">
        <f t="shared" si="100"/>
        <v>33.714486999999998</v>
      </c>
      <c r="C1628">
        <f t="shared" si="101"/>
        <v>-117.85727799999999</v>
      </c>
      <c r="D1628">
        <f t="shared" si="102"/>
        <v>59</v>
      </c>
      <c r="E1628">
        <v>119.498</v>
      </c>
      <c r="F1628">
        <f t="shared" si="103"/>
        <v>-60.498000000000005</v>
      </c>
      <c r="G1628">
        <v>231.11699999999999</v>
      </c>
      <c r="H1628">
        <v>5.9130000000000003</v>
      </c>
      <c r="I1628">
        <v>2.5609999999999999</v>
      </c>
      <c r="J1628">
        <v>7</v>
      </c>
      <c r="K1628">
        <v>74</v>
      </c>
      <c r="L1628">
        <v>37</v>
      </c>
      <c r="M1628" s="1">
        <v>9000000000</v>
      </c>
    </row>
    <row r="1629" spans="1:13" ht="15" customHeight="1">
      <c r="A1629" t="s">
        <v>23</v>
      </c>
      <c r="B1629">
        <f t="shared" si="100"/>
        <v>33.714486999999998</v>
      </c>
      <c r="C1629">
        <f t="shared" si="101"/>
        <v>-117.85727799999999</v>
      </c>
      <c r="D1629">
        <f t="shared" si="102"/>
        <v>59</v>
      </c>
      <c r="E1629">
        <v>120.498</v>
      </c>
      <c r="F1629">
        <f t="shared" si="103"/>
        <v>-61.498000000000005</v>
      </c>
      <c r="G1629">
        <v>267.06700000000001</v>
      </c>
      <c r="H1629">
        <v>4.907</v>
      </c>
      <c r="I1629">
        <v>1.839</v>
      </c>
      <c r="J1629">
        <v>8</v>
      </c>
      <c r="K1629">
        <v>64</v>
      </c>
      <c r="L1629">
        <v>32</v>
      </c>
      <c r="M1629" s="1">
        <v>9000000000</v>
      </c>
    </row>
    <row r="1630" spans="1:13" ht="15" customHeight="1">
      <c r="A1630" t="s">
        <v>23</v>
      </c>
      <c r="B1630">
        <f t="shared" si="100"/>
        <v>33.714486999999998</v>
      </c>
      <c r="C1630">
        <f t="shared" si="101"/>
        <v>-117.85727799999999</v>
      </c>
      <c r="D1630">
        <f t="shared" si="102"/>
        <v>59</v>
      </c>
      <c r="E1630">
        <v>121.498</v>
      </c>
      <c r="F1630">
        <f t="shared" si="103"/>
        <v>-62.498000000000005</v>
      </c>
      <c r="G1630">
        <v>377.8</v>
      </c>
      <c r="H1630">
        <v>0</v>
      </c>
      <c r="I1630">
        <v>0</v>
      </c>
      <c r="J1630">
        <v>10</v>
      </c>
      <c r="K1630" s="1">
        <v>9000000000</v>
      </c>
      <c r="L1630" s="1">
        <v>9000000000</v>
      </c>
      <c r="M1630" s="1">
        <v>9000000000</v>
      </c>
    </row>
    <row r="1631" spans="1:13" ht="15" customHeight="1">
      <c r="A1631" t="s">
        <v>24</v>
      </c>
      <c r="B1631">
        <f t="shared" si="100"/>
        <v>33.715797000000002</v>
      </c>
      <c r="C1631">
        <f t="shared" si="101"/>
        <v>-117.85481299999999</v>
      </c>
      <c r="D1631">
        <f t="shared" si="102"/>
        <v>62</v>
      </c>
      <c r="E1631">
        <v>0.5</v>
      </c>
      <c r="F1631">
        <f t="shared" si="103"/>
        <v>61.5</v>
      </c>
      <c r="G1631">
        <v>3</v>
      </c>
      <c r="H1631">
        <v>0.01</v>
      </c>
      <c r="I1631">
        <v>0.33300000000000002</v>
      </c>
      <c r="J1631">
        <v>1</v>
      </c>
      <c r="K1631">
        <v>1</v>
      </c>
      <c r="L1631">
        <v>2</v>
      </c>
      <c r="M1631">
        <v>0.19800000000000001</v>
      </c>
    </row>
    <row r="1632" spans="1:13" ht="15" customHeight="1">
      <c r="A1632" t="s">
        <v>24</v>
      </c>
      <c r="B1632">
        <f t="shared" si="100"/>
        <v>33.715797000000002</v>
      </c>
      <c r="C1632">
        <f t="shared" si="101"/>
        <v>-117.85481299999999</v>
      </c>
      <c r="D1632">
        <f t="shared" si="102"/>
        <v>62</v>
      </c>
      <c r="E1632">
        <v>1.5</v>
      </c>
      <c r="F1632">
        <f t="shared" si="103"/>
        <v>60.5</v>
      </c>
      <c r="G1632">
        <v>42.917000000000002</v>
      </c>
      <c r="H1632">
        <v>0.20200000000000001</v>
      </c>
      <c r="I1632">
        <v>0.47</v>
      </c>
      <c r="J1632">
        <v>8</v>
      </c>
      <c r="K1632">
        <v>10</v>
      </c>
      <c r="L1632">
        <v>15</v>
      </c>
      <c r="M1632" s="1">
        <v>9000000000</v>
      </c>
    </row>
    <row r="1633" spans="1:13" ht="15" customHeight="1">
      <c r="A1633" t="s">
        <v>24</v>
      </c>
      <c r="B1633">
        <f t="shared" si="100"/>
        <v>33.715797000000002</v>
      </c>
      <c r="C1633">
        <f t="shared" si="101"/>
        <v>-117.85481299999999</v>
      </c>
      <c r="D1633">
        <f t="shared" si="102"/>
        <v>62</v>
      </c>
      <c r="E1633">
        <v>2.5</v>
      </c>
      <c r="F1633">
        <f t="shared" si="103"/>
        <v>59.5</v>
      </c>
      <c r="G1633">
        <v>15.567</v>
      </c>
      <c r="H1633">
        <v>0.63</v>
      </c>
      <c r="I1633">
        <v>4.0510000000000002</v>
      </c>
      <c r="J1633">
        <v>3</v>
      </c>
      <c r="K1633">
        <v>15</v>
      </c>
      <c r="L1633">
        <v>23</v>
      </c>
      <c r="M1633">
        <v>1.0269999999999999</v>
      </c>
    </row>
    <row r="1634" spans="1:13" ht="15" customHeight="1">
      <c r="A1634" t="s">
        <v>24</v>
      </c>
      <c r="B1634">
        <f t="shared" si="100"/>
        <v>33.715797000000002</v>
      </c>
      <c r="C1634">
        <f t="shared" si="101"/>
        <v>-117.85481299999999</v>
      </c>
      <c r="D1634">
        <f t="shared" si="102"/>
        <v>62</v>
      </c>
      <c r="E1634">
        <v>3.5</v>
      </c>
      <c r="F1634">
        <f t="shared" si="103"/>
        <v>58.5</v>
      </c>
      <c r="G1634">
        <v>7.133</v>
      </c>
      <c r="H1634">
        <v>0.222</v>
      </c>
      <c r="I1634">
        <v>3.1070000000000002</v>
      </c>
      <c r="J1634">
        <v>3</v>
      </c>
      <c r="K1634">
        <v>7</v>
      </c>
      <c r="L1634">
        <v>11</v>
      </c>
      <c r="M1634">
        <v>0.46200000000000002</v>
      </c>
    </row>
    <row r="1635" spans="1:13" ht="15" customHeight="1">
      <c r="A1635" t="s">
        <v>24</v>
      </c>
      <c r="B1635">
        <f t="shared" si="100"/>
        <v>33.715797000000002</v>
      </c>
      <c r="C1635">
        <f t="shared" si="101"/>
        <v>-117.85481299999999</v>
      </c>
      <c r="D1635">
        <f t="shared" si="102"/>
        <v>62</v>
      </c>
      <c r="E1635">
        <v>4.5</v>
      </c>
      <c r="F1635">
        <f t="shared" si="103"/>
        <v>57.5</v>
      </c>
      <c r="G1635">
        <v>6.5170000000000003</v>
      </c>
      <c r="H1635">
        <v>0.193</v>
      </c>
      <c r="I1635">
        <v>2.9670000000000001</v>
      </c>
      <c r="J1635">
        <v>3</v>
      </c>
      <c r="K1635">
        <v>6</v>
      </c>
      <c r="L1635">
        <v>9</v>
      </c>
      <c r="M1635">
        <v>0.41699999999999998</v>
      </c>
    </row>
    <row r="1636" spans="1:13" ht="15" customHeight="1">
      <c r="A1636" t="s">
        <v>24</v>
      </c>
      <c r="B1636">
        <f t="shared" si="100"/>
        <v>33.715797000000002</v>
      </c>
      <c r="C1636">
        <f t="shared" si="101"/>
        <v>-117.85481299999999</v>
      </c>
      <c r="D1636">
        <f t="shared" si="102"/>
        <v>62</v>
      </c>
      <c r="E1636">
        <v>5.5</v>
      </c>
      <c r="F1636">
        <f t="shared" si="103"/>
        <v>56.5</v>
      </c>
      <c r="G1636">
        <v>6.5170000000000003</v>
      </c>
      <c r="H1636">
        <v>0.17</v>
      </c>
      <c r="I1636">
        <v>2.609</v>
      </c>
      <c r="J1636">
        <v>4</v>
      </c>
      <c r="K1636">
        <v>4</v>
      </c>
      <c r="L1636">
        <v>6</v>
      </c>
      <c r="M1636">
        <v>0.41299999999999998</v>
      </c>
    </row>
    <row r="1637" spans="1:13" ht="15" customHeight="1">
      <c r="A1637" t="s">
        <v>24</v>
      </c>
      <c r="B1637">
        <f t="shared" si="100"/>
        <v>33.715797000000002</v>
      </c>
      <c r="C1637">
        <f t="shared" si="101"/>
        <v>-117.85481299999999</v>
      </c>
      <c r="D1637">
        <f t="shared" si="102"/>
        <v>62</v>
      </c>
      <c r="E1637">
        <v>6.5</v>
      </c>
      <c r="F1637">
        <f t="shared" si="103"/>
        <v>55.5</v>
      </c>
      <c r="G1637">
        <v>3.0169999999999999</v>
      </c>
      <c r="H1637">
        <v>3.6999999999999998E-2</v>
      </c>
      <c r="I1637">
        <v>1.2150000000000001</v>
      </c>
      <c r="J1637">
        <v>1</v>
      </c>
      <c r="K1637">
        <v>1</v>
      </c>
      <c r="L1637">
        <v>2</v>
      </c>
      <c r="M1637">
        <v>0.17599999999999999</v>
      </c>
    </row>
    <row r="1638" spans="1:13" ht="15" customHeight="1">
      <c r="A1638" t="s">
        <v>24</v>
      </c>
      <c r="B1638">
        <f t="shared" si="100"/>
        <v>33.715797000000002</v>
      </c>
      <c r="C1638">
        <f t="shared" si="101"/>
        <v>-117.85481299999999</v>
      </c>
      <c r="D1638">
        <f t="shared" si="102"/>
        <v>62</v>
      </c>
      <c r="E1638">
        <v>7.5</v>
      </c>
      <c r="F1638">
        <f t="shared" si="103"/>
        <v>54.5</v>
      </c>
      <c r="G1638">
        <v>5.133</v>
      </c>
      <c r="H1638">
        <v>0.14699999999999999</v>
      </c>
      <c r="I1638">
        <v>2.8759999999999999</v>
      </c>
      <c r="J1638">
        <v>3</v>
      </c>
      <c r="K1638">
        <v>5</v>
      </c>
      <c r="L1638">
        <v>8</v>
      </c>
      <c r="M1638">
        <v>0.311</v>
      </c>
    </row>
    <row r="1639" spans="1:13" ht="15" customHeight="1">
      <c r="A1639" t="s">
        <v>24</v>
      </c>
      <c r="B1639">
        <f t="shared" si="100"/>
        <v>33.715797000000002</v>
      </c>
      <c r="C1639">
        <f t="shared" si="101"/>
        <v>-117.85481299999999</v>
      </c>
      <c r="D1639">
        <f t="shared" si="102"/>
        <v>62</v>
      </c>
      <c r="E1639">
        <v>8.5</v>
      </c>
      <c r="F1639">
        <f t="shared" si="103"/>
        <v>53.5</v>
      </c>
      <c r="G1639">
        <v>9</v>
      </c>
      <c r="H1639">
        <v>0.318</v>
      </c>
      <c r="I1639">
        <v>3.53</v>
      </c>
      <c r="J1639">
        <v>3</v>
      </c>
      <c r="K1639">
        <v>9</v>
      </c>
      <c r="L1639">
        <v>14</v>
      </c>
      <c r="M1639">
        <v>0.56799999999999995</v>
      </c>
    </row>
    <row r="1640" spans="1:13" ht="15" customHeight="1">
      <c r="A1640" t="s">
        <v>24</v>
      </c>
      <c r="B1640">
        <f t="shared" si="100"/>
        <v>33.715797000000002</v>
      </c>
      <c r="C1640">
        <f t="shared" si="101"/>
        <v>-117.85481299999999</v>
      </c>
      <c r="D1640">
        <f t="shared" si="102"/>
        <v>62</v>
      </c>
      <c r="E1640">
        <v>9.5</v>
      </c>
      <c r="F1640">
        <f t="shared" si="103"/>
        <v>52.5</v>
      </c>
      <c r="G1640">
        <v>22.683</v>
      </c>
      <c r="H1640">
        <v>0.80300000000000005</v>
      </c>
      <c r="I1640">
        <v>3.5339999999999998</v>
      </c>
      <c r="J1640">
        <v>5</v>
      </c>
      <c r="K1640">
        <v>11</v>
      </c>
      <c r="L1640">
        <v>17</v>
      </c>
      <c r="M1640">
        <v>1.478</v>
      </c>
    </row>
    <row r="1641" spans="1:13" ht="15" customHeight="1">
      <c r="A1641" t="s">
        <v>24</v>
      </c>
      <c r="B1641">
        <f t="shared" si="100"/>
        <v>33.715797000000002</v>
      </c>
      <c r="C1641">
        <f t="shared" si="101"/>
        <v>-117.85481299999999</v>
      </c>
      <c r="D1641">
        <f t="shared" si="102"/>
        <v>62</v>
      </c>
      <c r="E1641">
        <v>10.5</v>
      </c>
      <c r="F1641">
        <f t="shared" si="103"/>
        <v>51.5</v>
      </c>
      <c r="G1641">
        <v>19.585999999999999</v>
      </c>
      <c r="H1641">
        <v>0.79700000000000004</v>
      </c>
      <c r="I1641">
        <v>4.0640000000000001</v>
      </c>
      <c r="J1641">
        <v>4</v>
      </c>
      <c r="K1641">
        <v>13</v>
      </c>
      <c r="L1641">
        <v>19</v>
      </c>
      <c r="M1641">
        <v>1.266</v>
      </c>
    </row>
    <row r="1642" spans="1:13" ht="15" customHeight="1">
      <c r="A1642" t="s">
        <v>24</v>
      </c>
      <c r="B1642">
        <f t="shared" si="100"/>
        <v>33.715797000000002</v>
      </c>
      <c r="C1642">
        <f t="shared" si="101"/>
        <v>-117.85481299999999</v>
      </c>
      <c r="D1642">
        <f t="shared" si="102"/>
        <v>62</v>
      </c>
      <c r="E1642">
        <v>11.5</v>
      </c>
      <c r="F1642">
        <f t="shared" si="103"/>
        <v>50.5</v>
      </c>
      <c r="G1642">
        <v>9.8330000000000002</v>
      </c>
      <c r="H1642">
        <v>0.53200000000000003</v>
      </c>
      <c r="I1642">
        <v>5.4249999999999998</v>
      </c>
      <c r="J1642">
        <v>3</v>
      </c>
      <c r="K1642">
        <v>9</v>
      </c>
      <c r="L1642">
        <v>12</v>
      </c>
      <c r="M1642">
        <v>0.60799999999999998</v>
      </c>
    </row>
    <row r="1643" spans="1:13" ht="15" customHeight="1">
      <c r="A1643" t="s">
        <v>24</v>
      </c>
      <c r="B1643">
        <f t="shared" si="100"/>
        <v>33.715797000000002</v>
      </c>
      <c r="C1643">
        <f t="shared" si="101"/>
        <v>-117.85481299999999</v>
      </c>
      <c r="D1643">
        <f t="shared" si="102"/>
        <v>62</v>
      </c>
      <c r="E1643">
        <v>12.5</v>
      </c>
      <c r="F1643">
        <f t="shared" si="103"/>
        <v>49.5</v>
      </c>
      <c r="G1643">
        <v>11.367000000000001</v>
      </c>
      <c r="H1643">
        <v>0.53500000000000003</v>
      </c>
      <c r="I1643">
        <v>4.7069999999999999</v>
      </c>
      <c r="J1643">
        <v>3</v>
      </c>
      <c r="K1643">
        <v>11</v>
      </c>
      <c r="L1643">
        <v>14</v>
      </c>
      <c r="M1643">
        <v>0.70899999999999996</v>
      </c>
    </row>
    <row r="1644" spans="1:13" ht="15" customHeight="1">
      <c r="A1644" t="s">
        <v>24</v>
      </c>
      <c r="B1644">
        <f t="shared" si="100"/>
        <v>33.715797000000002</v>
      </c>
      <c r="C1644">
        <f t="shared" si="101"/>
        <v>-117.85481299999999</v>
      </c>
      <c r="D1644">
        <f t="shared" si="102"/>
        <v>62</v>
      </c>
      <c r="E1644">
        <v>13.5</v>
      </c>
      <c r="F1644">
        <f t="shared" si="103"/>
        <v>48.5</v>
      </c>
      <c r="G1644">
        <v>12.65</v>
      </c>
      <c r="H1644">
        <v>0.58799999999999997</v>
      </c>
      <c r="I1644">
        <v>4.6630000000000003</v>
      </c>
      <c r="J1644">
        <v>3</v>
      </c>
      <c r="K1644">
        <v>12</v>
      </c>
      <c r="L1644">
        <v>14</v>
      </c>
      <c r="M1644">
        <v>0.78800000000000003</v>
      </c>
    </row>
    <row r="1645" spans="1:13" ht="15" customHeight="1">
      <c r="A1645" t="s">
        <v>24</v>
      </c>
      <c r="B1645">
        <f t="shared" si="100"/>
        <v>33.715797000000002</v>
      </c>
      <c r="C1645">
        <f t="shared" si="101"/>
        <v>-117.85481299999999</v>
      </c>
      <c r="D1645">
        <f t="shared" si="102"/>
        <v>62</v>
      </c>
      <c r="E1645">
        <v>14.5</v>
      </c>
      <c r="F1645">
        <f t="shared" si="103"/>
        <v>47.5</v>
      </c>
      <c r="G1645">
        <v>12.2</v>
      </c>
      <c r="H1645">
        <v>0.55000000000000004</v>
      </c>
      <c r="I1645">
        <v>4.5270000000000001</v>
      </c>
      <c r="J1645">
        <v>3</v>
      </c>
      <c r="K1645">
        <v>12</v>
      </c>
      <c r="L1645">
        <v>13</v>
      </c>
      <c r="M1645">
        <v>0.752</v>
      </c>
    </row>
    <row r="1646" spans="1:13" ht="15" customHeight="1">
      <c r="A1646" t="s">
        <v>24</v>
      </c>
      <c r="B1646">
        <f t="shared" si="100"/>
        <v>33.715797000000002</v>
      </c>
      <c r="C1646">
        <f t="shared" si="101"/>
        <v>-117.85481299999999</v>
      </c>
      <c r="D1646">
        <f t="shared" si="102"/>
        <v>62</v>
      </c>
      <c r="E1646">
        <v>15.5</v>
      </c>
      <c r="F1646">
        <f t="shared" si="103"/>
        <v>46.5</v>
      </c>
      <c r="G1646">
        <v>12.083</v>
      </c>
      <c r="H1646">
        <v>0.52800000000000002</v>
      </c>
      <c r="I1646">
        <v>4.391</v>
      </c>
      <c r="J1646">
        <v>3</v>
      </c>
      <c r="K1646">
        <v>12</v>
      </c>
      <c r="L1646">
        <v>13</v>
      </c>
      <c r="M1646">
        <v>0.74</v>
      </c>
    </row>
    <row r="1647" spans="1:13" ht="15" customHeight="1">
      <c r="A1647" t="s">
        <v>24</v>
      </c>
      <c r="B1647">
        <f t="shared" si="100"/>
        <v>33.715797000000002</v>
      </c>
      <c r="C1647">
        <f t="shared" si="101"/>
        <v>-117.85481299999999</v>
      </c>
      <c r="D1647">
        <f t="shared" si="102"/>
        <v>62</v>
      </c>
      <c r="E1647">
        <v>16.5</v>
      </c>
      <c r="F1647">
        <f t="shared" si="103"/>
        <v>45.5</v>
      </c>
      <c r="G1647">
        <v>12.233000000000001</v>
      </c>
      <c r="H1647">
        <v>0.49</v>
      </c>
      <c r="I1647">
        <v>4.016</v>
      </c>
      <c r="J1647">
        <v>3</v>
      </c>
      <c r="K1647">
        <v>12</v>
      </c>
      <c r="L1647">
        <v>12</v>
      </c>
      <c r="M1647">
        <v>0.747</v>
      </c>
    </row>
    <row r="1648" spans="1:13" ht="15" customHeight="1">
      <c r="A1648" t="s">
        <v>24</v>
      </c>
      <c r="B1648">
        <f t="shared" si="100"/>
        <v>33.715797000000002</v>
      </c>
      <c r="C1648">
        <f t="shared" si="101"/>
        <v>-117.85481299999999</v>
      </c>
      <c r="D1648">
        <f t="shared" si="102"/>
        <v>62</v>
      </c>
      <c r="E1648">
        <v>17.5</v>
      </c>
      <c r="F1648">
        <f t="shared" si="103"/>
        <v>44.5</v>
      </c>
      <c r="G1648">
        <v>12.2</v>
      </c>
      <c r="H1648">
        <v>0.43</v>
      </c>
      <c r="I1648">
        <v>3.5249999999999999</v>
      </c>
      <c r="J1648">
        <v>4</v>
      </c>
      <c r="K1648">
        <v>8</v>
      </c>
      <c r="L1648">
        <v>8</v>
      </c>
      <c r="M1648">
        <v>0.74299999999999999</v>
      </c>
    </row>
    <row r="1649" spans="1:13" ht="15" customHeight="1">
      <c r="A1649" t="s">
        <v>24</v>
      </c>
      <c r="B1649">
        <f t="shared" si="100"/>
        <v>33.715797000000002</v>
      </c>
      <c r="C1649">
        <f t="shared" si="101"/>
        <v>-117.85481299999999</v>
      </c>
      <c r="D1649">
        <f t="shared" si="102"/>
        <v>62</v>
      </c>
      <c r="E1649">
        <v>18.5</v>
      </c>
      <c r="F1649">
        <f t="shared" si="103"/>
        <v>43.5</v>
      </c>
      <c r="G1649">
        <v>13.85</v>
      </c>
      <c r="H1649">
        <v>0.55300000000000005</v>
      </c>
      <c r="I1649">
        <v>3.99</v>
      </c>
      <c r="J1649">
        <v>3</v>
      </c>
      <c r="K1649">
        <v>13</v>
      </c>
      <c r="L1649">
        <v>12</v>
      </c>
      <c r="M1649">
        <v>0.85</v>
      </c>
    </row>
    <row r="1650" spans="1:13" ht="15" customHeight="1">
      <c r="A1650" t="s">
        <v>24</v>
      </c>
      <c r="B1650">
        <f t="shared" si="100"/>
        <v>33.715797000000002</v>
      </c>
      <c r="C1650">
        <f t="shared" si="101"/>
        <v>-117.85481299999999</v>
      </c>
      <c r="D1650">
        <f t="shared" si="102"/>
        <v>62</v>
      </c>
      <c r="E1650">
        <v>19.5</v>
      </c>
      <c r="F1650">
        <f t="shared" si="103"/>
        <v>42.5</v>
      </c>
      <c r="G1650">
        <v>9.8000000000000007</v>
      </c>
      <c r="H1650">
        <v>0.33800000000000002</v>
      </c>
      <c r="I1650">
        <v>3.4409999999999998</v>
      </c>
      <c r="J1650">
        <v>3</v>
      </c>
      <c r="K1650">
        <v>9</v>
      </c>
      <c r="L1650">
        <v>8</v>
      </c>
      <c r="M1650">
        <v>0.57699999999999996</v>
      </c>
    </row>
    <row r="1651" spans="1:13" ht="15" customHeight="1">
      <c r="A1651" t="s">
        <v>24</v>
      </c>
      <c r="B1651">
        <f t="shared" si="100"/>
        <v>33.715797000000002</v>
      </c>
      <c r="C1651">
        <f t="shared" si="101"/>
        <v>-117.85481299999999</v>
      </c>
      <c r="D1651">
        <f t="shared" si="102"/>
        <v>62</v>
      </c>
      <c r="E1651">
        <v>20.5</v>
      </c>
      <c r="F1651">
        <f t="shared" si="103"/>
        <v>41.5</v>
      </c>
      <c r="G1651">
        <v>8.9429999999999996</v>
      </c>
      <c r="H1651">
        <v>0.26100000000000001</v>
      </c>
      <c r="I1651">
        <v>2.9</v>
      </c>
      <c r="J1651">
        <v>4</v>
      </c>
      <c r="K1651">
        <v>6</v>
      </c>
      <c r="L1651">
        <v>5</v>
      </c>
      <c r="M1651">
        <v>0.51900000000000002</v>
      </c>
    </row>
    <row r="1652" spans="1:13" ht="15" customHeight="1">
      <c r="A1652" t="s">
        <v>24</v>
      </c>
      <c r="B1652">
        <f t="shared" si="100"/>
        <v>33.715797000000002</v>
      </c>
      <c r="C1652">
        <f t="shared" si="101"/>
        <v>-117.85481299999999</v>
      </c>
      <c r="D1652">
        <f t="shared" si="102"/>
        <v>62</v>
      </c>
      <c r="E1652">
        <v>21.5</v>
      </c>
      <c r="F1652">
        <f t="shared" si="103"/>
        <v>40.5</v>
      </c>
      <c r="G1652">
        <v>8.8170000000000002</v>
      </c>
      <c r="H1652">
        <v>0.28999999999999998</v>
      </c>
      <c r="I1652">
        <v>3.2709999999999999</v>
      </c>
      <c r="J1652">
        <v>3</v>
      </c>
      <c r="K1652">
        <v>8</v>
      </c>
      <c r="L1652">
        <v>7</v>
      </c>
      <c r="M1652">
        <v>0.505</v>
      </c>
    </row>
    <row r="1653" spans="1:13" ht="15" customHeight="1">
      <c r="A1653" t="s">
        <v>24</v>
      </c>
      <c r="B1653">
        <f t="shared" si="100"/>
        <v>33.715797000000002</v>
      </c>
      <c r="C1653">
        <f t="shared" si="101"/>
        <v>-117.85481299999999</v>
      </c>
      <c r="D1653">
        <f t="shared" si="102"/>
        <v>62</v>
      </c>
      <c r="E1653">
        <v>22.5</v>
      </c>
      <c r="F1653">
        <f t="shared" si="103"/>
        <v>39.5</v>
      </c>
      <c r="G1653">
        <v>7.4669999999999996</v>
      </c>
      <c r="H1653">
        <v>0.24199999999999999</v>
      </c>
      <c r="I1653">
        <v>3.1869999999999998</v>
      </c>
      <c r="J1653">
        <v>3</v>
      </c>
      <c r="K1653">
        <v>7</v>
      </c>
      <c r="L1653">
        <v>6</v>
      </c>
      <c r="M1653">
        <v>0.41499999999999998</v>
      </c>
    </row>
    <row r="1654" spans="1:13" ht="15" customHeight="1">
      <c r="A1654" t="s">
        <v>24</v>
      </c>
      <c r="B1654">
        <f t="shared" si="100"/>
        <v>33.715797000000002</v>
      </c>
      <c r="C1654">
        <f t="shared" si="101"/>
        <v>-117.85481299999999</v>
      </c>
      <c r="D1654">
        <f t="shared" si="102"/>
        <v>62</v>
      </c>
      <c r="E1654">
        <v>23.5</v>
      </c>
      <c r="F1654">
        <f t="shared" si="103"/>
        <v>38.5</v>
      </c>
      <c r="G1654">
        <v>8.0500000000000007</v>
      </c>
      <c r="H1654">
        <v>0.217</v>
      </c>
      <c r="I1654">
        <v>2.637</v>
      </c>
      <c r="J1654">
        <v>4</v>
      </c>
      <c r="K1654">
        <v>5</v>
      </c>
      <c r="L1654">
        <v>4</v>
      </c>
      <c r="M1654">
        <v>0.45400000000000001</v>
      </c>
    </row>
    <row r="1655" spans="1:13" ht="15" customHeight="1">
      <c r="A1655" t="s">
        <v>24</v>
      </c>
      <c r="B1655">
        <f t="shared" si="100"/>
        <v>33.715797000000002</v>
      </c>
      <c r="C1655">
        <f t="shared" si="101"/>
        <v>-117.85481299999999</v>
      </c>
      <c r="D1655">
        <f t="shared" si="102"/>
        <v>62</v>
      </c>
      <c r="E1655">
        <v>24.5</v>
      </c>
      <c r="F1655">
        <f t="shared" si="103"/>
        <v>37.5</v>
      </c>
      <c r="G1655">
        <v>8.1170000000000009</v>
      </c>
      <c r="H1655">
        <v>0.22700000000000001</v>
      </c>
      <c r="I1655">
        <v>2.7589999999999999</v>
      </c>
      <c r="J1655">
        <v>4</v>
      </c>
      <c r="K1655">
        <v>5</v>
      </c>
      <c r="L1655">
        <v>4</v>
      </c>
      <c r="M1655">
        <v>0.45</v>
      </c>
    </row>
    <row r="1656" spans="1:13" ht="15" customHeight="1">
      <c r="A1656" t="s">
        <v>24</v>
      </c>
      <c r="B1656">
        <f t="shared" si="100"/>
        <v>33.715797000000002</v>
      </c>
      <c r="C1656">
        <f t="shared" si="101"/>
        <v>-117.85481299999999</v>
      </c>
      <c r="D1656">
        <f t="shared" si="102"/>
        <v>62</v>
      </c>
      <c r="E1656">
        <v>25.5</v>
      </c>
      <c r="F1656">
        <f t="shared" si="103"/>
        <v>36.5</v>
      </c>
      <c r="G1656">
        <v>10.016999999999999</v>
      </c>
      <c r="H1656">
        <v>0.22</v>
      </c>
      <c r="I1656">
        <v>2.1640000000000001</v>
      </c>
      <c r="J1656">
        <v>5</v>
      </c>
      <c r="K1656">
        <v>5</v>
      </c>
      <c r="L1656">
        <v>4</v>
      </c>
      <c r="M1656">
        <v>0.57599999999999996</v>
      </c>
    </row>
    <row r="1657" spans="1:13" ht="15" customHeight="1">
      <c r="A1657" t="s">
        <v>24</v>
      </c>
      <c r="B1657">
        <f t="shared" si="100"/>
        <v>33.715797000000002</v>
      </c>
      <c r="C1657">
        <f t="shared" si="101"/>
        <v>-117.85481299999999</v>
      </c>
      <c r="D1657">
        <f t="shared" si="102"/>
        <v>62</v>
      </c>
      <c r="E1657">
        <v>26.5</v>
      </c>
      <c r="F1657">
        <f t="shared" si="103"/>
        <v>35.5</v>
      </c>
      <c r="G1657">
        <v>11.117000000000001</v>
      </c>
      <c r="H1657">
        <v>0.26500000000000001</v>
      </c>
      <c r="I1657">
        <v>2.3519999999999999</v>
      </c>
      <c r="J1657">
        <v>5</v>
      </c>
      <c r="K1657">
        <v>5</v>
      </c>
      <c r="L1657">
        <v>4</v>
      </c>
      <c r="M1657">
        <v>0.64500000000000002</v>
      </c>
    </row>
    <row r="1658" spans="1:13" ht="15" customHeight="1">
      <c r="A1658" t="s">
        <v>24</v>
      </c>
      <c r="B1658">
        <f t="shared" si="100"/>
        <v>33.715797000000002</v>
      </c>
      <c r="C1658">
        <f t="shared" si="101"/>
        <v>-117.85481299999999</v>
      </c>
      <c r="D1658">
        <f t="shared" si="102"/>
        <v>62</v>
      </c>
      <c r="E1658">
        <v>27.5</v>
      </c>
      <c r="F1658">
        <f t="shared" si="103"/>
        <v>34.5</v>
      </c>
      <c r="G1658">
        <v>12.417</v>
      </c>
      <c r="H1658">
        <v>0.30199999999999999</v>
      </c>
      <c r="I1658">
        <v>2.41</v>
      </c>
      <c r="J1658">
        <v>5</v>
      </c>
      <c r="K1658">
        <v>6</v>
      </c>
      <c r="L1658">
        <v>4</v>
      </c>
      <c r="M1658">
        <v>0.72399999999999998</v>
      </c>
    </row>
    <row r="1659" spans="1:13" ht="15" customHeight="1">
      <c r="A1659" t="s">
        <v>24</v>
      </c>
      <c r="B1659">
        <f t="shared" si="100"/>
        <v>33.715797000000002</v>
      </c>
      <c r="C1659">
        <f t="shared" si="101"/>
        <v>-117.85481299999999</v>
      </c>
      <c r="D1659">
        <f t="shared" si="102"/>
        <v>62</v>
      </c>
      <c r="E1659">
        <v>28.5</v>
      </c>
      <c r="F1659">
        <f t="shared" si="103"/>
        <v>33.5</v>
      </c>
      <c r="G1659">
        <v>15.6</v>
      </c>
      <c r="H1659">
        <v>0.28999999999999998</v>
      </c>
      <c r="I1659">
        <v>1.857</v>
      </c>
      <c r="J1659">
        <v>5</v>
      </c>
      <c r="K1659">
        <v>7</v>
      </c>
      <c r="L1659">
        <v>5</v>
      </c>
      <c r="M1659">
        <v>0.92700000000000005</v>
      </c>
    </row>
    <row r="1660" spans="1:13" ht="15" customHeight="1">
      <c r="A1660" t="s">
        <v>24</v>
      </c>
      <c r="B1660">
        <f t="shared" si="100"/>
        <v>33.715797000000002</v>
      </c>
      <c r="C1660">
        <f t="shared" si="101"/>
        <v>-117.85481299999999</v>
      </c>
      <c r="D1660">
        <f t="shared" si="102"/>
        <v>62</v>
      </c>
      <c r="E1660">
        <v>29.5</v>
      </c>
      <c r="F1660">
        <f t="shared" si="103"/>
        <v>32.5</v>
      </c>
      <c r="G1660">
        <v>35.700000000000003</v>
      </c>
      <c r="H1660">
        <v>0.88500000000000001</v>
      </c>
      <c r="I1660">
        <v>2.48</v>
      </c>
      <c r="J1660">
        <v>6</v>
      </c>
      <c r="K1660">
        <v>14</v>
      </c>
      <c r="L1660">
        <v>10</v>
      </c>
      <c r="M1660">
        <v>2.2610000000000001</v>
      </c>
    </row>
    <row r="1661" spans="1:13" ht="15" customHeight="1">
      <c r="A1661" t="s">
        <v>24</v>
      </c>
      <c r="B1661">
        <f t="shared" si="100"/>
        <v>33.715797000000002</v>
      </c>
      <c r="C1661">
        <f t="shared" si="101"/>
        <v>-117.85481299999999</v>
      </c>
      <c r="D1661">
        <f t="shared" si="102"/>
        <v>62</v>
      </c>
      <c r="E1661">
        <v>30.5</v>
      </c>
      <c r="F1661">
        <f t="shared" si="103"/>
        <v>31.5</v>
      </c>
      <c r="G1661">
        <v>134.53299999999999</v>
      </c>
      <c r="H1661">
        <v>2.1019999999999999</v>
      </c>
      <c r="I1661">
        <v>1.5640000000000001</v>
      </c>
      <c r="J1661">
        <v>8</v>
      </c>
      <c r="K1661">
        <v>32</v>
      </c>
      <c r="L1661">
        <v>22</v>
      </c>
      <c r="M1661" s="1">
        <v>9000000000</v>
      </c>
    </row>
    <row r="1662" spans="1:13" ht="15" customHeight="1">
      <c r="A1662" t="s">
        <v>24</v>
      </c>
      <c r="B1662">
        <f t="shared" si="100"/>
        <v>33.715797000000002</v>
      </c>
      <c r="C1662">
        <f t="shared" si="101"/>
        <v>-117.85481299999999</v>
      </c>
      <c r="D1662">
        <f t="shared" si="102"/>
        <v>62</v>
      </c>
      <c r="E1662">
        <v>31.5</v>
      </c>
      <c r="F1662">
        <f t="shared" si="103"/>
        <v>30.5</v>
      </c>
      <c r="G1662">
        <v>16.029</v>
      </c>
      <c r="H1662">
        <v>0.47</v>
      </c>
      <c r="I1662">
        <v>2.9670000000000001</v>
      </c>
      <c r="J1662">
        <v>5</v>
      </c>
      <c r="K1662">
        <v>8</v>
      </c>
      <c r="L1662">
        <v>5</v>
      </c>
      <c r="M1662">
        <v>0.93</v>
      </c>
    </row>
    <row r="1663" spans="1:13" ht="15" customHeight="1">
      <c r="A1663" t="s">
        <v>24</v>
      </c>
      <c r="B1663">
        <f t="shared" si="100"/>
        <v>33.715797000000002</v>
      </c>
      <c r="C1663">
        <f t="shared" si="101"/>
        <v>-117.85481299999999</v>
      </c>
      <c r="D1663">
        <f t="shared" si="102"/>
        <v>62</v>
      </c>
      <c r="E1663">
        <v>32.5</v>
      </c>
      <c r="F1663">
        <f t="shared" si="103"/>
        <v>29.5</v>
      </c>
      <c r="G1663">
        <v>17.132999999999999</v>
      </c>
      <c r="H1663">
        <v>0.42199999999999999</v>
      </c>
      <c r="I1663">
        <v>2.48</v>
      </c>
      <c r="J1663">
        <v>5</v>
      </c>
      <c r="K1663">
        <v>8</v>
      </c>
      <c r="L1663">
        <v>5</v>
      </c>
      <c r="M1663">
        <v>1.0029999999999999</v>
      </c>
    </row>
    <row r="1664" spans="1:13" ht="15" customHeight="1">
      <c r="A1664" t="s">
        <v>24</v>
      </c>
      <c r="B1664">
        <f t="shared" si="100"/>
        <v>33.715797000000002</v>
      </c>
      <c r="C1664">
        <f t="shared" si="101"/>
        <v>-117.85481299999999</v>
      </c>
      <c r="D1664">
        <f t="shared" si="102"/>
        <v>62</v>
      </c>
      <c r="E1664">
        <v>33.5</v>
      </c>
      <c r="F1664">
        <f t="shared" si="103"/>
        <v>28.5</v>
      </c>
      <c r="G1664">
        <v>25.867000000000001</v>
      </c>
      <c r="H1664">
        <v>1.458</v>
      </c>
      <c r="I1664">
        <v>5.66</v>
      </c>
      <c r="J1664">
        <v>3</v>
      </c>
      <c r="K1664">
        <v>25</v>
      </c>
      <c r="L1664">
        <v>16</v>
      </c>
      <c r="M1664">
        <v>1.583</v>
      </c>
    </row>
    <row r="1665" spans="1:13" ht="15" customHeight="1">
      <c r="A1665" t="s">
        <v>24</v>
      </c>
      <c r="B1665">
        <f t="shared" si="100"/>
        <v>33.715797000000002</v>
      </c>
      <c r="C1665">
        <f t="shared" si="101"/>
        <v>-117.85481299999999</v>
      </c>
      <c r="D1665">
        <f t="shared" si="102"/>
        <v>62</v>
      </c>
      <c r="E1665">
        <v>34.5</v>
      </c>
      <c r="F1665">
        <f t="shared" si="103"/>
        <v>27.5</v>
      </c>
      <c r="G1665">
        <v>14.667</v>
      </c>
      <c r="H1665">
        <v>0.54700000000000004</v>
      </c>
      <c r="I1665">
        <v>3.7530000000000001</v>
      </c>
      <c r="J1665">
        <v>4</v>
      </c>
      <c r="K1665">
        <v>9</v>
      </c>
      <c r="L1665">
        <v>6</v>
      </c>
      <c r="M1665">
        <v>0.83199999999999996</v>
      </c>
    </row>
    <row r="1666" spans="1:13" ht="15" customHeight="1">
      <c r="A1666" t="s">
        <v>24</v>
      </c>
      <c r="B1666">
        <f t="shared" ref="B1666:B1729" si="104">VLOOKUP(A1666,XYdata,3,FALSE)</f>
        <v>33.715797000000002</v>
      </c>
      <c r="C1666">
        <f t="shared" ref="C1666:C1729" si="105">VLOOKUP(A1666,XYdata,2,FALSE)</f>
        <v>-117.85481299999999</v>
      </c>
      <c r="D1666">
        <f t="shared" ref="D1666:D1729" si="106">VLOOKUP(A1666,Elevation,2,FALSE)</f>
        <v>62</v>
      </c>
      <c r="E1666">
        <v>35.5</v>
      </c>
      <c r="F1666">
        <f t="shared" si="103"/>
        <v>26.5</v>
      </c>
      <c r="G1666">
        <v>37.1</v>
      </c>
      <c r="H1666">
        <v>1.292</v>
      </c>
      <c r="I1666">
        <v>3.4910000000000001</v>
      </c>
      <c r="J1666">
        <v>5</v>
      </c>
      <c r="K1666">
        <v>18</v>
      </c>
      <c r="L1666">
        <v>11</v>
      </c>
      <c r="M1666">
        <v>2.3239999999999998</v>
      </c>
    </row>
    <row r="1667" spans="1:13" ht="15" customHeight="1">
      <c r="A1667" t="s">
        <v>24</v>
      </c>
      <c r="B1667">
        <f t="shared" si="104"/>
        <v>33.715797000000002</v>
      </c>
      <c r="C1667">
        <f t="shared" si="105"/>
        <v>-117.85481299999999</v>
      </c>
      <c r="D1667">
        <f t="shared" si="106"/>
        <v>62</v>
      </c>
      <c r="E1667">
        <v>36.5</v>
      </c>
      <c r="F1667">
        <f t="shared" ref="F1667:F1730" si="107">D1667-E1667</f>
        <v>25.5</v>
      </c>
      <c r="G1667">
        <v>87.216999999999999</v>
      </c>
      <c r="H1667">
        <v>3.7719999999999998</v>
      </c>
      <c r="I1667">
        <v>4.3239999999999998</v>
      </c>
      <c r="J1667">
        <v>5</v>
      </c>
      <c r="K1667">
        <v>42</v>
      </c>
      <c r="L1667">
        <v>26</v>
      </c>
      <c r="M1667">
        <v>5.6669999999999998</v>
      </c>
    </row>
    <row r="1668" spans="1:13" ht="15" customHeight="1">
      <c r="A1668" t="s">
        <v>24</v>
      </c>
      <c r="B1668">
        <f t="shared" si="104"/>
        <v>33.715797000000002</v>
      </c>
      <c r="C1668">
        <f t="shared" si="105"/>
        <v>-117.85481299999999</v>
      </c>
      <c r="D1668">
        <f t="shared" si="106"/>
        <v>62</v>
      </c>
      <c r="E1668">
        <v>37.5</v>
      </c>
      <c r="F1668">
        <f t="shared" si="107"/>
        <v>24.5</v>
      </c>
      <c r="G1668">
        <v>77.216999999999999</v>
      </c>
      <c r="H1668">
        <v>2.8929999999999998</v>
      </c>
      <c r="I1668">
        <v>3.7410000000000001</v>
      </c>
      <c r="J1668">
        <v>5</v>
      </c>
      <c r="K1668">
        <v>37</v>
      </c>
      <c r="L1668">
        <v>23</v>
      </c>
      <c r="M1668">
        <v>5.0039999999999996</v>
      </c>
    </row>
    <row r="1669" spans="1:13" ht="15" customHeight="1">
      <c r="A1669" t="s">
        <v>24</v>
      </c>
      <c r="B1669">
        <f t="shared" si="104"/>
        <v>33.715797000000002</v>
      </c>
      <c r="C1669">
        <f t="shared" si="105"/>
        <v>-117.85481299999999</v>
      </c>
      <c r="D1669">
        <f t="shared" si="106"/>
        <v>62</v>
      </c>
      <c r="E1669">
        <v>38.5</v>
      </c>
      <c r="F1669">
        <f t="shared" si="107"/>
        <v>23.5</v>
      </c>
      <c r="G1669">
        <v>44.917000000000002</v>
      </c>
      <c r="H1669">
        <v>1.8620000000000001</v>
      </c>
      <c r="I1669">
        <v>4.1360000000000001</v>
      </c>
      <c r="J1669">
        <v>5</v>
      </c>
      <c r="K1669">
        <v>22</v>
      </c>
      <c r="L1669">
        <v>13</v>
      </c>
      <c r="M1669">
        <v>2.8460000000000001</v>
      </c>
    </row>
    <row r="1670" spans="1:13" ht="15" customHeight="1">
      <c r="A1670" t="s">
        <v>24</v>
      </c>
      <c r="B1670">
        <f t="shared" si="104"/>
        <v>33.715797000000002</v>
      </c>
      <c r="C1670">
        <f t="shared" si="105"/>
        <v>-117.85481299999999</v>
      </c>
      <c r="D1670">
        <f t="shared" si="106"/>
        <v>62</v>
      </c>
      <c r="E1670">
        <v>39.5</v>
      </c>
      <c r="F1670">
        <f t="shared" si="107"/>
        <v>22.5</v>
      </c>
      <c r="G1670">
        <v>25.516999999999999</v>
      </c>
      <c r="H1670">
        <v>0.622</v>
      </c>
      <c r="I1670">
        <v>2.4079999999999999</v>
      </c>
      <c r="J1670">
        <v>6</v>
      </c>
      <c r="K1670">
        <v>10</v>
      </c>
      <c r="L1670">
        <v>6</v>
      </c>
      <c r="M1670">
        <v>1.5620000000000001</v>
      </c>
    </row>
    <row r="1671" spans="1:13" ht="15" customHeight="1">
      <c r="A1671" t="s">
        <v>24</v>
      </c>
      <c r="B1671">
        <f t="shared" si="104"/>
        <v>33.715797000000002</v>
      </c>
      <c r="C1671">
        <f t="shared" si="105"/>
        <v>-117.85481299999999</v>
      </c>
      <c r="D1671">
        <f t="shared" si="106"/>
        <v>62</v>
      </c>
      <c r="E1671">
        <v>40.5</v>
      </c>
      <c r="F1671">
        <f t="shared" si="107"/>
        <v>21.5</v>
      </c>
      <c r="G1671">
        <v>24.632999999999999</v>
      </c>
      <c r="H1671">
        <v>0.75700000000000001</v>
      </c>
      <c r="I1671">
        <v>3.0510000000000002</v>
      </c>
      <c r="J1671">
        <v>5</v>
      </c>
      <c r="K1671">
        <v>12</v>
      </c>
      <c r="L1671">
        <v>7</v>
      </c>
      <c r="M1671">
        <v>1.49</v>
      </c>
    </row>
    <row r="1672" spans="1:13" ht="15" customHeight="1">
      <c r="A1672" t="s">
        <v>24</v>
      </c>
      <c r="B1672">
        <f t="shared" si="104"/>
        <v>33.715797000000002</v>
      </c>
      <c r="C1672">
        <f t="shared" si="105"/>
        <v>-117.85481299999999</v>
      </c>
      <c r="D1672">
        <f t="shared" si="106"/>
        <v>62</v>
      </c>
      <c r="E1672">
        <v>41.499000000000002</v>
      </c>
      <c r="F1672">
        <f t="shared" si="107"/>
        <v>20.500999999999998</v>
      </c>
      <c r="G1672">
        <v>45.442999999999998</v>
      </c>
      <c r="H1672">
        <v>1.117</v>
      </c>
      <c r="I1672">
        <v>2.4569999999999999</v>
      </c>
      <c r="J1672">
        <v>6</v>
      </c>
      <c r="K1672">
        <v>17</v>
      </c>
      <c r="L1672">
        <v>10</v>
      </c>
      <c r="M1672">
        <v>2.8639999999999999</v>
      </c>
    </row>
    <row r="1673" spans="1:13" ht="15" customHeight="1">
      <c r="A1673" t="s">
        <v>24</v>
      </c>
      <c r="B1673">
        <f t="shared" si="104"/>
        <v>33.715797000000002</v>
      </c>
      <c r="C1673">
        <f t="shared" si="105"/>
        <v>-117.85481299999999</v>
      </c>
      <c r="D1673">
        <f t="shared" si="106"/>
        <v>62</v>
      </c>
      <c r="E1673">
        <v>42.499000000000002</v>
      </c>
      <c r="F1673">
        <f t="shared" si="107"/>
        <v>19.500999999999998</v>
      </c>
      <c r="G1673">
        <v>32.683</v>
      </c>
      <c r="H1673">
        <v>1.407</v>
      </c>
      <c r="I1673">
        <v>4.2839999999999998</v>
      </c>
      <c r="J1673">
        <v>4</v>
      </c>
      <c r="K1673">
        <v>21</v>
      </c>
      <c r="L1673">
        <v>12</v>
      </c>
      <c r="M1673">
        <v>2.0169999999999999</v>
      </c>
    </row>
    <row r="1674" spans="1:13" ht="15" customHeight="1">
      <c r="A1674" t="s">
        <v>24</v>
      </c>
      <c r="B1674">
        <f t="shared" si="104"/>
        <v>33.715797000000002</v>
      </c>
      <c r="C1674">
        <f t="shared" si="105"/>
        <v>-117.85481299999999</v>
      </c>
      <c r="D1674">
        <f t="shared" si="106"/>
        <v>62</v>
      </c>
      <c r="E1674">
        <v>43.499000000000002</v>
      </c>
      <c r="F1674">
        <f t="shared" si="107"/>
        <v>18.500999999999998</v>
      </c>
      <c r="G1674">
        <v>47.783000000000001</v>
      </c>
      <c r="H1674">
        <v>1.8029999999999999</v>
      </c>
      <c r="I1674">
        <v>3.7789999999999999</v>
      </c>
      <c r="J1674">
        <v>5</v>
      </c>
      <c r="K1674">
        <v>23</v>
      </c>
      <c r="L1674">
        <v>13</v>
      </c>
      <c r="M1674">
        <v>3.0049999999999999</v>
      </c>
    </row>
    <row r="1675" spans="1:13" ht="15" customHeight="1">
      <c r="A1675" t="s">
        <v>24</v>
      </c>
      <c r="B1675">
        <f t="shared" si="104"/>
        <v>33.715797000000002</v>
      </c>
      <c r="C1675">
        <f t="shared" si="105"/>
        <v>-117.85481299999999</v>
      </c>
      <c r="D1675">
        <f t="shared" si="106"/>
        <v>62</v>
      </c>
      <c r="E1675">
        <v>44.499000000000002</v>
      </c>
      <c r="F1675">
        <f t="shared" si="107"/>
        <v>17.500999999999998</v>
      </c>
      <c r="G1675">
        <v>276.66699999999997</v>
      </c>
      <c r="H1675">
        <v>4.32</v>
      </c>
      <c r="I1675">
        <v>1.5620000000000001</v>
      </c>
      <c r="J1675">
        <v>8</v>
      </c>
      <c r="K1675">
        <v>66</v>
      </c>
      <c r="L1675">
        <v>37</v>
      </c>
      <c r="M1675" s="1">
        <v>9000000000</v>
      </c>
    </row>
    <row r="1676" spans="1:13" ht="15" customHeight="1">
      <c r="A1676" t="s">
        <v>24</v>
      </c>
      <c r="B1676">
        <f t="shared" si="104"/>
        <v>33.715797000000002</v>
      </c>
      <c r="C1676">
        <f t="shared" si="105"/>
        <v>-117.85481299999999</v>
      </c>
      <c r="D1676">
        <f t="shared" si="106"/>
        <v>62</v>
      </c>
      <c r="E1676">
        <v>45.499000000000002</v>
      </c>
      <c r="F1676">
        <f t="shared" si="107"/>
        <v>16.500999999999998</v>
      </c>
      <c r="G1676">
        <v>108.883</v>
      </c>
      <c r="H1676">
        <v>5.4580000000000002</v>
      </c>
      <c r="I1676">
        <v>5.0199999999999996</v>
      </c>
      <c r="J1676">
        <v>11</v>
      </c>
      <c r="K1676">
        <v>104</v>
      </c>
      <c r="L1676">
        <v>58</v>
      </c>
      <c r="M1676" s="1">
        <v>9000000000</v>
      </c>
    </row>
    <row r="1677" spans="1:13" ht="15" customHeight="1">
      <c r="A1677" t="s">
        <v>24</v>
      </c>
      <c r="B1677">
        <f t="shared" si="104"/>
        <v>33.715797000000002</v>
      </c>
      <c r="C1677">
        <f t="shared" si="105"/>
        <v>-117.85481299999999</v>
      </c>
      <c r="D1677">
        <f t="shared" si="106"/>
        <v>62</v>
      </c>
      <c r="E1677">
        <v>46.499000000000002</v>
      </c>
      <c r="F1677">
        <f t="shared" si="107"/>
        <v>15.500999999999998</v>
      </c>
      <c r="G1677">
        <v>134.6</v>
      </c>
      <c r="H1677">
        <v>2.7130000000000001</v>
      </c>
      <c r="I1677">
        <v>2.0190000000000001</v>
      </c>
      <c r="J1677">
        <v>7</v>
      </c>
      <c r="K1677">
        <v>43</v>
      </c>
      <c r="L1677">
        <v>24</v>
      </c>
      <c r="M1677" s="1">
        <v>9000000000</v>
      </c>
    </row>
    <row r="1678" spans="1:13" ht="15" customHeight="1">
      <c r="A1678" t="s">
        <v>24</v>
      </c>
      <c r="B1678">
        <f t="shared" si="104"/>
        <v>33.715797000000002</v>
      </c>
      <c r="C1678">
        <f t="shared" si="105"/>
        <v>-117.85481299999999</v>
      </c>
      <c r="D1678">
        <f t="shared" si="106"/>
        <v>62</v>
      </c>
      <c r="E1678">
        <v>47.499000000000002</v>
      </c>
      <c r="F1678">
        <f t="shared" si="107"/>
        <v>14.500999999999998</v>
      </c>
      <c r="G1678">
        <v>146.9</v>
      </c>
      <c r="H1678">
        <v>4.2779999999999996</v>
      </c>
      <c r="I1678">
        <v>2.915</v>
      </c>
      <c r="J1678">
        <v>6</v>
      </c>
      <c r="K1678">
        <v>56</v>
      </c>
      <c r="L1678">
        <v>31</v>
      </c>
      <c r="M1678">
        <v>9.59</v>
      </c>
    </row>
    <row r="1679" spans="1:13" ht="15" customHeight="1">
      <c r="A1679" t="s">
        <v>24</v>
      </c>
      <c r="B1679">
        <f t="shared" si="104"/>
        <v>33.715797000000002</v>
      </c>
      <c r="C1679">
        <f t="shared" si="105"/>
        <v>-117.85481299999999</v>
      </c>
      <c r="D1679">
        <f t="shared" si="106"/>
        <v>62</v>
      </c>
      <c r="E1679">
        <v>48.499000000000002</v>
      </c>
      <c r="F1679">
        <f t="shared" si="107"/>
        <v>13.500999999999998</v>
      </c>
      <c r="G1679">
        <v>155.333</v>
      </c>
      <c r="H1679">
        <v>5.0720000000000001</v>
      </c>
      <c r="I1679">
        <v>3.2690000000000001</v>
      </c>
      <c r="J1679">
        <v>6</v>
      </c>
      <c r="K1679">
        <v>59</v>
      </c>
      <c r="L1679">
        <v>32</v>
      </c>
      <c r="M1679">
        <v>10.147</v>
      </c>
    </row>
    <row r="1680" spans="1:13" ht="15" customHeight="1">
      <c r="A1680" t="s">
        <v>24</v>
      </c>
      <c r="B1680">
        <f t="shared" si="104"/>
        <v>33.715797000000002</v>
      </c>
      <c r="C1680">
        <f t="shared" si="105"/>
        <v>-117.85481299999999</v>
      </c>
      <c r="D1680">
        <f t="shared" si="106"/>
        <v>62</v>
      </c>
      <c r="E1680">
        <v>49.499000000000002</v>
      </c>
      <c r="F1680">
        <f t="shared" si="107"/>
        <v>12.500999999999998</v>
      </c>
      <c r="G1680">
        <v>102.783</v>
      </c>
      <c r="H1680">
        <v>3.6680000000000001</v>
      </c>
      <c r="I1680">
        <v>3.5760000000000001</v>
      </c>
      <c r="J1680">
        <v>6</v>
      </c>
      <c r="K1680">
        <v>39</v>
      </c>
      <c r="L1680">
        <v>21</v>
      </c>
      <c r="M1680">
        <v>6.6379999999999999</v>
      </c>
    </row>
    <row r="1681" spans="1:13" ht="15" customHeight="1">
      <c r="A1681" t="s">
        <v>24</v>
      </c>
      <c r="B1681">
        <f t="shared" si="104"/>
        <v>33.715797000000002</v>
      </c>
      <c r="C1681">
        <f t="shared" si="105"/>
        <v>-117.85481299999999</v>
      </c>
      <c r="D1681">
        <f t="shared" si="106"/>
        <v>62</v>
      </c>
      <c r="E1681">
        <v>50.499000000000002</v>
      </c>
      <c r="F1681">
        <f t="shared" si="107"/>
        <v>11.500999999999998</v>
      </c>
      <c r="G1681">
        <v>260.10000000000002</v>
      </c>
      <c r="H1681">
        <v>2.5870000000000002</v>
      </c>
      <c r="I1681">
        <v>0.995</v>
      </c>
      <c r="J1681">
        <v>9</v>
      </c>
      <c r="K1681">
        <v>50</v>
      </c>
      <c r="L1681">
        <v>26</v>
      </c>
      <c r="M1681" s="1">
        <v>9000000000</v>
      </c>
    </row>
    <row r="1682" spans="1:13" ht="15" customHeight="1">
      <c r="A1682" t="s">
        <v>24</v>
      </c>
      <c r="B1682">
        <f t="shared" si="104"/>
        <v>33.715797000000002</v>
      </c>
      <c r="C1682">
        <f t="shared" si="105"/>
        <v>-117.85481299999999</v>
      </c>
      <c r="D1682">
        <f t="shared" si="106"/>
        <v>62</v>
      </c>
      <c r="E1682">
        <v>51.499000000000002</v>
      </c>
      <c r="F1682">
        <f t="shared" si="107"/>
        <v>10.500999999999998</v>
      </c>
      <c r="G1682">
        <v>281.517</v>
      </c>
      <c r="H1682">
        <v>2.5379999999999998</v>
      </c>
      <c r="I1682">
        <v>0.90200000000000002</v>
      </c>
      <c r="J1682">
        <v>9</v>
      </c>
      <c r="K1682">
        <v>54</v>
      </c>
      <c r="L1682">
        <v>28</v>
      </c>
      <c r="M1682" s="1">
        <v>9000000000</v>
      </c>
    </row>
    <row r="1683" spans="1:13" ht="15" customHeight="1">
      <c r="A1683" t="s">
        <v>24</v>
      </c>
      <c r="B1683">
        <f t="shared" si="104"/>
        <v>33.715797000000002</v>
      </c>
      <c r="C1683">
        <f t="shared" si="105"/>
        <v>-117.85481299999999</v>
      </c>
      <c r="D1683">
        <f t="shared" si="106"/>
        <v>62</v>
      </c>
      <c r="E1683">
        <v>52.499000000000002</v>
      </c>
      <c r="F1683">
        <f t="shared" si="107"/>
        <v>9.5009999999999977</v>
      </c>
      <c r="G1683">
        <v>152.82900000000001</v>
      </c>
      <c r="H1683">
        <v>4.3540000000000001</v>
      </c>
      <c r="I1683">
        <v>2.8530000000000002</v>
      </c>
      <c r="J1683">
        <v>7</v>
      </c>
      <c r="K1683">
        <v>49</v>
      </c>
      <c r="L1683">
        <v>25</v>
      </c>
      <c r="M1683" s="1">
        <v>9000000000</v>
      </c>
    </row>
    <row r="1684" spans="1:13" ht="15" customHeight="1">
      <c r="A1684" t="s">
        <v>24</v>
      </c>
      <c r="B1684">
        <f t="shared" si="104"/>
        <v>33.715797000000002</v>
      </c>
      <c r="C1684">
        <f t="shared" si="105"/>
        <v>-117.85481299999999</v>
      </c>
      <c r="D1684">
        <f t="shared" si="106"/>
        <v>62</v>
      </c>
      <c r="E1684">
        <v>53.499000000000002</v>
      </c>
      <c r="F1684">
        <f t="shared" si="107"/>
        <v>8.5009999999999977</v>
      </c>
      <c r="G1684">
        <v>31.966999999999999</v>
      </c>
      <c r="H1684">
        <v>1.2669999999999999</v>
      </c>
      <c r="I1684">
        <v>3.9809999999999999</v>
      </c>
      <c r="J1684">
        <v>4</v>
      </c>
      <c r="K1684">
        <v>20</v>
      </c>
      <c r="L1684">
        <v>10</v>
      </c>
      <c r="M1684">
        <v>1.903</v>
      </c>
    </row>
    <row r="1685" spans="1:13" ht="15" customHeight="1">
      <c r="A1685" t="s">
        <v>24</v>
      </c>
      <c r="B1685">
        <f t="shared" si="104"/>
        <v>33.715797000000002</v>
      </c>
      <c r="C1685">
        <f t="shared" si="105"/>
        <v>-117.85481299999999</v>
      </c>
      <c r="D1685">
        <f t="shared" si="106"/>
        <v>62</v>
      </c>
      <c r="E1685">
        <v>54.499000000000002</v>
      </c>
      <c r="F1685">
        <f t="shared" si="107"/>
        <v>7.5009999999999977</v>
      </c>
      <c r="G1685">
        <v>29.466999999999999</v>
      </c>
      <c r="H1685">
        <v>1.117</v>
      </c>
      <c r="I1685">
        <v>3.8050000000000002</v>
      </c>
      <c r="J1685">
        <v>5</v>
      </c>
      <c r="K1685">
        <v>14</v>
      </c>
      <c r="L1685">
        <v>7</v>
      </c>
      <c r="M1685">
        <v>1.7350000000000001</v>
      </c>
    </row>
    <row r="1686" spans="1:13" ht="15" customHeight="1">
      <c r="A1686" t="s">
        <v>24</v>
      </c>
      <c r="B1686">
        <f t="shared" si="104"/>
        <v>33.715797000000002</v>
      </c>
      <c r="C1686">
        <f t="shared" si="105"/>
        <v>-117.85481299999999</v>
      </c>
      <c r="D1686">
        <f t="shared" si="106"/>
        <v>62</v>
      </c>
      <c r="E1686">
        <v>55.499000000000002</v>
      </c>
      <c r="F1686">
        <f t="shared" si="107"/>
        <v>6.5009999999999977</v>
      </c>
      <c r="G1686">
        <v>57.783000000000001</v>
      </c>
      <c r="H1686">
        <v>2.8250000000000002</v>
      </c>
      <c r="I1686">
        <v>4.9029999999999996</v>
      </c>
      <c r="J1686">
        <v>4</v>
      </c>
      <c r="K1686">
        <v>37</v>
      </c>
      <c r="L1686">
        <v>19</v>
      </c>
      <c r="M1686">
        <v>3.6150000000000002</v>
      </c>
    </row>
    <row r="1687" spans="1:13" ht="15" customHeight="1">
      <c r="A1687" t="s">
        <v>24</v>
      </c>
      <c r="B1687">
        <f t="shared" si="104"/>
        <v>33.715797000000002</v>
      </c>
      <c r="C1687">
        <f t="shared" si="105"/>
        <v>-117.85481299999999</v>
      </c>
      <c r="D1687">
        <f t="shared" si="106"/>
        <v>62</v>
      </c>
      <c r="E1687">
        <v>56.499000000000002</v>
      </c>
      <c r="F1687">
        <f t="shared" si="107"/>
        <v>5.5009999999999977</v>
      </c>
      <c r="G1687">
        <v>44.9</v>
      </c>
      <c r="H1687">
        <v>2.1949999999999998</v>
      </c>
      <c r="I1687">
        <v>4.907</v>
      </c>
      <c r="J1687">
        <v>4</v>
      </c>
      <c r="K1687">
        <v>29</v>
      </c>
      <c r="L1687">
        <v>15</v>
      </c>
      <c r="M1687">
        <v>2.7519999999999998</v>
      </c>
    </row>
    <row r="1688" spans="1:13" ht="15" customHeight="1">
      <c r="A1688" t="s">
        <v>24</v>
      </c>
      <c r="B1688">
        <f t="shared" si="104"/>
        <v>33.715797000000002</v>
      </c>
      <c r="C1688">
        <f t="shared" si="105"/>
        <v>-117.85481299999999</v>
      </c>
      <c r="D1688">
        <f t="shared" si="106"/>
        <v>62</v>
      </c>
      <c r="E1688">
        <v>57.499000000000002</v>
      </c>
      <c r="F1688">
        <f t="shared" si="107"/>
        <v>4.5009999999999977</v>
      </c>
      <c r="G1688">
        <v>19.683</v>
      </c>
      <c r="H1688">
        <v>0.85299999999999998</v>
      </c>
      <c r="I1688">
        <v>4.3719999999999999</v>
      </c>
      <c r="J1688">
        <v>3</v>
      </c>
      <c r="K1688">
        <v>19</v>
      </c>
      <c r="L1688">
        <v>10</v>
      </c>
      <c r="M1688">
        <v>1.0669999999999999</v>
      </c>
    </row>
    <row r="1689" spans="1:13" ht="15" customHeight="1">
      <c r="A1689" t="s">
        <v>24</v>
      </c>
      <c r="B1689">
        <f t="shared" si="104"/>
        <v>33.715797000000002</v>
      </c>
      <c r="C1689">
        <f t="shared" si="105"/>
        <v>-117.85481299999999</v>
      </c>
      <c r="D1689">
        <f t="shared" si="106"/>
        <v>62</v>
      </c>
      <c r="E1689">
        <v>58.499000000000002</v>
      </c>
      <c r="F1689">
        <f t="shared" si="107"/>
        <v>3.5009999999999977</v>
      </c>
      <c r="G1689">
        <v>15.617000000000001</v>
      </c>
      <c r="H1689">
        <v>0.443</v>
      </c>
      <c r="I1689">
        <v>2.8730000000000002</v>
      </c>
      <c r="J1689">
        <v>5</v>
      </c>
      <c r="K1689">
        <v>7</v>
      </c>
      <c r="L1689">
        <v>4</v>
      </c>
      <c r="M1689">
        <v>0.79</v>
      </c>
    </row>
    <row r="1690" spans="1:13" ht="15" customHeight="1">
      <c r="A1690" t="s">
        <v>24</v>
      </c>
      <c r="B1690">
        <f t="shared" si="104"/>
        <v>33.715797000000002</v>
      </c>
      <c r="C1690">
        <f t="shared" si="105"/>
        <v>-117.85481299999999</v>
      </c>
      <c r="D1690">
        <f t="shared" si="106"/>
        <v>62</v>
      </c>
      <c r="E1690">
        <v>59.499000000000002</v>
      </c>
      <c r="F1690">
        <f t="shared" si="107"/>
        <v>2.5009999999999977</v>
      </c>
      <c r="G1690">
        <v>20.399999999999999</v>
      </c>
      <c r="H1690">
        <v>0.752</v>
      </c>
      <c r="I1690">
        <v>3.718</v>
      </c>
      <c r="J1690">
        <v>4</v>
      </c>
      <c r="K1690">
        <v>13</v>
      </c>
      <c r="L1690">
        <v>7</v>
      </c>
      <c r="M1690">
        <v>1.105</v>
      </c>
    </row>
    <row r="1691" spans="1:13" ht="15" customHeight="1">
      <c r="A1691" t="s">
        <v>24</v>
      </c>
      <c r="B1691">
        <f t="shared" si="104"/>
        <v>33.715797000000002</v>
      </c>
      <c r="C1691">
        <f t="shared" si="105"/>
        <v>-117.85481299999999</v>
      </c>
      <c r="D1691">
        <f t="shared" si="106"/>
        <v>62</v>
      </c>
      <c r="E1691">
        <v>60.499000000000002</v>
      </c>
      <c r="F1691">
        <f t="shared" si="107"/>
        <v>1.5009999999999977</v>
      </c>
      <c r="G1691">
        <v>34.167000000000002</v>
      </c>
      <c r="H1691">
        <v>1.0620000000000001</v>
      </c>
      <c r="I1691">
        <v>3.1190000000000002</v>
      </c>
      <c r="J1691">
        <v>5</v>
      </c>
      <c r="K1691">
        <v>16</v>
      </c>
      <c r="L1691">
        <v>8</v>
      </c>
      <c r="M1691">
        <v>2.0219999999999998</v>
      </c>
    </row>
    <row r="1692" spans="1:13" ht="15" customHeight="1">
      <c r="A1692" t="s">
        <v>24</v>
      </c>
      <c r="B1692">
        <f t="shared" si="104"/>
        <v>33.715797000000002</v>
      </c>
      <c r="C1692">
        <f t="shared" si="105"/>
        <v>-117.85481299999999</v>
      </c>
      <c r="D1692">
        <f t="shared" si="106"/>
        <v>62</v>
      </c>
      <c r="E1692">
        <v>61.499000000000002</v>
      </c>
      <c r="F1692">
        <f t="shared" si="107"/>
        <v>0.50099999999999767</v>
      </c>
      <c r="G1692">
        <v>85.15</v>
      </c>
      <c r="H1692">
        <v>1.68</v>
      </c>
      <c r="I1692">
        <v>1.976</v>
      </c>
      <c r="J1692">
        <v>7</v>
      </c>
      <c r="K1692">
        <v>27</v>
      </c>
      <c r="L1692">
        <v>14</v>
      </c>
      <c r="M1692" s="1">
        <v>9000000000</v>
      </c>
    </row>
    <row r="1693" spans="1:13" ht="15" customHeight="1">
      <c r="A1693" t="s">
        <v>24</v>
      </c>
      <c r="B1693">
        <f t="shared" si="104"/>
        <v>33.715797000000002</v>
      </c>
      <c r="C1693">
        <f t="shared" si="105"/>
        <v>-117.85481299999999</v>
      </c>
      <c r="D1693">
        <f t="shared" si="106"/>
        <v>62</v>
      </c>
      <c r="E1693">
        <v>62.499000000000002</v>
      </c>
      <c r="F1693">
        <f t="shared" si="107"/>
        <v>-0.49900000000000233</v>
      </c>
      <c r="G1693">
        <v>184.68600000000001</v>
      </c>
      <c r="H1693">
        <v>1.306</v>
      </c>
      <c r="I1693">
        <v>0.70699999999999996</v>
      </c>
      <c r="J1693">
        <v>9</v>
      </c>
      <c r="K1693">
        <v>35</v>
      </c>
      <c r="L1693">
        <v>18</v>
      </c>
      <c r="M1693" s="1">
        <v>9000000000</v>
      </c>
    </row>
    <row r="1694" spans="1:13" ht="15" customHeight="1">
      <c r="A1694" t="s">
        <v>24</v>
      </c>
      <c r="B1694">
        <f t="shared" si="104"/>
        <v>33.715797000000002</v>
      </c>
      <c r="C1694">
        <f t="shared" si="105"/>
        <v>-117.85481299999999</v>
      </c>
      <c r="D1694">
        <f t="shared" si="106"/>
        <v>62</v>
      </c>
      <c r="E1694">
        <v>63.499000000000002</v>
      </c>
      <c r="F1694">
        <f t="shared" si="107"/>
        <v>-1.4990000000000023</v>
      </c>
      <c r="G1694">
        <v>246.083</v>
      </c>
      <c r="H1694">
        <v>2.5070000000000001</v>
      </c>
      <c r="I1694">
        <v>1.0189999999999999</v>
      </c>
      <c r="J1694">
        <v>9</v>
      </c>
      <c r="K1694">
        <v>47</v>
      </c>
      <c r="L1694">
        <v>24</v>
      </c>
      <c r="M1694" s="1">
        <v>9000000000</v>
      </c>
    </row>
    <row r="1695" spans="1:13" ht="15" customHeight="1">
      <c r="A1695" t="s">
        <v>24</v>
      </c>
      <c r="B1695">
        <f t="shared" si="104"/>
        <v>33.715797000000002</v>
      </c>
      <c r="C1695">
        <f t="shared" si="105"/>
        <v>-117.85481299999999</v>
      </c>
      <c r="D1695">
        <f t="shared" si="106"/>
        <v>62</v>
      </c>
      <c r="E1695">
        <v>64.498999999999995</v>
      </c>
      <c r="F1695">
        <f t="shared" si="107"/>
        <v>-2.4989999999999952</v>
      </c>
      <c r="G1695">
        <v>75.433000000000007</v>
      </c>
      <c r="H1695">
        <v>1.5620000000000001</v>
      </c>
      <c r="I1695">
        <v>2.0739999999999998</v>
      </c>
      <c r="J1695">
        <v>7</v>
      </c>
      <c r="K1695">
        <v>24</v>
      </c>
      <c r="L1695">
        <v>12</v>
      </c>
      <c r="M1695" s="1">
        <v>9000000000</v>
      </c>
    </row>
    <row r="1696" spans="1:13" ht="15" customHeight="1">
      <c r="A1696" t="s">
        <v>24</v>
      </c>
      <c r="B1696">
        <f t="shared" si="104"/>
        <v>33.715797000000002</v>
      </c>
      <c r="C1696">
        <f t="shared" si="105"/>
        <v>-117.85481299999999</v>
      </c>
      <c r="D1696">
        <f t="shared" si="106"/>
        <v>62</v>
      </c>
      <c r="E1696">
        <v>65.498999999999995</v>
      </c>
      <c r="F1696">
        <f t="shared" si="107"/>
        <v>-3.4989999999999952</v>
      </c>
      <c r="G1696">
        <v>200.3</v>
      </c>
      <c r="H1696">
        <v>1.22</v>
      </c>
      <c r="I1696">
        <v>0.60899999999999999</v>
      </c>
      <c r="J1696">
        <v>9</v>
      </c>
      <c r="K1696">
        <v>38</v>
      </c>
      <c r="L1696">
        <v>19</v>
      </c>
      <c r="M1696" s="1">
        <v>9000000000</v>
      </c>
    </row>
    <row r="1697" spans="1:13" ht="15" customHeight="1">
      <c r="A1697" t="s">
        <v>24</v>
      </c>
      <c r="B1697">
        <f t="shared" si="104"/>
        <v>33.715797000000002</v>
      </c>
      <c r="C1697">
        <f t="shared" si="105"/>
        <v>-117.85481299999999</v>
      </c>
      <c r="D1697">
        <f t="shared" si="106"/>
        <v>62</v>
      </c>
      <c r="E1697">
        <v>66.498999999999995</v>
      </c>
      <c r="F1697">
        <f t="shared" si="107"/>
        <v>-4.4989999999999952</v>
      </c>
      <c r="G1697">
        <v>53.567</v>
      </c>
      <c r="H1697">
        <v>1.2</v>
      </c>
      <c r="I1697">
        <v>2.2440000000000002</v>
      </c>
      <c r="J1697">
        <v>6</v>
      </c>
      <c r="K1697">
        <v>20</v>
      </c>
      <c r="L1697">
        <v>10</v>
      </c>
      <c r="M1697">
        <v>3.2930000000000001</v>
      </c>
    </row>
    <row r="1698" spans="1:13" ht="15" customHeight="1">
      <c r="A1698" t="s">
        <v>24</v>
      </c>
      <c r="B1698">
        <f t="shared" si="104"/>
        <v>33.715797000000002</v>
      </c>
      <c r="C1698">
        <f t="shared" si="105"/>
        <v>-117.85481299999999</v>
      </c>
      <c r="D1698">
        <f t="shared" si="106"/>
        <v>62</v>
      </c>
      <c r="E1698">
        <v>67.498999999999995</v>
      </c>
      <c r="F1698">
        <f t="shared" si="107"/>
        <v>-5.4989999999999952</v>
      </c>
      <c r="G1698">
        <v>65.832999999999998</v>
      </c>
      <c r="H1698">
        <v>1.3180000000000001</v>
      </c>
      <c r="I1698">
        <v>2.0049999999999999</v>
      </c>
      <c r="J1698">
        <v>7</v>
      </c>
      <c r="K1698">
        <v>21</v>
      </c>
      <c r="L1698">
        <v>11</v>
      </c>
      <c r="M1698" s="1">
        <v>9000000000</v>
      </c>
    </row>
    <row r="1699" spans="1:13" ht="15" customHeight="1">
      <c r="A1699" t="s">
        <v>24</v>
      </c>
      <c r="B1699">
        <f t="shared" si="104"/>
        <v>33.715797000000002</v>
      </c>
      <c r="C1699">
        <f t="shared" si="105"/>
        <v>-117.85481299999999</v>
      </c>
      <c r="D1699">
        <f t="shared" si="106"/>
        <v>62</v>
      </c>
      <c r="E1699">
        <v>68.498999999999995</v>
      </c>
      <c r="F1699">
        <f t="shared" si="107"/>
        <v>-6.4989999999999952</v>
      </c>
      <c r="G1699">
        <v>72.7</v>
      </c>
      <c r="H1699">
        <v>2.165</v>
      </c>
      <c r="I1699">
        <v>2.9780000000000002</v>
      </c>
      <c r="J1699">
        <v>6</v>
      </c>
      <c r="K1699">
        <v>28</v>
      </c>
      <c r="L1699">
        <v>14</v>
      </c>
      <c r="M1699">
        <v>4.5670000000000002</v>
      </c>
    </row>
    <row r="1700" spans="1:13" ht="15" customHeight="1">
      <c r="A1700" t="s">
        <v>24</v>
      </c>
      <c r="B1700">
        <f t="shared" si="104"/>
        <v>33.715797000000002</v>
      </c>
      <c r="C1700">
        <f t="shared" si="105"/>
        <v>-117.85481299999999</v>
      </c>
      <c r="D1700">
        <f t="shared" si="106"/>
        <v>62</v>
      </c>
      <c r="E1700">
        <v>69.498999999999995</v>
      </c>
      <c r="F1700">
        <f t="shared" si="107"/>
        <v>-7.4989999999999952</v>
      </c>
      <c r="G1700">
        <v>102.56699999999999</v>
      </c>
      <c r="H1700">
        <v>2.0979999999999999</v>
      </c>
      <c r="I1700">
        <v>2.048</v>
      </c>
      <c r="J1700">
        <v>7</v>
      </c>
      <c r="K1700">
        <v>33</v>
      </c>
      <c r="L1700">
        <v>17</v>
      </c>
      <c r="M1700" s="1">
        <v>9000000000</v>
      </c>
    </row>
    <row r="1701" spans="1:13" ht="15" customHeight="1">
      <c r="A1701" t="s">
        <v>24</v>
      </c>
      <c r="B1701">
        <f t="shared" si="104"/>
        <v>33.715797000000002</v>
      </c>
      <c r="C1701">
        <f t="shared" si="105"/>
        <v>-117.85481299999999</v>
      </c>
      <c r="D1701">
        <f t="shared" si="106"/>
        <v>62</v>
      </c>
      <c r="E1701">
        <v>70.498999999999995</v>
      </c>
      <c r="F1701">
        <f t="shared" si="107"/>
        <v>-8.4989999999999952</v>
      </c>
      <c r="G1701">
        <v>43.65</v>
      </c>
      <c r="H1701">
        <v>1.35</v>
      </c>
      <c r="I1701">
        <v>3.101</v>
      </c>
      <c r="J1701">
        <v>5</v>
      </c>
      <c r="K1701">
        <v>21</v>
      </c>
      <c r="L1701">
        <v>11</v>
      </c>
      <c r="M1701">
        <v>2.6150000000000002</v>
      </c>
    </row>
    <row r="1702" spans="1:13" ht="15" customHeight="1">
      <c r="A1702" t="s">
        <v>24</v>
      </c>
      <c r="B1702">
        <f t="shared" si="104"/>
        <v>33.715797000000002</v>
      </c>
      <c r="C1702">
        <f t="shared" si="105"/>
        <v>-117.85481299999999</v>
      </c>
      <c r="D1702">
        <f t="shared" si="106"/>
        <v>62</v>
      </c>
      <c r="E1702">
        <v>71.498999999999995</v>
      </c>
      <c r="F1702">
        <f t="shared" si="107"/>
        <v>-9.4989999999999952</v>
      </c>
      <c r="G1702">
        <v>44.866999999999997</v>
      </c>
      <c r="H1702">
        <v>1.64</v>
      </c>
      <c r="I1702">
        <v>3.665</v>
      </c>
      <c r="J1702">
        <v>5</v>
      </c>
      <c r="K1702">
        <v>21</v>
      </c>
      <c r="L1702">
        <v>11</v>
      </c>
      <c r="M1702">
        <v>2.6909999999999998</v>
      </c>
    </row>
    <row r="1703" spans="1:13" ht="15" customHeight="1">
      <c r="A1703" t="s">
        <v>24</v>
      </c>
      <c r="B1703">
        <f t="shared" si="104"/>
        <v>33.715797000000002</v>
      </c>
      <c r="C1703">
        <f t="shared" si="105"/>
        <v>-117.85481299999999</v>
      </c>
      <c r="D1703">
        <f t="shared" si="106"/>
        <v>62</v>
      </c>
      <c r="E1703">
        <v>72.498999999999995</v>
      </c>
      <c r="F1703">
        <f t="shared" si="107"/>
        <v>-10.498999999999995</v>
      </c>
      <c r="G1703">
        <v>22.486000000000001</v>
      </c>
      <c r="H1703">
        <v>0.63400000000000001</v>
      </c>
      <c r="I1703">
        <v>2.8319999999999999</v>
      </c>
      <c r="J1703">
        <v>5</v>
      </c>
      <c r="K1703">
        <v>11</v>
      </c>
      <c r="L1703">
        <v>6</v>
      </c>
      <c r="M1703">
        <v>1.1970000000000001</v>
      </c>
    </row>
    <row r="1704" spans="1:13" ht="15" customHeight="1">
      <c r="A1704" t="s">
        <v>24</v>
      </c>
      <c r="B1704">
        <f t="shared" si="104"/>
        <v>33.715797000000002</v>
      </c>
      <c r="C1704">
        <f t="shared" si="105"/>
        <v>-117.85481299999999</v>
      </c>
      <c r="D1704">
        <f t="shared" si="106"/>
        <v>62</v>
      </c>
      <c r="E1704">
        <v>73.498999999999995</v>
      </c>
      <c r="F1704">
        <f t="shared" si="107"/>
        <v>-11.498999999999995</v>
      </c>
      <c r="G1704">
        <v>25.2</v>
      </c>
      <c r="H1704">
        <v>0.65800000000000003</v>
      </c>
      <c r="I1704">
        <v>2.6190000000000002</v>
      </c>
      <c r="J1704">
        <v>6</v>
      </c>
      <c r="K1704">
        <v>10</v>
      </c>
      <c r="L1704">
        <v>5</v>
      </c>
      <c r="M1704">
        <v>1.375</v>
      </c>
    </row>
    <row r="1705" spans="1:13" ht="15" customHeight="1">
      <c r="A1705" t="s">
        <v>24</v>
      </c>
      <c r="B1705">
        <f t="shared" si="104"/>
        <v>33.715797000000002</v>
      </c>
      <c r="C1705">
        <f t="shared" si="105"/>
        <v>-117.85481299999999</v>
      </c>
      <c r="D1705">
        <f t="shared" si="106"/>
        <v>62</v>
      </c>
      <c r="E1705">
        <v>74.498999999999995</v>
      </c>
      <c r="F1705">
        <f t="shared" si="107"/>
        <v>-12.498999999999995</v>
      </c>
      <c r="G1705">
        <v>22.05</v>
      </c>
      <c r="H1705">
        <v>0.47799999999999998</v>
      </c>
      <c r="I1705">
        <v>2.1680000000000001</v>
      </c>
      <c r="J1705">
        <v>6</v>
      </c>
      <c r="K1705">
        <v>8</v>
      </c>
      <c r="L1705">
        <v>4</v>
      </c>
      <c r="M1705">
        <v>1.167</v>
      </c>
    </row>
    <row r="1706" spans="1:13" ht="15" customHeight="1">
      <c r="A1706" t="s">
        <v>24</v>
      </c>
      <c r="B1706">
        <f t="shared" si="104"/>
        <v>33.715797000000002</v>
      </c>
      <c r="C1706">
        <f t="shared" si="105"/>
        <v>-117.85481299999999</v>
      </c>
      <c r="D1706">
        <f t="shared" si="106"/>
        <v>62</v>
      </c>
      <c r="E1706">
        <v>75.498999999999995</v>
      </c>
      <c r="F1706">
        <f t="shared" si="107"/>
        <v>-13.498999999999995</v>
      </c>
      <c r="G1706">
        <v>29.882999999999999</v>
      </c>
      <c r="H1706">
        <v>0.85</v>
      </c>
      <c r="I1706">
        <v>2.8330000000000002</v>
      </c>
      <c r="J1706">
        <v>5</v>
      </c>
      <c r="K1706">
        <v>14</v>
      </c>
      <c r="L1706">
        <v>7</v>
      </c>
      <c r="M1706">
        <v>1.6910000000000001</v>
      </c>
    </row>
    <row r="1707" spans="1:13" ht="15" customHeight="1">
      <c r="A1707" t="s">
        <v>24</v>
      </c>
      <c r="B1707">
        <f t="shared" si="104"/>
        <v>33.715797000000002</v>
      </c>
      <c r="C1707">
        <f t="shared" si="105"/>
        <v>-117.85481299999999</v>
      </c>
      <c r="D1707">
        <f t="shared" si="106"/>
        <v>62</v>
      </c>
      <c r="E1707">
        <v>76.498999999999995</v>
      </c>
      <c r="F1707">
        <f t="shared" si="107"/>
        <v>-14.498999999999995</v>
      </c>
      <c r="G1707">
        <v>49.45</v>
      </c>
      <c r="H1707">
        <v>1.98</v>
      </c>
      <c r="I1707">
        <v>4</v>
      </c>
      <c r="J1707">
        <v>5</v>
      </c>
      <c r="K1707">
        <v>24</v>
      </c>
      <c r="L1707">
        <v>12</v>
      </c>
      <c r="M1707">
        <v>2.9870000000000001</v>
      </c>
    </row>
    <row r="1708" spans="1:13" ht="15" customHeight="1">
      <c r="A1708" t="s">
        <v>24</v>
      </c>
      <c r="B1708">
        <f t="shared" si="104"/>
        <v>33.715797000000002</v>
      </c>
      <c r="C1708">
        <f t="shared" si="105"/>
        <v>-117.85481299999999</v>
      </c>
      <c r="D1708">
        <f t="shared" si="106"/>
        <v>62</v>
      </c>
      <c r="E1708">
        <v>77.498999999999995</v>
      </c>
      <c r="F1708">
        <f t="shared" si="107"/>
        <v>-15.498999999999995</v>
      </c>
      <c r="G1708">
        <v>44.05</v>
      </c>
      <c r="H1708">
        <v>1.75</v>
      </c>
      <c r="I1708">
        <v>3.9670000000000001</v>
      </c>
      <c r="J1708">
        <v>5</v>
      </c>
      <c r="K1708">
        <v>21</v>
      </c>
      <c r="L1708">
        <v>11</v>
      </c>
      <c r="M1708">
        <v>2.6240000000000001</v>
      </c>
    </row>
    <row r="1709" spans="1:13" ht="15" customHeight="1">
      <c r="A1709" t="s">
        <v>24</v>
      </c>
      <c r="B1709">
        <f t="shared" si="104"/>
        <v>33.715797000000002</v>
      </c>
      <c r="C1709">
        <f t="shared" si="105"/>
        <v>-117.85481299999999</v>
      </c>
      <c r="D1709">
        <f t="shared" si="106"/>
        <v>62</v>
      </c>
      <c r="E1709">
        <v>78.498999999999995</v>
      </c>
      <c r="F1709">
        <f t="shared" si="107"/>
        <v>-16.498999999999995</v>
      </c>
      <c r="G1709">
        <v>39.299999999999997</v>
      </c>
      <c r="H1709">
        <v>1.5580000000000001</v>
      </c>
      <c r="I1709">
        <v>3.9649999999999999</v>
      </c>
      <c r="J1709">
        <v>5</v>
      </c>
      <c r="K1709">
        <v>19</v>
      </c>
      <c r="L1709">
        <v>10</v>
      </c>
      <c r="M1709">
        <v>2.2989999999999999</v>
      </c>
    </row>
    <row r="1710" spans="1:13" ht="15" customHeight="1">
      <c r="A1710" t="s">
        <v>24</v>
      </c>
      <c r="B1710">
        <f t="shared" si="104"/>
        <v>33.715797000000002</v>
      </c>
      <c r="C1710">
        <f t="shared" si="105"/>
        <v>-117.85481299999999</v>
      </c>
      <c r="D1710">
        <f t="shared" si="106"/>
        <v>62</v>
      </c>
      <c r="E1710">
        <v>79.498999999999995</v>
      </c>
      <c r="F1710">
        <f t="shared" si="107"/>
        <v>-17.498999999999995</v>
      </c>
      <c r="G1710">
        <v>26.983000000000001</v>
      </c>
      <c r="H1710">
        <v>0.86199999999999999</v>
      </c>
      <c r="I1710">
        <v>3.1890000000000001</v>
      </c>
      <c r="J1710">
        <v>5</v>
      </c>
      <c r="K1710">
        <v>13</v>
      </c>
      <c r="L1710">
        <v>7</v>
      </c>
      <c r="M1710">
        <v>1.476</v>
      </c>
    </row>
    <row r="1711" spans="1:13" ht="15" customHeight="1">
      <c r="A1711" t="s">
        <v>24</v>
      </c>
      <c r="B1711">
        <f t="shared" si="104"/>
        <v>33.715797000000002</v>
      </c>
      <c r="C1711">
        <f t="shared" si="105"/>
        <v>-117.85481299999999</v>
      </c>
      <c r="D1711">
        <f t="shared" si="106"/>
        <v>62</v>
      </c>
      <c r="E1711">
        <v>80.498999999999995</v>
      </c>
      <c r="F1711">
        <f t="shared" si="107"/>
        <v>-18.498999999999995</v>
      </c>
      <c r="G1711">
        <v>20.867000000000001</v>
      </c>
      <c r="H1711">
        <v>0.65200000000000002</v>
      </c>
      <c r="I1711">
        <v>3.113</v>
      </c>
      <c r="J1711">
        <v>5</v>
      </c>
      <c r="K1711">
        <v>10</v>
      </c>
      <c r="L1711">
        <v>5</v>
      </c>
      <c r="M1711">
        <v>1.0660000000000001</v>
      </c>
    </row>
    <row r="1712" spans="1:13" ht="15" customHeight="1">
      <c r="A1712" t="s">
        <v>24</v>
      </c>
      <c r="B1712">
        <f t="shared" si="104"/>
        <v>33.715797000000002</v>
      </c>
      <c r="C1712">
        <f t="shared" si="105"/>
        <v>-117.85481299999999</v>
      </c>
      <c r="D1712">
        <f t="shared" si="106"/>
        <v>62</v>
      </c>
      <c r="E1712">
        <v>81.498999999999995</v>
      </c>
      <c r="F1712">
        <f t="shared" si="107"/>
        <v>-19.498999999999995</v>
      </c>
      <c r="G1712">
        <v>21.983000000000001</v>
      </c>
      <c r="H1712">
        <v>0.73</v>
      </c>
      <c r="I1712">
        <v>3.2959999999999998</v>
      </c>
      <c r="J1712">
        <v>5</v>
      </c>
      <c r="K1712">
        <v>11</v>
      </c>
      <c r="L1712">
        <v>6</v>
      </c>
      <c r="M1712">
        <v>1.143</v>
      </c>
    </row>
    <row r="1713" spans="1:13" ht="15" customHeight="1">
      <c r="A1713" t="s">
        <v>24</v>
      </c>
      <c r="B1713">
        <f t="shared" si="104"/>
        <v>33.715797000000002</v>
      </c>
      <c r="C1713">
        <f t="shared" si="105"/>
        <v>-117.85481299999999</v>
      </c>
      <c r="D1713">
        <f t="shared" si="106"/>
        <v>62</v>
      </c>
      <c r="E1713">
        <v>82.498999999999995</v>
      </c>
      <c r="F1713">
        <f t="shared" si="107"/>
        <v>-20.498999999999995</v>
      </c>
      <c r="G1713">
        <v>30.667000000000002</v>
      </c>
      <c r="H1713">
        <v>1.077</v>
      </c>
      <c r="I1713">
        <v>3.4769999999999999</v>
      </c>
      <c r="J1713">
        <v>5</v>
      </c>
      <c r="K1713">
        <v>15</v>
      </c>
      <c r="L1713">
        <v>8</v>
      </c>
      <c r="M1713">
        <v>1.7270000000000001</v>
      </c>
    </row>
    <row r="1714" spans="1:13" ht="15" customHeight="1">
      <c r="A1714" t="s">
        <v>24</v>
      </c>
      <c r="B1714">
        <f t="shared" si="104"/>
        <v>33.715797000000002</v>
      </c>
      <c r="C1714">
        <f t="shared" si="105"/>
        <v>-117.85481299999999</v>
      </c>
      <c r="D1714">
        <f t="shared" si="106"/>
        <v>62</v>
      </c>
      <c r="E1714">
        <v>83.498999999999995</v>
      </c>
      <c r="F1714">
        <f t="shared" si="107"/>
        <v>-21.498999999999995</v>
      </c>
      <c r="G1714">
        <v>30.3</v>
      </c>
      <c r="H1714">
        <v>1.1359999999999999</v>
      </c>
      <c r="I1714">
        <v>3.6789999999999998</v>
      </c>
      <c r="J1714">
        <v>5</v>
      </c>
      <c r="K1714">
        <v>15</v>
      </c>
      <c r="L1714">
        <v>8</v>
      </c>
      <c r="M1714">
        <v>1.716</v>
      </c>
    </row>
    <row r="1715" spans="1:13" ht="15" customHeight="1">
      <c r="A1715" t="s">
        <v>24</v>
      </c>
      <c r="B1715">
        <f t="shared" si="104"/>
        <v>33.715797000000002</v>
      </c>
      <c r="C1715">
        <f t="shared" si="105"/>
        <v>-117.85481299999999</v>
      </c>
      <c r="D1715">
        <f t="shared" si="106"/>
        <v>62</v>
      </c>
      <c r="E1715">
        <v>84.498999999999995</v>
      </c>
      <c r="F1715">
        <f t="shared" si="107"/>
        <v>-22.498999999999995</v>
      </c>
      <c r="G1715">
        <v>29</v>
      </c>
      <c r="H1715">
        <v>1.0129999999999999</v>
      </c>
      <c r="I1715">
        <v>3.4430000000000001</v>
      </c>
      <c r="J1715">
        <v>5</v>
      </c>
      <c r="K1715">
        <v>14</v>
      </c>
      <c r="L1715">
        <v>7</v>
      </c>
      <c r="M1715">
        <v>1.6160000000000001</v>
      </c>
    </row>
    <row r="1716" spans="1:13" ht="15" customHeight="1">
      <c r="A1716" t="s">
        <v>24</v>
      </c>
      <c r="B1716">
        <f t="shared" si="104"/>
        <v>33.715797000000002</v>
      </c>
      <c r="C1716">
        <f t="shared" si="105"/>
        <v>-117.85481299999999</v>
      </c>
      <c r="D1716">
        <f t="shared" si="106"/>
        <v>62</v>
      </c>
      <c r="E1716">
        <v>85.498999999999995</v>
      </c>
      <c r="F1716">
        <f t="shared" si="107"/>
        <v>-23.498999999999995</v>
      </c>
      <c r="G1716">
        <v>23.183</v>
      </c>
      <c r="H1716">
        <v>0.69699999999999995</v>
      </c>
      <c r="I1716">
        <v>2.8769999999999998</v>
      </c>
      <c r="J1716">
        <v>5</v>
      </c>
      <c r="K1716">
        <v>12</v>
      </c>
      <c r="L1716">
        <v>6</v>
      </c>
      <c r="M1716">
        <v>1.264</v>
      </c>
    </row>
    <row r="1717" spans="1:13" ht="15" customHeight="1">
      <c r="A1717" t="s">
        <v>24</v>
      </c>
      <c r="B1717">
        <f t="shared" si="104"/>
        <v>33.715797000000002</v>
      </c>
      <c r="C1717">
        <f t="shared" si="105"/>
        <v>-117.85481299999999</v>
      </c>
      <c r="D1717">
        <f t="shared" si="106"/>
        <v>62</v>
      </c>
      <c r="E1717">
        <v>86.498999999999995</v>
      </c>
      <c r="F1717">
        <f t="shared" si="107"/>
        <v>-24.498999999999995</v>
      </c>
      <c r="G1717">
        <v>23.433</v>
      </c>
      <c r="H1717">
        <v>0.71</v>
      </c>
      <c r="I1717">
        <v>2.8530000000000002</v>
      </c>
      <c r="J1717">
        <v>5</v>
      </c>
      <c r="K1717">
        <v>12</v>
      </c>
      <c r="L1717">
        <v>6</v>
      </c>
      <c r="M1717">
        <v>1.3049999999999999</v>
      </c>
    </row>
    <row r="1718" spans="1:13" ht="15" customHeight="1">
      <c r="A1718" t="s">
        <v>24</v>
      </c>
      <c r="B1718">
        <f t="shared" si="104"/>
        <v>33.715797000000002</v>
      </c>
      <c r="C1718">
        <f t="shared" si="105"/>
        <v>-117.85481299999999</v>
      </c>
      <c r="D1718">
        <f t="shared" si="106"/>
        <v>62</v>
      </c>
      <c r="E1718">
        <v>87.498999999999995</v>
      </c>
      <c r="F1718">
        <f t="shared" si="107"/>
        <v>-25.498999999999995</v>
      </c>
      <c r="G1718">
        <v>22.567</v>
      </c>
      <c r="H1718">
        <v>0.73499999999999999</v>
      </c>
      <c r="I1718">
        <v>3.0179999999999998</v>
      </c>
      <c r="J1718">
        <v>5</v>
      </c>
      <c r="K1718">
        <v>12</v>
      </c>
      <c r="L1718">
        <v>6</v>
      </c>
      <c r="M1718">
        <v>1.2649999999999999</v>
      </c>
    </row>
    <row r="1719" spans="1:13" ht="15" customHeight="1">
      <c r="A1719" t="s">
        <v>24</v>
      </c>
      <c r="B1719">
        <f t="shared" si="104"/>
        <v>33.715797000000002</v>
      </c>
      <c r="C1719">
        <f t="shared" si="105"/>
        <v>-117.85481299999999</v>
      </c>
      <c r="D1719">
        <f t="shared" si="106"/>
        <v>62</v>
      </c>
      <c r="E1719">
        <v>88.498999999999995</v>
      </c>
      <c r="F1719">
        <f t="shared" si="107"/>
        <v>-26.498999999999995</v>
      </c>
      <c r="G1719">
        <v>24.533000000000001</v>
      </c>
      <c r="H1719">
        <v>0.84799999999999998</v>
      </c>
      <c r="I1719">
        <v>3.282</v>
      </c>
      <c r="J1719">
        <v>5</v>
      </c>
      <c r="K1719">
        <v>12</v>
      </c>
      <c r="L1719">
        <v>6</v>
      </c>
      <c r="M1719">
        <v>1.361</v>
      </c>
    </row>
    <row r="1720" spans="1:13" ht="15" customHeight="1">
      <c r="A1720" t="s">
        <v>24</v>
      </c>
      <c r="B1720">
        <f t="shared" si="104"/>
        <v>33.715797000000002</v>
      </c>
      <c r="C1720">
        <f t="shared" si="105"/>
        <v>-117.85481299999999</v>
      </c>
      <c r="D1720">
        <f t="shared" si="106"/>
        <v>62</v>
      </c>
      <c r="E1720">
        <v>89.498999999999995</v>
      </c>
      <c r="F1720">
        <f t="shared" si="107"/>
        <v>-27.498999999999995</v>
      </c>
      <c r="G1720">
        <v>25</v>
      </c>
      <c r="H1720">
        <v>0.85299999999999998</v>
      </c>
      <c r="I1720">
        <v>3.286</v>
      </c>
      <c r="J1720">
        <v>5</v>
      </c>
      <c r="K1720">
        <v>12</v>
      </c>
      <c r="L1720">
        <v>6</v>
      </c>
      <c r="M1720">
        <v>1.3640000000000001</v>
      </c>
    </row>
    <row r="1721" spans="1:13" ht="15" customHeight="1">
      <c r="A1721" t="s">
        <v>24</v>
      </c>
      <c r="B1721">
        <f t="shared" si="104"/>
        <v>33.715797000000002</v>
      </c>
      <c r="C1721">
        <f t="shared" si="105"/>
        <v>-117.85481299999999</v>
      </c>
      <c r="D1721">
        <f t="shared" si="106"/>
        <v>62</v>
      </c>
      <c r="E1721">
        <v>90.498999999999995</v>
      </c>
      <c r="F1721">
        <f t="shared" si="107"/>
        <v>-28.498999999999995</v>
      </c>
      <c r="G1721">
        <v>25.75</v>
      </c>
      <c r="H1721">
        <v>0.79500000000000004</v>
      </c>
      <c r="I1721">
        <v>2.919</v>
      </c>
      <c r="J1721">
        <v>5</v>
      </c>
      <c r="K1721">
        <v>13</v>
      </c>
      <c r="L1721">
        <v>7</v>
      </c>
      <c r="M1721">
        <v>1.4450000000000001</v>
      </c>
    </row>
    <row r="1722" spans="1:13" ht="15" customHeight="1">
      <c r="A1722" t="s">
        <v>24</v>
      </c>
      <c r="B1722">
        <f t="shared" si="104"/>
        <v>33.715797000000002</v>
      </c>
      <c r="C1722">
        <f t="shared" si="105"/>
        <v>-117.85481299999999</v>
      </c>
      <c r="D1722">
        <f t="shared" si="106"/>
        <v>62</v>
      </c>
      <c r="E1722">
        <v>91.498999999999995</v>
      </c>
      <c r="F1722">
        <f t="shared" si="107"/>
        <v>-29.498999999999995</v>
      </c>
      <c r="G1722">
        <v>25.033000000000001</v>
      </c>
      <c r="H1722">
        <v>0.71799999999999997</v>
      </c>
      <c r="I1722">
        <v>2.726</v>
      </c>
      <c r="J1722">
        <v>5</v>
      </c>
      <c r="K1722">
        <v>13</v>
      </c>
      <c r="L1722">
        <v>7</v>
      </c>
      <c r="M1722">
        <v>1.381</v>
      </c>
    </row>
    <row r="1723" spans="1:13" ht="15" customHeight="1">
      <c r="A1723" t="s">
        <v>24</v>
      </c>
      <c r="B1723">
        <f t="shared" si="104"/>
        <v>33.715797000000002</v>
      </c>
      <c r="C1723">
        <f t="shared" si="105"/>
        <v>-117.85481299999999</v>
      </c>
      <c r="D1723">
        <f t="shared" si="106"/>
        <v>62</v>
      </c>
      <c r="E1723">
        <v>92.498999999999995</v>
      </c>
      <c r="F1723">
        <f t="shared" si="107"/>
        <v>-30.498999999999995</v>
      </c>
      <c r="G1723">
        <v>25.382999999999999</v>
      </c>
      <c r="H1723">
        <v>0.70499999999999996</v>
      </c>
      <c r="I1723">
        <v>2.6139999999999999</v>
      </c>
      <c r="J1723">
        <v>6</v>
      </c>
      <c r="K1723">
        <v>10</v>
      </c>
      <c r="L1723">
        <v>5</v>
      </c>
      <c r="M1723">
        <v>1.4179999999999999</v>
      </c>
    </row>
    <row r="1724" spans="1:13" ht="15" customHeight="1">
      <c r="A1724" t="s">
        <v>24</v>
      </c>
      <c r="B1724">
        <f t="shared" si="104"/>
        <v>33.715797000000002</v>
      </c>
      <c r="C1724">
        <f t="shared" si="105"/>
        <v>-117.85481299999999</v>
      </c>
      <c r="D1724">
        <f t="shared" si="106"/>
        <v>62</v>
      </c>
      <c r="E1724">
        <v>93.498999999999995</v>
      </c>
      <c r="F1724">
        <f t="shared" si="107"/>
        <v>-31.498999999999995</v>
      </c>
      <c r="G1724">
        <v>69.843000000000004</v>
      </c>
      <c r="H1724">
        <v>2.2690000000000001</v>
      </c>
      <c r="I1724">
        <v>3.2450000000000001</v>
      </c>
      <c r="J1724">
        <v>6</v>
      </c>
      <c r="K1724">
        <v>27</v>
      </c>
      <c r="L1724">
        <v>14</v>
      </c>
      <c r="M1724">
        <v>4.2759999999999998</v>
      </c>
    </row>
    <row r="1725" spans="1:13" ht="15" customHeight="1">
      <c r="A1725" t="s">
        <v>24</v>
      </c>
      <c r="B1725">
        <f t="shared" si="104"/>
        <v>33.715797000000002</v>
      </c>
      <c r="C1725">
        <f t="shared" si="105"/>
        <v>-117.85481299999999</v>
      </c>
      <c r="D1725">
        <f t="shared" si="106"/>
        <v>62</v>
      </c>
      <c r="E1725">
        <v>94.498999999999995</v>
      </c>
      <c r="F1725">
        <f t="shared" si="107"/>
        <v>-32.498999999999995</v>
      </c>
      <c r="G1725">
        <v>27.766999999999999</v>
      </c>
      <c r="H1725">
        <v>0.81499999999999995</v>
      </c>
      <c r="I1725">
        <v>2.9369999999999998</v>
      </c>
      <c r="J1725">
        <v>5</v>
      </c>
      <c r="K1725">
        <v>13</v>
      </c>
      <c r="L1725">
        <v>7</v>
      </c>
      <c r="M1725">
        <v>1.462</v>
      </c>
    </row>
    <row r="1726" spans="1:13" ht="15" customHeight="1">
      <c r="A1726" t="s">
        <v>24</v>
      </c>
      <c r="B1726">
        <f t="shared" si="104"/>
        <v>33.715797000000002</v>
      </c>
      <c r="C1726">
        <f t="shared" si="105"/>
        <v>-117.85481299999999</v>
      </c>
      <c r="D1726">
        <f t="shared" si="106"/>
        <v>62</v>
      </c>
      <c r="E1726">
        <v>95.498999999999995</v>
      </c>
      <c r="F1726">
        <f t="shared" si="107"/>
        <v>-33.498999999999995</v>
      </c>
      <c r="G1726">
        <v>28.183</v>
      </c>
      <c r="H1726">
        <v>0.76300000000000001</v>
      </c>
      <c r="I1726">
        <v>2.7069999999999999</v>
      </c>
      <c r="J1726">
        <v>6</v>
      </c>
      <c r="K1726">
        <v>11</v>
      </c>
      <c r="L1726">
        <v>6</v>
      </c>
      <c r="M1726">
        <v>1.488</v>
      </c>
    </row>
    <row r="1727" spans="1:13" ht="15" customHeight="1">
      <c r="A1727" t="s">
        <v>24</v>
      </c>
      <c r="B1727">
        <f t="shared" si="104"/>
        <v>33.715797000000002</v>
      </c>
      <c r="C1727">
        <f t="shared" si="105"/>
        <v>-117.85481299999999</v>
      </c>
      <c r="D1727">
        <f t="shared" si="106"/>
        <v>62</v>
      </c>
      <c r="E1727">
        <v>96.498999999999995</v>
      </c>
      <c r="F1727">
        <f t="shared" si="107"/>
        <v>-34.498999999999995</v>
      </c>
      <c r="G1727">
        <v>28.882999999999999</v>
      </c>
      <c r="H1727">
        <v>0.82299999999999995</v>
      </c>
      <c r="I1727">
        <v>2.839</v>
      </c>
      <c r="J1727">
        <v>5</v>
      </c>
      <c r="K1727">
        <v>14</v>
      </c>
      <c r="L1727">
        <v>7</v>
      </c>
      <c r="M1727">
        <v>1.5369999999999999</v>
      </c>
    </row>
    <row r="1728" spans="1:13" ht="15" customHeight="1">
      <c r="A1728" t="s">
        <v>24</v>
      </c>
      <c r="B1728">
        <f t="shared" si="104"/>
        <v>33.715797000000002</v>
      </c>
      <c r="C1728">
        <f t="shared" si="105"/>
        <v>-117.85481299999999</v>
      </c>
      <c r="D1728">
        <f t="shared" si="106"/>
        <v>62</v>
      </c>
      <c r="E1728">
        <v>97.498999999999995</v>
      </c>
      <c r="F1728">
        <f t="shared" si="107"/>
        <v>-35.498999999999995</v>
      </c>
      <c r="G1728">
        <v>34.25</v>
      </c>
      <c r="H1728">
        <v>1.1419999999999999</v>
      </c>
      <c r="I1728">
        <v>3.3029999999999999</v>
      </c>
      <c r="J1728">
        <v>5</v>
      </c>
      <c r="K1728">
        <v>17</v>
      </c>
      <c r="L1728">
        <v>9</v>
      </c>
      <c r="M1728">
        <v>1.9039999999999999</v>
      </c>
    </row>
    <row r="1729" spans="1:13" ht="15" customHeight="1">
      <c r="A1729" t="s">
        <v>24</v>
      </c>
      <c r="B1729">
        <f t="shared" si="104"/>
        <v>33.715797000000002</v>
      </c>
      <c r="C1729">
        <f t="shared" si="105"/>
        <v>-117.85481299999999</v>
      </c>
      <c r="D1729">
        <f t="shared" si="106"/>
        <v>62</v>
      </c>
      <c r="E1729">
        <v>98.498999999999995</v>
      </c>
      <c r="F1729">
        <f t="shared" si="107"/>
        <v>-36.498999999999995</v>
      </c>
      <c r="G1729">
        <v>28.917000000000002</v>
      </c>
      <c r="H1729">
        <v>0.90800000000000003</v>
      </c>
      <c r="I1729">
        <v>3.069</v>
      </c>
      <c r="J1729">
        <v>5</v>
      </c>
      <c r="K1729">
        <v>14</v>
      </c>
      <c r="L1729">
        <v>7</v>
      </c>
      <c r="M1729">
        <v>1.569</v>
      </c>
    </row>
    <row r="1730" spans="1:13" ht="15" customHeight="1">
      <c r="A1730" t="s">
        <v>24</v>
      </c>
      <c r="B1730">
        <f t="shared" ref="B1730:B1793" si="108">VLOOKUP(A1730,XYdata,3,FALSE)</f>
        <v>33.715797000000002</v>
      </c>
      <c r="C1730">
        <f t="shared" ref="C1730:C1793" si="109">VLOOKUP(A1730,XYdata,2,FALSE)</f>
        <v>-117.85481299999999</v>
      </c>
      <c r="D1730">
        <f t="shared" ref="D1730:D1793" si="110">VLOOKUP(A1730,Elevation,2,FALSE)</f>
        <v>62</v>
      </c>
      <c r="E1730">
        <v>99.498999999999995</v>
      </c>
      <c r="F1730">
        <f t="shared" si="107"/>
        <v>-37.498999999999995</v>
      </c>
      <c r="G1730">
        <v>20.95</v>
      </c>
      <c r="H1730">
        <v>0.68799999999999994</v>
      </c>
      <c r="I1730">
        <v>3.2189999999999999</v>
      </c>
      <c r="J1730">
        <v>5</v>
      </c>
      <c r="K1730">
        <v>10</v>
      </c>
      <c r="L1730">
        <v>5</v>
      </c>
      <c r="M1730">
        <v>1.0169999999999999</v>
      </c>
    </row>
    <row r="1731" spans="1:13" ht="15" customHeight="1">
      <c r="A1731" t="s">
        <v>24</v>
      </c>
      <c r="B1731">
        <f t="shared" si="108"/>
        <v>33.715797000000002</v>
      </c>
      <c r="C1731">
        <f t="shared" si="109"/>
        <v>-117.85481299999999</v>
      </c>
      <c r="D1731">
        <f t="shared" si="110"/>
        <v>62</v>
      </c>
      <c r="E1731">
        <v>100.499</v>
      </c>
      <c r="F1731">
        <f t="shared" ref="F1731:F1794" si="111">D1731-E1731</f>
        <v>-38.498999999999995</v>
      </c>
      <c r="G1731">
        <v>15.032999999999999</v>
      </c>
      <c r="H1731">
        <v>0.378</v>
      </c>
      <c r="I1731">
        <v>2.4</v>
      </c>
      <c r="J1731">
        <v>5</v>
      </c>
      <c r="K1731">
        <v>8</v>
      </c>
      <c r="L1731">
        <v>4</v>
      </c>
      <c r="M1731">
        <v>0.63800000000000001</v>
      </c>
    </row>
    <row r="1732" spans="1:13" ht="15" customHeight="1">
      <c r="A1732" t="s">
        <v>24</v>
      </c>
      <c r="B1732">
        <f t="shared" si="108"/>
        <v>33.715797000000002</v>
      </c>
      <c r="C1732">
        <f t="shared" si="109"/>
        <v>-117.85481299999999</v>
      </c>
      <c r="D1732">
        <f t="shared" si="110"/>
        <v>62</v>
      </c>
      <c r="E1732">
        <v>101.499</v>
      </c>
      <c r="F1732">
        <f t="shared" si="111"/>
        <v>-39.498999999999995</v>
      </c>
      <c r="G1732">
        <v>60.683</v>
      </c>
      <c r="H1732">
        <v>1.9830000000000001</v>
      </c>
      <c r="I1732">
        <v>3.246</v>
      </c>
      <c r="J1732">
        <v>6</v>
      </c>
      <c r="K1732">
        <v>23</v>
      </c>
      <c r="L1732">
        <v>12</v>
      </c>
      <c r="M1732">
        <v>3.657</v>
      </c>
    </row>
    <row r="1733" spans="1:13" ht="15" customHeight="1">
      <c r="A1733" t="s">
        <v>24</v>
      </c>
      <c r="B1733">
        <f t="shared" si="108"/>
        <v>33.715797000000002</v>
      </c>
      <c r="C1733">
        <f t="shared" si="109"/>
        <v>-117.85481299999999</v>
      </c>
      <c r="D1733">
        <f t="shared" si="110"/>
        <v>62</v>
      </c>
      <c r="E1733">
        <v>102.499</v>
      </c>
      <c r="F1733">
        <f t="shared" si="111"/>
        <v>-40.498999999999995</v>
      </c>
      <c r="G1733">
        <v>31.5</v>
      </c>
      <c r="H1733">
        <v>0.96199999999999997</v>
      </c>
      <c r="I1733">
        <v>3.0550000000000002</v>
      </c>
      <c r="J1733">
        <v>5</v>
      </c>
      <c r="K1733">
        <v>15</v>
      </c>
      <c r="L1733">
        <v>8</v>
      </c>
      <c r="M1733">
        <v>1.6779999999999999</v>
      </c>
    </row>
    <row r="1734" spans="1:13" ht="15" customHeight="1">
      <c r="A1734" t="s">
        <v>24</v>
      </c>
      <c r="B1734">
        <f t="shared" si="108"/>
        <v>33.715797000000002</v>
      </c>
      <c r="C1734">
        <f t="shared" si="109"/>
        <v>-117.85481299999999</v>
      </c>
      <c r="D1734">
        <f t="shared" si="110"/>
        <v>62</v>
      </c>
      <c r="E1734">
        <v>103.499</v>
      </c>
      <c r="F1734">
        <f t="shared" si="111"/>
        <v>-41.498999999999995</v>
      </c>
      <c r="G1734">
        <v>33.4</v>
      </c>
      <c r="H1734">
        <v>0.86299999999999999</v>
      </c>
      <c r="I1734">
        <v>2.5750000000000002</v>
      </c>
      <c r="J1734">
        <v>6</v>
      </c>
      <c r="K1734">
        <v>13</v>
      </c>
      <c r="L1734">
        <v>7</v>
      </c>
      <c r="M1734">
        <v>1.81</v>
      </c>
    </row>
    <row r="1735" spans="1:13" ht="15" customHeight="1">
      <c r="A1735" t="s">
        <v>24</v>
      </c>
      <c r="B1735">
        <f t="shared" si="108"/>
        <v>33.715797000000002</v>
      </c>
      <c r="C1735">
        <f t="shared" si="109"/>
        <v>-117.85481299999999</v>
      </c>
      <c r="D1735">
        <f t="shared" si="110"/>
        <v>62</v>
      </c>
      <c r="E1735">
        <v>104.499</v>
      </c>
      <c r="F1735">
        <f t="shared" si="111"/>
        <v>-42.498999999999995</v>
      </c>
      <c r="G1735">
        <v>81.813999999999993</v>
      </c>
      <c r="H1735">
        <v>3.2160000000000002</v>
      </c>
      <c r="I1735">
        <v>3.9209999999999998</v>
      </c>
      <c r="J1735">
        <v>5</v>
      </c>
      <c r="K1735">
        <v>39</v>
      </c>
      <c r="L1735">
        <v>20</v>
      </c>
      <c r="M1735">
        <v>5.0380000000000003</v>
      </c>
    </row>
    <row r="1736" spans="1:13" ht="15" customHeight="1">
      <c r="A1736" t="s">
        <v>24</v>
      </c>
      <c r="B1736">
        <f t="shared" si="108"/>
        <v>33.715797000000002</v>
      </c>
      <c r="C1736">
        <f t="shared" si="109"/>
        <v>-117.85481299999999</v>
      </c>
      <c r="D1736">
        <f t="shared" si="110"/>
        <v>62</v>
      </c>
      <c r="E1736">
        <v>105.499</v>
      </c>
      <c r="F1736">
        <f t="shared" si="111"/>
        <v>-43.498999999999995</v>
      </c>
      <c r="G1736">
        <v>102.167</v>
      </c>
      <c r="H1736">
        <v>3.58</v>
      </c>
      <c r="I1736">
        <v>3.508</v>
      </c>
      <c r="J1736">
        <v>6</v>
      </c>
      <c r="K1736">
        <v>39</v>
      </c>
      <c r="L1736">
        <v>20</v>
      </c>
      <c r="M1736">
        <v>6.37</v>
      </c>
    </row>
    <row r="1737" spans="1:13" ht="15" customHeight="1">
      <c r="A1737" t="s">
        <v>24</v>
      </c>
      <c r="B1737">
        <f t="shared" si="108"/>
        <v>33.715797000000002</v>
      </c>
      <c r="C1737">
        <f t="shared" si="109"/>
        <v>-117.85481299999999</v>
      </c>
      <c r="D1737">
        <f t="shared" si="110"/>
        <v>62</v>
      </c>
      <c r="E1737">
        <v>106.499</v>
      </c>
      <c r="F1737">
        <f t="shared" si="111"/>
        <v>-44.498999999999995</v>
      </c>
      <c r="G1737">
        <v>33.700000000000003</v>
      </c>
      <c r="H1737">
        <v>1.008</v>
      </c>
      <c r="I1737">
        <v>3.004</v>
      </c>
      <c r="J1737">
        <v>5</v>
      </c>
      <c r="K1737">
        <v>16</v>
      </c>
      <c r="L1737">
        <v>8</v>
      </c>
      <c r="M1737">
        <v>1.8</v>
      </c>
    </row>
    <row r="1738" spans="1:13" ht="15" customHeight="1">
      <c r="A1738" t="s">
        <v>24</v>
      </c>
      <c r="B1738">
        <f t="shared" si="108"/>
        <v>33.715797000000002</v>
      </c>
      <c r="C1738">
        <f t="shared" si="109"/>
        <v>-117.85481299999999</v>
      </c>
      <c r="D1738">
        <f t="shared" si="110"/>
        <v>62</v>
      </c>
      <c r="E1738">
        <v>107.499</v>
      </c>
      <c r="F1738">
        <f t="shared" si="111"/>
        <v>-45.498999999999995</v>
      </c>
      <c r="G1738">
        <v>90.8</v>
      </c>
      <c r="H1738">
        <v>1.4219999999999999</v>
      </c>
      <c r="I1738">
        <v>1.5669999999999999</v>
      </c>
      <c r="J1738">
        <v>7</v>
      </c>
      <c r="K1738">
        <v>29</v>
      </c>
      <c r="L1738">
        <v>15</v>
      </c>
      <c r="M1738" s="1">
        <v>9000000000</v>
      </c>
    </row>
    <row r="1739" spans="1:13" ht="15" customHeight="1">
      <c r="A1739" t="s">
        <v>24</v>
      </c>
      <c r="B1739">
        <f t="shared" si="108"/>
        <v>33.715797000000002</v>
      </c>
      <c r="C1739">
        <f t="shared" si="109"/>
        <v>-117.85481299999999</v>
      </c>
      <c r="D1739">
        <f t="shared" si="110"/>
        <v>62</v>
      </c>
      <c r="E1739">
        <v>108.499</v>
      </c>
      <c r="F1739">
        <f t="shared" si="111"/>
        <v>-46.498999999999995</v>
      </c>
      <c r="G1739">
        <v>185.25</v>
      </c>
      <c r="H1739">
        <v>2.9969999999999999</v>
      </c>
      <c r="I1739">
        <v>1.6180000000000001</v>
      </c>
      <c r="J1739">
        <v>8</v>
      </c>
      <c r="K1739">
        <v>44</v>
      </c>
      <c r="L1739">
        <v>22</v>
      </c>
      <c r="M1739" s="1">
        <v>9000000000</v>
      </c>
    </row>
    <row r="1740" spans="1:13" ht="15" customHeight="1">
      <c r="A1740" t="s">
        <v>24</v>
      </c>
      <c r="B1740">
        <f t="shared" si="108"/>
        <v>33.715797000000002</v>
      </c>
      <c r="C1740">
        <f t="shared" si="109"/>
        <v>-117.85481299999999</v>
      </c>
      <c r="D1740">
        <f t="shared" si="110"/>
        <v>62</v>
      </c>
      <c r="E1740">
        <v>109.499</v>
      </c>
      <c r="F1740">
        <f t="shared" si="111"/>
        <v>-47.498999999999995</v>
      </c>
      <c r="G1740">
        <v>65.433000000000007</v>
      </c>
      <c r="H1740">
        <v>1.84</v>
      </c>
      <c r="I1740">
        <v>2.8130000000000002</v>
      </c>
      <c r="J1740">
        <v>6</v>
      </c>
      <c r="K1740">
        <v>25</v>
      </c>
      <c r="L1740">
        <v>13</v>
      </c>
      <c r="M1740">
        <v>3.911</v>
      </c>
    </row>
    <row r="1741" spans="1:13" ht="15" customHeight="1">
      <c r="A1741" t="s">
        <v>24</v>
      </c>
      <c r="B1741">
        <f t="shared" si="108"/>
        <v>33.715797000000002</v>
      </c>
      <c r="C1741">
        <f t="shared" si="109"/>
        <v>-117.85481299999999</v>
      </c>
      <c r="D1741">
        <f t="shared" si="110"/>
        <v>62</v>
      </c>
      <c r="E1741">
        <v>110.499</v>
      </c>
      <c r="F1741">
        <f t="shared" si="111"/>
        <v>-48.498999999999995</v>
      </c>
      <c r="G1741">
        <v>86.917000000000002</v>
      </c>
      <c r="H1741">
        <v>4.4370000000000003</v>
      </c>
      <c r="I1741">
        <v>5.101</v>
      </c>
      <c r="J1741">
        <v>11</v>
      </c>
      <c r="K1741">
        <v>83</v>
      </c>
      <c r="L1741">
        <v>42</v>
      </c>
      <c r="M1741" s="1">
        <v>9000000000</v>
      </c>
    </row>
    <row r="1742" spans="1:13" ht="15" customHeight="1">
      <c r="A1742" t="s">
        <v>24</v>
      </c>
      <c r="B1742">
        <f t="shared" si="108"/>
        <v>33.715797000000002</v>
      </c>
      <c r="C1742">
        <f t="shared" si="109"/>
        <v>-117.85481299999999</v>
      </c>
      <c r="D1742">
        <f t="shared" si="110"/>
        <v>62</v>
      </c>
      <c r="E1742">
        <v>111.499</v>
      </c>
      <c r="F1742">
        <f t="shared" si="111"/>
        <v>-49.498999999999995</v>
      </c>
      <c r="G1742">
        <v>71.3</v>
      </c>
      <c r="H1742">
        <v>2.5179999999999998</v>
      </c>
      <c r="I1742">
        <v>3.5350000000000001</v>
      </c>
      <c r="J1742">
        <v>5</v>
      </c>
      <c r="K1742">
        <v>34</v>
      </c>
      <c r="L1742">
        <v>17</v>
      </c>
      <c r="M1742">
        <v>4.2910000000000004</v>
      </c>
    </row>
    <row r="1743" spans="1:13" ht="15" customHeight="1">
      <c r="A1743" t="s">
        <v>24</v>
      </c>
      <c r="B1743">
        <f t="shared" si="108"/>
        <v>33.715797000000002</v>
      </c>
      <c r="C1743">
        <f t="shared" si="109"/>
        <v>-117.85481299999999</v>
      </c>
      <c r="D1743">
        <f t="shared" si="110"/>
        <v>62</v>
      </c>
      <c r="E1743">
        <v>112.499</v>
      </c>
      <c r="F1743">
        <f t="shared" si="111"/>
        <v>-50.498999999999995</v>
      </c>
      <c r="G1743">
        <v>45.8</v>
      </c>
      <c r="H1743">
        <v>1.5029999999999999</v>
      </c>
      <c r="I1743">
        <v>3.278</v>
      </c>
      <c r="J1743">
        <v>5</v>
      </c>
      <c r="K1743">
        <v>22</v>
      </c>
      <c r="L1743">
        <v>11</v>
      </c>
      <c r="M1743">
        <v>2.5950000000000002</v>
      </c>
    </row>
    <row r="1744" spans="1:13" ht="15" customHeight="1">
      <c r="A1744" t="s">
        <v>24</v>
      </c>
      <c r="B1744">
        <f t="shared" si="108"/>
        <v>33.715797000000002</v>
      </c>
      <c r="C1744">
        <f t="shared" si="109"/>
        <v>-117.85481299999999</v>
      </c>
      <c r="D1744">
        <f t="shared" si="110"/>
        <v>62</v>
      </c>
      <c r="E1744">
        <v>113.499</v>
      </c>
      <c r="F1744">
        <f t="shared" si="111"/>
        <v>-51.498999999999995</v>
      </c>
      <c r="G1744">
        <v>51.033000000000001</v>
      </c>
      <c r="H1744">
        <v>1.8720000000000001</v>
      </c>
      <c r="I1744">
        <v>3.645</v>
      </c>
      <c r="J1744">
        <v>5</v>
      </c>
      <c r="K1744">
        <v>25</v>
      </c>
      <c r="L1744">
        <v>13</v>
      </c>
      <c r="M1744">
        <v>2.956</v>
      </c>
    </row>
    <row r="1745" spans="1:13" ht="15" customHeight="1">
      <c r="A1745" t="s">
        <v>24</v>
      </c>
      <c r="B1745">
        <f t="shared" si="108"/>
        <v>33.715797000000002</v>
      </c>
      <c r="C1745">
        <f t="shared" si="109"/>
        <v>-117.85481299999999</v>
      </c>
      <c r="D1745">
        <f t="shared" si="110"/>
        <v>62</v>
      </c>
      <c r="E1745">
        <v>114.499</v>
      </c>
      <c r="F1745">
        <f t="shared" si="111"/>
        <v>-52.498999999999995</v>
      </c>
      <c r="G1745">
        <v>47.856999999999999</v>
      </c>
      <c r="H1745">
        <v>1.954</v>
      </c>
      <c r="I1745">
        <v>4.0389999999999997</v>
      </c>
      <c r="J1745">
        <v>5</v>
      </c>
      <c r="K1745">
        <v>23</v>
      </c>
      <c r="L1745">
        <v>12</v>
      </c>
      <c r="M1745">
        <v>2.7549999999999999</v>
      </c>
    </row>
    <row r="1746" spans="1:13" ht="15" customHeight="1">
      <c r="A1746" t="s">
        <v>24</v>
      </c>
      <c r="B1746">
        <f t="shared" si="108"/>
        <v>33.715797000000002</v>
      </c>
      <c r="C1746">
        <f t="shared" si="109"/>
        <v>-117.85481299999999</v>
      </c>
      <c r="D1746">
        <f t="shared" si="110"/>
        <v>62</v>
      </c>
      <c r="E1746">
        <v>115.499</v>
      </c>
      <c r="F1746">
        <f t="shared" si="111"/>
        <v>-53.498999999999995</v>
      </c>
      <c r="G1746">
        <v>133.55000000000001</v>
      </c>
      <c r="H1746">
        <v>5.9020000000000001</v>
      </c>
      <c r="I1746">
        <v>4.42</v>
      </c>
      <c r="J1746">
        <v>11</v>
      </c>
      <c r="K1746">
        <v>128</v>
      </c>
      <c r="L1746">
        <v>64</v>
      </c>
      <c r="M1746" s="1">
        <v>9000000000</v>
      </c>
    </row>
    <row r="1747" spans="1:13" ht="15" customHeight="1">
      <c r="A1747" t="s">
        <v>24</v>
      </c>
      <c r="B1747">
        <f t="shared" si="108"/>
        <v>33.715797000000002</v>
      </c>
      <c r="C1747">
        <f t="shared" si="109"/>
        <v>-117.85481299999999</v>
      </c>
      <c r="D1747">
        <f t="shared" si="110"/>
        <v>62</v>
      </c>
      <c r="E1747">
        <v>116.499</v>
      </c>
      <c r="F1747">
        <f t="shared" si="111"/>
        <v>-54.498999999999995</v>
      </c>
      <c r="G1747">
        <v>151.71700000000001</v>
      </c>
      <c r="H1747">
        <v>4.2830000000000004</v>
      </c>
      <c r="I1747">
        <v>2.8260000000000001</v>
      </c>
      <c r="J1747">
        <v>7</v>
      </c>
      <c r="K1747">
        <v>48</v>
      </c>
      <c r="L1747">
        <v>24</v>
      </c>
      <c r="M1747" s="1">
        <v>9000000000</v>
      </c>
    </row>
    <row r="1748" spans="1:13" ht="15" customHeight="1">
      <c r="A1748" t="s">
        <v>24</v>
      </c>
      <c r="B1748">
        <f t="shared" si="108"/>
        <v>33.715797000000002</v>
      </c>
      <c r="C1748">
        <f t="shared" si="109"/>
        <v>-117.85481299999999</v>
      </c>
      <c r="D1748">
        <f t="shared" si="110"/>
        <v>62</v>
      </c>
      <c r="E1748">
        <v>117.498</v>
      </c>
      <c r="F1748">
        <f t="shared" si="111"/>
        <v>-55.498000000000005</v>
      </c>
      <c r="G1748">
        <v>154.6</v>
      </c>
      <c r="H1748">
        <v>2.9529999999999998</v>
      </c>
      <c r="I1748">
        <v>1.9119999999999999</v>
      </c>
      <c r="J1748">
        <v>7</v>
      </c>
      <c r="K1748">
        <v>49</v>
      </c>
      <c r="L1748">
        <v>25</v>
      </c>
      <c r="M1748" s="1">
        <v>9000000000</v>
      </c>
    </row>
    <row r="1749" spans="1:13" ht="15" customHeight="1">
      <c r="A1749" t="s">
        <v>24</v>
      </c>
      <c r="B1749">
        <f t="shared" si="108"/>
        <v>33.715797000000002</v>
      </c>
      <c r="C1749">
        <f t="shared" si="109"/>
        <v>-117.85481299999999</v>
      </c>
      <c r="D1749">
        <f t="shared" si="110"/>
        <v>62</v>
      </c>
      <c r="E1749">
        <v>118.498</v>
      </c>
      <c r="F1749">
        <f t="shared" si="111"/>
        <v>-56.498000000000005</v>
      </c>
      <c r="G1749">
        <v>310.5</v>
      </c>
      <c r="H1749">
        <v>2.9649999999999999</v>
      </c>
      <c r="I1749">
        <v>0.95499999999999996</v>
      </c>
      <c r="J1749">
        <v>9</v>
      </c>
      <c r="K1749">
        <v>59</v>
      </c>
      <c r="L1749">
        <v>30</v>
      </c>
      <c r="M1749" s="1">
        <v>9000000000</v>
      </c>
    </row>
    <row r="1750" spans="1:13" ht="15" customHeight="1">
      <c r="A1750" t="s">
        <v>24</v>
      </c>
      <c r="B1750">
        <f t="shared" si="108"/>
        <v>33.715797000000002</v>
      </c>
      <c r="C1750">
        <f t="shared" si="109"/>
        <v>-117.85481299999999</v>
      </c>
      <c r="D1750">
        <f t="shared" si="110"/>
        <v>62</v>
      </c>
      <c r="E1750">
        <v>119.498</v>
      </c>
      <c r="F1750">
        <f t="shared" si="111"/>
        <v>-57.498000000000005</v>
      </c>
      <c r="G1750">
        <v>95.832999999999998</v>
      </c>
      <c r="H1750">
        <v>3.5649999999999999</v>
      </c>
      <c r="I1750">
        <v>3.7189999999999999</v>
      </c>
      <c r="J1750">
        <v>5</v>
      </c>
      <c r="K1750">
        <v>46</v>
      </c>
      <c r="L1750">
        <v>23</v>
      </c>
      <c r="M1750">
        <v>5.899</v>
      </c>
    </row>
    <row r="1751" spans="1:13" ht="15" customHeight="1">
      <c r="A1751" t="s">
        <v>24</v>
      </c>
      <c r="B1751">
        <f t="shared" si="108"/>
        <v>33.715797000000002</v>
      </c>
      <c r="C1751">
        <f t="shared" si="109"/>
        <v>-117.85481299999999</v>
      </c>
      <c r="D1751">
        <f t="shared" si="110"/>
        <v>62</v>
      </c>
      <c r="E1751">
        <v>120.498</v>
      </c>
      <c r="F1751">
        <f t="shared" si="111"/>
        <v>-58.498000000000005</v>
      </c>
      <c r="G1751">
        <v>69.132999999999996</v>
      </c>
      <c r="H1751">
        <v>2.7919999999999998</v>
      </c>
      <c r="I1751">
        <v>4.032</v>
      </c>
      <c r="J1751">
        <v>5</v>
      </c>
      <c r="K1751">
        <v>33</v>
      </c>
      <c r="L1751">
        <v>17</v>
      </c>
      <c r="M1751">
        <v>4.1189999999999998</v>
      </c>
    </row>
    <row r="1752" spans="1:13" ht="15" customHeight="1">
      <c r="A1752" t="s">
        <v>24</v>
      </c>
      <c r="B1752">
        <f t="shared" si="108"/>
        <v>33.715797000000002</v>
      </c>
      <c r="C1752">
        <f t="shared" si="109"/>
        <v>-117.85481299999999</v>
      </c>
      <c r="D1752">
        <f t="shared" si="110"/>
        <v>62</v>
      </c>
      <c r="E1752">
        <v>121.498</v>
      </c>
      <c r="F1752">
        <f t="shared" si="111"/>
        <v>-59.498000000000005</v>
      </c>
      <c r="G1752">
        <v>34.75</v>
      </c>
      <c r="H1752">
        <v>1.248</v>
      </c>
      <c r="I1752">
        <v>3.5579999999999998</v>
      </c>
      <c r="J1752">
        <v>5</v>
      </c>
      <c r="K1752">
        <v>17</v>
      </c>
      <c r="L1752">
        <v>9</v>
      </c>
      <c r="M1752">
        <v>1.839</v>
      </c>
    </row>
    <row r="1753" spans="1:13" ht="15" customHeight="1">
      <c r="A1753" t="s">
        <v>24</v>
      </c>
      <c r="B1753">
        <f t="shared" si="108"/>
        <v>33.715797000000002</v>
      </c>
      <c r="C1753">
        <f t="shared" si="109"/>
        <v>-117.85481299999999</v>
      </c>
      <c r="D1753">
        <f t="shared" si="110"/>
        <v>62</v>
      </c>
      <c r="E1753">
        <v>122.498</v>
      </c>
      <c r="F1753">
        <f t="shared" si="111"/>
        <v>-60.498000000000005</v>
      </c>
      <c r="G1753">
        <v>146.333</v>
      </c>
      <c r="H1753">
        <v>3.4780000000000002</v>
      </c>
      <c r="I1753">
        <v>2.3719999999999999</v>
      </c>
      <c r="J1753">
        <v>7</v>
      </c>
      <c r="K1753">
        <v>47</v>
      </c>
      <c r="L1753">
        <v>24</v>
      </c>
      <c r="M1753" s="1">
        <v>9000000000</v>
      </c>
    </row>
    <row r="1754" spans="1:13" ht="15" customHeight="1">
      <c r="A1754" t="s">
        <v>24</v>
      </c>
      <c r="B1754">
        <f t="shared" si="108"/>
        <v>33.715797000000002</v>
      </c>
      <c r="C1754">
        <f t="shared" si="109"/>
        <v>-117.85481299999999</v>
      </c>
      <c r="D1754">
        <f t="shared" si="110"/>
        <v>62</v>
      </c>
      <c r="E1754">
        <v>123.498</v>
      </c>
      <c r="F1754">
        <f t="shared" si="111"/>
        <v>-61.498000000000005</v>
      </c>
      <c r="G1754">
        <v>170.61699999999999</v>
      </c>
      <c r="H1754">
        <v>4.2450000000000001</v>
      </c>
      <c r="I1754">
        <v>2.4900000000000002</v>
      </c>
      <c r="J1754">
        <v>7</v>
      </c>
      <c r="K1754">
        <v>54</v>
      </c>
      <c r="L1754">
        <v>27</v>
      </c>
      <c r="M1754" s="1">
        <v>9000000000</v>
      </c>
    </row>
    <row r="1755" spans="1:13" ht="15" customHeight="1">
      <c r="A1755" t="s">
        <v>24</v>
      </c>
      <c r="B1755">
        <f t="shared" si="108"/>
        <v>33.715797000000002</v>
      </c>
      <c r="C1755">
        <f t="shared" si="109"/>
        <v>-117.85481299999999</v>
      </c>
      <c r="D1755">
        <f t="shared" si="110"/>
        <v>62</v>
      </c>
      <c r="E1755">
        <v>124.498</v>
      </c>
      <c r="F1755">
        <f t="shared" si="111"/>
        <v>-62.498000000000005</v>
      </c>
      <c r="G1755">
        <v>357.11700000000002</v>
      </c>
      <c r="H1755">
        <v>3.278</v>
      </c>
      <c r="I1755">
        <v>0.91800000000000004</v>
      </c>
      <c r="J1755">
        <v>9</v>
      </c>
      <c r="K1755">
        <v>68</v>
      </c>
      <c r="L1755">
        <v>34</v>
      </c>
      <c r="M1755" s="1">
        <v>9000000000</v>
      </c>
    </row>
    <row r="1756" spans="1:13" ht="15" customHeight="1">
      <c r="A1756" t="s">
        <v>24</v>
      </c>
      <c r="B1756">
        <f t="shared" si="108"/>
        <v>33.715797000000002</v>
      </c>
      <c r="C1756">
        <f t="shared" si="109"/>
        <v>-117.85481299999999</v>
      </c>
      <c r="D1756">
        <f t="shared" si="110"/>
        <v>62</v>
      </c>
      <c r="E1756">
        <v>125.498</v>
      </c>
      <c r="F1756">
        <f t="shared" si="111"/>
        <v>-63.498000000000005</v>
      </c>
      <c r="G1756">
        <v>478.8</v>
      </c>
      <c r="H1756">
        <v>3.22</v>
      </c>
      <c r="I1756">
        <v>0.67300000000000004</v>
      </c>
      <c r="J1756">
        <v>10</v>
      </c>
      <c r="K1756">
        <v>76</v>
      </c>
      <c r="L1756">
        <v>38</v>
      </c>
      <c r="M1756" s="1">
        <v>9000000000</v>
      </c>
    </row>
    <row r="1757" spans="1:13" ht="15" customHeight="1">
      <c r="A1757" t="s">
        <v>25</v>
      </c>
      <c r="B1757">
        <f t="shared" si="108"/>
        <v>33.716495999999999</v>
      </c>
      <c r="C1757">
        <f t="shared" si="109"/>
        <v>-117.85615</v>
      </c>
      <c r="D1757">
        <f t="shared" si="110"/>
        <v>62</v>
      </c>
      <c r="E1757">
        <v>0.5</v>
      </c>
      <c r="F1757">
        <f t="shared" si="111"/>
        <v>61.5</v>
      </c>
      <c r="G1757">
        <v>16.783000000000001</v>
      </c>
      <c r="H1757">
        <v>0.19800000000000001</v>
      </c>
      <c r="I1757">
        <v>1.1819999999999999</v>
      </c>
      <c r="J1757">
        <v>6</v>
      </c>
      <c r="K1757">
        <v>6</v>
      </c>
      <c r="L1757">
        <v>9</v>
      </c>
      <c r="M1757">
        <v>1.117</v>
      </c>
    </row>
    <row r="1758" spans="1:13" ht="15" customHeight="1">
      <c r="A1758" t="s">
        <v>25</v>
      </c>
      <c r="B1758">
        <f t="shared" si="108"/>
        <v>33.716495999999999</v>
      </c>
      <c r="C1758">
        <f t="shared" si="109"/>
        <v>-117.85615</v>
      </c>
      <c r="D1758">
        <f t="shared" si="110"/>
        <v>62</v>
      </c>
      <c r="E1758">
        <v>1.5</v>
      </c>
      <c r="F1758">
        <f t="shared" si="111"/>
        <v>60.5</v>
      </c>
      <c r="G1758">
        <v>77.683000000000007</v>
      </c>
      <c r="H1758">
        <v>1.5569999999999999</v>
      </c>
      <c r="I1758">
        <v>1.9970000000000001</v>
      </c>
      <c r="J1758">
        <v>7</v>
      </c>
      <c r="K1758">
        <v>25</v>
      </c>
      <c r="L1758">
        <v>38</v>
      </c>
      <c r="M1758" s="1">
        <v>9000000000</v>
      </c>
    </row>
    <row r="1759" spans="1:13" ht="15" customHeight="1">
      <c r="A1759" t="s">
        <v>25</v>
      </c>
      <c r="B1759">
        <f t="shared" si="108"/>
        <v>33.716495999999999</v>
      </c>
      <c r="C1759">
        <f t="shared" si="109"/>
        <v>-117.85615</v>
      </c>
      <c r="D1759">
        <f t="shared" si="110"/>
        <v>62</v>
      </c>
      <c r="E1759">
        <v>2.5</v>
      </c>
      <c r="F1759">
        <f t="shared" si="111"/>
        <v>59.5</v>
      </c>
      <c r="G1759">
        <v>27.567</v>
      </c>
      <c r="H1759">
        <v>0.26300000000000001</v>
      </c>
      <c r="I1759">
        <v>0.95399999999999996</v>
      </c>
      <c r="J1759">
        <v>7</v>
      </c>
      <c r="K1759">
        <v>9</v>
      </c>
      <c r="L1759">
        <v>14</v>
      </c>
      <c r="M1759" s="1">
        <v>9000000000</v>
      </c>
    </row>
    <row r="1760" spans="1:13" ht="15" customHeight="1">
      <c r="A1760" t="s">
        <v>25</v>
      </c>
      <c r="B1760">
        <f t="shared" si="108"/>
        <v>33.716495999999999</v>
      </c>
      <c r="C1760">
        <f t="shared" si="109"/>
        <v>-117.85615</v>
      </c>
      <c r="D1760">
        <f t="shared" si="110"/>
        <v>62</v>
      </c>
      <c r="E1760">
        <v>3.5</v>
      </c>
      <c r="F1760">
        <f t="shared" si="111"/>
        <v>58.5</v>
      </c>
      <c r="G1760">
        <v>16.283000000000001</v>
      </c>
      <c r="H1760">
        <v>0.19800000000000001</v>
      </c>
      <c r="I1760">
        <v>1.2110000000000001</v>
      </c>
      <c r="J1760">
        <v>6</v>
      </c>
      <c r="K1760">
        <v>6</v>
      </c>
      <c r="L1760">
        <v>9</v>
      </c>
      <c r="M1760">
        <v>1.0780000000000001</v>
      </c>
    </row>
    <row r="1761" spans="1:13" ht="15" customHeight="1">
      <c r="A1761" t="s">
        <v>25</v>
      </c>
      <c r="B1761">
        <f t="shared" si="108"/>
        <v>33.716495999999999</v>
      </c>
      <c r="C1761">
        <f t="shared" si="109"/>
        <v>-117.85615</v>
      </c>
      <c r="D1761">
        <f t="shared" si="110"/>
        <v>62</v>
      </c>
      <c r="E1761">
        <v>4.5</v>
      </c>
      <c r="F1761">
        <f t="shared" si="111"/>
        <v>57.5</v>
      </c>
      <c r="G1761">
        <v>24.067</v>
      </c>
      <c r="H1761">
        <v>0.27500000000000002</v>
      </c>
      <c r="I1761">
        <v>1.139</v>
      </c>
      <c r="J1761">
        <v>6</v>
      </c>
      <c r="K1761">
        <v>9</v>
      </c>
      <c r="L1761">
        <v>14</v>
      </c>
      <c r="M1761">
        <v>1.5920000000000001</v>
      </c>
    </row>
    <row r="1762" spans="1:13" ht="15" customHeight="1">
      <c r="A1762" t="s">
        <v>25</v>
      </c>
      <c r="B1762">
        <f t="shared" si="108"/>
        <v>33.716495999999999</v>
      </c>
      <c r="C1762">
        <f t="shared" si="109"/>
        <v>-117.85615</v>
      </c>
      <c r="D1762">
        <f t="shared" si="110"/>
        <v>62</v>
      </c>
      <c r="E1762">
        <v>5.5</v>
      </c>
      <c r="F1762">
        <f t="shared" si="111"/>
        <v>56.5</v>
      </c>
      <c r="G1762">
        <v>36</v>
      </c>
      <c r="H1762">
        <v>0.183</v>
      </c>
      <c r="I1762">
        <v>0.50800000000000001</v>
      </c>
      <c r="J1762">
        <v>7</v>
      </c>
      <c r="K1762">
        <v>12</v>
      </c>
      <c r="L1762">
        <v>18</v>
      </c>
      <c r="M1762" s="1">
        <v>9000000000</v>
      </c>
    </row>
    <row r="1763" spans="1:13" ht="15" customHeight="1">
      <c r="A1763" t="s">
        <v>25</v>
      </c>
      <c r="B1763">
        <f t="shared" si="108"/>
        <v>33.716495999999999</v>
      </c>
      <c r="C1763">
        <f t="shared" si="109"/>
        <v>-117.85615</v>
      </c>
      <c r="D1763">
        <f t="shared" si="110"/>
        <v>62</v>
      </c>
      <c r="E1763">
        <v>6.5</v>
      </c>
      <c r="F1763">
        <f t="shared" si="111"/>
        <v>55.5</v>
      </c>
      <c r="G1763">
        <v>16.817</v>
      </c>
      <c r="H1763">
        <v>0.192</v>
      </c>
      <c r="I1763">
        <v>1.1100000000000001</v>
      </c>
      <c r="J1763">
        <v>6</v>
      </c>
      <c r="K1763">
        <v>7</v>
      </c>
      <c r="L1763">
        <v>11</v>
      </c>
      <c r="M1763">
        <v>1.125</v>
      </c>
    </row>
    <row r="1764" spans="1:13" ht="15" customHeight="1">
      <c r="A1764" t="s">
        <v>25</v>
      </c>
      <c r="B1764">
        <f t="shared" si="108"/>
        <v>33.716495999999999</v>
      </c>
      <c r="C1764">
        <f t="shared" si="109"/>
        <v>-117.85615</v>
      </c>
      <c r="D1764">
        <f t="shared" si="110"/>
        <v>62</v>
      </c>
      <c r="E1764">
        <v>7.5</v>
      </c>
      <c r="F1764">
        <f t="shared" si="111"/>
        <v>54.5</v>
      </c>
      <c r="G1764">
        <v>7.2670000000000003</v>
      </c>
      <c r="H1764">
        <v>0.105</v>
      </c>
      <c r="I1764">
        <v>1.321</v>
      </c>
      <c r="J1764">
        <v>5</v>
      </c>
      <c r="K1764">
        <v>4</v>
      </c>
      <c r="L1764">
        <v>6</v>
      </c>
      <c r="M1764">
        <v>0.5</v>
      </c>
    </row>
    <row r="1765" spans="1:13" ht="15" customHeight="1">
      <c r="A1765" t="s">
        <v>25</v>
      </c>
      <c r="B1765">
        <f t="shared" si="108"/>
        <v>33.716495999999999</v>
      </c>
      <c r="C1765">
        <f t="shared" si="109"/>
        <v>-117.85615</v>
      </c>
      <c r="D1765">
        <f t="shared" si="110"/>
        <v>62</v>
      </c>
      <c r="E1765">
        <v>8.5</v>
      </c>
      <c r="F1765">
        <f t="shared" si="111"/>
        <v>53.5</v>
      </c>
      <c r="G1765">
        <v>11.567</v>
      </c>
      <c r="H1765">
        <v>0.32300000000000001</v>
      </c>
      <c r="I1765">
        <v>2.702</v>
      </c>
      <c r="J1765">
        <v>5</v>
      </c>
      <c r="K1765">
        <v>6</v>
      </c>
      <c r="L1765">
        <v>9</v>
      </c>
      <c r="M1765">
        <v>0.76400000000000001</v>
      </c>
    </row>
    <row r="1766" spans="1:13" ht="15" customHeight="1">
      <c r="A1766" t="s">
        <v>25</v>
      </c>
      <c r="B1766">
        <f t="shared" si="108"/>
        <v>33.716495999999999</v>
      </c>
      <c r="C1766">
        <f t="shared" si="109"/>
        <v>-117.85615</v>
      </c>
      <c r="D1766">
        <f t="shared" si="110"/>
        <v>62</v>
      </c>
      <c r="E1766">
        <v>9.5</v>
      </c>
      <c r="F1766">
        <f t="shared" si="111"/>
        <v>52.5</v>
      </c>
      <c r="G1766">
        <v>12.683</v>
      </c>
      <c r="H1766">
        <v>0.45200000000000001</v>
      </c>
      <c r="I1766">
        <v>3.4830000000000001</v>
      </c>
      <c r="J1766">
        <v>4</v>
      </c>
      <c r="K1766">
        <v>8</v>
      </c>
      <c r="L1766">
        <v>12</v>
      </c>
      <c r="M1766">
        <v>0.82599999999999996</v>
      </c>
    </row>
    <row r="1767" spans="1:13" ht="15" customHeight="1">
      <c r="A1767" t="s">
        <v>25</v>
      </c>
      <c r="B1767">
        <f t="shared" si="108"/>
        <v>33.716495999999999</v>
      </c>
      <c r="C1767">
        <f t="shared" si="109"/>
        <v>-117.85615</v>
      </c>
      <c r="D1767">
        <f t="shared" si="110"/>
        <v>62</v>
      </c>
      <c r="E1767">
        <v>10.5</v>
      </c>
      <c r="F1767">
        <f t="shared" si="111"/>
        <v>51.5</v>
      </c>
      <c r="G1767">
        <v>9.5289999999999999</v>
      </c>
      <c r="H1767">
        <v>0.39100000000000001</v>
      </c>
      <c r="I1767">
        <v>4.0410000000000004</v>
      </c>
      <c r="J1767">
        <v>3</v>
      </c>
      <c r="K1767">
        <v>9</v>
      </c>
      <c r="L1767">
        <v>13</v>
      </c>
      <c r="M1767">
        <v>0.60399999999999998</v>
      </c>
    </row>
    <row r="1768" spans="1:13" ht="15" customHeight="1">
      <c r="A1768" t="s">
        <v>25</v>
      </c>
      <c r="B1768">
        <f t="shared" si="108"/>
        <v>33.716495999999999</v>
      </c>
      <c r="C1768">
        <f t="shared" si="109"/>
        <v>-117.85615</v>
      </c>
      <c r="D1768">
        <f t="shared" si="110"/>
        <v>62</v>
      </c>
      <c r="E1768">
        <v>11.5</v>
      </c>
      <c r="F1768">
        <f t="shared" si="111"/>
        <v>50.5</v>
      </c>
      <c r="G1768">
        <v>10.467000000000001</v>
      </c>
      <c r="H1768">
        <v>0.54700000000000004</v>
      </c>
      <c r="I1768">
        <v>5.2309999999999999</v>
      </c>
      <c r="J1768">
        <v>3</v>
      </c>
      <c r="K1768">
        <v>10</v>
      </c>
      <c r="L1768">
        <v>13</v>
      </c>
      <c r="M1768">
        <v>0.65</v>
      </c>
    </row>
    <row r="1769" spans="1:13" ht="15" customHeight="1">
      <c r="A1769" t="s">
        <v>25</v>
      </c>
      <c r="B1769">
        <f t="shared" si="108"/>
        <v>33.716495999999999</v>
      </c>
      <c r="C1769">
        <f t="shared" si="109"/>
        <v>-117.85615</v>
      </c>
      <c r="D1769">
        <f t="shared" si="110"/>
        <v>62</v>
      </c>
      <c r="E1769">
        <v>12.5</v>
      </c>
      <c r="F1769">
        <f t="shared" si="111"/>
        <v>49.5</v>
      </c>
      <c r="G1769">
        <v>9.6170000000000009</v>
      </c>
      <c r="H1769">
        <v>0.42299999999999999</v>
      </c>
      <c r="I1769">
        <v>4.4480000000000004</v>
      </c>
      <c r="J1769">
        <v>3</v>
      </c>
      <c r="K1769">
        <v>9</v>
      </c>
      <c r="L1769">
        <v>11</v>
      </c>
      <c r="M1769">
        <v>0.58399999999999996</v>
      </c>
    </row>
    <row r="1770" spans="1:13" ht="15" customHeight="1">
      <c r="A1770" t="s">
        <v>25</v>
      </c>
      <c r="B1770">
        <f t="shared" si="108"/>
        <v>33.716495999999999</v>
      </c>
      <c r="C1770">
        <f t="shared" si="109"/>
        <v>-117.85615</v>
      </c>
      <c r="D1770">
        <f t="shared" si="110"/>
        <v>62</v>
      </c>
      <c r="E1770">
        <v>13.5</v>
      </c>
      <c r="F1770">
        <f t="shared" si="111"/>
        <v>48.5</v>
      </c>
      <c r="G1770">
        <v>8.7669999999999995</v>
      </c>
      <c r="H1770">
        <v>0.46300000000000002</v>
      </c>
      <c r="I1770">
        <v>5.3360000000000003</v>
      </c>
      <c r="J1770">
        <v>3</v>
      </c>
      <c r="K1770">
        <v>8</v>
      </c>
      <c r="L1770">
        <v>9</v>
      </c>
      <c r="M1770">
        <v>0.52500000000000002</v>
      </c>
    </row>
    <row r="1771" spans="1:13" ht="15" customHeight="1">
      <c r="A1771" t="s">
        <v>25</v>
      </c>
      <c r="B1771">
        <f t="shared" si="108"/>
        <v>33.716495999999999</v>
      </c>
      <c r="C1771">
        <f t="shared" si="109"/>
        <v>-117.85615</v>
      </c>
      <c r="D1771">
        <f t="shared" si="110"/>
        <v>62</v>
      </c>
      <c r="E1771">
        <v>14.5</v>
      </c>
      <c r="F1771">
        <f t="shared" si="111"/>
        <v>47.5</v>
      </c>
      <c r="G1771">
        <v>8.9</v>
      </c>
      <c r="H1771">
        <v>0.47799999999999998</v>
      </c>
      <c r="I1771">
        <v>5.4359999999999999</v>
      </c>
      <c r="J1771">
        <v>3</v>
      </c>
      <c r="K1771">
        <v>8</v>
      </c>
      <c r="L1771">
        <v>9</v>
      </c>
      <c r="M1771">
        <v>0.52800000000000002</v>
      </c>
    </row>
    <row r="1772" spans="1:13" ht="15" customHeight="1">
      <c r="A1772" t="s">
        <v>25</v>
      </c>
      <c r="B1772">
        <f t="shared" si="108"/>
        <v>33.716495999999999</v>
      </c>
      <c r="C1772">
        <f t="shared" si="109"/>
        <v>-117.85615</v>
      </c>
      <c r="D1772">
        <f t="shared" si="110"/>
        <v>62</v>
      </c>
      <c r="E1772">
        <v>15.5</v>
      </c>
      <c r="F1772">
        <f t="shared" si="111"/>
        <v>46.5</v>
      </c>
      <c r="G1772">
        <v>8.9499999999999993</v>
      </c>
      <c r="H1772">
        <v>0.40699999999999997</v>
      </c>
      <c r="I1772">
        <v>4.5949999999999998</v>
      </c>
      <c r="J1772">
        <v>3</v>
      </c>
      <c r="K1772">
        <v>8</v>
      </c>
      <c r="L1772">
        <v>8</v>
      </c>
      <c r="M1772">
        <v>0.52800000000000002</v>
      </c>
    </row>
    <row r="1773" spans="1:13" ht="15" customHeight="1">
      <c r="A1773" t="s">
        <v>25</v>
      </c>
      <c r="B1773">
        <f t="shared" si="108"/>
        <v>33.716495999999999</v>
      </c>
      <c r="C1773">
        <f t="shared" si="109"/>
        <v>-117.85615</v>
      </c>
      <c r="D1773">
        <f t="shared" si="110"/>
        <v>62</v>
      </c>
      <c r="E1773">
        <v>16.5</v>
      </c>
      <c r="F1773">
        <f t="shared" si="111"/>
        <v>45.5</v>
      </c>
      <c r="G1773">
        <v>10.717000000000001</v>
      </c>
      <c r="H1773">
        <v>0.39</v>
      </c>
      <c r="I1773">
        <v>3.6560000000000001</v>
      </c>
      <c r="J1773">
        <v>3</v>
      </c>
      <c r="K1773">
        <v>10</v>
      </c>
      <c r="L1773">
        <v>10</v>
      </c>
      <c r="M1773">
        <v>0.64500000000000002</v>
      </c>
    </row>
    <row r="1774" spans="1:13" ht="15" customHeight="1">
      <c r="A1774" t="s">
        <v>25</v>
      </c>
      <c r="B1774">
        <f t="shared" si="108"/>
        <v>33.716495999999999</v>
      </c>
      <c r="C1774">
        <f t="shared" si="109"/>
        <v>-117.85615</v>
      </c>
      <c r="D1774">
        <f t="shared" si="110"/>
        <v>62</v>
      </c>
      <c r="E1774">
        <v>17.5</v>
      </c>
      <c r="F1774">
        <f t="shared" si="111"/>
        <v>44.5</v>
      </c>
      <c r="G1774">
        <v>13.5</v>
      </c>
      <c r="H1774">
        <v>0.48799999999999999</v>
      </c>
      <c r="I1774">
        <v>3.6040000000000001</v>
      </c>
      <c r="J1774">
        <v>4</v>
      </c>
      <c r="K1774">
        <v>9</v>
      </c>
      <c r="L1774">
        <v>9</v>
      </c>
      <c r="M1774">
        <v>0.83299999999999996</v>
      </c>
    </row>
    <row r="1775" spans="1:13" ht="15" customHeight="1">
      <c r="A1775" t="s">
        <v>25</v>
      </c>
      <c r="B1775">
        <f t="shared" si="108"/>
        <v>33.716495999999999</v>
      </c>
      <c r="C1775">
        <f t="shared" si="109"/>
        <v>-117.85615</v>
      </c>
      <c r="D1775">
        <f t="shared" si="110"/>
        <v>62</v>
      </c>
      <c r="E1775">
        <v>18.5</v>
      </c>
      <c r="F1775">
        <f t="shared" si="111"/>
        <v>43.5</v>
      </c>
      <c r="G1775">
        <v>11.083</v>
      </c>
      <c r="H1775">
        <v>0.42199999999999999</v>
      </c>
      <c r="I1775">
        <v>3.7759999999999998</v>
      </c>
      <c r="J1775">
        <v>3</v>
      </c>
      <c r="K1775">
        <v>11</v>
      </c>
      <c r="L1775">
        <v>10</v>
      </c>
      <c r="M1775">
        <v>0.67</v>
      </c>
    </row>
    <row r="1776" spans="1:13" ht="15" customHeight="1">
      <c r="A1776" t="s">
        <v>25</v>
      </c>
      <c r="B1776">
        <f t="shared" si="108"/>
        <v>33.716495999999999</v>
      </c>
      <c r="C1776">
        <f t="shared" si="109"/>
        <v>-117.85615</v>
      </c>
      <c r="D1776">
        <f t="shared" si="110"/>
        <v>62</v>
      </c>
      <c r="E1776">
        <v>19.5</v>
      </c>
      <c r="F1776">
        <f t="shared" si="111"/>
        <v>42.5</v>
      </c>
      <c r="G1776">
        <v>10.282999999999999</v>
      </c>
      <c r="H1776">
        <v>0.33</v>
      </c>
      <c r="I1776">
        <v>3.1680000000000001</v>
      </c>
      <c r="J1776">
        <v>4</v>
      </c>
      <c r="K1776">
        <v>7</v>
      </c>
      <c r="L1776">
        <v>6</v>
      </c>
      <c r="M1776">
        <v>0.61599999999999999</v>
      </c>
    </row>
    <row r="1777" spans="1:13" ht="15" customHeight="1">
      <c r="A1777" t="s">
        <v>25</v>
      </c>
      <c r="B1777">
        <f t="shared" si="108"/>
        <v>33.716495999999999</v>
      </c>
      <c r="C1777">
        <f t="shared" si="109"/>
        <v>-117.85615</v>
      </c>
      <c r="D1777">
        <f t="shared" si="110"/>
        <v>62</v>
      </c>
      <c r="E1777">
        <v>20.5</v>
      </c>
      <c r="F1777">
        <f t="shared" si="111"/>
        <v>41.5</v>
      </c>
      <c r="G1777">
        <v>10.114000000000001</v>
      </c>
      <c r="H1777">
        <v>0.38900000000000001</v>
      </c>
      <c r="I1777">
        <v>3.794</v>
      </c>
      <c r="J1777">
        <v>3</v>
      </c>
      <c r="K1777">
        <v>10</v>
      </c>
      <c r="L1777">
        <v>8</v>
      </c>
      <c r="M1777">
        <v>0.6</v>
      </c>
    </row>
    <row r="1778" spans="1:13" ht="15" customHeight="1">
      <c r="A1778" t="s">
        <v>25</v>
      </c>
      <c r="B1778">
        <f t="shared" si="108"/>
        <v>33.716495999999999</v>
      </c>
      <c r="C1778">
        <f t="shared" si="109"/>
        <v>-117.85615</v>
      </c>
      <c r="D1778">
        <f t="shared" si="110"/>
        <v>62</v>
      </c>
      <c r="E1778">
        <v>21.5</v>
      </c>
      <c r="F1778">
        <f t="shared" si="111"/>
        <v>40.5</v>
      </c>
      <c r="G1778">
        <v>9.9</v>
      </c>
      <c r="H1778">
        <v>0.33800000000000002</v>
      </c>
      <c r="I1778">
        <v>3.339</v>
      </c>
      <c r="J1778">
        <v>4</v>
      </c>
      <c r="K1778">
        <v>6</v>
      </c>
      <c r="L1778">
        <v>5</v>
      </c>
      <c r="M1778">
        <v>0.58899999999999997</v>
      </c>
    </row>
    <row r="1779" spans="1:13" ht="15" customHeight="1">
      <c r="A1779" t="s">
        <v>25</v>
      </c>
      <c r="B1779">
        <f t="shared" si="108"/>
        <v>33.716495999999999</v>
      </c>
      <c r="C1779">
        <f t="shared" si="109"/>
        <v>-117.85615</v>
      </c>
      <c r="D1779">
        <f t="shared" si="110"/>
        <v>62</v>
      </c>
      <c r="E1779">
        <v>22.5</v>
      </c>
      <c r="F1779">
        <f t="shared" si="111"/>
        <v>39.5</v>
      </c>
      <c r="G1779">
        <v>8.5</v>
      </c>
      <c r="H1779">
        <v>0.26500000000000001</v>
      </c>
      <c r="I1779">
        <v>3.0110000000000001</v>
      </c>
      <c r="J1779">
        <v>4</v>
      </c>
      <c r="K1779">
        <v>6</v>
      </c>
      <c r="L1779">
        <v>5</v>
      </c>
      <c r="M1779">
        <v>0.496</v>
      </c>
    </row>
    <row r="1780" spans="1:13" ht="15" customHeight="1">
      <c r="A1780" t="s">
        <v>25</v>
      </c>
      <c r="B1780">
        <f t="shared" si="108"/>
        <v>33.716495999999999</v>
      </c>
      <c r="C1780">
        <f t="shared" si="109"/>
        <v>-117.85615</v>
      </c>
      <c r="D1780">
        <f t="shared" si="110"/>
        <v>62</v>
      </c>
      <c r="E1780">
        <v>23.5</v>
      </c>
      <c r="F1780">
        <f t="shared" si="111"/>
        <v>38.5</v>
      </c>
      <c r="G1780">
        <v>9.9830000000000005</v>
      </c>
      <c r="H1780">
        <v>0.318</v>
      </c>
      <c r="I1780">
        <v>3.0859999999999999</v>
      </c>
      <c r="J1780">
        <v>4</v>
      </c>
      <c r="K1780">
        <v>7</v>
      </c>
      <c r="L1780">
        <v>5</v>
      </c>
      <c r="M1780">
        <v>0.59299999999999997</v>
      </c>
    </row>
    <row r="1781" spans="1:13" ht="15" customHeight="1">
      <c r="A1781" t="s">
        <v>25</v>
      </c>
      <c r="B1781">
        <f t="shared" si="108"/>
        <v>33.716495999999999</v>
      </c>
      <c r="C1781">
        <f t="shared" si="109"/>
        <v>-117.85615</v>
      </c>
      <c r="D1781">
        <f t="shared" si="110"/>
        <v>62</v>
      </c>
      <c r="E1781">
        <v>24.5</v>
      </c>
      <c r="F1781">
        <f t="shared" si="111"/>
        <v>37.5</v>
      </c>
      <c r="G1781">
        <v>9.0169999999999995</v>
      </c>
      <c r="H1781">
        <v>0.312</v>
      </c>
      <c r="I1781">
        <v>3.3820000000000001</v>
      </c>
      <c r="J1781">
        <v>3</v>
      </c>
      <c r="K1781">
        <v>9</v>
      </c>
      <c r="L1781">
        <v>7</v>
      </c>
      <c r="M1781">
        <v>0.51600000000000001</v>
      </c>
    </row>
    <row r="1782" spans="1:13" ht="15" customHeight="1">
      <c r="A1782" t="s">
        <v>25</v>
      </c>
      <c r="B1782">
        <f t="shared" si="108"/>
        <v>33.716495999999999</v>
      </c>
      <c r="C1782">
        <f t="shared" si="109"/>
        <v>-117.85615</v>
      </c>
      <c r="D1782">
        <f t="shared" si="110"/>
        <v>62</v>
      </c>
      <c r="E1782">
        <v>25.5</v>
      </c>
      <c r="F1782">
        <f t="shared" si="111"/>
        <v>36.5</v>
      </c>
      <c r="G1782">
        <v>8.1170000000000009</v>
      </c>
      <c r="H1782">
        <v>0.245</v>
      </c>
      <c r="I1782">
        <v>2.94</v>
      </c>
      <c r="J1782">
        <v>4</v>
      </c>
      <c r="K1782">
        <v>5</v>
      </c>
      <c r="L1782">
        <v>4</v>
      </c>
      <c r="M1782">
        <v>0.45300000000000001</v>
      </c>
    </row>
    <row r="1783" spans="1:13" ht="15" customHeight="1">
      <c r="A1783" t="s">
        <v>25</v>
      </c>
      <c r="B1783">
        <f t="shared" si="108"/>
        <v>33.716495999999999</v>
      </c>
      <c r="C1783">
        <f t="shared" si="109"/>
        <v>-117.85615</v>
      </c>
      <c r="D1783">
        <f t="shared" si="110"/>
        <v>62</v>
      </c>
      <c r="E1783">
        <v>26.5</v>
      </c>
      <c r="F1783">
        <f t="shared" si="111"/>
        <v>35.5</v>
      </c>
      <c r="G1783">
        <v>11.933</v>
      </c>
      <c r="H1783">
        <v>0.38</v>
      </c>
      <c r="I1783">
        <v>3.1360000000000001</v>
      </c>
      <c r="J1783">
        <v>4</v>
      </c>
      <c r="K1783">
        <v>8</v>
      </c>
      <c r="L1783">
        <v>6</v>
      </c>
      <c r="M1783">
        <v>0.70099999999999996</v>
      </c>
    </row>
    <row r="1784" spans="1:13" ht="15" customHeight="1">
      <c r="A1784" t="s">
        <v>25</v>
      </c>
      <c r="B1784">
        <f t="shared" si="108"/>
        <v>33.716495999999999</v>
      </c>
      <c r="C1784">
        <f t="shared" si="109"/>
        <v>-117.85615</v>
      </c>
      <c r="D1784">
        <f t="shared" si="110"/>
        <v>62</v>
      </c>
      <c r="E1784">
        <v>27.5</v>
      </c>
      <c r="F1784">
        <f t="shared" si="111"/>
        <v>34.5</v>
      </c>
      <c r="G1784">
        <v>14.183</v>
      </c>
      <c r="H1784">
        <v>0.42</v>
      </c>
      <c r="I1784">
        <v>2.93</v>
      </c>
      <c r="J1784">
        <v>5</v>
      </c>
      <c r="K1784">
        <v>7</v>
      </c>
      <c r="L1784">
        <v>5</v>
      </c>
      <c r="M1784">
        <v>0.84499999999999997</v>
      </c>
    </row>
    <row r="1785" spans="1:13" ht="15" customHeight="1">
      <c r="A1785" t="s">
        <v>25</v>
      </c>
      <c r="B1785">
        <f t="shared" si="108"/>
        <v>33.716495999999999</v>
      </c>
      <c r="C1785">
        <f t="shared" si="109"/>
        <v>-117.85615</v>
      </c>
      <c r="D1785">
        <f t="shared" si="110"/>
        <v>62</v>
      </c>
      <c r="E1785">
        <v>28.5</v>
      </c>
      <c r="F1785">
        <f t="shared" si="111"/>
        <v>33.5</v>
      </c>
      <c r="G1785">
        <v>14.6</v>
      </c>
      <c r="H1785">
        <v>0.50700000000000001</v>
      </c>
      <c r="I1785">
        <v>3.4350000000000001</v>
      </c>
      <c r="J1785">
        <v>4</v>
      </c>
      <c r="K1785">
        <v>9</v>
      </c>
      <c r="L1785">
        <v>6</v>
      </c>
      <c r="M1785">
        <v>0.86899999999999999</v>
      </c>
    </row>
    <row r="1786" spans="1:13" ht="15" customHeight="1">
      <c r="A1786" t="s">
        <v>25</v>
      </c>
      <c r="B1786">
        <f t="shared" si="108"/>
        <v>33.716495999999999</v>
      </c>
      <c r="C1786">
        <f t="shared" si="109"/>
        <v>-117.85615</v>
      </c>
      <c r="D1786">
        <f t="shared" si="110"/>
        <v>62</v>
      </c>
      <c r="E1786">
        <v>29.5</v>
      </c>
      <c r="F1786">
        <f t="shared" si="111"/>
        <v>32.5</v>
      </c>
      <c r="G1786">
        <v>14.2</v>
      </c>
      <c r="H1786">
        <v>0.42</v>
      </c>
      <c r="I1786">
        <v>2.944</v>
      </c>
      <c r="J1786">
        <v>5</v>
      </c>
      <c r="K1786">
        <v>7</v>
      </c>
      <c r="L1786">
        <v>5</v>
      </c>
      <c r="M1786">
        <v>0.83199999999999996</v>
      </c>
    </row>
    <row r="1787" spans="1:13" ht="15" customHeight="1">
      <c r="A1787" t="s">
        <v>25</v>
      </c>
      <c r="B1787">
        <f t="shared" si="108"/>
        <v>33.716495999999999</v>
      </c>
      <c r="C1787">
        <f t="shared" si="109"/>
        <v>-117.85615</v>
      </c>
      <c r="D1787">
        <f t="shared" si="110"/>
        <v>62</v>
      </c>
      <c r="E1787">
        <v>30.5</v>
      </c>
      <c r="F1787">
        <f t="shared" si="111"/>
        <v>31.5</v>
      </c>
      <c r="G1787">
        <v>32.067</v>
      </c>
      <c r="H1787">
        <v>1.345</v>
      </c>
      <c r="I1787">
        <v>4.1859999999999999</v>
      </c>
      <c r="J1787">
        <v>4</v>
      </c>
      <c r="K1787">
        <v>21</v>
      </c>
      <c r="L1787">
        <v>14</v>
      </c>
      <c r="M1787">
        <v>2.0190000000000001</v>
      </c>
    </row>
    <row r="1788" spans="1:13" ht="15" customHeight="1">
      <c r="A1788" t="s">
        <v>25</v>
      </c>
      <c r="B1788">
        <f t="shared" si="108"/>
        <v>33.716495999999999</v>
      </c>
      <c r="C1788">
        <f t="shared" si="109"/>
        <v>-117.85615</v>
      </c>
      <c r="D1788">
        <f t="shared" si="110"/>
        <v>62</v>
      </c>
      <c r="E1788">
        <v>31.5</v>
      </c>
      <c r="F1788">
        <f t="shared" si="111"/>
        <v>30.5</v>
      </c>
      <c r="G1788">
        <v>66.028999999999996</v>
      </c>
      <c r="H1788">
        <v>1.327</v>
      </c>
      <c r="I1788">
        <v>2.0089999999999999</v>
      </c>
      <c r="J1788">
        <v>7</v>
      </c>
      <c r="K1788">
        <v>21</v>
      </c>
      <c r="L1788">
        <v>14</v>
      </c>
      <c r="M1788" s="1">
        <v>9000000000</v>
      </c>
    </row>
    <row r="1789" spans="1:13" ht="15" customHeight="1">
      <c r="A1789" t="s">
        <v>25</v>
      </c>
      <c r="B1789">
        <f t="shared" si="108"/>
        <v>33.716495999999999</v>
      </c>
      <c r="C1789">
        <f t="shared" si="109"/>
        <v>-117.85615</v>
      </c>
      <c r="D1789">
        <f t="shared" si="110"/>
        <v>62</v>
      </c>
      <c r="E1789">
        <v>32.5</v>
      </c>
      <c r="F1789">
        <f t="shared" si="111"/>
        <v>29.5</v>
      </c>
      <c r="G1789">
        <v>16.483000000000001</v>
      </c>
      <c r="H1789">
        <v>0.36799999999999999</v>
      </c>
      <c r="I1789">
        <v>2.2010000000000001</v>
      </c>
      <c r="J1789">
        <v>5</v>
      </c>
      <c r="K1789">
        <v>8</v>
      </c>
      <c r="L1789">
        <v>5</v>
      </c>
      <c r="M1789">
        <v>0.98499999999999999</v>
      </c>
    </row>
    <row r="1790" spans="1:13" ht="15" customHeight="1">
      <c r="A1790" t="s">
        <v>25</v>
      </c>
      <c r="B1790">
        <f t="shared" si="108"/>
        <v>33.716495999999999</v>
      </c>
      <c r="C1790">
        <f t="shared" si="109"/>
        <v>-117.85615</v>
      </c>
      <c r="D1790">
        <f t="shared" si="110"/>
        <v>62</v>
      </c>
      <c r="E1790">
        <v>33.5</v>
      </c>
      <c r="F1790">
        <f t="shared" si="111"/>
        <v>28.5</v>
      </c>
      <c r="G1790">
        <v>15.867000000000001</v>
      </c>
      <c r="H1790">
        <v>0.48199999999999998</v>
      </c>
      <c r="I1790">
        <v>2.9860000000000002</v>
      </c>
      <c r="J1790">
        <v>5</v>
      </c>
      <c r="K1790">
        <v>8</v>
      </c>
      <c r="L1790">
        <v>5</v>
      </c>
      <c r="M1790">
        <v>0.94099999999999995</v>
      </c>
    </row>
    <row r="1791" spans="1:13" ht="15" customHeight="1">
      <c r="A1791" t="s">
        <v>25</v>
      </c>
      <c r="B1791">
        <f t="shared" si="108"/>
        <v>33.716495999999999</v>
      </c>
      <c r="C1791">
        <f t="shared" si="109"/>
        <v>-117.85615</v>
      </c>
      <c r="D1791">
        <f t="shared" si="110"/>
        <v>62</v>
      </c>
      <c r="E1791">
        <v>34.5</v>
      </c>
      <c r="F1791">
        <f t="shared" si="111"/>
        <v>27.5</v>
      </c>
      <c r="G1791">
        <v>25.917000000000002</v>
      </c>
      <c r="H1791">
        <v>1.2929999999999999</v>
      </c>
      <c r="I1791">
        <v>4.9429999999999996</v>
      </c>
      <c r="J1791">
        <v>3</v>
      </c>
      <c r="K1791">
        <v>25</v>
      </c>
      <c r="L1791">
        <v>16</v>
      </c>
      <c r="M1791">
        <v>1.605</v>
      </c>
    </row>
    <row r="1792" spans="1:13" ht="15" customHeight="1">
      <c r="A1792" t="s">
        <v>25</v>
      </c>
      <c r="B1792">
        <f t="shared" si="108"/>
        <v>33.716495999999999</v>
      </c>
      <c r="C1792">
        <f t="shared" si="109"/>
        <v>-117.85615</v>
      </c>
      <c r="D1792">
        <f t="shared" si="110"/>
        <v>62</v>
      </c>
      <c r="E1792">
        <v>35.5</v>
      </c>
      <c r="F1792">
        <f t="shared" si="111"/>
        <v>26.5</v>
      </c>
      <c r="G1792">
        <v>16</v>
      </c>
      <c r="H1792">
        <v>0.63200000000000001</v>
      </c>
      <c r="I1792">
        <v>3.903</v>
      </c>
      <c r="J1792">
        <v>4</v>
      </c>
      <c r="K1792">
        <v>10</v>
      </c>
      <c r="L1792">
        <v>6</v>
      </c>
      <c r="M1792">
        <v>0.93600000000000005</v>
      </c>
    </row>
    <row r="1793" spans="1:13" ht="15" customHeight="1">
      <c r="A1793" t="s">
        <v>25</v>
      </c>
      <c r="B1793">
        <f t="shared" si="108"/>
        <v>33.716495999999999</v>
      </c>
      <c r="C1793">
        <f t="shared" si="109"/>
        <v>-117.85615</v>
      </c>
      <c r="D1793">
        <f t="shared" si="110"/>
        <v>62</v>
      </c>
      <c r="E1793">
        <v>36.5</v>
      </c>
      <c r="F1793">
        <f t="shared" si="111"/>
        <v>25.5</v>
      </c>
      <c r="G1793">
        <v>56.167000000000002</v>
      </c>
      <c r="H1793">
        <v>2.2080000000000002</v>
      </c>
      <c r="I1793">
        <v>3.9220000000000002</v>
      </c>
      <c r="J1793">
        <v>5</v>
      </c>
      <c r="K1793">
        <v>27</v>
      </c>
      <c r="L1793">
        <v>17</v>
      </c>
      <c r="M1793">
        <v>3.6059999999999999</v>
      </c>
    </row>
    <row r="1794" spans="1:13" ht="15" customHeight="1">
      <c r="A1794" t="s">
        <v>25</v>
      </c>
      <c r="B1794">
        <f t="shared" ref="B1794:B1857" si="112">VLOOKUP(A1794,XYdata,3,FALSE)</f>
        <v>33.716495999999999</v>
      </c>
      <c r="C1794">
        <f t="shared" ref="C1794:C1857" si="113">VLOOKUP(A1794,XYdata,2,FALSE)</f>
        <v>-117.85615</v>
      </c>
      <c r="D1794">
        <f t="shared" ref="D1794:D1857" si="114">VLOOKUP(A1794,Elevation,2,FALSE)</f>
        <v>62</v>
      </c>
      <c r="E1794">
        <v>37.5</v>
      </c>
      <c r="F1794">
        <f t="shared" si="111"/>
        <v>24.5</v>
      </c>
      <c r="G1794">
        <v>71.216999999999999</v>
      </c>
      <c r="H1794">
        <v>3.335</v>
      </c>
      <c r="I1794">
        <v>4.6769999999999996</v>
      </c>
      <c r="J1794">
        <v>4</v>
      </c>
      <c r="K1794">
        <v>46</v>
      </c>
      <c r="L1794">
        <v>28</v>
      </c>
      <c r="M1794">
        <v>4.6020000000000003</v>
      </c>
    </row>
    <row r="1795" spans="1:13" ht="15" customHeight="1">
      <c r="A1795" t="s">
        <v>25</v>
      </c>
      <c r="B1795">
        <f t="shared" si="112"/>
        <v>33.716495999999999</v>
      </c>
      <c r="C1795">
        <f t="shared" si="113"/>
        <v>-117.85615</v>
      </c>
      <c r="D1795">
        <f t="shared" si="114"/>
        <v>62</v>
      </c>
      <c r="E1795">
        <v>38.5</v>
      </c>
      <c r="F1795">
        <f t="shared" ref="F1795:F1858" si="115">D1795-E1795</f>
        <v>23.5</v>
      </c>
      <c r="G1795">
        <v>55.55</v>
      </c>
      <c r="H1795">
        <v>2.2250000000000001</v>
      </c>
      <c r="I1795">
        <v>3.992</v>
      </c>
      <c r="J1795">
        <v>5</v>
      </c>
      <c r="K1795">
        <v>27</v>
      </c>
      <c r="L1795">
        <v>16</v>
      </c>
      <c r="M1795">
        <v>3.56</v>
      </c>
    </row>
    <row r="1796" spans="1:13" ht="15" customHeight="1">
      <c r="A1796" t="s">
        <v>25</v>
      </c>
      <c r="B1796">
        <f t="shared" si="112"/>
        <v>33.716495999999999</v>
      </c>
      <c r="C1796">
        <f t="shared" si="113"/>
        <v>-117.85615</v>
      </c>
      <c r="D1796">
        <f t="shared" si="114"/>
        <v>62</v>
      </c>
      <c r="E1796">
        <v>39.5</v>
      </c>
      <c r="F1796">
        <f t="shared" si="115"/>
        <v>22.5</v>
      </c>
      <c r="G1796">
        <v>42.767000000000003</v>
      </c>
      <c r="H1796">
        <v>2.34</v>
      </c>
      <c r="I1796">
        <v>5.4550000000000001</v>
      </c>
      <c r="J1796">
        <v>3</v>
      </c>
      <c r="K1796">
        <v>41</v>
      </c>
      <c r="L1796">
        <v>25</v>
      </c>
      <c r="M1796">
        <v>2.7</v>
      </c>
    </row>
    <row r="1797" spans="1:13" ht="15" customHeight="1">
      <c r="A1797" t="s">
        <v>25</v>
      </c>
      <c r="B1797">
        <f t="shared" si="112"/>
        <v>33.716495999999999</v>
      </c>
      <c r="C1797">
        <f t="shared" si="113"/>
        <v>-117.85615</v>
      </c>
      <c r="D1797">
        <f t="shared" si="114"/>
        <v>62</v>
      </c>
      <c r="E1797">
        <v>40.5</v>
      </c>
      <c r="F1797">
        <f t="shared" si="115"/>
        <v>21.5</v>
      </c>
      <c r="G1797">
        <v>32.966999999999999</v>
      </c>
      <c r="H1797">
        <v>2.008</v>
      </c>
      <c r="I1797">
        <v>6.0549999999999997</v>
      </c>
      <c r="J1797">
        <v>3</v>
      </c>
      <c r="K1797">
        <v>32</v>
      </c>
      <c r="L1797">
        <v>19</v>
      </c>
      <c r="M1797">
        <v>2.0470000000000002</v>
      </c>
    </row>
    <row r="1798" spans="1:13" ht="15" customHeight="1">
      <c r="A1798" t="s">
        <v>25</v>
      </c>
      <c r="B1798">
        <f t="shared" si="112"/>
        <v>33.716495999999999</v>
      </c>
      <c r="C1798">
        <f t="shared" si="113"/>
        <v>-117.85615</v>
      </c>
      <c r="D1798">
        <f t="shared" si="114"/>
        <v>62</v>
      </c>
      <c r="E1798">
        <v>41.499000000000002</v>
      </c>
      <c r="F1798">
        <f t="shared" si="115"/>
        <v>20.500999999999998</v>
      </c>
      <c r="G1798">
        <v>24.986000000000001</v>
      </c>
      <c r="H1798">
        <v>1.2989999999999999</v>
      </c>
      <c r="I1798">
        <v>5.165</v>
      </c>
      <c r="J1798">
        <v>3</v>
      </c>
      <c r="K1798">
        <v>24</v>
      </c>
      <c r="L1798">
        <v>14</v>
      </c>
      <c r="M1798">
        <v>1.508</v>
      </c>
    </row>
    <row r="1799" spans="1:13" ht="15" customHeight="1">
      <c r="A1799" t="s">
        <v>25</v>
      </c>
      <c r="B1799">
        <f t="shared" si="112"/>
        <v>33.716495999999999</v>
      </c>
      <c r="C1799">
        <f t="shared" si="113"/>
        <v>-117.85615</v>
      </c>
      <c r="D1799">
        <f t="shared" si="114"/>
        <v>62</v>
      </c>
      <c r="E1799">
        <v>42.499000000000002</v>
      </c>
      <c r="F1799">
        <f t="shared" si="115"/>
        <v>19.500999999999998</v>
      </c>
      <c r="G1799">
        <v>23.817</v>
      </c>
      <c r="H1799">
        <v>1.2</v>
      </c>
      <c r="I1799">
        <v>5.0309999999999997</v>
      </c>
      <c r="J1799">
        <v>3</v>
      </c>
      <c r="K1799">
        <v>23</v>
      </c>
      <c r="L1799">
        <v>13</v>
      </c>
      <c r="M1799">
        <v>1.4179999999999999</v>
      </c>
    </row>
    <row r="1800" spans="1:13" ht="15" customHeight="1">
      <c r="A1800" t="s">
        <v>25</v>
      </c>
      <c r="B1800">
        <f t="shared" si="112"/>
        <v>33.716495999999999</v>
      </c>
      <c r="C1800">
        <f t="shared" si="113"/>
        <v>-117.85615</v>
      </c>
      <c r="D1800">
        <f t="shared" si="114"/>
        <v>62</v>
      </c>
      <c r="E1800">
        <v>43.499000000000002</v>
      </c>
      <c r="F1800">
        <f t="shared" si="115"/>
        <v>18.500999999999998</v>
      </c>
      <c r="G1800">
        <v>16.317</v>
      </c>
      <c r="H1800">
        <v>0.88500000000000001</v>
      </c>
      <c r="I1800">
        <v>5.3959999999999999</v>
      </c>
      <c r="J1800">
        <v>3</v>
      </c>
      <c r="K1800">
        <v>16</v>
      </c>
      <c r="L1800">
        <v>9</v>
      </c>
      <c r="M1800">
        <v>0.91700000000000004</v>
      </c>
    </row>
    <row r="1801" spans="1:13" ht="15" customHeight="1">
      <c r="A1801" t="s">
        <v>25</v>
      </c>
      <c r="B1801">
        <f t="shared" si="112"/>
        <v>33.716495999999999</v>
      </c>
      <c r="C1801">
        <f t="shared" si="113"/>
        <v>-117.85615</v>
      </c>
      <c r="D1801">
        <f t="shared" si="114"/>
        <v>62</v>
      </c>
      <c r="E1801">
        <v>44.499000000000002</v>
      </c>
      <c r="F1801">
        <f t="shared" si="115"/>
        <v>17.500999999999998</v>
      </c>
      <c r="G1801">
        <v>21.45</v>
      </c>
      <c r="H1801">
        <v>1.1579999999999999</v>
      </c>
      <c r="I1801">
        <v>5.3710000000000004</v>
      </c>
      <c r="J1801">
        <v>3</v>
      </c>
      <c r="K1801">
        <v>21</v>
      </c>
      <c r="L1801">
        <v>12</v>
      </c>
      <c r="M1801">
        <v>1.2569999999999999</v>
      </c>
    </row>
    <row r="1802" spans="1:13" ht="15" customHeight="1">
      <c r="A1802" t="s">
        <v>25</v>
      </c>
      <c r="B1802">
        <f t="shared" si="112"/>
        <v>33.716495999999999</v>
      </c>
      <c r="C1802">
        <f t="shared" si="113"/>
        <v>-117.85615</v>
      </c>
      <c r="D1802">
        <f t="shared" si="114"/>
        <v>62</v>
      </c>
      <c r="E1802">
        <v>45.499000000000002</v>
      </c>
      <c r="F1802">
        <f t="shared" si="115"/>
        <v>16.500999999999998</v>
      </c>
      <c r="G1802">
        <v>51.466999999999999</v>
      </c>
      <c r="H1802">
        <v>2.4729999999999999</v>
      </c>
      <c r="I1802">
        <v>4.8070000000000004</v>
      </c>
      <c r="J1802">
        <v>4</v>
      </c>
      <c r="K1802">
        <v>33</v>
      </c>
      <c r="L1802">
        <v>18</v>
      </c>
      <c r="M1802">
        <v>3.2450000000000001</v>
      </c>
    </row>
    <row r="1803" spans="1:13" ht="15" customHeight="1">
      <c r="A1803" t="s">
        <v>25</v>
      </c>
      <c r="B1803">
        <f t="shared" si="112"/>
        <v>33.716495999999999</v>
      </c>
      <c r="C1803">
        <f t="shared" si="113"/>
        <v>-117.85615</v>
      </c>
      <c r="D1803">
        <f t="shared" si="114"/>
        <v>62</v>
      </c>
      <c r="E1803">
        <v>46.499000000000002</v>
      </c>
      <c r="F1803">
        <f t="shared" si="115"/>
        <v>15.500999999999998</v>
      </c>
      <c r="G1803">
        <v>112.31699999999999</v>
      </c>
      <c r="H1803">
        <v>3.6680000000000001</v>
      </c>
      <c r="I1803">
        <v>3.2669999999999999</v>
      </c>
      <c r="J1803">
        <v>6</v>
      </c>
      <c r="K1803">
        <v>43</v>
      </c>
      <c r="L1803">
        <v>24</v>
      </c>
      <c r="M1803">
        <v>7.298</v>
      </c>
    </row>
    <row r="1804" spans="1:13" ht="15" customHeight="1">
      <c r="A1804" t="s">
        <v>25</v>
      </c>
      <c r="B1804">
        <f t="shared" si="112"/>
        <v>33.716495999999999</v>
      </c>
      <c r="C1804">
        <f t="shared" si="113"/>
        <v>-117.85615</v>
      </c>
      <c r="D1804">
        <f t="shared" si="114"/>
        <v>62</v>
      </c>
      <c r="E1804">
        <v>47.499000000000002</v>
      </c>
      <c r="F1804">
        <f t="shared" si="115"/>
        <v>14.500999999999998</v>
      </c>
      <c r="G1804">
        <v>74.483000000000004</v>
      </c>
      <c r="H1804">
        <v>3.1269999999999998</v>
      </c>
      <c r="I1804">
        <v>4.2030000000000003</v>
      </c>
      <c r="J1804">
        <v>5</v>
      </c>
      <c r="K1804">
        <v>36</v>
      </c>
      <c r="L1804">
        <v>20</v>
      </c>
      <c r="M1804">
        <v>4.7670000000000003</v>
      </c>
    </row>
    <row r="1805" spans="1:13" ht="15" customHeight="1">
      <c r="A1805" t="s">
        <v>25</v>
      </c>
      <c r="B1805">
        <f t="shared" si="112"/>
        <v>33.716495999999999</v>
      </c>
      <c r="C1805">
        <f t="shared" si="113"/>
        <v>-117.85615</v>
      </c>
      <c r="D1805">
        <f t="shared" si="114"/>
        <v>62</v>
      </c>
      <c r="E1805">
        <v>48.499000000000002</v>
      </c>
      <c r="F1805">
        <f t="shared" si="115"/>
        <v>13.500999999999998</v>
      </c>
      <c r="G1805">
        <v>156.733</v>
      </c>
      <c r="H1805">
        <v>3.665</v>
      </c>
      <c r="I1805">
        <v>2.339</v>
      </c>
      <c r="J1805">
        <v>7</v>
      </c>
      <c r="K1805">
        <v>50</v>
      </c>
      <c r="L1805">
        <v>27</v>
      </c>
      <c r="M1805" s="1">
        <v>9000000000</v>
      </c>
    </row>
    <row r="1806" spans="1:13" ht="15" customHeight="1">
      <c r="A1806" t="s">
        <v>25</v>
      </c>
      <c r="B1806">
        <f t="shared" si="112"/>
        <v>33.716495999999999</v>
      </c>
      <c r="C1806">
        <f t="shared" si="113"/>
        <v>-117.85615</v>
      </c>
      <c r="D1806">
        <f t="shared" si="114"/>
        <v>62</v>
      </c>
      <c r="E1806">
        <v>49.499000000000002</v>
      </c>
      <c r="F1806">
        <f t="shared" si="115"/>
        <v>12.500999999999998</v>
      </c>
      <c r="G1806">
        <v>168.083</v>
      </c>
      <c r="H1806">
        <v>3.1219999999999999</v>
      </c>
      <c r="I1806">
        <v>1.8580000000000001</v>
      </c>
      <c r="J1806">
        <v>8</v>
      </c>
      <c r="K1806">
        <v>40</v>
      </c>
      <c r="L1806">
        <v>21</v>
      </c>
      <c r="M1806" s="1">
        <v>9000000000</v>
      </c>
    </row>
    <row r="1807" spans="1:13" ht="15" customHeight="1">
      <c r="A1807" t="s">
        <v>25</v>
      </c>
      <c r="B1807">
        <f t="shared" si="112"/>
        <v>33.716495999999999</v>
      </c>
      <c r="C1807">
        <f t="shared" si="113"/>
        <v>-117.85615</v>
      </c>
      <c r="D1807">
        <f t="shared" si="114"/>
        <v>62</v>
      </c>
      <c r="E1807">
        <v>50.499000000000002</v>
      </c>
      <c r="F1807">
        <f t="shared" si="115"/>
        <v>11.500999999999998</v>
      </c>
      <c r="G1807">
        <v>195.43299999999999</v>
      </c>
      <c r="H1807">
        <v>2.387</v>
      </c>
      <c r="I1807">
        <v>1.22</v>
      </c>
      <c r="J1807">
        <v>9</v>
      </c>
      <c r="K1807">
        <v>37</v>
      </c>
      <c r="L1807">
        <v>20</v>
      </c>
      <c r="M1807" s="1">
        <v>9000000000</v>
      </c>
    </row>
    <row r="1808" spans="1:13" ht="15" customHeight="1">
      <c r="A1808" t="s">
        <v>25</v>
      </c>
      <c r="B1808">
        <f t="shared" si="112"/>
        <v>33.716495999999999</v>
      </c>
      <c r="C1808">
        <f t="shared" si="113"/>
        <v>-117.85615</v>
      </c>
      <c r="D1808">
        <f t="shared" si="114"/>
        <v>62</v>
      </c>
      <c r="E1808">
        <v>51.499000000000002</v>
      </c>
      <c r="F1808">
        <f t="shared" si="115"/>
        <v>10.500999999999998</v>
      </c>
      <c r="G1808">
        <v>143.75</v>
      </c>
      <c r="H1808">
        <v>3.2519999999999998</v>
      </c>
      <c r="I1808">
        <v>2.2599999999999998</v>
      </c>
      <c r="J1808">
        <v>7</v>
      </c>
      <c r="K1808">
        <v>46</v>
      </c>
      <c r="L1808">
        <v>24</v>
      </c>
      <c r="M1808" s="1">
        <v>9000000000</v>
      </c>
    </row>
    <row r="1809" spans="1:13" ht="15" customHeight="1">
      <c r="A1809" t="s">
        <v>25</v>
      </c>
      <c r="B1809">
        <f t="shared" si="112"/>
        <v>33.716495999999999</v>
      </c>
      <c r="C1809">
        <f t="shared" si="113"/>
        <v>-117.85615</v>
      </c>
      <c r="D1809">
        <f t="shared" si="114"/>
        <v>62</v>
      </c>
      <c r="E1809">
        <v>52.499000000000002</v>
      </c>
      <c r="F1809">
        <f t="shared" si="115"/>
        <v>9.5009999999999977</v>
      </c>
      <c r="G1809">
        <v>28.814</v>
      </c>
      <c r="H1809">
        <v>1.851</v>
      </c>
      <c r="I1809">
        <v>6.4029999999999996</v>
      </c>
      <c r="J1809">
        <v>3</v>
      </c>
      <c r="K1809">
        <v>28</v>
      </c>
      <c r="L1809">
        <v>15</v>
      </c>
      <c r="M1809">
        <v>1.714</v>
      </c>
    </row>
    <row r="1810" spans="1:13" ht="15" customHeight="1">
      <c r="A1810" t="s">
        <v>25</v>
      </c>
      <c r="B1810">
        <f t="shared" si="112"/>
        <v>33.716495999999999</v>
      </c>
      <c r="C1810">
        <f t="shared" si="113"/>
        <v>-117.85615</v>
      </c>
      <c r="D1810">
        <f t="shared" si="114"/>
        <v>62</v>
      </c>
      <c r="E1810">
        <v>53.499000000000002</v>
      </c>
      <c r="F1810">
        <f t="shared" si="115"/>
        <v>8.5009999999999977</v>
      </c>
      <c r="G1810">
        <v>68.8</v>
      </c>
      <c r="H1810">
        <v>2.0129999999999999</v>
      </c>
      <c r="I1810">
        <v>2.9220000000000002</v>
      </c>
      <c r="J1810">
        <v>6</v>
      </c>
      <c r="K1810">
        <v>26</v>
      </c>
      <c r="L1810">
        <v>13</v>
      </c>
      <c r="M1810">
        <v>4.3760000000000003</v>
      </c>
    </row>
    <row r="1811" spans="1:13" ht="15" customHeight="1">
      <c r="A1811" t="s">
        <v>25</v>
      </c>
      <c r="B1811">
        <f t="shared" si="112"/>
        <v>33.716495999999999</v>
      </c>
      <c r="C1811">
        <f t="shared" si="113"/>
        <v>-117.85615</v>
      </c>
      <c r="D1811">
        <f t="shared" si="114"/>
        <v>62</v>
      </c>
      <c r="E1811">
        <v>54.499000000000002</v>
      </c>
      <c r="F1811">
        <f t="shared" si="115"/>
        <v>7.5009999999999977</v>
      </c>
      <c r="G1811">
        <v>116.967</v>
      </c>
      <c r="H1811">
        <v>2.5070000000000001</v>
      </c>
      <c r="I1811">
        <v>2.1429999999999998</v>
      </c>
      <c r="J1811">
        <v>7</v>
      </c>
      <c r="K1811">
        <v>37</v>
      </c>
      <c r="L1811">
        <v>19</v>
      </c>
      <c r="M1811" s="1">
        <v>9000000000</v>
      </c>
    </row>
    <row r="1812" spans="1:13" ht="15" customHeight="1">
      <c r="A1812" t="s">
        <v>25</v>
      </c>
      <c r="B1812">
        <f t="shared" si="112"/>
        <v>33.716495999999999</v>
      </c>
      <c r="C1812">
        <f t="shared" si="113"/>
        <v>-117.85615</v>
      </c>
      <c r="D1812">
        <f t="shared" si="114"/>
        <v>62</v>
      </c>
      <c r="E1812">
        <v>55.499000000000002</v>
      </c>
      <c r="F1812">
        <f t="shared" si="115"/>
        <v>6.5009999999999977</v>
      </c>
      <c r="G1812">
        <v>80.216999999999999</v>
      </c>
      <c r="H1812">
        <v>2.1030000000000002</v>
      </c>
      <c r="I1812">
        <v>2.5550000000000002</v>
      </c>
      <c r="J1812">
        <v>6</v>
      </c>
      <c r="K1812">
        <v>32</v>
      </c>
      <c r="L1812">
        <v>16</v>
      </c>
      <c r="M1812">
        <v>5.2629999999999999</v>
      </c>
    </row>
    <row r="1813" spans="1:13" ht="15" customHeight="1">
      <c r="A1813" t="s">
        <v>25</v>
      </c>
      <c r="B1813">
        <f t="shared" si="112"/>
        <v>33.716495999999999</v>
      </c>
      <c r="C1813">
        <f t="shared" si="113"/>
        <v>-117.85615</v>
      </c>
      <c r="D1813">
        <f t="shared" si="114"/>
        <v>62</v>
      </c>
      <c r="E1813">
        <v>56.499000000000002</v>
      </c>
      <c r="F1813">
        <f t="shared" si="115"/>
        <v>5.5009999999999977</v>
      </c>
      <c r="G1813">
        <v>22.5</v>
      </c>
      <c r="H1813">
        <v>0.81699999999999995</v>
      </c>
      <c r="I1813">
        <v>3.1859999999999999</v>
      </c>
      <c r="J1813">
        <v>5</v>
      </c>
      <c r="K1813">
        <v>12</v>
      </c>
      <c r="L1813">
        <v>6</v>
      </c>
      <c r="M1813">
        <v>1.4790000000000001</v>
      </c>
    </row>
    <row r="1814" spans="1:13" ht="15" customHeight="1">
      <c r="A1814" t="s">
        <v>25</v>
      </c>
      <c r="B1814">
        <f t="shared" si="112"/>
        <v>33.716495999999999</v>
      </c>
      <c r="C1814">
        <f t="shared" si="113"/>
        <v>-117.85615</v>
      </c>
      <c r="D1814">
        <f t="shared" si="114"/>
        <v>62</v>
      </c>
      <c r="E1814">
        <v>57.499000000000002</v>
      </c>
      <c r="F1814">
        <f t="shared" si="115"/>
        <v>4.5009999999999977</v>
      </c>
      <c r="G1814">
        <v>31.183</v>
      </c>
      <c r="H1814">
        <v>1.357</v>
      </c>
      <c r="I1814">
        <v>4.1360000000000001</v>
      </c>
      <c r="J1814">
        <v>4</v>
      </c>
      <c r="K1814">
        <v>21</v>
      </c>
      <c r="L1814">
        <v>11</v>
      </c>
      <c r="M1814">
        <v>1.9530000000000001</v>
      </c>
    </row>
    <row r="1815" spans="1:13" ht="15" customHeight="1">
      <c r="A1815" t="s">
        <v>25</v>
      </c>
      <c r="B1815">
        <f t="shared" si="112"/>
        <v>33.716495999999999</v>
      </c>
      <c r="C1815">
        <f t="shared" si="113"/>
        <v>-117.85615</v>
      </c>
      <c r="D1815">
        <f t="shared" si="114"/>
        <v>62</v>
      </c>
      <c r="E1815">
        <v>58.499000000000002</v>
      </c>
      <c r="F1815">
        <f t="shared" si="115"/>
        <v>3.5009999999999977</v>
      </c>
      <c r="G1815">
        <v>45.75</v>
      </c>
      <c r="H1815">
        <v>2.177</v>
      </c>
      <c r="I1815">
        <v>4.6710000000000003</v>
      </c>
      <c r="J1815">
        <v>4</v>
      </c>
      <c r="K1815">
        <v>30</v>
      </c>
      <c r="L1815">
        <v>15</v>
      </c>
      <c r="M1815">
        <v>2.8679999999999999</v>
      </c>
    </row>
    <row r="1816" spans="1:13" ht="15" customHeight="1">
      <c r="A1816" t="s">
        <v>25</v>
      </c>
      <c r="B1816">
        <f t="shared" si="112"/>
        <v>33.716495999999999</v>
      </c>
      <c r="C1816">
        <f t="shared" si="113"/>
        <v>-117.85615</v>
      </c>
      <c r="D1816">
        <f t="shared" si="114"/>
        <v>62</v>
      </c>
      <c r="E1816">
        <v>59.499000000000002</v>
      </c>
      <c r="F1816">
        <f t="shared" si="115"/>
        <v>2.5009999999999977</v>
      </c>
      <c r="G1816">
        <v>59.6</v>
      </c>
      <c r="H1816">
        <v>3.347</v>
      </c>
      <c r="I1816">
        <v>5.5449999999999999</v>
      </c>
      <c r="J1816">
        <v>11</v>
      </c>
      <c r="K1816">
        <v>58</v>
      </c>
      <c r="L1816">
        <v>29</v>
      </c>
      <c r="M1816" s="1">
        <v>9000000000</v>
      </c>
    </row>
    <row r="1817" spans="1:13" ht="15" customHeight="1">
      <c r="A1817" t="s">
        <v>25</v>
      </c>
      <c r="B1817">
        <f t="shared" si="112"/>
        <v>33.716495999999999</v>
      </c>
      <c r="C1817">
        <f t="shared" si="113"/>
        <v>-117.85615</v>
      </c>
      <c r="D1817">
        <f t="shared" si="114"/>
        <v>62</v>
      </c>
      <c r="E1817">
        <v>60.499000000000002</v>
      </c>
      <c r="F1817">
        <f t="shared" si="115"/>
        <v>1.5009999999999977</v>
      </c>
      <c r="G1817">
        <v>52.966999999999999</v>
      </c>
      <c r="H1817">
        <v>1.8149999999999999</v>
      </c>
      <c r="I1817">
        <v>3.391</v>
      </c>
      <c r="J1817">
        <v>5</v>
      </c>
      <c r="K1817">
        <v>26</v>
      </c>
      <c r="L1817">
        <v>13</v>
      </c>
      <c r="M1817">
        <v>3.3210000000000002</v>
      </c>
    </row>
    <row r="1818" spans="1:13" ht="15" customHeight="1">
      <c r="A1818" t="s">
        <v>25</v>
      </c>
      <c r="B1818">
        <f t="shared" si="112"/>
        <v>33.716495999999999</v>
      </c>
      <c r="C1818">
        <f t="shared" si="113"/>
        <v>-117.85615</v>
      </c>
      <c r="D1818">
        <f t="shared" si="114"/>
        <v>62</v>
      </c>
      <c r="E1818">
        <v>61.499000000000002</v>
      </c>
      <c r="F1818">
        <f t="shared" si="115"/>
        <v>0.50099999999999767</v>
      </c>
      <c r="G1818">
        <v>110.517</v>
      </c>
      <c r="H1818">
        <v>1.5369999999999999</v>
      </c>
      <c r="I1818">
        <v>1.383</v>
      </c>
      <c r="J1818">
        <v>8</v>
      </c>
      <c r="K1818">
        <v>27</v>
      </c>
      <c r="L1818">
        <v>14</v>
      </c>
      <c r="M1818" s="1">
        <v>9000000000</v>
      </c>
    </row>
    <row r="1819" spans="1:13" ht="15" customHeight="1">
      <c r="A1819" t="s">
        <v>25</v>
      </c>
      <c r="B1819">
        <f t="shared" si="112"/>
        <v>33.716495999999999</v>
      </c>
      <c r="C1819">
        <f t="shared" si="113"/>
        <v>-117.85615</v>
      </c>
      <c r="D1819">
        <f t="shared" si="114"/>
        <v>62</v>
      </c>
      <c r="E1819">
        <v>62.499000000000002</v>
      </c>
      <c r="F1819">
        <f t="shared" si="115"/>
        <v>-0.49900000000000233</v>
      </c>
      <c r="G1819">
        <v>102.67100000000001</v>
      </c>
      <c r="H1819">
        <v>2.1589999999999998</v>
      </c>
      <c r="I1819">
        <v>2.0939999999999999</v>
      </c>
      <c r="J1819">
        <v>7</v>
      </c>
      <c r="K1819">
        <v>33</v>
      </c>
      <c r="L1819">
        <v>17</v>
      </c>
      <c r="M1819" s="1">
        <v>9000000000</v>
      </c>
    </row>
    <row r="1820" spans="1:13" ht="15" customHeight="1">
      <c r="A1820" t="s">
        <v>25</v>
      </c>
      <c r="B1820">
        <f t="shared" si="112"/>
        <v>33.716495999999999</v>
      </c>
      <c r="C1820">
        <f t="shared" si="113"/>
        <v>-117.85615</v>
      </c>
      <c r="D1820">
        <f t="shared" si="114"/>
        <v>62</v>
      </c>
      <c r="E1820">
        <v>63.499000000000002</v>
      </c>
      <c r="F1820">
        <f t="shared" si="115"/>
        <v>-1.4990000000000023</v>
      </c>
      <c r="G1820">
        <v>82.167000000000002</v>
      </c>
      <c r="H1820">
        <v>1.825</v>
      </c>
      <c r="I1820">
        <v>2.2149999999999999</v>
      </c>
      <c r="J1820">
        <v>7</v>
      </c>
      <c r="K1820">
        <v>26</v>
      </c>
      <c r="L1820">
        <v>13</v>
      </c>
      <c r="M1820" s="1">
        <v>9000000000</v>
      </c>
    </row>
    <row r="1821" spans="1:13" ht="15" customHeight="1">
      <c r="A1821" t="s">
        <v>25</v>
      </c>
      <c r="B1821">
        <f t="shared" si="112"/>
        <v>33.716495999999999</v>
      </c>
      <c r="C1821">
        <f t="shared" si="113"/>
        <v>-117.85615</v>
      </c>
      <c r="D1821">
        <f t="shared" si="114"/>
        <v>62</v>
      </c>
      <c r="E1821">
        <v>64.498999999999995</v>
      </c>
      <c r="F1821">
        <f t="shared" si="115"/>
        <v>-2.4989999999999952</v>
      </c>
      <c r="G1821">
        <v>52.6</v>
      </c>
      <c r="H1821">
        <v>1.7869999999999999</v>
      </c>
      <c r="I1821">
        <v>3.383</v>
      </c>
      <c r="J1821">
        <v>5</v>
      </c>
      <c r="K1821">
        <v>25</v>
      </c>
      <c r="L1821">
        <v>13</v>
      </c>
      <c r="M1821">
        <v>3.258</v>
      </c>
    </row>
    <row r="1822" spans="1:13" ht="15" customHeight="1">
      <c r="A1822" t="s">
        <v>25</v>
      </c>
      <c r="B1822">
        <f t="shared" si="112"/>
        <v>33.716495999999999</v>
      </c>
      <c r="C1822">
        <f t="shared" si="113"/>
        <v>-117.85615</v>
      </c>
      <c r="D1822">
        <f t="shared" si="114"/>
        <v>62</v>
      </c>
      <c r="E1822">
        <v>65.498999999999995</v>
      </c>
      <c r="F1822">
        <f t="shared" si="115"/>
        <v>-3.4989999999999952</v>
      </c>
      <c r="G1822">
        <v>33.616999999999997</v>
      </c>
      <c r="H1822">
        <v>1.2150000000000001</v>
      </c>
      <c r="I1822">
        <v>3.5880000000000001</v>
      </c>
      <c r="J1822">
        <v>5</v>
      </c>
      <c r="K1822">
        <v>16</v>
      </c>
      <c r="L1822">
        <v>8</v>
      </c>
      <c r="M1822">
        <v>1.99</v>
      </c>
    </row>
    <row r="1823" spans="1:13" ht="15" customHeight="1">
      <c r="A1823" t="s">
        <v>25</v>
      </c>
      <c r="B1823">
        <f t="shared" si="112"/>
        <v>33.716495999999999</v>
      </c>
      <c r="C1823">
        <f t="shared" si="113"/>
        <v>-117.85615</v>
      </c>
      <c r="D1823">
        <f t="shared" si="114"/>
        <v>62</v>
      </c>
      <c r="E1823">
        <v>66.498999999999995</v>
      </c>
      <c r="F1823">
        <f t="shared" si="115"/>
        <v>-4.4989999999999952</v>
      </c>
      <c r="G1823">
        <v>79.599999999999994</v>
      </c>
      <c r="H1823">
        <v>1.708</v>
      </c>
      <c r="I1823">
        <v>2.1419999999999999</v>
      </c>
      <c r="J1823">
        <v>7</v>
      </c>
      <c r="K1823">
        <v>25</v>
      </c>
      <c r="L1823">
        <v>13</v>
      </c>
      <c r="M1823" s="1">
        <v>9000000000</v>
      </c>
    </row>
    <row r="1824" spans="1:13" ht="15" customHeight="1">
      <c r="A1824" t="s">
        <v>25</v>
      </c>
      <c r="B1824">
        <f t="shared" si="112"/>
        <v>33.716495999999999</v>
      </c>
      <c r="C1824">
        <f t="shared" si="113"/>
        <v>-117.85615</v>
      </c>
      <c r="D1824">
        <f t="shared" si="114"/>
        <v>62</v>
      </c>
      <c r="E1824">
        <v>67.498999999999995</v>
      </c>
      <c r="F1824">
        <f t="shared" si="115"/>
        <v>-5.4989999999999952</v>
      </c>
      <c r="G1824">
        <v>24.45</v>
      </c>
      <c r="H1824">
        <v>1.157</v>
      </c>
      <c r="I1824">
        <v>4.7050000000000001</v>
      </c>
      <c r="J1824">
        <v>3</v>
      </c>
      <c r="K1824">
        <v>24</v>
      </c>
      <c r="L1824">
        <v>12</v>
      </c>
      <c r="M1824">
        <v>1.363</v>
      </c>
    </row>
    <row r="1825" spans="1:13" ht="15" customHeight="1">
      <c r="A1825" t="s">
        <v>25</v>
      </c>
      <c r="B1825">
        <f t="shared" si="112"/>
        <v>33.716495999999999</v>
      </c>
      <c r="C1825">
        <f t="shared" si="113"/>
        <v>-117.85615</v>
      </c>
      <c r="D1825">
        <f t="shared" si="114"/>
        <v>62</v>
      </c>
      <c r="E1825">
        <v>68.498999999999995</v>
      </c>
      <c r="F1825">
        <f t="shared" si="115"/>
        <v>-6.4989999999999952</v>
      </c>
      <c r="G1825">
        <v>114.033</v>
      </c>
      <c r="H1825">
        <v>1.7050000000000001</v>
      </c>
      <c r="I1825">
        <v>1.494</v>
      </c>
      <c r="J1825">
        <v>8</v>
      </c>
      <c r="K1825">
        <v>27</v>
      </c>
      <c r="L1825">
        <v>14</v>
      </c>
      <c r="M1825" s="1">
        <v>9000000000</v>
      </c>
    </row>
    <row r="1826" spans="1:13" ht="15" customHeight="1">
      <c r="A1826" t="s">
        <v>25</v>
      </c>
      <c r="B1826">
        <f t="shared" si="112"/>
        <v>33.716495999999999</v>
      </c>
      <c r="C1826">
        <f t="shared" si="113"/>
        <v>-117.85615</v>
      </c>
      <c r="D1826">
        <f t="shared" si="114"/>
        <v>62</v>
      </c>
      <c r="E1826">
        <v>69.498999999999995</v>
      </c>
      <c r="F1826">
        <f t="shared" si="115"/>
        <v>-7.4989999999999952</v>
      </c>
      <c r="G1826">
        <v>136.5</v>
      </c>
      <c r="H1826">
        <v>1.597</v>
      </c>
      <c r="I1826">
        <v>1.169</v>
      </c>
      <c r="J1826">
        <v>8</v>
      </c>
      <c r="K1826">
        <v>33</v>
      </c>
      <c r="L1826">
        <v>17</v>
      </c>
      <c r="M1826" s="1">
        <v>9000000000</v>
      </c>
    </row>
    <row r="1827" spans="1:13" ht="15" customHeight="1">
      <c r="A1827" t="s">
        <v>25</v>
      </c>
      <c r="B1827">
        <f t="shared" si="112"/>
        <v>33.716495999999999</v>
      </c>
      <c r="C1827">
        <f t="shared" si="113"/>
        <v>-117.85615</v>
      </c>
      <c r="D1827">
        <f t="shared" si="114"/>
        <v>62</v>
      </c>
      <c r="E1827">
        <v>70.498999999999995</v>
      </c>
      <c r="F1827">
        <f t="shared" si="115"/>
        <v>-8.4989999999999952</v>
      </c>
      <c r="G1827">
        <v>30.933</v>
      </c>
      <c r="H1827">
        <v>1.3</v>
      </c>
      <c r="I1827">
        <v>4.1580000000000004</v>
      </c>
      <c r="J1827">
        <v>4</v>
      </c>
      <c r="K1827">
        <v>20</v>
      </c>
      <c r="L1827">
        <v>10</v>
      </c>
      <c r="M1827">
        <v>1.796</v>
      </c>
    </row>
    <row r="1828" spans="1:13" ht="15" customHeight="1">
      <c r="A1828" t="s">
        <v>25</v>
      </c>
      <c r="B1828">
        <f t="shared" si="112"/>
        <v>33.716495999999999</v>
      </c>
      <c r="C1828">
        <f t="shared" si="113"/>
        <v>-117.85615</v>
      </c>
      <c r="D1828">
        <f t="shared" si="114"/>
        <v>62</v>
      </c>
      <c r="E1828">
        <v>71.498999999999995</v>
      </c>
      <c r="F1828">
        <f t="shared" si="115"/>
        <v>-9.4989999999999952</v>
      </c>
      <c r="G1828">
        <v>54.6</v>
      </c>
      <c r="H1828">
        <v>1.857</v>
      </c>
      <c r="I1828">
        <v>3.391</v>
      </c>
      <c r="J1828">
        <v>5</v>
      </c>
      <c r="K1828">
        <v>26</v>
      </c>
      <c r="L1828">
        <v>13</v>
      </c>
      <c r="M1828">
        <v>3.3580000000000001</v>
      </c>
    </row>
    <row r="1829" spans="1:13" ht="15" customHeight="1">
      <c r="A1829" t="s">
        <v>25</v>
      </c>
      <c r="B1829">
        <f t="shared" si="112"/>
        <v>33.716495999999999</v>
      </c>
      <c r="C1829">
        <f t="shared" si="113"/>
        <v>-117.85615</v>
      </c>
      <c r="D1829">
        <f t="shared" si="114"/>
        <v>62</v>
      </c>
      <c r="E1829">
        <v>72.498999999999995</v>
      </c>
      <c r="F1829">
        <f t="shared" si="115"/>
        <v>-10.498999999999995</v>
      </c>
      <c r="G1829">
        <v>57.3</v>
      </c>
      <c r="H1829">
        <v>0.83599999999999997</v>
      </c>
      <c r="I1829">
        <v>1.456</v>
      </c>
      <c r="J1829">
        <v>7</v>
      </c>
      <c r="K1829">
        <v>18</v>
      </c>
      <c r="L1829">
        <v>9</v>
      </c>
      <c r="M1829" s="1">
        <v>9000000000</v>
      </c>
    </row>
    <row r="1830" spans="1:13" ht="15" customHeight="1">
      <c r="A1830" t="s">
        <v>25</v>
      </c>
      <c r="B1830">
        <f t="shared" si="112"/>
        <v>33.716495999999999</v>
      </c>
      <c r="C1830">
        <f t="shared" si="113"/>
        <v>-117.85615</v>
      </c>
      <c r="D1830">
        <f t="shared" si="114"/>
        <v>62</v>
      </c>
      <c r="E1830">
        <v>73.498999999999995</v>
      </c>
      <c r="F1830">
        <f t="shared" si="115"/>
        <v>-11.498999999999995</v>
      </c>
      <c r="G1830">
        <v>22.6</v>
      </c>
      <c r="H1830">
        <v>0.67</v>
      </c>
      <c r="I1830">
        <v>2.9390000000000001</v>
      </c>
      <c r="J1830">
        <v>5</v>
      </c>
      <c r="K1830">
        <v>11</v>
      </c>
      <c r="L1830">
        <v>6</v>
      </c>
      <c r="M1830">
        <v>1.2190000000000001</v>
      </c>
    </row>
    <row r="1831" spans="1:13" ht="15" customHeight="1">
      <c r="A1831" t="s">
        <v>25</v>
      </c>
      <c r="B1831">
        <f t="shared" si="112"/>
        <v>33.716495999999999</v>
      </c>
      <c r="C1831">
        <f t="shared" si="113"/>
        <v>-117.85615</v>
      </c>
      <c r="D1831">
        <f t="shared" si="114"/>
        <v>62</v>
      </c>
      <c r="E1831">
        <v>74.498999999999995</v>
      </c>
      <c r="F1831">
        <f t="shared" si="115"/>
        <v>-12.498999999999995</v>
      </c>
      <c r="G1831">
        <v>16.367000000000001</v>
      </c>
      <c r="H1831">
        <v>0.38700000000000001</v>
      </c>
      <c r="I1831">
        <v>2.2989999999999999</v>
      </c>
      <c r="J1831">
        <v>5</v>
      </c>
      <c r="K1831">
        <v>8</v>
      </c>
      <c r="L1831">
        <v>4</v>
      </c>
      <c r="M1831">
        <v>0.81699999999999995</v>
      </c>
    </row>
    <row r="1832" spans="1:13" ht="15" customHeight="1">
      <c r="A1832" t="s">
        <v>25</v>
      </c>
      <c r="B1832">
        <f t="shared" si="112"/>
        <v>33.716495999999999</v>
      </c>
      <c r="C1832">
        <f t="shared" si="113"/>
        <v>-117.85615</v>
      </c>
      <c r="D1832">
        <f t="shared" si="114"/>
        <v>62</v>
      </c>
      <c r="E1832">
        <v>75.498999999999995</v>
      </c>
      <c r="F1832">
        <f t="shared" si="115"/>
        <v>-13.498999999999995</v>
      </c>
      <c r="G1832">
        <v>20.667000000000002</v>
      </c>
      <c r="H1832">
        <v>0.74199999999999999</v>
      </c>
      <c r="I1832">
        <v>3.4049999999999998</v>
      </c>
      <c r="J1832">
        <v>5</v>
      </c>
      <c r="K1832">
        <v>10</v>
      </c>
      <c r="L1832">
        <v>5</v>
      </c>
      <c r="M1832">
        <v>1.1439999999999999</v>
      </c>
    </row>
    <row r="1833" spans="1:13" ht="15" customHeight="1">
      <c r="A1833" t="s">
        <v>25</v>
      </c>
      <c r="B1833">
        <f t="shared" si="112"/>
        <v>33.716495999999999</v>
      </c>
      <c r="C1833">
        <f t="shared" si="113"/>
        <v>-117.85615</v>
      </c>
      <c r="D1833">
        <f t="shared" si="114"/>
        <v>62</v>
      </c>
      <c r="E1833">
        <v>76.498999999999995</v>
      </c>
      <c r="F1833">
        <f t="shared" si="115"/>
        <v>-14.498999999999995</v>
      </c>
      <c r="G1833">
        <v>107.55</v>
      </c>
      <c r="H1833">
        <v>4.0999999999999996</v>
      </c>
      <c r="I1833">
        <v>3.7989999999999999</v>
      </c>
      <c r="J1833">
        <v>5</v>
      </c>
      <c r="K1833">
        <v>52</v>
      </c>
      <c r="L1833">
        <v>26</v>
      </c>
      <c r="M1833">
        <v>6.883</v>
      </c>
    </row>
    <row r="1834" spans="1:13" ht="15" customHeight="1">
      <c r="A1834" t="s">
        <v>25</v>
      </c>
      <c r="B1834">
        <f t="shared" si="112"/>
        <v>33.716495999999999</v>
      </c>
      <c r="C1834">
        <f t="shared" si="113"/>
        <v>-117.85615</v>
      </c>
      <c r="D1834">
        <f t="shared" si="114"/>
        <v>62</v>
      </c>
      <c r="E1834">
        <v>77.498999999999995</v>
      </c>
      <c r="F1834">
        <f t="shared" si="115"/>
        <v>-15.498999999999995</v>
      </c>
      <c r="G1834">
        <v>38.866999999999997</v>
      </c>
      <c r="H1834">
        <v>1.782</v>
      </c>
      <c r="I1834">
        <v>4.5389999999999997</v>
      </c>
      <c r="J1834">
        <v>4</v>
      </c>
      <c r="K1834">
        <v>25</v>
      </c>
      <c r="L1834">
        <v>13</v>
      </c>
      <c r="M1834">
        <v>2.2999999999999998</v>
      </c>
    </row>
    <row r="1835" spans="1:13" ht="15" customHeight="1">
      <c r="A1835" t="s">
        <v>25</v>
      </c>
      <c r="B1835">
        <f t="shared" si="112"/>
        <v>33.716495999999999</v>
      </c>
      <c r="C1835">
        <f t="shared" si="113"/>
        <v>-117.85615</v>
      </c>
      <c r="D1835">
        <f t="shared" si="114"/>
        <v>62</v>
      </c>
      <c r="E1835">
        <v>78.498999999999995</v>
      </c>
      <c r="F1835">
        <f t="shared" si="115"/>
        <v>-16.498999999999995</v>
      </c>
      <c r="G1835">
        <v>53.517000000000003</v>
      </c>
      <c r="H1835">
        <v>2.3279999999999998</v>
      </c>
      <c r="I1835">
        <v>4.33</v>
      </c>
      <c r="J1835">
        <v>4</v>
      </c>
      <c r="K1835">
        <v>34</v>
      </c>
      <c r="L1835">
        <v>17</v>
      </c>
      <c r="M1835">
        <v>3.2629999999999999</v>
      </c>
    </row>
    <row r="1836" spans="1:13" ht="15" customHeight="1">
      <c r="A1836" t="s">
        <v>25</v>
      </c>
      <c r="B1836">
        <f t="shared" si="112"/>
        <v>33.716495999999999</v>
      </c>
      <c r="C1836">
        <f t="shared" si="113"/>
        <v>-117.85615</v>
      </c>
      <c r="D1836">
        <f t="shared" si="114"/>
        <v>62</v>
      </c>
      <c r="E1836">
        <v>79.498999999999995</v>
      </c>
      <c r="F1836">
        <f t="shared" si="115"/>
        <v>-17.498999999999995</v>
      </c>
      <c r="G1836">
        <v>21.966999999999999</v>
      </c>
      <c r="H1836">
        <v>0.89200000000000002</v>
      </c>
      <c r="I1836">
        <v>3.99</v>
      </c>
      <c r="J1836">
        <v>4</v>
      </c>
      <c r="K1836">
        <v>14</v>
      </c>
      <c r="L1836">
        <v>7</v>
      </c>
      <c r="M1836">
        <v>1.165</v>
      </c>
    </row>
    <row r="1837" spans="1:13" ht="15" customHeight="1">
      <c r="A1837" t="s">
        <v>25</v>
      </c>
      <c r="B1837">
        <f t="shared" si="112"/>
        <v>33.716495999999999</v>
      </c>
      <c r="C1837">
        <f t="shared" si="113"/>
        <v>-117.85615</v>
      </c>
      <c r="D1837">
        <f t="shared" si="114"/>
        <v>62</v>
      </c>
      <c r="E1837">
        <v>80.498999999999995</v>
      </c>
      <c r="F1837">
        <f t="shared" si="115"/>
        <v>-18.498999999999995</v>
      </c>
      <c r="G1837">
        <v>19.817</v>
      </c>
      <c r="H1837">
        <v>0.58699999999999997</v>
      </c>
      <c r="I1837">
        <v>2.8210000000000002</v>
      </c>
      <c r="J1837">
        <v>5</v>
      </c>
      <c r="K1837">
        <v>10</v>
      </c>
      <c r="L1837">
        <v>5</v>
      </c>
      <c r="M1837">
        <v>1.0569999999999999</v>
      </c>
    </row>
    <row r="1838" spans="1:13" ht="15" customHeight="1">
      <c r="A1838" t="s">
        <v>25</v>
      </c>
      <c r="B1838">
        <f t="shared" si="112"/>
        <v>33.716495999999999</v>
      </c>
      <c r="C1838">
        <f t="shared" si="113"/>
        <v>-117.85615</v>
      </c>
      <c r="D1838">
        <f t="shared" si="114"/>
        <v>62</v>
      </c>
      <c r="E1838">
        <v>81.498999999999995</v>
      </c>
      <c r="F1838">
        <f t="shared" si="115"/>
        <v>-19.498999999999995</v>
      </c>
      <c r="G1838">
        <v>23.1</v>
      </c>
      <c r="H1838">
        <v>0.72799999999999998</v>
      </c>
      <c r="I1838">
        <v>2.9489999999999998</v>
      </c>
      <c r="J1838">
        <v>5</v>
      </c>
      <c r="K1838">
        <v>12</v>
      </c>
      <c r="L1838">
        <v>6</v>
      </c>
      <c r="M1838">
        <v>1.3129999999999999</v>
      </c>
    </row>
    <row r="1839" spans="1:13" ht="15" customHeight="1">
      <c r="A1839" t="s">
        <v>25</v>
      </c>
      <c r="B1839">
        <f t="shared" si="112"/>
        <v>33.716495999999999</v>
      </c>
      <c r="C1839">
        <f t="shared" si="113"/>
        <v>-117.85615</v>
      </c>
      <c r="D1839">
        <f t="shared" si="114"/>
        <v>62</v>
      </c>
      <c r="E1839">
        <v>82.498999999999995</v>
      </c>
      <c r="F1839">
        <f t="shared" si="115"/>
        <v>-20.498999999999995</v>
      </c>
      <c r="G1839">
        <v>21.933</v>
      </c>
      <c r="H1839">
        <v>0.66500000000000004</v>
      </c>
      <c r="I1839">
        <v>2.7770000000000001</v>
      </c>
      <c r="J1839">
        <v>5</v>
      </c>
      <c r="K1839">
        <v>11</v>
      </c>
      <c r="L1839">
        <v>6</v>
      </c>
      <c r="M1839">
        <v>1.2589999999999999</v>
      </c>
    </row>
    <row r="1840" spans="1:13" ht="15" customHeight="1">
      <c r="A1840" t="s">
        <v>25</v>
      </c>
      <c r="B1840">
        <f t="shared" si="112"/>
        <v>33.716495999999999</v>
      </c>
      <c r="C1840">
        <f t="shared" si="113"/>
        <v>-117.85615</v>
      </c>
      <c r="D1840">
        <f t="shared" si="114"/>
        <v>62</v>
      </c>
      <c r="E1840">
        <v>83.498999999999995</v>
      </c>
      <c r="F1840">
        <f t="shared" si="115"/>
        <v>-21.498999999999995</v>
      </c>
      <c r="G1840">
        <v>27.414000000000001</v>
      </c>
      <c r="H1840">
        <v>0.97299999999999998</v>
      </c>
      <c r="I1840">
        <v>3.3610000000000002</v>
      </c>
      <c r="J1840">
        <v>5</v>
      </c>
      <c r="K1840">
        <v>14</v>
      </c>
      <c r="L1840">
        <v>7</v>
      </c>
      <c r="M1840">
        <v>1.5880000000000001</v>
      </c>
    </row>
    <row r="1841" spans="1:13" ht="15" customHeight="1">
      <c r="A1841" t="s">
        <v>25</v>
      </c>
      <c r="B1841">
        <f t="shared" si="112"/>
        <v>33.716495999999999</v>
      </c>
      <c r="C1841">
        <f t="shared" si="113"/>
        <v>-117.85615</v>
      </c>
      <c r="D1841">
        <f t="shared" si="114"/>
        <v>62</v>
      </c>
      <c r="E1841">
        <v>84.498999999999995</v>
      </c>
      <c r="F1841">
        <f t="shared" si="115"/>
        <v>-22.498999999999995</v>
      </c>
      <c r="G1841">
        <v>24.966999999999999</v>
      </c>
      <c r="H1841">
        <v>0.877</v>
      </c>
      <c r="I1841">
        <v>3.2669999999999999</v>
      </c>
      <c r="J1841">
        <v>5</v>
      </c>
      <c r="K1841">
        <v>13</v>
      </c>
      <c r="L1841">
        <v>7</v>
      </c>
      <c r="M1841">
        <v>1.4430000000000001</v>
      </c>
    </row>
    <row r="1842" spans="1:13" ht="15" customHeight="1">
      <c r="A1842" t="s">
        <v>25</v>
      </c>
      <c r="B1842">
        <f t="shared" si="112"/>
        <v>33.716495999999999</v>
      </c>
      <c r="C1842">
        <f t="shared" si="113"/>
        <v>-117.85615</v>
      </c>
      <c r="D1842">
        <f t="shared" si="114"/>
        <v>62</v>
      </c>
      <c r="E1842">
        <v>85.498999999999995</v>
      </c>
      <c r="F1842">
        <f t="shared" si="115"/>
        <v>-23.498999999999995</v>
      </c>
      <c r="G1842">
        <v>23.433</v>
      </c>
      <c r="H1842">
        <v>0.82199999999999995</v>
      </c>
      <c r="I1842">
        <v>3.2480000000000002</v>
      </c>
      <c r="J1842">
        <v>5</v>
      </c>
      <c r="K1842">
        <v>12</v>
      </c>
      <c r="L1842">
        <v>6</v>
      </c>
      <c r="M1842">
        <v>1.3360000000000001</v>
      </c>
    </row>
    <row r="1843" spans="1:13" ht="15" customHeight="1">
      <c r="A1843" t="s">
        <v>25</v>
      </c>
      <c r="B1843">
        <f t="shared" si="112"/>
        <v>33.716495999999999</v>
      </c>
      <c r="C1843">
        <f t="shared" si="113"/>
        <v>-117.85615</v>
      </c>
      <c r="D1843">
        <f t="shared" si="114"/>
        <v>62</v>
      </c>
      <c r="E1843">
        <v>86.498999999999995</v>
      </c>
      <c r="F1843">
        <f t="shared" si="115"/>
        <v>-24.498999999999995</v>
      </c>
      <c r="G1843">
        <v>22.7</v>
      </c>
      <c r="H1843">
        <v>0.82699999999999996</v>
      </c>
      <c r="I1843">
        <v>3.3359999999999999</v>
      </c>
      <c r="J1843">
        <v>5</v>
      </c>
      <c r="K1843">
        <v>12</v>
      </c>
      <c r="L1843">
        <v>6</v>
      </c>
      <c r="M1843">
        <v>1.298</v>
      </c>
    </row>
    <row r="1844" spans="1:13" ht="15" customHeight="1">
      <c r="A1844" t="s">
        <v>25</v>
      </c>
      <c r="B1844">
        <f t="shared" si="112"/>
        <v>33.716495999999999</v>
      </c>
      <c r="C1844">
        <f t="shared" si="113"/>
        <v>-117.85615</v>
      </c>
      <c r="D1844">
        <f t="shared" si="114"/>
        <v>62</v>
      </c>
      <c r="E1844">
        <v>87.498999999999995</v>
      </c>
      <c r="F1844">
        <f t="shared" si="115"/>
        <v>-25.498999999999995</v>
      </c>
      <c r="G1844">
        <v>24.85</v>
      </c>
      <c r="H1844">
        <v>0.98</v>
      </c>
      <c r="I1844">
        <v>3.68</v>
      </c>
      <c r="J1844">
        <v>5</v>
      </c>
      <c r="K1844">
        <v>13</v>
      </c>
      <c r="L1844">
        <v>7</v>
      </c>
      <c r="M1844">
        <v>1.417</v>
      </c>
    </row>
    <row r="1845" spans="1:13" ht="15" customHeight="1">
      <c r="A1845" t="s">
        <v>25</v>
      </c>
      <c r="B1845">
        <f t="shared" si="112"/>
        <v>33.716495999999999</v>
      </c>
      <c r="C1845">
        <f t="shared" si="113"/>
        <v>-117.85615</v>
      </c>
      <c r="D1845">
        <f t="shared" si="114"/>
        <v>62</v>
      </c>
      <c r="E1845">
        <v>88.498999999999995</v>
      </c>
      <c r="F1845">
        <f t="shared" si="115"/>
        <v>-26.498999999999995</v>
      </c>
      <c r="G1845">
        <v>29.5</v>
      </c>
      <c r="H1845">
        <v>1.155</v>
      </c>
      <c r="I1845">
        <v>3.81</v>
      </c>
      <c r="J1845">
        <v>5</v>
      </c>
      <c r="K1845">
        <v>15</v>
      </c>
      <c r="L1845">
        <v>8</v>
      </c>
      <c r="M1845">
        <v>1.6579999999999999</v>
      </c>
    </row>
    <row r="1846" spans="1:13" ht="15" customHeight="1">
      <c r="A1846" t="s">
        <v>25</v>
      </c>
      <c r="B1846">
        <f t="shared" si="112"/>
        <v>33.716495999999999</v>
      </c>
      <c r="C1846">
        <f t="shared" si="113"/>
        <v>-117.85615</v>
      </c>
      <c r="D1846">
        <f t="shared" si="114"/>
        <v>62</v>
      </c>
      <c r="E1846">
        <v>89.498999999999995</v>
      </c>
      <c r="F1846">
        <f t="shared" si="115"/>
        <v>-27.498999999999995</v>
      </c>
      <c r="G1846">
        <v>22.65</v>
      </c>
      <c r="H1846">
        <v>0.94199999999999995</v>
      </c>
      <c r="I1846">
        <v>3.8149999999999999</v>
      </c>
      <c r="J1846">
        <v>4</v>
      </c>
      <c r="K1846">
        <v>16</v>
      </c>
      <c r="L1846">
        <v>8</v>
      </c>
      <c r="M1846">
        <v>1.2789999999999999</v>
      </c>
    </row>
    <row r="1847" spans="1:13" ht="15" customHeight="1">
      <c r="A1847" t="s">
        <v>25</v>
      </c>
      <c r="B1847">
        <f t="shared" si="112"/>
        <v>33.716495999999999</v>
      </c>
      <c r="C1847">
        <f t="shared" si="113"/>
        <v>-117.85615</v>
      </c>
      <c r="D1847">
        <f t="shared" si="114"/>
        <v>62</v>
      </c>
      <c r="E1847">
        <v>90.498999999999995</v>
      </c>
      <c r="F1847">
        <f t="shared" si="115"/>
        <v>-28.498999999999995</v>
      </c>
      <c r="G1847">
        <v>22.683</v>
      </c>
      <c r="H1847">
        <v>0.78</v>
      </c>
      <c r="I1847">
        <v>3.1789999999999998</v>
      </c>
      <c r="J1847">
        <v>5</v>
      </c>
      <c r="K1847">
        <v>12</v>
      </c>
      <c r="L1847">
        <v>6</v>
      </c>
      <c r="M1847">
        <v>1.2649999999999999</v>
      </c>
    </row>
    <row r="1848" spans="1:13" ht="15" customHeight="1">
      <c r="A1848" t="s">
        <v>25</v>
      </c>
      <c r="B1848">
        <f t="shared" si="112"/>
        <v>33.716495999999999</v>
      </c>
      <c r="C1848">
        <f t="shared" si="113"/>
        <v>-117.85615</v>
      </c>
      <c r="D1848">
        <f t="shared" si="114"/>
        <v>62</v>
      </c>
      <c r="E1848">
        <v>91.498999999999995</v>
      </c>
      <c r="F1848">
        <f t="shared" si="115"/>
        <v>-29.498999999999995</v>
      </c>
      <c r="G1848">
        <v>21.632999999999999</v>
      </c>
      <c r="H1848">
        <v>0.67700000000000005</v>
      </c>
      <c r="I1848">
        <v>2.8490000000000002</v>
      </c>
      <c r="J1848">
        <v>5</v>
      </c>
      <c r="K1848">
        <v>11</v>
      </c>
      <c r="L1848">
        <v>6</v>
      </c>
      <c r="M1848">
        <v>1.208</v>
      </c>
    </row>
    <row r="1849" spans="1:13" ht="15" customHeight="1">
      <c r="A1849" t="s">
        <v>25</v>
      </c>
      <c r="B1849">
        <f t="shared" si="112"/>
        <v>33.716495999999999</v>
      </c>
      <c r="C1849">
        <f t="shared" si="113"/>
        <v>-117.85615</v>
      </c>
      <c r="D1849">
        <f t="shared" si="114"/>
        <v>62</v>
      </c>
      <c r="E1849">
        <v>92.498999999999995</v>
      </c>
      <c r="F1849">
        <f t="shared" si="115"/>
        <v>-30.498999999999995</v>
      </c>
      <c r="G1849">
        <v>20.65</v>
      </c>
      <c r="H1849">
        <v>0.63800000000000001</v>
      </c>
      <c r="I1849">
        <v>2.8</v>
      </c>
      <c r="J1849">
        <v>5</v>
      </c>
      <c r="K1849">
        <v>11</v>
      </c>
      <c r="L1849">
        <v>6</v>
      </c>
      <c r="M1849">
        <v>1.141</v>
      </c>
    </row>
    <row r="1850" spans="1:13" ht="15" customHeight="1">
      <c r="A1850" t="s">
        <v>25</v>
      </c>
      <c r="B1850">
        <f t="shared" si="112"/>
        <v>33.716495999999999</v>
      </c>
      <c r="C1850">
        <f t="shared" si="113"/>
        <v>-117.85615</v>
      </c>
      <c r="D1850">
        <f t="shared" si="114"/>
        <v>62</v>
      </c>
      <c r="E1850">
        <v>93.498999999999995</v>
      </c>
      <c r="F1850">
        <f t="shared" si="115"/>
        <v>-31.498999999999995</v>
      </c>
      <c r="G1850">
        <v>26.157</v>
      </c>
      <c r="H1850">
        <v>1.1160000000000001</v>
      </c>
      <c r="I1850">
        <v>4.0629999999999997</v>
      </c>
      <c r="J1850">
        <v>4</v>
      </c>
      <c r="K1850">
        <v>18</v>
      </c>
      <c r="L1850">
        <v>9</v>
      </c>
      <c r="M1850">
        <v>1.4470000000000001</v>
      </c>
    </row>
    <row r="1851" spans="1:13" ht="15" customHeight="1">
      <c r="A1851" t="s">
        <v>25</v>
      </c>
      <c r="B1851">
        <f t="shared" si="112"/>
        <v>33.716495999999999</v>
      </c>
      <c r="C1851">
        <f t="shared" si="113"/>
        <v>-117.85615</v>
      </c>
      <c r="D1851">
        <f t="shared" si="114"/>
        <v>62</v>
      </c>
      <c r="E1851">
        <v>94.498999999999995</v>
      </c>
      <c r="F1851">
        <f t="shared" si="115"/>
        <v>-32.498999999999995</v>
      </c>
      <c r="G1851">
        <v>33.966999999999999</v>
      </c>
      <c r="H1851">
        <v>1.367</v>
      </c>
      <c r="I1851">
        <v>3.8140000000000001</v>
      </c>
      <c r="J1851">
        <v>5</v>
      </c>
      <c r="K1851">
        <v>17</v>
      </c>
      <c r="L1851">
        <v>9</v>
      </c>
      <c r="M1851">
        <v>2.0009999999999999</v>
      </c>
    </row>
    <row r="1852" spans="1:13" ht="15" customHeight="1">
      <c r="A1852" t="s">
        <v>25</v>
      </c>
      <c r="B1852">
        <f t="shared" si="112"/>
        <v>33.716495999999999</v>
      </c>
      <c r="C1852">
        <f t="shared" si="113"/>
        <v>-117.85615</v>
      </c>
      <c r="D1852">
        <f t="shared" si="114"/>
        <v>62</v>
      </c>
      <c r="E1852">
        <v>95.498999999999995</v>
      </c>
      <c r="F1852">
        <f t="shared" si="115"/>
        <v>-33.498999999999995</v>
      </c>
      <c r="G1852">
        <v>38.817</v>
      </c>
      <c r="H1852">
        <v>1.52</v>
      </c>
      <c r="I1852">
        <v>3.694</v>
      </c>
      <c r="J1852">
        <v>5</v>
      </c>
      <c r="K1852">
        <v>20</v>
      </c>
      <c r="L1852">
        <v>10</v>
      </c>
      <c r="M1852">
        <v>2.351</v>
      </c>
    </row>
    <row r="1853" spans="1:13" ht="15" customHeight="1">
      <c r="A1853" t="s">
        <v>25</v>
      </c>
      <c r="B1853">
        <f t="shared" si="112"/>
        <v>33.716495999999999</v>
      </c>
      <c r="C1853">
        <f t="shared" si="113"/>
        <v>-117.85615</v>
      </c>
      <c r="D1853">
        <f t="shared" si="114"/>
        <v>62</v>
      </c>
      <c r="E1853">
        <v>96.498999999999995</v>
      </c>
      <c r="F1853">
        <f t="shared" si="115"/>
        <v>-34.498999999999995</v>
      </c>
      <c r="G1853">
        <v>120.1</v>
      </c>
      <c r="H1853">
        <v>3.1819999999999999</v>
      </c>
      <c r="I1853">
        <v>2.6259999999999999</v>
      </c>
      <c r="J1853">
        <v>7</v>
      </c>
      <c r="K1853">
        <v>39</v>
      </c>
      <c r="L1853">
        <v>20</v>
      </c>
      <c r="M1853" s="1">
        <v>9000000000</v>
      </c>
    </row>
    <row r="1854" spans="1:13" ht="15" customHeight="1">
      <c r="A1854" t="s">
        <v>25</v>
      </c>
      <c r="B1854">
        <f t="shared" si="112"/>
        <v>33.716495999999999</v>
      </c>
      <c r="C1854">
        <f t="shared" si="113"/>
        <v>-117.85615</v>
      </c>
      <c r="D1854">
        <f t="shared" si="114"/>
        <v>62</v>
      </c>
      <c r="E1854">
        <v>97.498999999999995</v>
      </c>
      <c r="F1854">
        <f t="shared" si="115"/>
        <v>-35.498999999999995</v>
      </c>
      <c r="G1854">
        <v>261.41699999999997</v>
      </c>
      <c r="H1854">
        <v>2.052</v>
      </c>
      <c r="I1854">
        <v>0.78500000000000003</v>
      </c>
      <c r="J1854">
        <v>9</v>
      </c>
      <c r="K1854">
        <v>50</v>
      </c>
      <c r="L1854">
        <v>25</v>
      </c>
      <c r="M1854" s="1">
        <v>9000000000</v>
      </c>
    </row>
    <row r="1855" spans="1:13" ht="15" customHeight="1">
      <c r="A1855" t="s">
        <v>25</v>
      </c>
      <c r="B1855">
        <f t="shared" si="112"/>
        <v>33.716495999999999</v>
      </c>
      <c r="C1855">
        <f t="shared" si="113"/>
        <v>-117.85615</v>
      </c>
      <c r="D1855">
        <f t="shared" si="114"/>
        <v>62</v>
      </c>
      <c r="E1855">
        <v>98.498999999999995</v>
      </c>
      <c r="F1855">
        <f t="shared" si="115"/>
        <v>-36.498999999999995</v>
      </c>
      <c r="G1855">
        <v>267.64999999999998</v>
      </c>
      <c r="H1855">
        <v>2.3180000000000001</v>
      </c>
      <c r="I1855">
        <v>0.86499999999999999</v>
      </c>
      <c r="J1855">
        <v>9</v>
      </c>
      <c r="K1855">
        <v>51</v>
      </c>
      <c r="L1855">
        <v>26</v>
      </c>
      <c r="M1855" s="1">
        <v>9000000000</v>
      </c>
    </row>
    <row r="1856" spans="1:13" ht="15" customHeight="1">
      <c r="A1856" t="s">
        <v>25</v>
      </c>
      <c r="B1856">
        <f t="shared" si="112"/>
        <v>33.716495999999999</v>
      </c>
      <c r="C1856">
        <f t="shared" si="113"/>
        <v>-117.85615</v>
      </c>
      <c r="D1856">
        <f t="shared" si="114"/>
        <v>62</v>
      </c>
      <c r="E1856">
        <v>99.498999999999995</v>
      </c>
      <c r="F1856">
        <f t="shared" si="115"/>
        <v>-37.498999999999995</v>
      </c>
      <c r="G1856">
        <v>155.43299999999999</v>
      </c>
      <c r="H1856">
        <v>3.6379999999999999</v>
      </c>
      <c r="I1856">
        <v>2.335</v>
      </c>
      <c r="J1856">
        <v>7</v>
      </c>
      <c r="K1856">
        <v>50</v>
      </c>
      <c r="L1856">
        <v>25</v>
      </c>
      <c r="M1856" s="1">
        <v>9000000000</v>
      </c>
    </row>
    <row r="1857" spans="1:13" ht="15" customHeight="1">
      <c r="A1857" t="s">
        <v>25</v>
      </c>
      <c r="B1857">
        <f t="shared" si="112"/>
        <v>33.716495999999999</v>
      </c>
      <c r="C1857">
        <f t="shared" si="113"/>
        <v>-117.85615</v>
      </c>
      <c r="D1857">
        <f t="shared" si="114"/>
        <v>62</v>
      </c>
      <c r="E1857">
        <v>100.499</v>
      </c>
      <c r="F1857">
        <f t="shared" si="115"/>
        <v>-38.498999999999995</v>
      </c>
      <c r="G1857">
        <v>158.767</v>
      </c>
      <c r="H1857">
        <v>2.073</v>
      </c>
      <c r="I1857">
        <v>1.304</v>
      </c>
      <c r="J1857">
        <v>8</v>
      </c>
      <c r="K1857">
        <v>38</v>
      </c>
      <c r="L1857">
        <v>19</v>
      </c>
      <c r="M1857" s="1">
        <v>9000000000</v>
      </c>
    </row>
    <row r="1858" spans="1:13" ht="15" customHeight="1">
      <c r="A1858" t="s">
        <v>25</v>
      </c>
      <c r="B1858">
        <f t="shared" ref="B1858:B1921" si="116">VLOOKUP(A1858,XYdata,3,FALSE)</f>
        <v>33.716495999999999</v>
      </c>
      <c r="C1858">
        <f t="shared" ref="C1858:C1921" si="117">VLOOKUP(A1858,XYdata,2,FALSE)</f>
        <v>-117.85615</v>
      </c>
      <c r="D1858">
        <f t="shared" ref="D1858:D1921" si="118">VLOOKUP(A1858,Elevation,2,FALSE)</f>
        <v>62</v>
      </c>
      <c r="E1858">
        <v>101.499</v>
      </c>
      <c r="F1858">
        <f t="shared" si="115"/>
        <v>-39.498999999999995</v>
      </c>
      <c r="G1858">
        <v>76.617000000000004</v>
      </c>
      <c r="H1858">
        <v>2.7879999999999998</v>
      </c>
      <c r="I1858">
        <v>3.6280000000000001</v>
      </c>
      <c r="J1858">
        <v>5</v>
      </c>
      <c r="K1858">
        <v>37</v>
      </c>
      <c r="L1858">
        <v>19</v>
      </c>
      <c r="M1858">
        <v>4.7069999999999999</v>
      </c>
    </row>
    <row r="1859" spans="1:13" ht="15" customHeight="1">
      <c r="A1859" t="s">
        <v>25</v>
      </c>
      <c r="B1859">
        <f t="shared" si="116"/>
        <v>33.716495999999999</v>
      </c>
      <c r="C1859">
        <f t="shared" si="117"/>
        <v>-117.85615</v>
      </c>
      <c r="D1859">
        <f t="shared" si="118"/>
        <v>62</v>
      </c>
      <c r="E1859">
        <v>102.499</v>
      </c>
      <c r="F1859">
        <f t="shared" ref="F1859:F1922" si="119">D1859-E1859</f>
        <v>-40.498999999999995</v>
      </c>
      <c r="G1859">
        <v>55</v>
      </c>
      <c r="H1859">
        <v>2.3769999999999998</v>
      </c>
      <c r="I1859">
        <v>4.298</v>
      </c>
      <c r="J1859">
        <v>5</v>
      </c>
      <c r="K1859">
        <v>26</v>
      </c>
      <c r="L1859">
        <v>13</v>
      </c>
      <c r="M1859">
        <v>3.266</v>
      </c>
    </row>
    <row r="1860" spans="1:13" ht="15" customHeight="1">
      <c r="A1860" t="s">
        <v>25</v>
      </c>
      <c r="B1860">
        <f t="shared" si="116"/>
        <v>33.716495999999999</v>
      </c>
      <c r="C1860">
        <f t="shared" si="117"/>
        <v>-117.85615</v>
      </c>
      <c r="D1860">
        <f t="shared" si="118"/>
        <v>62</v>
      </c>
      <c r="E1860">
        <v>103.499</v>
      </c>
      <c r="F1860">
        <f t="shared" si="119"/>
        <v>-41.498999999999995</v>
      </c>
      <c r="G1860">
        <v>38.216999999999999</v>
      </c>
      <c r="H1860">
        <v>1.853</v>
      </c>
      <c r="I1860">
        <v>4.806</v>
      </c>
      <c r="J1860">
        <v>4</v>
      </c>
      <c r="K1860">
        <v>25</v>
      </c>
      <c r="L1860">
        <v>13</v>
      </c>
      <c r="M1860">
        <v>2.1459999999999999</v>
      </c>
    </row>
    <row r="1861" spans="1:13" ht="15" customHeight="1">
      <c r="A1861" t="s">
        <v>25</v>
      </c>
      <c r="B1861">
        <f t="shared" si="116"/>
        <v>33.716495999999999</v>
      </c>
      <c r="C1861">
        <f t="shared" si="117"/>
        <v>-117.85615</v>
      </c>
      <c r="D1861">
        <f t="shared" si="118"/>
        <v>62</v>
      </c>
      <c r="E1861">
        <v>104.499</v>
      </c>
      <c r="F1861">
        <f t="shared" si="119"/>
        <v>-42.498999999999995</v>
      </c>
      <c r="G1861">
        <v>33.557000000000002</v>
      </c>
      <c r="H1861">
        <v>1.3560000000000001</v>
      </c>
      <c r="I1861">
        <v>3.9740000000000002</v>
      </c>
      <c r="J1861">
        <v>4</v>
      </c>
      <c r="K1861">
        <v>22</v>
      </c>
      <c r="L1861">
        <v>11</v>
      </c>
      <c r="M1861">
        <v>1.845</v>
      </c>
    </row>
    <row r="1862" spans="1:13" ht="15" customHeight="1">
      <c r="A1862" t="s">
        <v>25</v>
      </c>
      <c r="B1862">
        <f t="shared" si="116"/>
        <v>33.716495999999999</v>
      </c>
      <c r="C1862">
        <f t="shared" si="117"/>
        <v>-117.85615</v>
      </c>
      <c r="D1862">
        <f t="shared" si="118"/>
        <v>62</v>
      </c>
      <c r="E1862">
        <v>105.499</v>
      </c>
      <c r="F1862">
        <f t="shared" si="119"/>
        <v>-43.498999999999995</v>
      </c>
      <c r="G1862">
        <v>76.099999999999994</v>
      </c>
      <c r="H1862">
        <v>2.9020000000000001</v>
      </c>
      <c r="I1862">
        <v>3.7909999999999999</v>
      </c>
      <c r="J1862">
        <v>5</v>
      </c>
      <c r="K1862">
        <v>37</v>
      </c>
      <c r="L1862">
        <v>19</v>
      </c>
      <c r="M1862">
        <v>4.6689999999999996</v>
      </c>
    </row>
    <row r="1863" spans="1:13" ht="15" customHeight="1">
      <c r="A1863" t="s">
        <v>25</v>
      </c>
      <c r="B1863">
        <f t="shared" si="116"/>
        <v>33.716495999999999</v>
      </c>
      <c r="C1863">
        <f t="shared" si="117"/>
        <v>-117.85615</v>
      </c>
      <c r="D1863">
        <f t="shared" si="118"/>
        <v>62</v>
      </c>
      <c r="E1863">
        <v>106.499</v>
      </c>
      <c r="F1863">
        <f t="shared" si="119"/>
        <v>-44.498999999999995</v>
      </c>
      <c r="G1863">
        <v>79.033000000000001</v>
      </c>
      <c r="H1863">
        <v>4.2080000000000002</v>
      </c>
      <c r="I1863">
        <v>5.3239999999999998</v>
      </c>
      <c r="J1863">
        <v>11</v>
      </c>
      <c r="K1863">
        <v>76</v>
      </c>
      <c r="L1863">
        <v>38</v>
      </c>
      <c r="M1863" s="1">
        <v>9000000000</v>
      </c>
    </row>
    <row r="1864" spans="1:13" ht="15" customHeight="1">
      <c r="A1864" t="s">
        <v>25</v>
      </c>
      <c r="B1864">
        <f t="shared" si="116"/>
        <v>33.716495999999999</v>
      </c>
      <c r="C1864">
        <f t="shared" si="117"/>
        <v>-117.85615</v>
      </c>
      <c r="D1864">
        <f t="shared" si="118"/>
        <v>62</v>
      </c>
      <c r="E1864">
        <v>107.499</v>
      </c>
      <c r="F1864">
        <f t="shared" si="119"/>
        <v>-45.498999999999995</v>
      </c>
      <c r="G1864">
        <v>276.3</v>
      </c>
      <c r="H1864">
        <v>2.3250000000000002</v>
      </c>
      <c r="I1864">
        <v>0.84199999999999997</v>
      </c>
      <c r="J1864">
        <v>9</v>
      </c>
      <c r="K1864">
        <v>53</v>
      </c>
      <c r="L1864">
        <v>27</v>
      </c>
      <c r="M1864" s="1">
        <v>9000000000</v>
      </c>
    </row>
    <row r="1865" spans="1:13" ht="15" customHeight="1">
      <c r="A1865" t="s">
        <v>25</v>
      </c>
      <c r="B1865">
        <f t="shared" si="116"/>
        <v>33.716495999999999</v>
      </c>
      <c r="C1865">
        <f t="shared" si="117"/>
        <v>-117.85615</v>
      </c>
      <c r="D1865">
        <f t="shared" si="118"/>
        <v>62</v>
      </c>
      <c r="E1865">
        <v>108.499</v>
      </c>
      <c r="F1865">
        <f t="shared" si="119"/>
        <v>-46.498999999999995</v>
      </c>
      <c r="G1865">
        <v>368.15</v>
      </c>
      <c r="H1865">
        <v>2.4969999999999999</v>
      </c>
      <c r="I1865">
        <v>0.67800000000000005</v>
      </c>
      <c r="J1865">
        <v>10</v>
      </c>
      <c r="K1865">
        <v>59</v>
      </c>
      <c r="L1865">
        <v>30</v>
      </c>
      <c r="M1865" s="1">
        <v>9000000000</v>
      </c>
    </row>
    <row r="1866" spans="1:13" ht="15" customHeight="1">
      <c r="A1866" t="s">
        <v>25</v>
      </c>
      <c r="B1866">
        <f t="shared" si="116"/>
        <v>33.716495999999999</v>
      </c>
      <c r="C1866">
        <f t="shared" si="117"/>
        <v>-117.85615</v>
      </c>
      <c r="D1866">
        <f t="shared" si="118"/>
        <v>62</v>
      </c>
      <c r="E1866">
        <v>109.499</v>
      </c>
      <c r="F1866">
        <f t="shared" si="119"/>
        <v>-47.498999999999995</v>
      </c>
      <c r="G1866">
        <v>470.11700000000002</v>
      </c>
      <c r="H1866">
        <v>2.423</v>
      </c>
      <c r="I1866">
        <v>0.51500000000000001</v>
      </c>
      <c r="J1866">
        <v>10</v>
      </c>
      <c r="K1866">
        <v>75</v>
      </c>
      <c r="L1866">
        <v>38</v>
      </c>
      <c r="M1866" s="1">
        <v>9000000000</v>
      </c>
    </row>
    <row r="1867" spans="1:13" ht="15" customHeight="1">
      <c r="A1867" t="s">
        <v>26</v>
      </c>
      <c r="B1867">
        <f t="shared" si="116"/>
        <v>33.716650000000001</v>
      </c>
      <c r="C1867">
        <f t="shared" si="117"/>
        <v>-117.855251</v>
      </c>
      <c r="D1867">
        <f t="shared" si="118"/>
        <v>63</v>
      </c>
      <c r="E1867">
        <v>0.5</v>
      </c>
      <c r="F1867">
        <f t="shared" si="119"/>
        <v>62.5</v>
      </c>
      <c r="G1867">
        <v>3.4169999999999998</v>
      </c>
      <c r="H1867">
        <v>4.2999999999999997E-2</v>
      </c>
      <c r="I1867">
        <v>1.268</v>
      </c>
      <c r="J1867">
        <v>1</v>
      </c>
      <c r="K1867">
        <v>2</v>
      </c>
      <c r="L1867">
        <v>3</v>
      </c>
      <c r="M1867">
        <v>0.22600000000000001</v>
      </c>
    </row>
    <row r="1868" spans="1:13" ht="15" customHeight="1">
      <c r="A1868" t="s">
        <v>26</v>
      </c>
      <c r="B1868">
        <f t="shared" si="116"/>
        <v>33.716650000000001</v>
      </c>
      <c r="C1868">
        <f t="shared" si="117"/>
        <v>-117.855251</v>
      </c>
      <c r="D1868">
        <f t="shared" si="118"/>
        <v>63</v>
      </c>
      <c r="E1868">
        <v>1.5</v>
      </c>
      <c r="F1868">
        <f t="shared" si="119"/>
        <v>61.5</v>
      </c>
      <c r="G1868">
        <v>15.65</v>
      </c>
      <c r="H1868">
        <v>0.60799999999999998</v>
      </c>
      <c r="I1868">
        <v>3.8380000000000001</v>
      </c>
      <c r="J1868">
        <v>4</v>
      </c>
      <c r="K1868">
        <v>10</v>
      </c>
      <c r="L1868">
        <v>15</v>
      </c>
      <c r="M1868">
        <v>1.0509999999999999</v>
      </c>
    </row>
    <row r="1869" spans="1:13" ht="15" customHeight="1">
      <c r="A1869" t="s">
        <v>26</v>
      </c>
      <c r="B1869">
        <f t="shared" si="116"/>
        <v>33.716650000000001</v>
      </c>
      <c r="C1869">
        <f t="shared" si="117"/>
        <v>-117.855251</v>
      </c>
      <c r="D1869">
        <f t="shared" si="118"/>
        <v>63</v>
      </c>
      <c r="E1869">
        <v>2.5</v>
      </c>
      <c r="F1869">
        <f t="shared" si="119"/>
        <v>60.5</v>
      </c>
      <c r="G1869">
        <v>11.532999999999999</v>
      </c>
      <c r="H1869">
        <v>0.38200000000000001</v>
      </c>
      <c r="I1869">
        <v>3.262</v>
      </c>
      <c r="J1869">
        <v>4</v>
      </c>
      <c r="K1869">
        <v>7</v>
      </c>
      <c r="L1869">
        <v>11</v>
      </c>
      <c r="M1869">
        <v>0.77100000000000002</v>
      </c>
    </row>
    <row r="1870" spans="1:13" ht="15" customHeight="1">
      <c r="A1870" t="s">
        <v>26</v>
      </c>
      <c r="B1870">
        <f t="shared" si="116"/>
        <v>33.716650000000001</v>
      </c>
      <c r="C1870">
        <f t="shared" si="117"/>
        <v>-117.855251</v>
      </c>
      <c r="D1870">
        <f t="shared" si="118"/>
        <v>63</v>
      </c>
      <c r="E1870">
        <v>3.5</v>
      </c>
      <c r="F1870">
        <f t="shared" si="119"/>
        <v>59.5</v>
      </c>
      <c r="G1870">
        <v>5.6</v>
      </c>
      <c r="H1870">
        <v>0.158</v>
      </c>
      <c r="I1870">
        <v>2.8359999999999999</v>
      </c>
      <c r="J1870">
        <v>3</v>
      </c>
      <c r="K1870">
        <v>5</v>
      </c>
      <c r="L1870">
        <v>8</v>
      </c>
      <c r="M1870">
        <v>0.35899999999999999</v>
      </c>
    </row>
    <row r="1871" spans="1:13" ht="15" customHeight="1">
      <c r="A1871" t="s">
        <v>26</v>
      </c>
      <c r="B1871">
        <f t="shared" si="116"/>
        <v>33.716650000000001</v>
      </c>
      <c r="C1871">
        <f t="shared" si="117"/>
        <v>-117.855251</v>
      </c>
      <c r="D1871">
        <f t="shared" si="118"/>
        <v>63</v>
      </c>
      <c r="E1871">
        <v>4.5</v>
      </c>
      <c r="F1871">
        <f t="shared" si="119"/>
        <v>58.5</v>
      </c>
      <c r="G1871">
        <v>6.1829999999999998</v>
      </c>
      <c r="H1871">
        <v>0.17199999999999999</v>
      </c>
      <c r="I1871">
        <v>2.7759999999999998</v>
      </c>
      <c r="J1871">
        <v>3</v>
      </c>
      <c r="K1871">
        <v>6</v>
      </c>
      <c r="L1871">
        <v>9</v>
      </c>
      <c r="M1871">
        <v>0.39500000000000002</v>
      </c>
    </row>
    <row r="1872" spans="1:13" ht="15" customHeight="1">
      <c r="A1872" t="s">
        <v>26</v>
      </c>
      <c r="B1872">
        <f t="shared" si="116"/>
        <v>33.716650000000001</v>
      </c>
      <c r="C1872">
        <f t="shared" si="117"/>
        <v>-117.855251</v>
      </c>
      <c r="D1872">
        <f t="shared" si="118"/>
        <v>63</v>
      </c>
      <c r="E1872">
        <v>5.5</v>
      </c>
      <c r="F1872">
        <f t="shared" si="119"/>
        <v>57.5</v>
      </c>
      <c r="G1872">
        <v>5.7169999999999996</v>
      </c>
      <c r="H1872">
        <v>0.16300000000000001</v>
      </c>
      <c r="I1872">
        <v>2.8319999999999999</v>
      </c>
      <c r="J1872">
        <v>3</v>
      </c>
      <c r="K1872">
        <v>6</v>
      </c>
      <c r="L1872">
        <v>9</v>
      </c>
      <c r="M1872">
        <v>0.36299999999999999</v>
      </c>
    </row>
    <row r="1873" spans="1:13" ht="15" customHeight="1">
      <c r="A1873" t="s">
        <v>26</v>
      </c>
      <c r="B1873">
        <f t="shared" si="116"/>
        <v>33.716650000000001</v>
      </c>
      <c r="C1873">
        <f t="shared" si="117"/>
        <v>-117.855251</v>
      </c>
      <c r="D1873">
        <f t="shared" si="118"/>
        <v>63</v>
      </c>
      <c r="E1873">
        <v>6.5</v>
      </c>
      <c r="F1873">
        <f t="shared" si="119"/>
        <v>56.5</v>
      </c>
      <c r="G1873">
        <v>7.883</v>
      </c>
      <c r="H1873">
        <v>0.19700000000000001</v>
      </c>
      <c r="I1873">
        <v>2.36</v>
      </c>
      <c r="J1873">
        <v>4</v>
      </c>
      <c r="K1873">
        <v>5</v>
      </c>
      <c r="L1873">
        <v>8</v>
      </c>
      <c r="M1873">
        <v>0.53</v>
      </c>
    </row>
    <row r="1874" spans="1:13" ht="15" customHeight="1">
      <c r="A1874" t="s">
        <v>26</v>
      </c>
      <c r="B1874">
        <f t="shared" si="116"/>
        <v>33.716650000000001</v>
      </c>
      <c r="C1874">
        <f t="shared" si="117"/>
        <v>-117.855251</v>
      </c>
      <c r="D1874">
        <f t="shared" si="118"/>
        <v>63</v>
      </c>
      <c r="E1874">
        <v>7.5</v>
      </c>
      <c r="F1874">
        <f t="shared" si="119"/>
        <v>55.5</v>
      </c>
      <c r="G1874">
        <v>20.716999999999999</v>
      </c>
      <c r="H1874">
        <v>0.48199999999999998</v>
      </c>
      <c r="I1874">
        <v>2.2879999999999998</v>
      </c>
      <c r="J1874">
        <v>6</v>
      </c>
      <c r="K1874">
        <v>8</v>
      </c>
      <c r="L1874">
        <v>12</v>
      </c>
      <c r="M1874">
        <v>1.3740000000000001</v>
      </c>
    </row>
    <row r="1875" spans="1:13" ht="15" customHeight="1">
      <c r="A1875" t="s">
        <v>26</v>
      </c>
      <c r="B1875">
        <f t="shared" si="116"/>
        <v>33.716650000000001</v>
      </c>
      <c r="C1875">
        <f t="shared" si="117"/>
        <v>-117.855251</v>
      </c>
      <c r="D1875">
        <f t="shared" si="118"/>
        <v>63</v>
      </c>
      <c r="E1875">
        <v>8.5</v>
      </c>
      <c r="F1875">
        <f t="shared" si="119"/>
        <v>54.5</v>
      </c>
      <c r="G1875">
        <v>8.7170000000000005</v>
      </c>
      <c r="H1875">
        <v>0.33</v>
      </c>
      <c r="I1875">
        <v>3.8149999999999999</v>
      </c>
      <c r="J1875">
        <v>3</v>
      </c>
      <c r="K1875">
        <v>8</v>
      </c>
      <c r="L1875">
        <v>12</v>
      </c>
      <c r="M1875">
        <v>0.54300000000000004</v>
      </c>
    </row>
    <row r="1876" spans="1:13" ht="15" customHeight="1">
      <c r="A1876" t="s">
        <v>26</v>
      </c>
      <c r="B1876">
        <f t="shared" si="116"/>
        <v>33.716650000000001</v>
      </c>
      <c r="C1876">
        <f t="shared" si="117"/>
        <v>-117.855251</v>
      </c>
      <c r="D1876">
        <f t="shared" si="118"/>
        <v>63</v>
      </c>
      <c r="E1876">
        <v>9.5</v>
      </c>
      <c r="F1876">
        <f t="shared" si="119"/>
        <v>53.5</v>
      </c>
      <c r="G1876">
        <v>9.3330000000000002</v>
      </c>
      <c r="H1876">
        <v>0.36</v>
      </c>
      <c r="I1876">
        <v>3.8919999999999999</v>
      </c>
      <c r="J1876">
        <v>3</v>
      </c>
      <c r="K1876">
        <v>9</v>
      </c>
      <c r="L1876">
        <v>14</v>
      </c>
      <c r="M1876">
        <v>0.57899999999999996</v>
      </c>
    </row>
    <row r="1877" spans="1:13" ht="15" customHeight="1">
      <c r="A1877" t="s">
        <v>26</v>
      </c>
      <c r="B1877">
        <f t="shared" si="116"/>
        <v>33.716650000000001</v>
      </c>
      <c r="C1877">
        <f t="shared" si="117"/>
        <v>-117.855251</v>
      </c>
      <c r="D1877">
        <f t="shared" si="118"/>
        <v>63</v>
      </c>
      <c r="E1877">
        <v>10.5</v>
      </c>
      <c r="F1877">
        <f t="shared" si="119"/>
        <v>52.5</v>
      </c>
      <c r="G1877">
        <v>9.3000000000000007</v>
      </c>
      <c r="H1877">
        <v>0.38</v>
      </c>
      <c r="I1877">
        <v>4.1109999999999998</v>
      </c>
      <c r="J1877">
        <v>3</v>
      </c>
      <c r="K1877">
        <v>9</v>
      </c>
      <c r="L1877">
        <v>13</v>
      </c>
      <c r="M1877">
        <v>0.57499999999999996</v>
      </c>
    </row>
    <row r="1878" spans="1:13" ht="15" customHeight="1">
      <c r="A1878" t="s">
        <v>26</v>
      </c>
      <c r="B1878">
        <f t="shared" si="116"/>
        <v>33.716650000000001</v>
      </c>
      <c r="C1878">
        <f t="shared" si="117"/>
        <v>-117.855251</v>
      </c>
      <c r="D1878">
        <f t="shared" si="118"/>
        <v>63</v>
      </c>
      <c r="E1878">
        <v>11.5</v>
      </c>
      <c r="F1878">
        <f t="shared" si="119"/>
        <v>51.5</v>
      </c>
      <c r="G1878">
        <v>10.733000000000001</v>
      </c>
      <c r="H1878">
        <v>0.47499999999999998</v>
      </c>
      <c r="I1878">
        <v>4.46</v>
      </c>
      <c r="J1878">
        <v>3</v>
      </c>
      <c r="K1878">
        <v>10</v>
      </c>
      <c r="L1878">
        <v>13</v>
      </c>
      <c r="M1878">
        <v>0.66400000000000003</v>
      </c>
    </row>
    <row r="1879" spans="1:13" ht="15" customHeight="1">
      <c r="A1879" t="s">
        <v>26</v>
      </c>
      <c r="B1879">
        <f t="shared" si="116"/>
        <v>33.716650000000001</v>
      </c>
      <c r="C1879">
        <f t="shared" si="117"/>
        <v>-117.855251</v>
      </c>
      <c r="D1879">
        <f t="shared" si="118"/>
        <v>63</v>
      </c>
      <c r="E1879">
        <v>12.5</v>
      </c>
      <c r="F1879">
        <f t="shared" si="119"/>
        <v>50.5</v>
      </c>
      <c r="G1879">
        <v>10.617000000000001</v>
      </c>
      <c r="H1879">
        <v>0.45500000000000002</v>
      </c>
      <c r="I1879">
        <v>4.3129999999999997</v>
      </c>
      <c r="J1879">
        <v>3</v>
      </c>
      <c r="K1879">
        <v>10</v>
      </c>
      <c r="L1879">
        <v>13</v>
      </c>
      <c r="M1879">
        <v>0.65400000000000003</v>
      </c>
    </row>
    <row r="1880" spans="1:13" ht="15" customHeight="1">
      <c r="A1880" t="s">
        <v>26</v>
      </c>
      <c r="B1880">
        <f t="shared" si="116"/>
        <v>33.716650000000001</v>
      </c>
      <c r="C1880">
        <f t="shared" si="117"/>
        <v>-117.855251</v>
      </c>
      <c r="D1880">
        <f t="shared" si="118"/>
        <v>63</v>
      </c>
      <c r="E1880">
        <v>13.5</v>
      </c>
      <c r="F1880">
        <f t="shared" si="119"/>
        <v>49.5</v>
      </c>
      <c r="G1880">
        <v>11.882999999999999</v>
      </c>
      <c r="H1880">
        <v>0.52300000000000002</v>
      </c>
      <c r="I1880">
        <v>4.423</v>
      </c>
      <c r="J1880">
        <v>3</v>
      </c>
      <c r="K1880">
        <v>11</v>
      </c>
      <c r="L1880">
        <v>13</v>
      </c>
      <c r="M1880">
        <v>0.73499999999999999</v>
      </c>
    </row>
    <row r="1881" spans="1:13" ht="15" customHeight="1">
      <c r="A1881" t="s">
        <v>26</v>
      </c>
      <c r="B1881">
        <f t="shared" si="116"/>
        <v>33.716650000000001</v>
      </c>
      <c r="C1881">
        <f t="shared" si="117"/>
        <v>-117.855251</v>
      </c>
      <c r="D1881">
        <f t="shared" si="118"/>
        <v>63</v>
      </c>
      <c r="E1881">
        <v>14.5</v>
      </c>
      <c r="F1881">
        <f t="shared" si="119"/>
        <v>48.5</v>
      </c>
      <c r="G1881">
        <v>12.8</v>
      </c>
      <c r="H1881">
        <v>0.61299999999999999</v>
      </c>
      <c r="I1881">
        <v>4.7919999999999998</v>
      </c>
      <c r="J1881">
        <v>3</v>
      </c>
      <c r="K1881">
        <v>12</v>
      </c>
      <c r="L1881">
        <v>13</v>
      </c>
      <c r="M1881">
        <v>0.79500000000000004</v>
      </c>
    </row>
    <row r="1882" spans="1:13" ht="15" customHeight="1">
      <c r="A1882" t="s">
        <v>26</v>
      </c>
      <c r="B1882">
        <f t="shared" si="116"/>
        <v>33.716650000000001</v>
      </c>
      <c r="C1882">
        <f t="shared" si="117"/>
        <v>-117.855251</v>
      </c>
      <c r="D1882">
        <f t="shared" si="118"/>
        <v>63</v>
      </c>
      <c r="E1882">
        <v>15.5</v>
      </c>
      <c r="F1882">
        <f t="shared" si="119"/>
        <v>47.5</v>
      </c>
      <c r="G1882">
        <v>11.983000000000001</v>
      </c>
      <c r="H1882">
        <v>0.505</v>
      </c>
      <c r="I1882">
        <v>4.22</v>
      </c>
      <c r="J1882">
        <v>3</v>
      </c>
      <c r="K1882">
        <v>11</v>
      </c>
      <c r="L1882">
        <v>12</v>
      </c>
      <c r="M1882">
        <v>0.73599999999999999</v>
      </c>
    </row>
    <row r="1883" spans="1:13" ht="15" customHeight="1">
      <c r="A1883" t="s">
        <v>26</v>
      </c>
      <c r="B1883">
        <f t="shared" si="116"/>
        <v>33.716650000000001</v>
      </c>
      <c r="C1883">
        <f t="shared" si="117"/>
        <v>-117.855251</v>
      </c>
      <c r="D1883">
        <f t="shared" si="118"/>
        <v>63</v>
      </c>
      <c r="E1883">
        <v>16.5</v>
      </c>
      <c r="F1883">
        <f t="shared" si="119"/>
        <v>46.5</v>
      </c>
      <c r="G1883">
        <v>12.417</v>
      </c>
      <c r="H1883">
        <v>0.42</v>
      </c>
      <c r="I1883">
        <v>3.3780000000000001</v>
      </c>
      <c r="J1883">
        <v>4</v>
      </c>
      <c r="K1883">
        <v>8</v>
      </c>
      <c r="L1883">
        <v>8</v>
      </c>
      <c r="M1883">
        <v>0.76300000000000001</v>
      </c>
    </row>
    <row r="1884" spans="1:13" ht="15" customHeight="1">
      <c r="A1884" t="s">
        <v>26</v>
      </c>
      <c r="B1884">
        <f t="shared" si="116"/>
        <v>33.716650000000001</v>
      </c>
      <c r="C1884">
        <f t="shared" si="117"/>
        <v>-117.855251</v>
      </c>
      <c r="D1884">
        <f t="shared" si="118"/>
        <v>63</v>
      </c>
      <c r="E1884">
        <v>17.5</v>
      </c>
      <c r="F1884">
        <f t="shared" si="119"/>
        <v>45.5</v>
      </c>
      <c r="G1884">
        <v>13.3</v>
      </c>
      <c r="H1884">
        <v>0.47199999999999998</v>
      </c>
      <c r="I1884">
        <v>3.524</v>
      </c>
      <c r="J1884">
        <v>4</v>
      </c>
      <c r="K1884">
        <v>9</v>
      </c>
      <c r="L1884">
        <v>9</v>
      </c>
      <c r="M1884">
        <v>0.82199999999999995</v>
      </c>
    </row>
    <row r="1885" spans="1:13" ht="15" customHeight="1">
      <c r="A1885" t="s">
        <v>26</v>
      </c>
      <c r="B1885">
        <f t="shared" si="116"/>
        <v>33.716650000000001</v>
      </c>
      <c r="C1885">
        <f t="shared" si="117"/>
        <v>-117.855251</v>
      </c>
      <c r="D1885">
        <f t="shared" si="118"/>
        <v>63</v>
      </c>
      <c r="E1885">
        <v>18.5</v>
      </c>
      <c r="F1885">
        <f t="shared" si="119"/>
        <v>44.5</v>
      </c>
      <c r="G1885">
        <v>12.933</v>
      </c>
      <c r="H1885">
        <v>0.39700000000000002</v>
      </c>
      <c r="I1885">
        <v>3.0430000000000001</v>
      </c>
      <c r="J1885">
        <v>4</v>
      </c>
      <c r="K1885">
        <v>8</v>
      </c>
      <c r="L1885">
        <v>7</v>
      </c>
      <c r="M1885">
        <v>0.79500000000000004</v>
      </c>
    </row>
    <row r="1886" spans="1:13" ht="15" customHeight="1">
      <c r="A1886" t="s">
        <v>26</v>
      </c>
      <c r="B1886">
        <f t="shared" si="116"/>
        <v>33.716650000000001</v>
      </c>
      <c r="C1886">
        <f t="shared" si="117"/>
        <v>-117.855251</v>
      </c>
      <c r="D1886">
        <f t="shared" si="118"/>
        <v>63</v>
      </c>
      <c r="E1886">
        <v>19.5</v>
      </c>
      <c r="F1886">
        <f t="shared" si="119"/>
        <v>43.5</v>
      </c>
      <c r="G1886">
        <v>11.967000000000001</v>
      </c>
      <c r="H1886">
        <v>0.4</v>
      </c>
      <c r="I1886">
        <v>3.3149999999999999</v>
      </c>
      <c r="J1886">
        <v>4</v>
      </c>
      <c r="K1886">
        <v>8</v>
      </c>
      <c r="L1886">
        <v>7</v>
      </c>
      <c r="M1886">
        <v>0.72599999999999998</v>
      </c>
    </row>
    <row r="1887" spans="1:13" ht="15" customHeight="1">
      <c r="A1887" t="s">
        <v>26</v>
      </c>
      <c r="B1887">
        <f t="shared" si="116"/>
        <v>33.716650000000001</v>
      </c>
      <c r="C1887">
        <f t="shared" si="117"/>
        <v>-117.855251</v>
      </c>
      <c r="D1887">
        <f t="shared" si="118"/>
        <v>63</v>
      </c>
      <c r="E1887">
        <v>20.5</v>
      </c>
      <c r="F1887">
        <f t="shared" si="119"/>
        <v>42.5</v>
      </c>
      <c r="G1887">
        <v>9.7430000000000003</v>
      </c>
      <c r="H1887">
        <v>0.28399999999999997</v>
      </c>
      <c r="I1887">
        <v>2.8759999999999999</v>
      </c>
      <c r="J1887">
        <v>4</v>
      </c>
      <c r="K1887">
        <v>6</v>
      </c>
      <c r="L1887">
        <v>5</v>
      </c>
      <c r="M1887">
        <v>0.57699999999999996</v>
      </c>
    </row>
    <row r="1888" spans="1:13" ht="15" customHeight="1">
      <c r="A1888" t="s">
        <v>26</v>
      </c>
      <c r="B1888">
        <f t="shared" si="116"/>
        <v>33.716650000000001</v>
      </c>
      <c r="C1888">
        <f t="shared" si="117"/>
        <v>-117.855251</v>
      </c>
      <c r="D1888">
        <f t="shared" si="118"/>
        <v>63</v>
      </c>
      <c r="E1888">
        <v>21.5</v>
      </c>
      <c r="F1888">
        <f t="shared" si="119"/>
        <v>41.5</v>
      </c>
      <c r="G1888">
        <v>9.6829999999999998</v>
      </c>
      <c r="H1888">
        <v>0.32</v>
      </c>
      <c r="I1888">
        <v>3.26</v>
      </c>
      <c r="J1888">
        <v>4</v>
      </c>
      <c r="K1888">
        <v>6</v>
      </c>
      <c r="L1888">
        <v>5</v>
      </c>
      <c r="M1888">
        <v>0.56799999999999995</v>
      </c>
    </row>
    <row r="1889" spans="1:13" ht="15" customHeight="1">
      <c r="A1889" t="s">
        <v>26</v>
      </c>
      <c r="B1889">
        <f t="shared" si="116"/>
        <v>33.716650000000001</v>
      </c>
      <c r="C1889">
        <f t="shared" si="117"/>
        <v>-117.855251</v>
      </c>
      <c r="D1889">
        <f t="shared" si="118"/>
        <v>63</v>
      </c>
      <c r="E1889">
        <v>22.5</v>
      </c>
      <c r="F1889">
        <f t="shared" si="119"/>
        <v>40.5</v>
      </c>
      <c r="G1889">
        <v>9.2330000000000005</v>
      </c>
      <c r="H1889">
        <v>0.29699999999999999</v>
      </c>
      <c r="I1889">
        <v>3.1560000000000001</v>
      </c>
      <c r="J1889">
        <v>4</v>
      </c>
      <c r="K1889">
        <v>6</v>
      </c>
      <c r="L1889">
        <v>5</v>
      </c>
      <c r="M1889">
        <v>0.53600000000000003</v>
      </c>
    </row>
    <row r="1890" spans="1:13" ht="15" customHeight="1">
      <c r="A1890" t="s">
        <v>26</v>
      </c>
      <c r="B1890">
        <f t="shared" si="116"/>
        <v>33.716650000000001</v>
      </c>
      <c r="C1890">
        <f t="shared" si="117"/>
        <v>-117.855251</v>
      </c>
      <c r="D1890">
        <f t="shared" si="118"/>
        <v>63</v>
      </c>
      <c r="E1890">
        <v>23.5</v>
      </c>
      <c r="F1890">
        <f t="shared" si="119"/>
        <v>39.5</v>
      </c>
      <c r="G1890">
        <v>8.6669999999999998</v>
      </c>
      <c r="H1890">
        <v>0.23699999999999999</v>
      </c>
      <c r="I1890">
        <v>2.669</v>
      </c>
      <c r="J1890">
        <v>4</v>
      </c>
      <c r="K1890">
        <v>6</v>
      </c>
      <c r="L1890">
        <v>5</v>
      </c>
      <c r="M1890">
        <v>0.497</v>
      </c>
    </row>
    <row r="1891" spans="1:13" ht="15" customHeight="1">
      <c r="A1891" t="s">
        <v>26</v>
      </c>
      <c r="B1891">
        <f t="shared" si="116"/>
        <v>33.716650000000001</v>
      </c>
      <c r="C1891">
        <f t="shared" si="117"/>
        <v>-117.855251</v>
      </c>
      <c r="D1891">
        <f t="shared" si="118"/>
        <v>63</v>
      </c>
      <c r="E1891">
        <v>24.5</v>
      </c>
      <c r="F1891">
        <f t="shared" si="119"/>
        <v>38.5</v>
      </c>
      <c r="G1891">
        <v>10.733000000000001</v>
      </c>
      <c r="H1891">
        <v>0.27500000000000002</v>
      </c>
      <c r="I1891">
        <v>2.5110000000000001</v>
      </c>
      <c r="J1891">
        <v>5</v>
      </c>
      <c r="K1891">
        <v>5</v>
      </c>
      <c r="L1891">
        <v>4</v>
      </c>
      <c r="M1891">
        <v>0.63200000000000001</v>
      </c>
    </row>
    <row r="1892" spans="1:13" ht="15" customHeight="1">
      <c r="A1892" t="s">
        <v>26</v>
      </c>
      <c r="B1892">
        <f t="shared" si="116"/>
        <v>33.716650000000001</v>
      </c>
      <c r="C1892">
        <f t="shared" si="117"/>
        <v>-117.855251</v>
      </c>
      <c r="D1892">
        <f t="shared" si="118"/>
        <v>63</v>
      </c>
      <c r="E1892">
        <v>25.5</v>
      </c>
      <c r="F1892">
        <f t="shared" si="119"/>
        <v>37.5</v>
      </c>
      <c r="G1892">
        <v>8.5830000000000002</v>
      </c>
      <c r="H1892">
        <v>0.192</v>
      </c>
      <c r="I1892">
        <v>2.19</v>
      </c>
      <c r="J1892">
        <v>4</v>
      </c>
      <c r="K1892">
        <v>6</v>
      </c>
      <c r="L1892">
        <v>4</v>
      </c>
      <c r="M1892">
        <v>0.48099999999999998</v>
      </c>
    </row>
    <row r="1893" spans="1:13" ht="15" customHeight="1">
      <c r="A1893" t="s">
        <v>26</v>
      </c>
      <c r="B1893">
        <f t="shared" si="116"/>
        <v>33.716650000000001</v>
      </c>
      <c r="C1893">
        <f t="shared" si="117"/>
        <v>-117.855251</v>
      </c>
      <c r="D1893">
        <f t="shared" si="118"/>
        <v>63</v>
      </c>
      <c r="E1893">
        <v>26.5</v>
      </c>
      <c r="F1893">
        <f t="shared" si="119"/>
        <v>36.5</v>
      </c>
      <c r="G1893">
        <v>8.9169999999999998</v>
      </c>
      <c r="H1893">
        <v>0.21299999999999999</v>
      </c>
      <c r="I1893">
        <v>2.3319999999999999</v>
      </c>
      <c r="J1893">
        <v>4</v>
      </c>
      <c r="K1893">
        <v>6</v>
      </c>
      <c r="L1893">
        <v>4</v>
      </c>
      <c r="M1893">
        <v>0.504</v>
      </c>
    </row>
    <row r="1894" spans="1:13" ht="15" customHeight="1">
      <c r="A1894" t="s">
        <v>26</v>
      </c>
      <c r="B1894">
        <f t="shared" si="116"/>
        <v>33.716650000000001</v>
      </c>
      <c r="C1894">
        <f t="shared" si="117"/>
        <v>-117.855251</v>
      </c>
      <c r="D1894">
        <f t="shared" si="118"/>
        <v>63</v>
      </c>
      <c r="E1894">
        <v>27.5</v>
      </c>
      <c r="F1894">
        <f t="shared" si="119"/>
        <v>35.5</v>
      </c>
      <c r="G1894">
        <v>11.617000000000001</v>
      </c>
      <c r="H1894">
        <v>0.26800000000000002</v>
      </c>
      <c r="I1894">
        <v>2.2610000000000001</v>
      </c>
      <c r="J1894">
        <v>5</v>
      </c>
      <c r="K1894">
        <v>6</v>
      </c>
      <c r="L1894">
        <v>4</v>
      </c>
      <c r="M1894">
        <v>0.68100000000000005</v>
      </c>
    </row>
    <row r="1895" spans="1:13" ht="15" customHeight="1">
      <c r="A1895" t="s">
        <v>26</v>
      </c>
      <c r="B1895">
        <f t="shared" si="116"/>
        <v>33.716650000000001</v>
      </c>
      <c r="C1895">
        <f t="shared" si="117"/>
        <v>-117.855251</v>
      </c>
      <c r="D1895">
        <f t="shared" si="118"/>
        <v>63</v>
      </c>
      <c r="E1895">
        <v>28.5</v>
      </c>
      <c r="F1895">
        <f t="shared" si="119"/>
        <v>34.5</v>
      </c>
      <c r="G1895">
        <v>13.217000000000001</v>
      </c>
      <c r="H1895">
        <v>0.36299999999999999</v>
      </c>
      <c r="I1895">
        <v>2.7080000000000002</v>
      </c>
      <c r="J1895">
        <v>5</v>
      </c>
      <c r="K1895">
        <v>6</v>
      </c>
      <c r="L1895">
        <v>4</v>
      </c>
      <c r="M1895">
        <v>0.78</v>
      </c>
    </row>
    <row r="1896" spans="1:13" ht="15" customHeight="1">
      <c r="A1896" t="s">
        <v>26</v>
      </c>
      <c r="B1896">
        <f t="shared" si="116"/>
        <v>33.716650000000001</v>
      </c>
      <c r="C1896">
        <f t="shared" si="117"/>
        <v>-117.855251</v>
      </c>
      <c r="D1896">
        <f t="shared" si="118"/>
        <v>63</v>
      </c>
      <c r="E1896">
        <v>29.5</v>
      </c>
      <c r="F1896">
        <f t="shared" si="119"/>
        <v>33.5</v>
      </c>
      <c r="G1896">
        <v>14.083</v>
      </c>
      <c r="H1896">
        <v>0.41199999999999998</v>
      </c>
      <c r="I1896">
        <v>2.899</v>
      </c>
      <c r="J1896">
        <v>5</v>
      </c>
      <c r="K1896">
        <v>7</v>
      </c>
      <c r="L1896">
        <v>5</v>
      </c>
      <c r="M1896">
        <v>0.82799999999999996</v>
      </c>
    </row>
    <row r="1897" spans="1:13" ht="15" customHeight="1">
      <c r="A1897" t="s">
        <v>26</v>
      </c>
      <c r="B1897">
        <f t="shared" si="116"/>
        <v>33.716650000000001</v>
      </c>
      <c r="C1897">
        <f t="shared" si="117"/>
        <v>-117.855251</v>
      </c>
      <c r="D1897">
        <f t="shared" si="118"/>
        <v>63</v>
      </c>
      <c r="E1897">
        <v>30.5</v>
      </c>
      <c r="F1897">
        <f t="shared" si="119"/>
        <v>32.5</v>
      </c>
      <c r="G1897">
        <v>23.683</v>
      </c>
      <c r="H1897">
        <v>0.73</v>
      </c>
      <c r="I1897">
        <v>3.0609999999999999</v>
      </c>
      <c r="J1897">
        <v>5</v>
      </c>
      <c r="K1897">
        <v>11</v>
      </c>
      <c r="L1897">
        <v>7</v>
      </c>
      <c r="M1897">
        <v>1.468</v>
      </c>
    </row>
    <row r="1898" spans="1:13" ht="15" customHeight="1">
      <c r="A1898" t="s">
        <v>26</v>
      </c>
      <c r="B1898">
        <f t="shared" si="116"/>
        <v>33.716650000000001</v>
      </c>
      <c r="C1898">
        <f t="shared" si="117"/>
        <v>-117.855251</v>
      </c>
      <c r="D1898">
        <f t="shared" si="118"/>
        <v>63</v>
      </c>
      <c r="E1898">
        <v>31.5</v>
      </c>
      <c r="F1898">
        <f t="shared" si="119"/>
        <v>31.5</v>
      </c>
      <c r="G1898">
        <v>43.186</v>
      </c>
      <c r="H1898">
        <v>1.577</v>
      </c>
      <c r="I1898">
        <v>3.6560000000000001</v>
      </c>
      <c r="J1898">
        <v>5</v>
      </c>
      <c r="K1898">
        <v>21</v>
      </c>
      <c r="L1898">
        <v>14</v>
      </c>
      <c r="M1898">
        <v>2.75</v>
      </c>
    </row>
    <row r="1899" spans="1:13" ht="15" customHeight="1">
      <c r="A1899" t="s">
        <v>26</v>
      </c>
      <c r="B1899">
        <f t="shared" si="116"/>
        <v>33.716650000000001</v>
      </c>
      <c r="C1899">
        <f t="shared" si="117"/>
        <v>-117.855251</v>
      </c>
      <c r="D1899">
        <f t="shared" si="118"/>
        <v>63</v>
      </c>
      <c r="E1899">
        <v>32.5</v>
      </c>
      <c r="F1899">
        <f t="shared" si="119"/>
        <v>30.5</v>
      </c>
      <c r="G1899">
        <v>31.966999999999999</v>
      </c>
      <c r="H1899">
        <v>0.60699999999999998</v>
      </c>
      <c r="I1899">
        <v>1.9059999999999999</v>
      </c>
      <c r="J1899">
        <v>6</v>
      </c>
      <c r="K1899">
        <v>12</v>
      </c>
      <c r="L1899">
        <v>8</v>
      </c>
      <c r="M1899">
        <v>1.9910000000000001</v>
      </c>
    </row>
    <row r="1900" spans="1:13" ht="15" customHeight="1">
      <c r="A1900" t="s">
        <v>26</v>
      </c>
      <c r="B1900">
        <f t="shared" si="116"/>
        <v>33.716650000000001</v>
      </c>
      <c r="C1900">
        <f t="shared" si="117"/>
        <v>-117.855251</v>
      </c>
      <c r="D1900">
        <f t="shared" si="118"/>
        <v>63</v>
      </c>
      <c r="E1900">
        <v>33.5</v>
      </c>
      <c r="F1900">
        <f t="shared" si="119"/>
        <v>29.5</v>
      </c>
      <c r="G1900">
        <v>15.983000000000001</v>
      </c>
      <c r="H1900">
        <v>0.56299999999999994</v>
      </c>
      <c r="I1900">
        <v>3.5390000000000001</v>
      </c>
      <c r="J1900">
        <v>4</v>
      </c>
      <c r="K1900">
        <v>10</v>
      </c>
      <c r="L1900">
        <v>6</v>
      </c>
      <c r="M1900">
        <v>0.92600000000000005</v>
      </c>
    </row>
    <row r="1901" spans="1:13" ht="15" customHeight="1">
      <c r="A1901" t="s">
        <v>26</v>
      </c>
      <c r="B1901">
        <f t="shared" si="116"/>
        <v>33.716650000000001</v>
      </c>
      <c r="C1901">
        <f t="shared" si="117"/>
        <v>-117.855251</v>
      </c>
      <c r="D1901">
        <f t="shared" si="118"/>
        <v>63</v>
      </c>
      <c r="E1901">
        <v>34.5</v>
      </c>
      <c r="F1901">
        <f t="shared" si="119"/>
        <v>28.5</v>
      </c>
      <c r="G1901">
        <v>18.683</v>
      </c>
      <c r="H1901">
        <v>0.96</v>
      </c>
      <c r="I1901">
        <v>5.1520000000000001</v>
      </c>
      <c r="J1901">
        <v>3</v>
      </c>
      <c r="K1901">
        <v>18</v>
      </c>
      <c r="L1901">
        <v>12</v>
      </c>
      <c r="M1901">
        <v>1.103</v>
      </c>
    </row>
    <row r="1902" spans="1:13" ht="15" customHeight="1">
      <c r="A1902" t="s">
        <v>26</v>
      </c>
      <c r="B1902">
        <f t="shared" si="116"/>
        <v>33.716650000000001</v>
      </c>
      <c r="C1902">
        <f t="shared" si="117"/>
        <v>-117.855251</v>
      </c>
      <c r="D1902">
        <f t="shared" si="118"/>
        <v>63</v>
      </c>
      <c r="E1902">
        <v>35.5</v>
      </c>
      <c r="F1902">
        <f t="shared" si="119"/>
        <v>27.5</v>
      </c>
      <c r="G1902">
        <v>24.382999999999999</v>
      </c>
      <c r="H1902">
        <v>0.54200000000000004</v>
      </c>
      <c r="I1902">
        <v>2.2290000000000001</v>
      </c>
      <c r="J1902">
        <v>6</v>
      </c>
      <c r="K1902">
        <v>9</v>
      </c>
      <c r="L1902">
        <v>6</v>
      </c>
      <c r="M1902">
        <v>1.4770000000000001</v>
      </c>
    </row>
    <row r="1903" spans="1:13" ht="15" customHeight="1">
      <c r="A1903" t="s">
        <v>26</v>
      </c>
      <c r="B1903">
        <f t="shared" si="116"/>
        <v>33.716650000000001</v>
      </c>
      <c r="C1903">
        <f t="shared" si="117"/>
        <v>-117.855251</v>
      </c>
      <c r="D1903">
        <f t="shared" si="118"/>
        <v>63</v>
      </c>
      <c r="E1903">
        <v>36.5</v>
      </c>
      <c r="F1903">
        <f t="shared" si="119"/>
        <v>26.5</v>
      </c>
      <c r="G1903">
        <v>62.55</v>
      </c>
      <c r="H1903">
        <v>1.3149999999999999</v>
      </c>
      <c r="I1903">
        <v>2.1070000000000002</v>
      </c>
      <c r="J1903">
        <v>7</v>
      </c>
      <c r="K1903">
        <v>20</v>
      </c>
      <c r="L1903">
        <v>12</v>
      </c>
      <c r="M1903" s="1">
        <v>9000000000</v>
      </c>
    </row>
    <row r="1904" spans="1:13" ht="15" customHeight="1">
      <c r="A1904" t="s">
        <v>26</v>
      </c>
      <c r="B1904">
        <f t="shared" si="116"/>
        <v>33.716650000000001</v>
      </c>
      <c r="C1904">
        <f t="shared" si="117"/>
        <v>-117.855251</v>
      </c>
      <c r="D1904">
        <f t="shared" si="118"/>
        <v>63</v>
      </c>
      <c r="E1904">
        <v>37.5</v>
      </c>
      <c r="F1904">
        <f t="shared" si="119"/>
        <v>25.5</v>
      </c>
      <c r="G1904">
        <v>86.15</v>
      </c>
      <c r="H1904">
        <v>3.5179999999999998</v>
      </c>
      <c r="I1904">
        <v>4.0919999999999996</v>
      </c>
      <c r="J1904">
        <v>5</v>
      </c>
      <c r="K1904">
        <v>41</v>
      </c>
      <c r="L1904">
        <v>25</v>
      </c>
      <c r="M1904">
        <v>5.5810000000000004</v>
      </c>
    </row>
    <row r="1905" spans="1:13" ht="15" customHeight="1">
      <c r="A1905" t="s">
        <v>26</v>
      </c>
      <c r="B1905">
        <f t="shared" si="116"/>
        <v>33.716650000000001</v>
      </c>
      <c r="C1905">
        <f t="shared" si="117"/>
        <v>-117.855251</v>
      </c>
      <c r="D1905">
        <f t="shared" si="118"/>
        <v>63</v>
      </c>
      <c r="E1905">
        <v>38.5</v>
      </c>
      <c r="F1905">
        <f t="shared" si="119"/>
        <v>24.5</v>
      </c>
      <c r="G1905">
        <v>41.366999999999997</v>
      </c>
      <c r="H1905">
        <v>1.5429999999999999</v>
      </c>
      <c r="I1905">
        <v>3.7410000000000001</v>
      </c>
      <c r="J1905">
        <v>5</v>
      </c>
      <c r="K1905">
        <v>20</v>
      </c>
      <c r="L1905">
        <v>12</v>
      </c>
      <c r="M1905">
        <v>2.5950000000000002</v>
      </c>
    </row>
    <row r="1906" spans="1:13" ht="15" customHeight="1">
      <c r="A1906" t="s">
        <v>26</v>
      </c>
      <c r="B1906">
        <f t="shared" si="116"/>
        <v>33.716650000000001</v>
      </c>
      <c r="C1906">
        <f t="shared" si="117"/>
        <v>-117.855251</v>
      </c>
      <c r="D1906">
        <f t="shared" si="118"/>
        <v>63</v>
      </c>
      <c r="E1906">
        <v>39.5</v>
      </c>
      <c r="F1906">
        <f t="shared" si="119"/>
        <v>23.5</v>
      </c>
      <c r="G1906">
        <v>35.65</v>
      </c>
      <c r="H1906">
        <v>1.393</v>
      </c>
      <c r="I1906">
        <v>3.9209999999999998</v>
      </c>
      <c r="J1906">
        <v>5</v>
      </c>
      <c r="K1906">
        <v>17</v>
      </c>
      <c r="L1906">
        <v>10</v>
      </c>
      <c r="M1906">
        <v>2.2090000000000001</v>
      </c>
    </row>
    <row r="1907" spans="1:13" ht="15" customHeight="1">
      <c r="A1907" t="s">
        <v>26</v>
      </c>
      <c r="B1907">
        <f t="shared" si="116"/>
        <v>33.716650000000001</v>
      </c>
      <c r="C1907">
        <f t="shared" si="117"/>
        <v>-117.855251</v>
      </c>
      <c r="D1907">
        <f t="shared" si="118"/>
        <v>63</v>
      </c>
      <c r="E1907">
        <v>40.5</v>
      </c>
      <c r="F1907">
        <f t="shared" si="119"/>
        <v>22.5</v>
      </c>
      <c r="G1907">
        <v>17</v>
      </c>
      <c r="H1907">
        <v>0.70699999999999996</v>
      </c>
      <c r="I1907">
        <v>4.1900000000000004</v>
      </c>
      <c r="J1907">
        <v>3</v>
      </c>
      <c r="K1907">
        <v>16</v>
      </c>
      <c r="L1907">
        <v>9</v>
      </c>
      <c r="M1907">
        <v>0.96099999999999997</v>
      </c>
    </row>
    <row r="1908" spans="1:13" ht="15" customHeight="1">
      <c r="A1908" t="s">
        <v>26</v>
      </c>
      <c r="B1908">
        <f t="shared" si="116"/>
        <v>33.716650000000001</v>
      </c>
      <c r="C1908">
        <f t="shared" si="117"/>
        <v>-117.855251</v>
      </c>
      <c r="D1908">
        <f t="shared" si="118"/>
        <v>63</v>
      </c>
      <c r="E1908">
        <v>41.499000000000002</v>
      </c>
      <c r="F1908">
        <f t="shared" si="119"/>
        <v>21.500999999999998</v>
      </c>
      <c r="G1908">
        <v>10.343</v>
      </c>
      <c r="H1908">
        <v>0.32400000000000001</v>
      </c>
      <c r="I1908">
        <v>3.1789999999999998</v>
      </c>
      <c r="J1908">
        <v>4</v>
      </c>
      <c r="K1908">
        <v>7</v>
      </c>
      <c r="L1908">
        <v>4</v>
      </c>
      <c r="M1908">
        <v>0.51200000000000001</v>
      </c>
    </row>
    <row r="1909" spans="1:13" ht="15" customHeight="1">
      <c r="A1909" t="s">
        <v>26</v>
      </c>
      <c r="B1909">
        <f t="shared" si="116"/>
        <v>33.716650000000001</v>
      </c>
      <c r="C1909">
        <f t="shared" si="117"/>
        <v>-117.855251</v>
      </c>
      <c r="D1909">
        <f t="shared" si="118"/>
        <v>63</v>
      </c>
      <c r="E1909">
        <v>42.499000000000002</v>
      </c>
      <c r="F1909">
        <f t="shared" si="119"/>
        <v>20.500999999999998</v>
      </c>
      <c r="G1909">
        <v>19.483000000000001</v>
      </c>
      <c r="H1909">
        <v>0.88800000000000001</v>
      </c>
      <c r="I1909">
        <v>4.5949999999999998</v>
      </c>
      <c r="J1909">
        <v>3</v>
      </c>
      <c r="K1909">
        <v>19</v>
      </c>
      <c r="L1909">
        <v>11</v>
      </c>
      <c r="M1909">
        <v>1.117</v>
      </c>
    </row>
    <row r="1910" spans="1:13" ht="15" customHeight="1">
      <c r="A1910" t="s">
        <v>26</v>
      </c>
      <c r="B1910">
        <f t="shared" si="116"/>
        <v>33.716650000000001</v>
      </c>
      <c r="C1910">
        <f t="shared" si="117"/>
        <v>-117.855251</v>
      </c>
      <c r="D1910">
        <f t="shared" si="118"/>
        <v>63</v>
      </c>
      <c r="E1910">
        <v>43.499000000000002</v>
      </c>
      <c r="F1910">
        <f t="shared" si="119"/>
        <v>19.500999999999998</v>
      </c>
      <c r="G1910">
        <v>30.367000000000001</v>
      </c>
      <c r="H1910">
        <v>1.5129999999999999</v>
      </c>
      <c r="I1910">
        <v>5</v>
      </c>
      <c r="J1910">
        <v>3</v>
      </c>
      <c r="K1910">
        <v>29</v>
      </c>
      <c r="L1910">
        <v>17</v>
      </c>
      <c r="M1910">
        <v>1.8420000000000001</v>
      </c>
    </row>
    <row r="1911" spans="1:13" ht="15" customHeight="1">
      <c r="A1911" t="s">
        <v>26</v>
      </c>
      <c r="B1911">
        <f t="shared" si="116"/>
        <v>33.716650000000001</v>
      </c>
      <c r="C1911">
        <f t="shared" si="117"/>
        <v>-117.855251</v>
      </c>
      <c r="D1911">
        <f t="shared" si="118"/>
        <v>63</v>
      </c>
      <c r="E1911">
        <v>44.499000000000002</v>
      </c>
      <c r="F1911">
        <f t="shared" si="119"/>
        <v>18.500999999999998</v>
      </c>
      <c r="G1911">
        <v>44.533000000000001</v>
      </c>
      <c r="H1911">
        <v>1.853</v>
      </c>
      <c r="I1911">
        <v>4.1740000000000004</v>
      </c>
      <c r="J1911">
        <v>4</v>
      </c>
      <c r="K1911">
        <v>28</v>
      </c>
      <c r="L1911">
        <v>16</v>
      </c>
      <c r="M1911">
        <v>2.78</v>
      </c>
    </row>
    <row r="1912" spans="1:13" ht="15" customHeight="1">
      <c r="A1912" t="s">
        <v>26</v>
      </c>
      <c r="B1912">
        <f t="shared" si="116"/>
        <v>33.716650000000001</v>
      </c>
      <c r="C1912">
        <f t="shared" si="117"/>
        <v>-117.855251</v>
      </c>
      <c r="D1912">
        <f t="shared" si="118"/>
        <v>63</v>
      </c>
      <c r="E1912">
        <v>45.499000000000002</v>
      </c>
      <c r="F1912">
        <f t="shared" si="119"/>
        <v>17.500999999999998</v>
      </c>
      <c r="G1912">
        <v>99.367000000000004</v>
      </c>
      <c r="H1912">
        <v>4.9729999999999999</v>
      </c>
      <c r="I1912">
        <v>5.0129999999999999</v>
      </c>
      <c r="J1912">
        <v>11</v>
      </c>
      <c r="K1912">
        <v>95</v>
      </c>
      <c r="L1912">
        <v>53</v>
      </c>
      <c r="M1912" s="1">
        <v>9000000000</v>
      </c>
    </row>
    <row r="1913" spans="1:13" ht="15" customHeight="1">
      <c r="A1913" t="s">
        <v>26</v>
      </c>
      <c r="B1913">
        <f t="shared" si="116"/>
        <v>33.716650000000001</v>
      </c>
      <c r="C1913">
        <f t="shared" si="117"/>
        <v>-117.855251</v>
      </c>
      <c r="D1913">
        <f t="shared" si="118"/>
        <v>63</v>
      </c>
      <c r="E1913">
        <v>46.499000000000002</v>
      </c>
      <c r="F1913">
        <f t="shared" si="119"/>
        <v>16.500999999999998</v>
      </c>
      <c r="G1913">
        <v>153.917</v>
      </c>
      <c r="H1913">
        <v>3.7629999999999999</v>
      </c>
      <c r="I1913">
        <v>2.448</v>
      </c>
      <c r="J1913">
        <v>7</v>
      </c>
      <c r="K1913">
        <v>49</v>
      </c>
      <c r="L1913">
        <v>27</v>
      </c>
      <c r="M1913" s="1">
        <v>9000000000</v>
      </c>
    </row>
    <row r="1914" spans="1:13" ht="15" customHeight="1">
      <c r="A1914" t="s">
        <v>26</v>
      </c>
      <c r="B1914">
        <f t="shared" si="116"/>
        <v>33.716650000000001</v>
      </c>
      <c r="C1914">
        <f t="shared" si="117"/>
        <v>-117.855251</v>
      </c>
      <c r="D1914">
        <f t="shared" si="118"/>
        <v>63</v>
      </c>
      <c r="E1914">
        <v>47.499000000000002</v>
      </c>
      <c r="F1914">
        <f t="shared" si="119"/>
        <v>15.500999999999998</v>
      </c>
      <c r="G1914">
        <v>199.483</v>
      </c>
      <c r="H1914">
        <v>8.3650000000000002</v>
      </c>
      <c r="I1914">
        <v>4.1980000000000004</v>
      </c>
      <c r="J1914">
        <v>11</v>
      </c>
      <c r="K1914">
        <v>191</v>
      </c>
      <c r="L1914">
        <v>104</v>
      </c>
      <c r="M1914" s="1">
        <v>9000000000</v>
      </c>
    </row>
    <row r="1915" spans="1:13" ht="15" customHeight="1">
      <c r="A1915" t="s">
        <v>26</v>
      </c>
      <c r="B1915">
        <f t="shared" si="116"/>
        <v>33.716650000000001</v>
      </c>
      <c r="C1915">
        <f t="shared" si="117"/>
        <v>-117.855251</v>
      </c>
      <c r="D1915">
        <f t="shared" si="118"/>
        <v>63</v>
      </c>
      <c r="E1915">
        <v>48.499000000000002</v>
      </c>
      <c r="F1915">
        <f t="shared" si="119"/>
        <v>14.500999999999998</v>
      </c>
      <c r="G1915">
        <v>212.8</v>
      </c>
      <c r="H1915">
        <v>8.8179999999999996</v>
      </c>
      <c r="I1915">
        <v>4.1479999999999997</v>
      </c>
      <c r="J1915">
        <v>12</v>
      </c>
      <c r="K1915">
        <v>102</v>
      </c>
      <c r="L1915">
        <v>55</v>
      </c>
      <c r="M1915" s="1">
        <v>9000000000</v>
      </c>
    </row>
    <row r="1916" spans="1:13" ht="15" customHeight="1">
      <c r="A1916" t="s">
        <v>26</v>
      </c>
      <c r="B1916">
        <f t="shared" si="116"/>
        <v>33.716650000000001</v>
      </c>
      <c r="C1916">
        <f t="shared" si="117"/>
        <v>-117.855251</v>
      </c>
      <c r="D1916">
        <f t="shared" si="118"/>
        <v>63</v>
      </c>
      <c r="E1916">
        <v>49.499000000000002</v>
      </c>
      <c r="F1916">
        <f t="shared" si="119"/>
        <v>13.500999999999998</v>
      </c>
      <c r="G1916">
        <v>206.167</v>
      </c>
      <c r="H1916">
        <v>7.1349999999999998</v>
      </c>
      <c r="I1916">
        <v>3.464</v>
      </c>
      <c r="J1916">
        <v>12</v>
      </c>
      <c r="K1916">
        <v>99</v>
      </c>
      <c r="L1916">
        <v>53</v>
      </c>
      <c r="M1916" s="1">
        <v>9000000000</v>
      </c>
    </row>
    <row r="1917" spans="1:13" ht="15" customHeight="1">
      <c r="A1917" t="s">
        <v>26</v>
      </c>
      <c r="B1917">
        <f t="shared" si="116"/>
        <v>33.716650000000001</v>
      </c>
      <c r="C1917">
        <f t="shared" si="117"/>
        <v>-117.855251</v>
      </c>
      <c r="D1917">
        <f t="shared" si="118"/>
        <v>63</v>
      </c>
      <c r="E1917">
        <v>50.499000000000002</v>
      </c>
      <c r="F1917">
        <f t="shared" si="119"/>
        <v>12.500999999999998</v>
      </c>
      <c r="G1917">
        <v>360.75</v>
      </c>
      <c r="H1917">
        <v>6.2050000000000001</v>
      </c>
      <c r="I1917">
        <v>1.7210000000000001</v>
      </c>
      <c r="J1917">
        <v>8</v>
      </c>
      <c r="K1917">
        <v>86</v>
      </c>
      <c r="L1917">
        <v>45</v>
      </c>
      <c r="M1917" s="1">
        <v>9000000000</v>
      </c>
    </row>
    <row r="1918" spans="1:13" ht="15" customHeight="1">
      <c r="A1918" t="s">
        <v>26</v>
      </c>
      <c r="B1918">
        <f t="shared" si="116"/>
        <v>33.716650000000001</v>
      </c>
      <c r="C1918">
        <f t="shared" si="117"/>
        <v>-117.855251</v>
      </c>
      <c r="D1918">
        <f t="shared" si="118"/>
        <v>63</v>
      </c>
      <c r="E1918">
        <v>51.499000000000002</v>
      </c>
      <c r="F1918">
        <f t="shared" si="119"/>
        <v>11.500999999999998</v>
      </c>
      <c r="G1918">
        <v>291.41699999999997</v>
      </c>
      <c r="H1918">
        <v>5.423</v>
      </c>
      <c r="I1918">
        <v>1.8620000000000001</v>
      </c>
      <c r="J1918">
        <v>8</v>
      </c>
      <c r="K1918">
        <v>70</v>
      </c>
      <c r="L1918">
        <v>36</v>
      </c>
      <c r="M1918" s="1">
        <v>9000000000</v>
      </c>
    </row>
    <row r="1919" spans="1:13" ht="15" customHeight="1">
      <c r="A1919" t="s">
        <v>26</v>
      </c>
      <c r="B1919">
        <f t="shared" si="116"/>
        <v>33.716650000000001</v>
      </c>
      <c r="C1919">
        <f t="shared" si="117"/>
        <v>-117.855251</v>
      </c>
      <c r="D1919">
        <f t="shared" si="118"/>
        <v>63</v>
      </c>
      <c r="E1919">
        <v>52.499000000000002</v>
      </c>
      <c r="F1919">
        <f t="shared" si="119"/>
        <v>10.500999999999998</v>
      </c>
      <c r="G1919">
        <v>331.11399999999998</v>
      </c>
      <c r="H1919">
        <v>6.5069999999999997</v>
      </c>
      <c r="I1919">
        <v>1.9650000000000001</v>
      </c>
      <c r="J1919">
        <v>8</v>
      </c>
      <c r="K1919">
        <v>79</v>
      </c>
      <c r="L1919">
        <v>41</v>
      </c>
      <c r="M1919" s="1">
        <v>9000000000</v>
      </c>
    </row>
    <row r="1920" spans="1:13" ht="15" customHeight="1">
      <c r="A1920" t="s">
        <v>26</v>
      </c>
      <c r="B1920">
        <f t="shared" si="116"/>
        <v>33.716650000000001</v>
      </c>
      <c r="C1920">
        <f t="shared" si="117"/>
        <v>-117.855251</v>
      </c>
      <c r="D1920">
        <f t="shared" si="118"/>
        <v>63</v>
      </c>
      <c r="E1920">
        <v>53.499000000000002</v>
      </c>
      <c r="F1920">
        <f t="shared" si="119"/>
        <v>9.5009999999999977</v>
      </c>
      <c r="G1920">
        <v>266.95</v>
      </c>
      <c r="H1920">
        <v>5.6319999999999997</v>
      </c>
      <c r="I1920">
        <v>2.11</v>
      </c>
      <c r="J1920">
        <v>8</v>
      </c>
      <c r="K1920">
        <v>64</v>
      </c>
      <c r="L1920">
        <v>33</v>
      </c>
      <c r="M1920" s="1">
        <v>9000000000</v>
      </c>
    </row>
    <row r="1921" spans="1:13" ht="15" customHeight="1">
      <c r="A1921" t="s">
        <v>26</v>
      </c>
      <c r="B1921">
        <f t="shared" si="116"/>
        <v>33.716650000000001</v>
      </c>
      <c r="C1921">
        <f t="shared" si="117"/>
        <v>-117.855251</v>
      </c>
      <c r="D1921">
        <f t="shared" si="118"/>
        <v>63</v>
      </c>
      <c r="E1921">
        <v>54.499000000000002</v>
      </c>
      <c r="F1921">
        <f t="shared" si="119"/>
        <v>8.5009999999999977</v>
      </c>
      <c r="G1921">
        <v>33.417000000000002</v>
      </c>
      <c r="H1921">
        <v>1.1619999999999999</v>
      </c>
      <c r="I1921">
        <v>3.4279999999999999</v>
      </c>
      <c r="J1921">
        <v>5</v>
      </c>
      <c r="K1921">
        <v>16</v>
      </c>
      <c r="L1921">
        <v>8</v>
      </c>
      <c r="M1921">
        <v>2.036</v>
      </c>
    </row>
    <row r="1922" spans="1:13" ht="15" customHeight="1">
      <c r="A1922" t="s">
        <v>26</v>
      </c>
      <c r="B1922">
        <f t="shared" ref="B1922:B1985" si="120">VLOOKUP(A1922,XYdata,3,FALSE)</f>
        <v>33.716650000000001</v>
      </c>
      <c r="C1922">
        <f t="shared" ref="C1922:C1985" si="121">VLOOKUP(A1922,XYdata,2,FALSE)</f>
        <v>-117.855251</v>
      </c>
      <c r="D1922">
        <f t="shared" ref="D1922:D1985" si="122">VLOOKUP(A1922,Elevation,2,FALSE)</f>
        <v>63</v>
      </c>
      <c r="E1922">
        <v>55.499000000000002</v>
      </c>
      <c r="F1922">
        <f t="shared" si="119"/>
        <v>7.5009999999999977</v>
      </c>
      <c r="G1922">
        <v>17.867000000000001</v>
      </c>
      <c r="H1922">
        <v>0.41699999999999998</v>
      </c>
      <c r="I1922">
        <v>2.2010000000000001</v>
      </c>
      <c r="J1922">
        <v>5</v>
      </c>
      <c r="K1922">
        <v>9</v>
      </c>
      <c r="L1922">
        <v>5</v>
      </c>
      <c r="M1922">
        <v>1.0349999999999999</v>
      </c>
    </row>
    <row r="1923" spans="1:13" ht="15" customHeight="1">
      <c r="A1923" t="s">
        <v>26</v>
      </c>
      <c r="B1923">
        <f t="shared" si="120"/>
        <v>33.716650000000001</v>
      </c>
      <c r="C1923">
        <f t="shared" si="121"/>
        <v>-117.855251</v>
      </c>
      <c r="D1923">
        <f t="shared" si="122"/>
        <v>63</v>
      </c>
      <c r="E1923">
        <v>56.499000000000002</v>
      </c>
      <c r="F1923">
        <f t="shared" ref="F1923:F1986" si="123">D1923-E1923</f>
        <v>6.5009999999999977</v>
      </c>
      <c r="G1923">
        <v>15.817</v>
      </c>
      <c r="H1923">
        <v>0.36699999999999999</v>
      </c>
      <c r="I1923">
        <v>2.17</v>
      </c>
      <c r="J1923">
        <v>5</v>
      </c>
      <c r="K1923">
        <v>8</v>
      </c>
      <c r="L1923">
        <v>4</v>
      </c>
      <c r="M1923">
        <v>0.89500000000000002</v>
      </c>
    </row>
    <row r="1924" spans="1:13" ht="15" customHeight="1">
      <c r="A1924" t="s">
        <v>26</v>
      </c>
      <c r="B1924">
        <f t="shared" si="120"/>
        <v>33.716650000000001</v>
      </c>
      <c r="C1924">
        <f t="shared" si="121"/>
        <v>-117.855251</v>
      </c>
      <c r="D1924">
        <f t="shared" si="122"/>
        <v>63</v>
      </c>
      <c r="E1924">
        <v>57.499000000000002</v>
      </c>
      <c r="F1924">
        <f t="shared" si="123"/>
        <v>5.5009999999999977</v>
      </c>
      <c r="G1924">
        <v>15.3</v>
      </c>
      <c r="H1924">
        <v>0.312</v>
      </c>
      <c r="I1924">
        <v>1.9119999999999999</v>
      </c>
      <c r="J1924">
        <v>5</v>
      </c>
      <c r="K1924">
        <v>8</v>
      </c>
      <c r="L1924">
        <v>4</v>
      </c>
      <c r="M1924">
        <v>0.85099999999999998</v>
      </c>
    </row>
    <row r="1925" spans="1:13" ht="15" customHeight="1">
      <c r="A1925" t="s">
        <v>26</v>
      </c>
      <c r="B1925">
        <f t="shared" si="120"/>
        <v>33.716650000000001</v>
      </c>
      <c r="C1925">
        <f t="shared" si="121"/>
        <v>-117.855251</v>
      </c>
      <c r="D1925">
        <f t="shared" si="122"/>
        <v>63</v>
      </c>
      <c r="E1925">
        <v>58.499000000000002</v>
      </c>
      <c r="F1925">
        <f t="shared" si="123"/>
        <v>4.5009999999999977</v>
      </c>
      <c r="G1925">
        <v>17.5</v>
      </c>
      <c r="H1925">
        <v>0.54500000000000004</v>
      </c>
      <c r="I1925">
        <v>2.9510000000000001</v>
      </c>
      <c r="J1925">
        <v>5</v>
      </c>
      <c r="K1925">
        <v>9</v>
      </c>
      <c r="L1925">
        <v>5</v>
      </c>
      <c r="M1925">
        <v>0.99199999999999999</v>
      </c>
    </row>
    <row r="1926" spans="1:13" ht="15" customHeight="1">
      <c r="A1926" t="s">
        <v>26</v>
      </c>
      <c r="B1926">
        <f t="shared" si="120"/>
        <v>33.716650000000001</v>
      </c>
      <c r="C1926">
        <f t="shared" si="121"/>
        <v>-117.855251</v>
      </c>
      <c r="D1926">
        <f t="shared" si="122"/>
        <v>63</v>
      </c>
      <c r="E1926">
        <v>59.499000000000002</v>
      </c>
      <c r="F1926">
        <f t="shared" si="123"/>
        <v>3.5009999999999977</v>
      </c>
      <c r="G1926">
        <v>21.783000000000001</v>
      </c>
      <c r="H1926">
        <v>0.622</v>
      </c>
      <c r="I1926">
        <v>2.7170000000000001</v>
      </c>
      <c r="J1926">
        <v>5</v>
      </c>
      <c r="K1926">
        <v>11</v>
      </c>
      <c r="L1926">
        <v>6</v>
      </c>
      <c r="M1926">
        <v>1.282</v>
      </c>
    </row>
    <row r="1927" spans="1:13" ht="15" customHeight="1">
      <c r="A1927" t="s">
        <v>26</v>
      </c>
      <c r="B1927">
        <f t="shared" si="120"/>
        <v>33.716650000000001</v>
      </c>
      <c r="C1927">
        <f t="shared" si="121"/>
        <v>-117.855251</v>
      </c>
      <c r="D1927">
        <f t="shared" si="122"/>
        <v>63</v>
      </c>
      <c r="E1927">
        <v>60.499000000000002</v>
      </c>
      <c r="F1927">
        <f t="shared" si="123"/>
        <v>2.5009999999999977</v>
      </c>
      <c r="G1927">
        <v>25.15</v>
      </c>
      <c r="H1927">
        <v>0.79800000000000004</v>
      </c>
      <c r="I1927">
        <v>3.024</v>
      </c>
      <c r="J1927">
        <v>5</v>
      </c>
      <c r="K1927">
        <v>13</v>
      </c>
      <c r="L1927">
        <v>7</v>
      </c>
      <c r="M1927">
        <v>1.5129999999999999</v>
      </c>
    </row>
    <row r="1928" spans="1:13" ht="15" customHeight="1">
      <c r="A1928" t="s">
        <v>26</v>
      </c>
      <c r="B1928">
        <f t="shared" si="120"/>
        <v>33.716650000000001</v>
      </c>
      <c r="C1928">
        <f t="shared" si="121"/>
        <v>-117.855251</v>
      </c>
      <c r="D1928">
        <f t="shared" si="122"/>
        <v>63</v>
      </c>
      <c r="E1928">
        <v>61.499000000000002</v>
      </c>
      <c r="F1928">
        <f t="shared" si="123"/>
        <v>1.5009999999999977</v>
      </c>
      <c r="G1928">
        <v>65.266999999999996</v>
      </c>
      <c r="H1928">
        <v>2.4929999999999999</v>
      </c>
      <c r="I1928">
        <v>3.7970000000000002</v>
      </c>
      <c r="J1928">
        <v>5</v>
      </c>
      <c r="K1928">
        <v>31</v>
      </c>
      <c r="L1928">
        <v>16</v>
      </c>
      <c r="M1928">
        <v>4.1260000000000003</v>
      </c>
    </row>
    <row r="1929" spans="1:13" ht="15" customHeight="1">
      <c r="A1929" t="s">
        <v>26</v>
      </c>
      <c r="B1929">
        <f t="shared" si="120"/>
        <v>33.716650000000001</v>
      </c>
      <c r="C1929">
        <f t="shared" si="121"/>
        <v>-117.855251</v>
      </c>
      <c r="D1929">
        <f t="shared" si="122"/>
        <v>63</v>
      </c>
      <c r="E1929">
        <v>62.499000000000002</v>
      </c>
      <c r="F1929">
        <f t="shared" si="123"/>
        <v>0.50099999999999767</v>
      </c>
      <c r="G1929">
        <v>46.113999999999997</v>
      </c>
      <c r="H1929">
        <v>2.524</v>
      </c>
      <c r="I1929">
        <v>5.4960000000000004</v>
      </c>
      <c r="J1929">
        <v>3</v>
      </c>
      <c r="K1929">
        <v>44</v>
      </c>
      <c r="L1929">
        <v>22</v>
      </c>
      <c r="M1929">
        <v>2.806</v>
      </c>
    </row>
    <row r="1930" spans="1:13" ht="15" customHeight="1">
      <c r="A1930" t="s">
        <v>26</v>
      </c>
      <c r="B1930">
        <f t="shared" si="120"/>
        <v>33.716650000000001</v>
      </c>
      <c r="C1930">
        <f t="shared" si="121"/>
        <v>-117.855251</v>
      </c>
      <c r="D1930">
        <f t="shared" si="122"/>
        <v>63</v>
      </c>
      <c r="E1930">
        <v>63.499000000000002</v>
      </c>
      <c r="F1930">
        <f t="shared" si="123"/>
        <v>-0.49900000000000233</v>
      </c>
      <c r="G1930">
        <v>29.016999999999999</v>
      </c>
      <c r="H1930">
        <v>1.4</v>
      </c>
      <c r="I1930">
        <v>4.8499999999999996</v>
      </c>
      <c r="J1930">
        <v>3</v>
      </c>
      <c r="K1930">
        <v>28</v>
      </c>
      <c r="L1930">
        <v>14</v>
      </c>
      <c r="M1930">
        <v>1.6639999999999999</v>
      </c>
    </row>
    <row r="1931" spans="1:13" ht="15" customHeight="1">
      <c r="A1931" t="s">
        <v>26</v>
      </c>
      <c r="B1931">
        <f t="shared" si="120"/>
        <v>33.716650000000001</v>
      </c>
      <c r="C1931">
        <f t="shared" si="121"/>
        <v>-117.855251</v>
      </c>
      <c r="D1931">
        <f t="shared" si="122"/>
        <v>63</v>
      </c>
      <c r="E1931">
        <v>64.498999999999995</v>
      </c>
      <c r="F1931">
        <f t="shared" si="123"/>
        <v>-1.4989999999999952</v>
      </c>
      <c r="G1931">
        <v>86.4</v>
      </c>
      <c r="H1931">
        <v>2.0830000000000002</v>
      </c>
      <c r="I1931">
        <v>2.415</v>
      </c>
      <c r="J1931">
        <v>7</v>
      </c>
      <c r="K1931">
        <v>28</v>
      </c>
      <c r="L1931">
        <v>14</v>
      </c>
      <c r="M1931" s="1">
        <v>9000000000</v>
      </c>
    </row>
    <row r="1932" spans="1:13" ht="15" customHeight="1">
      <c r="A1932" t="s">
        <v>26</v>
      </c>
      <c r="B1932">
        <f t="shared" si="120"/>
        <v>33.716650000000001</v>
      </c>
      <c r="C1932">
        <f t="shared" si="121"/>
        <v>-117.855251</v>
      </c>
      <c r="D1932">
        <f t="shared" si="122"/>
        <v>63</v>
      </c>
      <c r="E1932">
        <v>65.498999999999995</v>
      </c>
      <c r="F1932">
        <f t="shared" si="123"/>
        <v>-2.4989999999999952</v>
      </c>
      <c r="G1932">
        <v>48.232999999999997</v>
      </c>
      <c r="H1932">
        <v>2.113</v>
      </c>
      <c r="I1932">
        <v>4.3949999999999996</v>
      </c>
      <c r="J1932">
        <v>4</v>
      </c>
      <c r="K1932">
        <v>31</v>
      </c>
      <c r="L1932">
        <v>16</v>
      </c>
      <c r="M1932">
        <v>2.9369999999999998</v>
      </c>
    </row>
    <row r="1933" spans="1:13" ht="15" customHeight="1">
      <c r="A1933" t="s">
        <v>26</v>
      </c>
      <c r="B1933">
        <f t="shared" si="120"/>
        <v>33.716650000000001</v>
      </c>
      <c r="C1933">
        <f t="shared" si="121"/>
        <v>-117.855251</v>
      </c>
      <c r="D1933">
        <f t="shared" si="122"/>
        <v>63</v>
      </c>
      <c r="E1933">
        <v>66.498999999999995</v>
      </c>
      <c r="F1933">
        <f t="shared" si="123"/>
        <v>-3.4989999999999952</v>
      </c>
      <c r="G1933">
        <v>46.033000000000001</v>
      </c>
      <c r="H1933">
        <v>1.6870000000000001</v>
      </c>
      <c r="I1933">
        <v>3.6749999999999998</v>
      </c>
      <c r="J1933">
        <v>5</v>
      </c>
      <c r="K1933">
        <v>22</v>
      </c>
      <c r="L1933">
        <v>11</v>
      </c>
      <c r="M1933">
        <v>2.7879999999999998</v>
      </c>
    </row>
    <row r="1934" spans="1:13" ht="15" customHeight="1">
      <c r="A1934" t="s">
        <v>26</v>
      </c>
      <c r="B1934">
        <f t="shared" si="120"/>
        <v>33.716650000000001</v>
      </c>
      <c r="C1934">
        <f t="shared" si="121"/>
        <v>-117.855251</v>
      </c>
      <c r="D1934">
        <f t="shared" si="122"/>
        <v>63</v>
      </c>
      <c r="E1934">
        <v>67.498999999999995</v>
      </c>
      <c r="F1934">
        <f t="shared" si="123"/>
        <v>-4.4989999999999952</v>
      </c>
      <c r="G1934">
        <v>57.017000000000003</v>
      </c>
      <c r="H1934">
        <v>2.2999999999999998</v>
      </c>
      <c r="I1934">
        <v>4.0449999999999999</v>
      </c>
      <c r="J1934">
        <v>5</v>
      </c>
      <c r="K1934">
        <v>27</v>
      </c>
      <c r="L1934">
        <v>14</v>
      </c>
      <c r="M1934">
        <v>3.5150000000000001</v>
      </c>
    </row>
    <row r="1935" spans="1:13" ht="15" customHeight="1">
      <c r="A1935" t="s">
        <v>26</v>
      </c>
      <c r="B1935">
        <f t="shared" si="120"/>
        <v>33.716650000000001</v>
      </c>
      <c r="C1935">
        <f t="shared" si="121"/>
        <v>-117.855251</v>
      </c>
      <c r="D1935">
        <f t="shared" si="122"/>
        <v>63</v>
      </c>
      <c r="E1935">
        <v>68.498999999999995</v>
      </c>
      <c r="F1935">
        <f t="shared" si="123"/>
        <v>-5.4989999999999952</v>
      </c>
      <c r="G1935">
        <v>28.632999999999999</v>
      </c>
      <c r="H1935">
        <v>1.085</v>
      </c>
      <c r="I1935">
        <v>3.8029999999999999</v>
      </c>
      <c r="J1935">
        <v>4</v>
      </c>
      <c r="K1935">
        <v>18</v>
      </c>
      <c r="L1935">
        <v>9</v>
      </c>
      <c r="M1935">
        <v>1.6220000000000001</v>
      </c>
    </row>
    <row r="1936" spans="1:13" ht="15" customHeight="1">
      <c r="A1936" t="s">
        <v>26</v>
      </c>
      <c r="B1936">
        <f t="shared" si="120"/>
        <v>33.716650000000001</v>
      </c>
      <c r="C1936">
        <f t="shared" si="121"/>
        <v>-117.855251</v>
      </c>
      <c r="D1936">
        <f t="shared" si="122"/>
        <v>63</v>
      </c>
      <c r="E1936">
        <v>69.498999999999995</v>
      </c>
      <c r="F1936">
        <f t="shared" si="123"/>
        <v>-6.4989999999999952</v>
      </c>
      <c r="G1936">
        <v>28.882999999999999</v>
      </c>
      <c r="H1936">
        <v>1.5980000000000001</v>
      </c>
      <c r="I1936">
        <v>5.5529999999999999</v>
      </c>
      <c r="J1936">
        <v>3</v>
      </c>
      <c r="K1936">
        <v>28</v>
      </c>
      <c r="L1936">
        <v>14</v>
      </c>
      <c r="M1936">
        <v>1.6339999999999999</v>
      </c>
    </row>
    <row r="1937" spans="1:13" ht="15" customHeight="1">
      <c r="A1937" t="s">
        <v>26</v>
      </c>
      <c r="B1937">
        <f t="shared" si="120"/>
        <v>33.716650000000001</v>
      </c>
      <c r="C1937">
        <f t="shared" si="121"/>
        <v>-117.855251</v>
      </c>
      <c r="D1937">
        <f t="shared" si="122"/>
        <v>63</v>
      </c>
      <c r="E1937">
        <v>70.498999999999995</v>
      </c>
      <c r="F1937">
        <f t="shared" si="123"/>
        <v>-7.4989999999999952</v>
      </c>
      <c r="G1937">
        <v>36.85</v>
      </c>
      <c r="H1937">
        <v>0.97299999999999998</v>
      </c>
      <c r="I1937">
        <v>2.6459999999999999</v>
      </c>
      <c r="J1937">
        <v>6</v>
      </c>
      <c r="K1937">
        <v>14</v>
      </c>
      <c r="L1937">
        <v>7</v>
      </c>
      <c r="M1937">
        <v>2.1629999999999998</v>
      </c>
    </row>
    <row r="1938" spans="1:13" ht="15" customHeight="1">
      <c r="A1938" t="s">
        <v>26</v>
      </c>
      <c r="B1938">
        <f t="shared" si="120"/>
        <v>33.716650000000001</v>
      </c>
      <c r="C1938">
        <f t="shared" si="121"/>
        <v>-117.855251</v>
      </c>
      <c r="D1938">
        <f t="shared" si="122"/>
        <v>63</v>
      </c>
      <c r="E1938">
        <v>71.498999999999995</v>
      </c>
      <c r="F1938">
        <f t="shared" si="123"/>
        <v>-8.4989999999999952</v>
      </c>
      <c r="G1938">
        <v>47.45</v>
      </c>
      <c r="H1938">
        <v>1.843</v>
      </c>
      <c r="I1938">
        <v>3.879</v>
      </c>
      <c r="J1938">
        <v>5</v>
      </c>
      <c r="K1938">
        <v>23</v>
      </c>
      <c r="L1938">
        <v>12</v>
      </c>
      <c r="M1938">
        <v>2.875</v>
      </c>
    </row>
    <row r="1939" spans="1:13" ht="15" customHeight="1">
      <c r="A1939" t="s">
        <v>26</v>
      </c>
      <c r="B1939">
        <f t="shared" si="120"/>
        <v>33.716650000000001</v>
      </c>
      <c r="C1939">
        <f t="shared" si="121"/>
        <v>-117.855251</v>
      </c>
      <c r="D1939">
        <f t="shared" si="122"/>
        <v>63</v>
      </c>
      <c r="E1939">
        <v>72.498999999999995</v>
      </c>
      <c r="F1939">
        <f t="shared" si="123"/>
        <v>-9.4989999999999952</v>
      </c>
      <c r="G1939">
        <v>18.986000000000001</v>
      </c>
      <c r="H1939">
        <v>0.51900000000000002</v>
      </c>
      <c r="I1939">
        <v>2.6829999999999998</v>
      </c>
      <c r="J1939">
        <v>5</v>
      </c>
      <c r="K1939">
        <v>9</v>
      </c>
      <c r="L1939">
        <v>5</v>
      </c>
      <c r="M1939">
        <v>0.99099999999999999</v>
      </c>
    </row>
    <row r="1940" spans="1:13" ht="15" customHeight="1">
      <c r="A1940" t="s">
        <v>26</v>
      </c>
      <c r="B1940">
        <f t="shared" si="120"/>
        <v>33.716650000000001</v>
      </c>
      <c r="C1940">
        <f t="shared" si="121"/>
        <v>-117.855251</v>
      </c>
      <c r="D1940">
        <f t="shared" si="122"/>
        <v>63</v>
      </c>
      <c r="E1940">
        <v>73.498999999999995</v>
      </c>
      <c r="F1940">
        <f t="shared" si="123"/>
        <v>-10.498999999999995</v>
      </c>
      <c r="G1940">
        <v>17.533000000000001</v>
      </c>
      <c r="H1940">
        <v>0.312</v>
      </c>
      <c r="I1940">
        <v>1.6850000000000001</v>
      </c>
      <c r="J1940">
        <v>6</v>
      </c>
      <c r="K1940">
        <v>7</v>
      </c>
      <c r="L1940">
        <v>4</v>
      </c>
      <c r="M1940">
        <v>0.93200000000000005</v>
      </c>
    </row>
    <row r="1941" spans="1:13" ht="15" customHeight="1">
      <c r="A1941" t="s">
        <v>26</v>
      </c>
      <c r="B1941">
        <f t="shared" si="120"/>
        <v>33.716650000000001</v>
      </c>
      <c r="C1941">
        <f t="shared" si="121"/>
        <v>-117.855251</v>
      </c>
      <c r="D1941">
        <f t="shared" si="122"/>
        <v>63</v>
      </c>
      <c r="E1941">
        <v>74.498999999999995</v>
      </c>
      <c r="F1941">
        <f t="shared" si="123"/>
        <v>-11.498999999999995</v>
      </c>
      <c r="G1941">
        <v>20.766999999999999</v>
      </c>
      <c r="H1941">
        <v>0.40200000000000002</v>
      </c>
      <c r="I1941">
        <v>1.7490000000000001</v>
      </c>
      <c r="J1941">
        <v>6</v>
      </c>
      <c r="K1941">
        <v>9</v>
      </c>
      <c r="L1941">
        <v>5</v>
      </c>
      <c r="M1941">
        <v>1.226</v>
      </c>
    </row>
    <row r="1942" spans="1:13" ht="15" customHeight="1">
      <c r="A1942" t="s">
        <v>26</v>
      </c>
      <c r="B1942">
        <f t="shared" si="120"/>
        <v>33.716650000000001</v>
      </c>
      <c r="C1942">
        <f t="shared" si="121"/>
        <v>-117.855251</v>
      </c>
      <c r="D1942">
        <f t="shared" si="122"/>
        <v>63</v>
      </c>
      <c r="E1942">
        <v>75.498999999999995</v>
      </c>
      <c r="F1942">
        <f t="shared" si="123"/>
        <v>-12.498999999999995</v>
      </c>
      <c r="G1942">
        <v>65.283000000000001</v>
      </c>
      <c r="H1942">
        <v>1.9350000000000001</v>
      </c>
      <c r="I1942">
        <v>2.883</v>
      </c>
      <c r="J1942">
        <v>6</v>
      </c>
      <c r="K1942">
        <v>26</v>
      </c>
      <c r="L1942">
        <v>13</v>
      </c>
      <c r="M1942">
        <v>4.165</v>
      </c>
    </row>
    <row r="1943" spans="1:13" ht="15" customHeight="1">
      <c r="A1943" t="s">
        <v>26</v>
      </c>
      <c r="B1943">
        <f t="shared" si="120"/>
        <v>33.716650000000001</v>
      </c>
      <c r="C1943">
        <f t="shared" si="121"/>
        <v>-117.855251</v>
      </c>
      <c r="D1943">
        <f t="shared" si="122"/>
        <v>63</v>
      </c>
      <c r="E1943">
        <v>76.498999999999995</v>
      </c>
      <c r="F1943">
        <f t="shared" si="123"/>
        <v>-13.498999999999995</v>
      </c>
      <c r="G1943">
        <v>146.19999999999999</v>
      </c>
      <c r="H1943">
        <v>4.1669999999999998</v>
      </c>
      <c r="I1943">
        <v>2.8530000000000002</v>
      </c>
      <c r="J1943">
        <v>7</v>
      </c>
      <c r="K1943">
        <v>47</v>
      </c>
      <c r="L1943">
        <v>24</v>
      </c>
      <c r="M1943" s="1">
        <v>9000000000</v>
      </c>
    </row>
    <row r="1944" spans="1:13" ht="15" customHeight="1">
      <c r="A1944" t="s">
        <v>26</v>
      </c>
      <c r="B1944">
        <f t="shared" si="120"/>
        <v>33.716650000000001</v>
      </c>
      <c r="C1944">
        <f t="shared" si="121"/>
        <v>-117.855251</v>
      </c>
      <c r="D1944">
        <f t="shared" si="122"/>
        <v>63</v>
      </c>
      <c r="E1944">
        <v>77.498999999999995</v>
      </c>
      <c r="F1944">
        <f t="shared" si="123"/>
        <v>-14.498999999999995</v>
      </c>
      <c r="G1944">
        <v>26.917000000000002</v>
      </c>
      <c r="H1944">
        <v>1.1599999999999999</v>
      </c>
      <c r="I1944">
        <v>4.3259999999999996</v>
      </c>
      <c r="J1944">
        <v>4</v>
      </c>
      <c r="K1944">
        <v>17</v>
      </c>
      <c r="L1944">
        <v>9</v>
      </c>
      <c r="M1944">
        <v>1.47</v>
      </c>
    </row>
    <row r="1945" spans="1:13" ht="15" customHeight="1">
      <c r="A1945" t="s">
        <v>26</v>
      </c>
      <c r="B1945">
        <f t="shared" si="120"/>
        <v>33.716650000000001</v>
      </c>
      <c r="C1945">
        <f t="shared" si="121"/>
        <v>-117.855251</v>
      </c>
      <c r="D1945">
        <f t="shared" si="122"/>
        <v>63</v>
      </c>
      <c r="E1945">
        <v>78.498999999999995</v>
      </c>
      <c r="F1945">
        <f t="shared" si="123"/>
        <v>-15.498999999999995</v>
      </c>
      <c r="G1945">
        <v>24.2</v>
      </c>
      <c r="H1945">
        <v>0.873</v>
      </c>
      <c r="I1945">
        <v>3.6139999999999999</v>
      </c>
      <c r="J1945">
        <v>5</v>
      </c>
      <c r="K1945">
        <v>12</v>
      </c>
      <c r="L1945">
        <v>6</v>
      </c>
      <c r="M1945">
        <v>1.2889999999999999</v>
      </c>
    </row>
    <row r="1946" spans="1:13" ht="15" customHeight="1">
      <c r="A1946" t="s">
        <v>26</v>
      </c>
      <c r="B1946">
        <f t="shared" si="120"/>
        <v>33.716650000000001</v>
      </c>
      <c r="C1946">
        <f t="shared" si="121"/>
        <v>-117.855251</v>
      </c>
      <c r="D1946">
        <f t="shared" si="122"/>
        <v>63</v>
      </c>
      <c r="E1946">
        <v>79.498999999999995</v>
      </c>
      <c r="F1946">
        <f t="shared" si="123"/>
        <v>-16.498999999999995</v>
      </c>
      <c r="G1946">
        <v>20.667000000000002</v>
      </c>
      <c r="H1946">
        <v>0.51800000000000002</v>
      </c>
      <c r="I1946">
        <v>2.5059999999999998</v>
      </c>
      <c r="J1946">
        <v>5</v>
      </c>
      <c r="K1946">
        <v>10</v>
      </c>
      <c r="L1946">
        <v>5</v>
      </c>
      <c r="M1946">
        <v>1.0529999999999999</v>
      </c>
    </row>
    <row r="1947" spans="1:13" ht="15" customHeight="1">
      <c r="A1947" t="s">
        <v>26</v>
      </c>
      <c r="B1947">
        <f t="shared" si="120"/>
        <v>33.716650000000001</v>
      </c>
      <c r="C1947">
        <f t="shared" si="121"/>
        <v>-117.855251</v>
      </c>
      <c r="D1947">
        <f t="shared" si="122"/>
        <v>63</v>
      </c>
      <c r="E1947">
        <v>80.498999999999995</v>
      </c>
      <c r="F1947">
        <f t="shared" si="123"/>
        <v>-17.498999999999995</v>
      </c>
      <c r="G1947">
        <v>21.3</v>
      </c>
      <c r="H1947">
        <v>0.61299999999999999</v>
      </c>
      <c r="I1947">
        <v>2.871</v>
      </c>
      <c r="J1947">
        <v>5</v>
      </c>
      <c r="K1947">
        <v>10</v>
      </c>
      <c r="L1947">
        <v>5</v>
      </c>
      <c r="M1947">
        <v>1.0940000000000001</v>
      </c>
    </row>
    <row r="1948" spans="1:13" ht="15" customHeight="1">
      <c r="A1948" t="s">
        <v>26</v>
      </c>
      <c r="B1948">
        <f t="shared" si="120"/>
        <v>33.716650000000001</v>
      </c>
      <c r="C1948">
        <f t="shared" si="121"/>
        <v>-117.855251</v>
      </c>
      <c r="D1948">
        <f t="shared" si="122"/>
        <v>63</v>
      </c>
      <c r="E1948">
        <v>81.498999999999995</v>
      </c>
      <c r="F1948">
        <f t="shared" si="123"/>
        <v>-18.498999999999995</v>
      </c>
      <c r="G1948">
        <v>23.15</v>
      </c>
      <c r="H1948">
        <v>0.63300000000000001</v>
      </c>
      <c r="I1948">
        <v>2.6819999999999999</v>
      </c>
      <c r="J1948">
        <v>5</v>
      </c>
      <c r="K1948">
        <v>11</v>
      </c>
      <c r="L1948">
        <v>6</v>
      </c>
      <c r="M1948">
        <v>1.24</v>
      </c>
    </row>
    <row r="1949" spans="1:13" ht="15" customHeight="1">
      <c r="A1949" t="s">
        <v>26</v>
      </c>
      <c r="B1949">
        <f t="shared" si="120"/>
        <v>33.716650000000001</v>
      </c>
      <c r="C1949">
        <f t="shared" si="121"/>
        <v>-117.855251</v>
      </c>
      <c r="D1949">
        <f t="shared" si="122"/>
        <v>63</v>
      </c>
      <c r="E1949">
        <v>82.498999999999995</v>
      </c>
      <c r="F1949">
        <f t="shared" si="123"/>
        <v>-19.498999999999995</v>
      </c>
      <c r="G1949">
        <v>27.983000000000001</v>
      </c>
      <c r="H1949">
        <v>1.0629999999999999</v>
      </c>
      <c r="I1949">
        <v>3.6480000000000001</v>
      </c>
      <c r="J1949">
        <v>5</v>
      </c>
      <c r="K1949">
        <v>14</v>
      </c>
      <c r="L1949">
        <v>7</v>
      </c>
      <c r="M1949">
        <v>1.605</v>
      </c>
    </row>
    <row r="1950" spans="1:13" ht="15" customHeight="1">
      <c r="A1950" t="s">
        <v>26</v>
      </c>
      <c r="B1950">
        <f t="shared" si="120"/>
        <v>33.716650000000001</v>
      </c>
      <c r="C1950">
        <f t="shared" si="121"/>
        <v>-117.855251</v>
      </c>
      <c r="D1950">
        <f t="shared" si="122"/>
        <v>63</v>
      </c>
      <c r="E1950">
        <v>83.498999999999995</v>
      </c>
      <c r="F1950">
        <f t="shared" si="123"/>
        <v>-20.498999999999995</v>
      </c>
      <c r="G1950">
        <v>25.870999999999999</v>
      </c>
      <c r="H1950">
        <v>1.0009999999999999</v>
      </c>
      <c r="I1950">
        <v>3.653</v>
      </c>
      <c r="J1950">
        <v>5</v>
      </c>
      <c r="K1950">
        <v>13</v>
      </c>
      <c r="L1950">
        <v>7</v>
      </c>
      <c r="M1950">
        <v>1.4850000000000001</v>
      </c>
    </row>
    <row r="1951" spans="1:13" ht="15" customHeight="1">
      <c r="A1951" t="s">
        <v>26</v>
      </c>
      <c r="B1951">
        <f t="shared" si="120"/>
        <v>33.716650000000001</v>
      </c>
      <c r="C1951">
        <f t="shared" si="121"/>
        <v>-117.855251</v>
      </c>
      <c r="D1951">
        <f t="shared" si="122"/>
        <v>63</v>
      </c>
      <c r="E1951">
        <v>84.498999999999995</v>
      </c>
      <c r="F1951">
        <f t="shared" si="123"/>
        <v>-21.498999999999995</v>
      </c>
      <c r="G1951">
        <v>25.4</v>
      </c>
      <c r="H1951">
        <v>0.88500000000000001</v>
      </c>
      <c r="I1951">
        <v>3.2879999999999998</v>
      </c>
      <c r="J1951">
        <v>5</v>
      </c>
      <c r="K1951">
        <v>13</v>
      </c>
      <c r="L1951">
        <v>7</v>
      </c>
      <c r="M1951">
        <v>1.448</v>
      </c>
    </row>
    <row r="1952" spans="1:13" ht="15" customHeight="1">
      <c r="A1952" t="s">
        <v>26</v>
      </c>
      <c r="B1952">
        <f t="shared" si="120"/>
        <v>33.716650000000001</v>
      </c>
      <c r="C1952">
        <f t="shared" si="121"/>
        <v>-117.855251</v>
      </c>
      <c r="D1952">
        <f t="shared" si="122"/>
        <v>63</v>
      </c>
      <c r="E1952">
        <v>85.498999999999995</v>
      </c>
      <c r="F1952">
        <f t="shared" si="123"/>
        <v>-22.498999999999995</v>
      </c>
      <c r="G1952">
        <v>22.033000000000001</v>
      </c>
      <c r="H1952">
        <v>0.66500000000000004</v>
      </c>
      <c r="I1952">
        <v>2.7959999999999998</v>
      </c>
      <c r="J1952">
        <v>5</v>
      </c>
      <c r="K1952">
        <v>11</v>
      </c>
      <c r="L1952">
        <v>6</v>
      </c>
      <c r="M1952">
        <v>1.2350000000000001</v>
      </c>
    </row>
    <row r="1953" spans="1:13" ht="15" customHeight="1">
      <c r="A1953" t="s">
        <v>26</v>
      </c>
      <c r="B1953">
        <f t="shared" si="120"/>
        <v>33.716650000000001</v>
      </c>
      <c r="C1953">
        <f t="shared" si="121"/>
        <v>-117.855251</v>
      </c>
      <c r="D1953">
        <f t="shared" si="122"/>
        <v>63</v>
      </c>
      <c r="E1953">
        <v>86.498999999999995</v>
      </c>
      <c r="F1953">
        <f t="shared" si="123"/>
        <v>-23.498999999999995</v>
      </c>
      <c r="G1953">
        <v>23.35</v>
      </c>
      <c r="H1953">
        <v>0.7</v>
      </c>
      <c r="I1953">
        <v>2.8170000000000002</v>
      </c>
      <c r="J1953">
        <v>5</v>
      </c>
      <c r="K1953">
        <v>12</v>
      </c>
      <c r="L1953">
        <v>6</v>
      </c>
      <c r="M1953">
        <v>1.302</v>
      </c>
    </row>
    <row r="1954" spans="1:13" ht="15" customHeight="1">
      <c r="A1954" t="s">
        <v>26</v>
      </c>
      <c r="B1954">
        <f t="shared" si="120"/>
        <v>33.716650000000001</v>
      </c>
      <c r="C1954">
        <f t="shared" si="121"/>
        <v>-117.855251</v>
      </c>
      <c r="D1954">
        <f t="shared" si="122"/>
        <v>63</v>
      </c>
      <c r="E1954">
        <v>87.498999999999995</v>
      </c>
      <c r="F1954">
        <f t="shared" si="123"/>
        <v>-24.498999999999995</v>
      </c>
      <c r="G1954">
        <v>21.082999999999998</v>
      </c>
      <c r="H1954">
        <v>0.53300000000000003</v>
      </c>
      <c r="I1954">
        <v>2.3290000000000002</v>
      </c>
      <c r="J1954">
        <v>6</v>
      </c>
      <c r="K1954">
        <v>9</v>
      </c>
      <c r="L1954">
        <v>5</v>
      </c>
      <c r="M1954">
        <v>1.167</v>
      </c>
    </row>
    <row r="1955" spans="1:13" ht="15" customHeight="1">
      <c r="A1955" t="s">
        <v>26</v>
      </c>
      <c r="B1955">
        <f t="shared" si="120"/>
        <v>33.716650000000001</v>
      </c>
      <c r="C1955">
        <f t="shared" si="121"/>
        <v>-117.855251</v>
      </c>
      <c r="D1955">
        <f t="shared" si="122"/>
        <v>63</v>
      </c>
      <c r="E1955">
        <v>88.498999999999995</v>
      </c>
      <c r="F1955">
        <f t="shared" si="123"/>
        <v>-25.498999999999995</v>
      </c>
      <c r="G1955">
        <v>22.832999999999998</v>
      </c>
      <c r="H1955">
        <v>0.65800000000000003</v>
      </c>
      <c r="I1955">
        <v>2.6709999999999998</v>
      </c>
      <c r="J1955">
        <v>5</v>
      </c>
      <c r="K1955">
        <v>12</v>
      </c>
      <c r="L1955">
        <v>6</v>
      </c>
      <c r="M1955">
        <v>1.28</v>
      </c>
    </row>
    <row r="1956" spans="1:13" ht="15" customHeight="1">
      <c r="A1956" t="s">
        <v>26</v>
      </c>
      <c r="B1956">
        <f t="shared" si="120"/>
        <v>33.716650000000001</v>
      </c>
      <c r="C1956">
        <f t="shared" si="121"/>
        <v>-117.855251</v>
      </c>
      <c r="D1956">
        <f t="shared" si="122"/>
        <v>63</v>
      </c>
      <c r="E1956">
        <v>89.498999999999995</v>
      </c>
      <c r="F1956">
        <f t="shared" si="123"/>
        <v>-26.498999999999995</v>
      </c>
      <c r="G1956">
        <v>22.8</v>
      </c>
      <c r="H1956">
        <v>0.66700000000000004</v>
      </c>
      <c r="I1956">
        <v>2.7269999999999999</v>
      </c>
      <c r="J1956">
        <v>5</v>
      </c>
      <c r="K1956">
        <v>12</v>
      </c>
      <c r="L1956">
        <v>6</v>
      </c>
      <c r="M1956">
        <v>1.262</v>
      </c>
    </row>
    <row r="1957" spans="1:13" ht="15" customHeight="1">
      <c r="A1957" t="s">
        <v>26</v>
      </c>
      <c r="B1957">
        <f t="shared" si="120"/>
        <v>33.716650000000001</v>
      </c>
      <c r="C1957">
        <f t="shared" si="121"/>
        <v>-117.855251</v>
      </c>
      <c r="D1957">
        <f t="shared" si="122"/>
        <v>63</v>
      </c>
      <c r="E1957">
        <v>90.498999999999995</v>
      </c>
      <c r="F1957">
        <f t="shared" si="123"/>
        <v>-27.498999999999995</v>
      </c>
      <c r="G1957">
        <v>28.35</v>
      </c>
      <c r="H1957">
        <v>0.88500000000000001</v>
      </c>
      <c r="I1957">
        <v>2.9340000000000002</v>
      </c>
      <c r="J1957">
        <v>5</v>
      </c>
      <c r="K1957">
        <v>14</v>
      </c>
      <c r="L1957">
        <v>7</v>
      </c>
      <c r="M1957">
        <v>1.639</v>
      </c>
    </row>
    <row r="1958" spans="1:13" ht="15" customHeight="1">
      <c r="A1958" t="s">
        <v>26</v>
      </c>
      <c r="B1958">
        <f t="shared" si="120"/>
        <v>33.716650000000001</v>
      </c>
      <c r="C1958">
        <f t="shared" si="121"/>
        <v>-117.855251</v>
      </c>
      <c r="D1958">
        <f t="shared" si="122"/>
        <v>63</v>
      </c>
      <c r="E1958">
        <v>91.498999999999995</v>
      </c>
      <c r="F1958">
        <f t="shared" si="123"/>
        <v>-28.498999999999995</v>
      </c>
      <c r="G1958">
        <v>31.716999999999999</v>
      </c>
      <c r="H1958">
        <v>1.18</v>
      </c>
      <c r="I1958">
        <v>3.6419999999999999</v>
      </c>
      <c r="J1958">
        <v>5</v>
      </c>
      <c r="K1958">
        <v>16</v>
      </c>
      <c r="L1958">
        <v>8</v>
      </c>
      <c r="M1958">
        <v>1.784</v>
      </c>
    </row>
    <row r="1959" spans="1:13" ht="15" customHeight="1">
      <c r="A1959" t="s">
        <v>26</v>
      </c>
      <c r="B1959">
        <f t="shared" si="120"/>
        <v>33.716650000000001</v>
      </c>
      <c r="C1959">
        <f t="shared" si="121"/>
        <v>-117.855251</v>
      </c>
      <c r="D1959">
        <f t="shared" si="122"/>
        <v>63</v>
      </c>
      <c r="E1959">
        <v>92.498999999999995</v>
      </c>
      <c r="F1959">
        <f t="shared" si="123"/>
        <v>-29.498999999999995</v>
      </c>
      <c r="G1959">
        <v>30.283000000000001</v>
      </c>
      <c r="H1959">
        <v>1.0329999999999999</v>
      </c>
      <c r="I1959">
        <v>3.33</v>
      </c>
      <c r="J1959">
        <v>5</v>
      </c>
      <c r="K1959">
        <v>15</v>
      </c>
      <c r="L1959">
        <v>8</v>
      </c>
      <c r="M1959">
        <v>1.6890000000000001</v>
      </c>
    </row>
    <row r="1960" spans="1:13" ht="15" customHeight="1">
      <c r="A1960" t="s">
        <v>26</v>
      </c>
      <c r="B1960">
        <f t="shared" si="120"/>
        <v>33.716650000000001</v>
      </c>
      <c r="C1960">
        <f t="shared" si="121"/>
        <v>-117.855251</v>
      </c>
      <c r="D1960">
        <f t="shared" si="122"/>
        <v>63</v>
      </c>
      <c r="E1960">
        <v>93.498999999999995</v>
      </c>
      <c r="F1960">
        <f t="shared" si="123"/>
        <v>-30.498999999999995</v>
      </c>
      <c r="G1960">
        <v>29.713999999999999</v>
      </c>
      <c r="H1960">
        <v>1.1140000000000001</v>
      </c>
      <c r="I1960">
        <v>3.702</v>
      </c>
      <c r="J1960">
        <v>5</v>
      </c>
      <c r="K1960">
        <v>14</v>
      </c>
      <c r="L1960">
        <v>7</v>
      </c>
      <c r="M1960">
        <v>1.6220000000000001</v>
      </c>
    </row>
    <row r="1961" spans="1:13" ht="15" customHeight="1">
      <c r="A1961" t="s">
        <v>26</v>
      </c>
      <c r="B1961">
        <f t="shared" si="120"/>
        <v>33.716650000000001</v>
      </c>
      <c r="C1961">
        <f t="shared" si="121"/>
        <v>-117.855251</v>
      </c>
      <c r="D1961">
        <f t="shared" si="122"/>
        <v>63</v>
      </c>
      <c r="E1961">
        <v>94.498999999999995</v>
      </c>
      <c r="F1961">
        <f t="shared" si="123"/>
        <v>-31.498999999999995</v>
      </c>
      <c r="G1961">
        <v>31.716999999999999</v>
      </c>
      <c r="H1961">
        <v>1.363</v>
      </c>
      <c r="I1961">
        <v>4.2649999999999997</v>
      </c>
      <c r="J1961">
        <v>4</v>
      </c>
      <c r="K1961">
        <v>20</v>
      </c>
      <c r="L1961">
        <v>10</v>
      </c>
      <c r="M1961">
        <v>1.7430000000000001</v>
      </c>
    </row>
    <row r="1962" spans="1:13" ht="15" customHeight="1">
      <c r="A1962" t="s">
        <v>26</v>
      </c>
      <c r="B1962">
        <f t="shared" si="120"/>
        <v>33.716650000000001</v>
      </c>
      <c r="C1962">
        <f t="shared" si="121"/>
        <v>-117.855251</v>
      </c>
      <c r="D1962">
        <f t="shared" si="122"/>
        <v>63</v>
      </c>
      <c r="E1962">
        <v>95.498999999999995</v>
      </c>
      <c r="F1962">
        <f t="shared" si="123"/>
        <v>-32.498999999999995</v>
      </c>
      <c r="G1962">
        <v>28.882999999999999</v>
      </c>
      <c r="H1962">
        <v>1.0369999999999999</v>
      </c>
      <c r="I1962">
        <v>3.5619999999999998</v>
      </c>
      <c r="J1962">
        <v>5</v>
      </c>
      <c r="K1962">
        <v>14</v>
      </c>
      <c r="L1962">
        <v>7</v>
      </c>
      <c r="M1962">
        <v>1.5469999999999999</v>
      </c>
    </row>
    <row r="1963" spans="1:13" ht="15" customHeight="1">
      <c r="A1963" t="s">
        <v>26</v>
      </c>
      <c r="B1963">
        <f t="shared" si="120"/>
        <v>33.716650000000001</v>
      </c>
      <c r="C1963">
        <f t="shared" si="121"/>
        <v>-117.855251</v>
      </c>
      <c r="D1963">
        <f t="shared" si="122"/>
        <v>63</v>
      </c>
      <c r="E1963">
        <v>96.498999999999995</v>
      </c>
      <c r="F1963">
        <f t="shared" si="123"/>
        <v>-33.498999999999995</v>
      </c>
      <c r="G1963">
        <v>26.3</v>
      </c>
      <c r="H1963">
        <v>0.67</v>
      </c>
      <c r="I1963">
        <v>2.4620000000000002</v>
      </c>
      <c r="J1963">
        <v>6</v>
      </c>
      <c r="K1963">
        <v>10</v>
      </c>
      <c r="L1963">
        <v>5</v>
      </c>
      <c r="M1963">
        <v>1.4179999999999999</v>
      </c>
    </row>
    <row r="1964" spans="1:13" ht="15" customHeight="1">
      <c r="A1964" t="s">
        <v>26</v>
      </c>
      <c r="B1964">
        <f t="shared" si="120"/>
        <v>33.716650000000001</v>
      </c>
      <c r="C1964">
        <f t="shared" si="121"/>
        <v>-117.855251</v>
      </c>
      <c r="D1964">
        <f t="shared" si="122"/>
        <v>63</v>
      </c>
      <c r="E1964">
        <v>97.498999999999995</v>
      </c>
      <c r="F1964">
        <f t="shared" si="123"/>
        <v>-34.498999999999995</v>
      </c>
      <c r="G1964">
        <v>29.983000000000001</v>
      </c>
      <c r="H1964">
        <v>0.82</v>
      </c>
      <c r="I1964">
        <v>2.5790000000000002</v>
      </c>
      <c r="J1964">
        <v>6</v>
      </c>
      <c r="K1964">
        <v>12</v>
      </c>
      <c r="L1964">
        <v>6</v>
      </c>
      <c r="M1964">
        <v>1.7190000000000001</v>
      </c>
    </row>
    <row r="1965" spans="1:13" ht="15" customHeight="1">
      <c r="A1965" t="s">
        <v>26</v>
      </c>
      <c r="B1965">
        <f t="shared" si="120"/>
        <v>33.716650000000001</v>
      </c>
      <c r="C1965">
        <f t="shared" si="121"/>
        <v>-117.855251</v>
      </c>
      <c r="D1965">
        <f t="shared" si="122"/>
        <v>63</v>
      </c>
      <c r="E1965">
        <v>98.498999999999995</v>
      </c>
      <c r="F1965">
        <f t="shared" si="123"/>
        <v>-35.498999999999995</v>
      </c>
      <c r="G1965">
        <v>58.633000000000003</v>
      </c>
      <c r="H1965">
        <v>2.2000000000000002</v>
      </c>
      <c r="I1965">
        <v>3.6579999999999999</v>
      </c>
      <c r="J1965">
        <v>5</v>
      </c>
      <c r="K1965">
        <v>29</v>
      </c>
      <c r="L1965">
        <v>15</v>
      </c>
      <c r="M1965">
        <v>3.605</v>
      </c>
    </row>
    <row r="1966" spans="1:13" ht="15" customHeight="1">
      <c r="A1966" t="s">
        <v>26</v>
      </c>
      <c r="B1966">
        <f t="shared" si="120"/>
        <v>33.716650000000001</v>
      </c>
      <c r="C1966">
        <f t="shared" si="121"/>
        <v>-117.855251</v>
      </c>
      <c r="D1966">
        <f t="shared" si="122"/>
        <v>63</v>
      </c>
      <c r="E1966">
        <v>99.498999999999995</v>
      </c>
      <c r="F1966">
        <f t="shared" si="123"/>
        <v>-36.498999999999995</v>
      </c>
      <c r="G1966">
        <v>175.55</v>
      </c>
      <c r="H1966">
        <v>3.6869999999999998</v>
      </c>
      <c r="I1966">
        <v>2.101</v>
      </c>
      <c r="J1966">
        <v>7</v>
      </c>
      <c r="K1966">
        <v>56</v>
      </c>
      <c r="L1966">
        <v>28</v>
      </c>
      <c r="M1966" s="1">
        <v>9000000000</v>
      </c>
    </row>
    <row r="1967" spans="1:13" ht="15" customHeight="1">
      <c r="A1967" t="s">
        <v>26</v>
      </c>
      <c r="B1967">
        <f t="shared" si="120"/>
        <v>33.716650000000001</v>
      </c>
      <c r="C1967">
        <f t="shared" si="121"/>
        <v>-117.855251</v>
      </c>
      <c r="D1967">
        <f t="shared" si="122"/>
        <v>63</v>
      </c>
      <c r="E1967">
        <v>100.499</v>
      </c>
      <c r="F1967">
        <f t="shared" si="123"/>
        <v>-37.498999999999995</v>
      </c>
      <c r="G1967">
        <v>262.91699999999997</v>
      </c>
      <c r="H1967">
        <v>3.0219999999999998</v>
      </c>
      <c r="I1967">
        <v>1.1499999999999999</v>
      </c>
      <c r="J1967">
        <v>9</v>
      </c>
      <c r="K1967">
        <v>50</v>
      </c>
      <c r="L1967">
        <v>25</v>
      </c>
      <c r="M1967" s="1">
        <v>9000000000</v>
      </c>
    </row>
    <row r="1968" spans="1:13" ht="15" customHeight="1">
      <c r="A1968" t="s">
        <v>26</v>
      </c>
      <c r="B1968">
        <f t="shared" si="120"/>
        <v>33.716650000000001</v>
      </c>
      <c r="C1968">
        <f t="shared" si="121"/>
        <v>-117.855251</v>
      </c>
      <c r="D1968">
        <f t="shared" si="122"/>
        <v>63</v>
      </c>
      <c r="E1968">
        <v>101.499</v>
      </c>
      <c r="F1968">
        <f t="shared" si="123"/>
        <v>-38.498999999999995</v>
      </c>
      <c r="G1968">
        <v>230.233</v>
      </c>
      <c r="H1968">
        <v>2.6349999999999998</v>
      </c>
      <c r="I1968">
        <v>1.145</v>
      </c>
      <c r="J1968">
        <v>9</v>
      </c>
      <c r="K1968">
        <v>44</v>
      </c>
      <c r="L1968">
        <v>22</v>
      </c>
      <c r="M1968" s="1">
        <v>9000000000</v>
      </c>
    </row>
    <row r="1969" spans="1:13" ht="15" customHeight="1">
      <c r="A1969" t="s">
        <v>26</v>
      </c>
      <c r="B1969">
        <f t="shared" si="120"/>
        <v>33.716650000000001</v>
      </c>
      <c r="C1969">
        <f t="shared" si="121"/>
        <v>-117.855251</v>
      </c>
      <c r="D1969">
        <f t="shared" si="122"/>
        <v>63</v>
      </c>
      <c r="E1969">
        <v>102.499</v>
      </c>
      <c r="F1969">
        <f t="shared" si="123"/>
        <v>-39.498999999999995</v>
      </c>
      <c r="G1969">
        <v>54.6</v>
      </c>
      <c r="H1969">
        <v>2.2050000000000001</v>
      </c>
      <c r="I1969">
        <v>4.048</v>
      </c>
      <c r="J1969">
        <v>5</v>
      </c>
      <c r="K1969">
        <v>26</v>
      </c>
      <c r="L1969">
        <v>13</v>
      </c>
      <c r="M1969">
        <v>3.21</v>
      </c>
    </row>
    <row r="1970" spans="1:13" ht="15" customHeight="1">
      <c r="A1970" t="s">
        <v>26</v>
      </c>
      <c r="B1970">
        <f t="shared" si="120"/>
        <v>33.716650000000001</v>
      </c>
      <c r="C1970">
        <f t="shared" si="121"/>
        <v>-117.855251</v>
      </c>
      <c r="D1970">
        <f t="shared" si="122"/>
        <v>63</v>
      </c>
      <c r="E1970">
        <v>103.499</v>
      </c>
      <c r="F1970">
        <f t="shared" si="123"/>
        <v>-40.498999999999995</v>
      </c>
      <c r="G1970">
        <v>34.200000000000003</v>
      </c>
      <c r="H1970">
        <v>1.2230000000000001</v>
      </c>
      <c r="I1970">
        <v>3.593</v>
      </c>
      <c r="J1970">
        <v>5</v>
      </c>
      <c r="K1970">
        <v>16</v>
      </c>
      <c r="L1970">
        <v>8</v>
      </c>
      <c r="M1970">
        <v>1.8440000000000001</v>
      </c>
    </row>
    <row r="1971" spans="1:13" ht="15" customHeight="1">
      <c r="A1971" t="s">
        <v>26</v>
      </c>
      <c r="B1971">
        <f t="shared" si="120"/>
        <v>33.716650000000001</v>
      </c>
      <c r="C1971">
        <f t="shared" si="121"/>
        <v>-117.855251</v>
      </c>
      <c r="D1971">
        <f t="shared" si="122"/>
        <v>63</v>
      </c>
      <c r="E1971">
        <v>104.499</v>
      </c>
      <c r="F1971">
        <f t="shared" si="123"/>
        <v>-41.498999999999995</v>
      </c>
      <c r="G1971">
        <v>65.400000000000006</v>
      </c>
      <c r="H1971">
        <v>3.2029999999999998</v>
      </c>
      <c r="I1971">
        <v>4.9050000000000002</v>
      </c>
      <c r="J1971">
        <v>4</v>
      </c>
      <c r="K1971">
        <v>42</v>
      </c>
      <c r="L1971">
        <v>21</v>
      </c>
      <c r="M1971">
        <v>3.923</v>
      </c>
    </row>
    <row r="1972" spans="1:13" ht="15" customHeight="1">
      <c r="A1972" t="s">
        <v>26</v>
      </c>
      <c r="B1972">
        <f t="shared" si="120"/>
        <v>33.716650000000001</v>
      </c>
      <c r="C1972">
        <f t="shared" si="121"/>
        <v>-117.855251</v>
      </c>
      <c r="D1972">
        <f t="shared" si="122"/>
        <v>63</v>
      </c>
      <c r="E1972">
        <v>105.499</v>
      </c>
      <c r="F1972">
        <f t="shared" si="123"/>
        <v>-42.498999999999995</v>
      </c>
      <c r="G1972">
        <v>95.283000000000001</v>
      </c>
      <c r="H1972">
        <v>3.9180000000000001</v>
      </c>
      <c r="I1972">
        <v>4.12</v>
      </c>
      <c r="J1972">
        <v>5</v>
      </c>
      <c r="K1972">
        <v>46</v>
      </c>
      <c r="L1972">
        <v>23</v>
      </c>
      <c r="M1972">
        <v>5.907</v>
      </c>
    </row>
    <row r="1973" spans="1:13" ht="15" customHeight="1">
      <c r="A1973" t="s">
        <v>26</v>
      </c>
      <c r="B1973">
        <f t="shared" si="120"/>
        <v>33.716650000000001</v>
      </c>
      <c r="C1973">
        <f t="shared" si="121"/>
        <v>-117.855251</v>
      </c>
      <c r="D1973">
        <f t="shared" si="122"/>
        <v>63</v>
      </c>
      <c r="E1973">
        <v>106.499</v>
      </c>
      <c r="F1973">
        <f t="shared" si="123"/>
        <v>-43.498999999999995</v>
      </c>
      <c r="G1973">
        <v>355.41699999999997</v>
      </c>
      <c r="H1973">
        <v>3.6829999999999998</v>
      </c>
      <c r="I1973">
        <v>1.0369999999999999</v>
      </c>
      <c r="J1973">
        <v>9</v>
      </c>
      <c r="K1973">
        <v>68</v>
      </c>
      <c r="L1973">
        <v>34</v>
      </c>
      <c r="M1973" s="1">
        <v>9000000000</v>
      </c>
    </row>
    <row r="1974" spans="1:13" ht="15" customHeight="1">
      <c r="A1974" t="s">
        <v>26</v>
      </c>
      <c r="B1974">
        <f t="shared" si="120"/>
        <v>33.716650000000001</v>
      </c>
      <c r="C1974">
        <f t="shared" si="121"/>
        <v>-117.855251</v>
      </c>
      <c r="D1974">
        <f t="shared" si="122"/>
        <v>63</v>
      </c>
      <c r="E1974">
        <v>107.499</v>
      </c>
      <c r="F1974">
        <f t="shared" si="123"/>
        <v>-44.498999999999995</v>
      </c>
      <c r="G1974">
        <v>506.71699999999998</v>
      </c>
      <c r="H1974">
        <v>3.9</v>
      </c>
      <c r="I1974">
        <v>0.76900000000000002</v>
      </c>
      <c r="J1974">
        <v>10</v>
      </c>
      <c r="K1974">
        <v>81</v>
      </c>
      <c r="L1974">
        <v>41</v>
      </c>
      <c r="M1974" s="1">
        <v>9000000000</v>
      </c>
    </row>
    <row r="1975" spans="1:13" ht="15" customHeight="1">
      <c r="A1975" t="s">
        <v>26</v>
      </c>
      <c r="B1975">
        <f t="shared" si="120"/>
        <v>33.716650000000001</v>
      </c>
      <c r="C1975">
        <f t="shared" si="121"/>
        <v>-117.855251</v>
      </c>
      <c r="D1975">
        <f t="shared" si="122"/>
        <v>63</v>
      </c>
      <c r="E1975">
        <v>108.499</v>
      </c>
      <c r="F1975">
        <f t="shared" si="123"/>
        <v>-45.498999999999995</v>
      </c>
      <c r="G1975">
        <v>453.6</v>
      </c>
      <c r="H1975">
        <v>0</v>
      </c>
      <c r="I1975">
        <v>0</v>
      </c>
      <c r="J1975">
        <v>10</v>
      </c>
      <c r="K1975" s="1">
        <v>9000000000</v>
      </c>
      <c r="L1975" s="1">
        <v>9000000000</v>
      </c>
      <c r="M1975" s="1">
        <v>9000000000</v>
      </c>
    </row>
    <row r="1976" spans="1:13" ht="15" customHeight="1">
      <c r="A1976" t="s">
        <v>27</v>
      </c>
      <c r="B1976">
        <f t="shared" si="120"/>
        <v>33.718347999999999</v>
      </c>
      <c r="C1976">
        <f t="shared" si="121"/>
        <v>-117.853889</v>
      </c>
      <c r="D1976">
        <f t="shared" si="122"/>
        <v>66</v>
      </c>
      <c r="E1976">
        <v>0.5</v>
      </c>
      <c r="F1976">
        <f t="shared" si="123"/>
        <v>65.5</v>
      </c>
      <c r="G1976">
        <v>5.4329999999999998</v>
      </c>
      <c r="H1976">
        <v>1.7999999999999999E-2</v>
      </c>
      <c r="I1976">
        <v>0.33700000000000002</v>
      </c>
      <c r="J1976">
        <v>1</v>
      </c>
      <c r="K1976">
        <v>3</v>
      </c>
      <c r="L1976">
        <v>5</v>
      </c>
      <c r="M1976">
        <v>0.36</v>
      </c>
    </row>
    <row r="1977" spans="1:13" ht="15" customHeight="1">
      <c r="A1977" t="s">
        <v>27</v>
      </c>
      <c r="B1977">
        <f t="shared" si="120"/>
        <v>33.718347999999999</v>
      </c>
      <c r="C1977">
        <f t="shared" si="121"/>
        <v>-117.853889</v>
      </c>
      <c r="D1977">
        <f t="shared" si="122"/>
        <v>66</v>
      </c>
      <c r="E1977">
        <v>1.5</v>
      </c>
      <c r="F1977">
        <f t="shared" si="123"/>
        <v>64.5</v>
      </c>
      <c r="G1977">
        <v>14.483000000000001</v>
      </c>
      <c r="H1977">
        <v>0.41799999999999998</v>
      </c>
      <c r="I1977">
        <v>2.8650000000000002</v>
      </c>
      <c r="J1977">
        <v>5</v>
      </c>
      <c r="K1977">
        <v>7</v>
      </c>
      <c r="L1977">
        <v>11</v>
      </c>
      <c r="M1977">
        <v>0.96799999999999997</v>
      </c>
    </row>
    <row r="1978" spans="1:13" ht="15" customHeight="1">
      <c r="A1978" t="s">
        <v>27</v>
      </c>
      <c r="B1978">
        <f t="shared" si="120"/>
        <v>33.718347999999999</v>
      </c>
      <c r="C1978">
        <f t="shared" si="121"/>
        <v>-117.853889</v>
      </c>
      <c r="D1978">
        <f t="shared" si="122"/>
        <v>66</v>
      </c>
      <c r="E1978">
        <v>2.5</v>
      </c>
      <c r="F1978">
        <f t="shared" si="123"/>
        <v>63.5</v>
      </c>
      <c r="G1978">
        <v>14</v>
      </c>
      <c r="H1978">
        <v>0.32300000000000001</v>
      </c>
      <c r="I1978">
        <v>2.2719999999999998</v>
      </c>
      <c r="J1978">
        <v>5</v>
      </c>
      <c r="K1978">
        <v>7</v>
      </c>
      <c r="L1978">
        <v>11</v>
      </c>
      <c r="M1978">
        <v>0.93899999999999995</v>
      </c>
    </row>
    <row r="1979" spans="1:13" ht="15" customHeight="1">
      <c r="A1979" t="s">
        <v>27</v>
      </c>
      <c r="B1979">
        <f t="shared" si="120"/>
        <v>33.718347999999999</v>
      </c>
      <c r="C1979">
        <f t="shared" si="121"/>
        <v>-117.853889</v>
      </c>
      <c r="D1979">
        <f t="shared" si="122"/>
        <v>66</v>
      </c>
      <c r="E1979">
        <v>3.5</v>
      </c>
      <c r="F1979">
        <f t="shared" si="123"/>
        <v>62.5</v>
      </c>
      <c r="G1979">
        <v>14.833</v>
      </c>
      <c r="H1979">
        <v>0.44800000000000001</v>
      </c>
      <c r="I1979">
        <v>3.0089999999999999</v>
      </c>
      <c r="J1979">
        <v>5</v>
      </c>
      <c r="K1979">
        <v>7</v>
      </c>
      <c r="L1979">
        <v>11</v>
      </c>
      <c r="M1979">
        <v>0.98</v>
      </c>
    </row>
    <row r="1980" spans="1:13" ht="15" customHeight="1">
      <c r="A1980" t="s">
        <v>27</v>
      </c>
      <c r="B1980">
        <f t="shared" si="120"/>
        <v>33.718347999999999</v>
      </c>
      <c r="C1980">
        <f t="shared" si="121"/>
        <v>-117.853889</v>
      </c>
      <c r="D1980">
        <f t="shared" si="122"/>
        <v>66</v>
      </c>
      <c r="E1980">
        <v>4.5</v>
      </c>
      <c r="F1980">
        <f t="shared" si="123"/>
        <v>61.5</v>
      </c>
      <c r="G1980">
        <v>9.3000000000000007</v>
      </c>
      <c r="H1980">
        <v>0.32</v>
      </c>
      <c r="I1980">
        <v>3.4039999999999999</v>
      </c>
      <c r="J1980">
        <v>3</v>
      </c>
      <c r="K1980">
        <v>9</v>
      </c>
      <c r="L1980">
        <v>14</v>
      </c>
      <c r="M1980">
        <v>0.60899999999999999</v>
      </c>
    </row>
    <row r="1981" spans="1:13" ht="15" customHeight="1">
      <c r="A1981" t="s">
        <v>27</v>
      </c>
      <c r="B1981">
        <f t="shared" si="120"/>
        <v>33.718347999999999</v>
      </c>
      <c r="C1981">
        <f t="shared" si="121"/>
        <v>-117.853889</v>
      </c>
      <c r="D1981">
        <f t="shared" si="122"/>
        <v>66</v>
      </c>
      <c r="E1981">
        <v>5.5</v>
      </c>
      <c r="F1981">
        <f t="shared" si="123"/>
        <v>60.5</v>
      </c>
      <c r="G1981">
        <v>7.3330000000000002</v>
      </c>
      <c r="H1981">
        <v>0.188</v>
      </c>
      <c r="I1981">
        <v>2.5510000000000002</v>
      </c>
      <c r="J1981">
        <v>4</v>
      </c>
      <c r="K1981">
        <v>5</v>
      </c>
      <c r="L1981">
        <v>8</v>
      </c>
      <c r="M1981">
        <v>0.47099999999999997</v>
      </c>
    </row>
    <row r="1982" spans="1:13" ht="15" customHeight="1">
      <c r="A1982" t="s">
        <v>27</v>
      </c>
      <c r="B1982">
        <f t="shared" si="120"/>
        <v>33.718347999999999</v>
      </c>
      <c r="C1982">
        <f t="shared" si="121"/>
        <v>-117.853889</v>
      </c>
      <c r="D1982">
        <f t="shared" si="122"/>
        <v>66</v>
      </c>
      <c r="E1982">
        <v>6.5</v>
      </c>
      <c r="F1982">
        <f t="shared" si="123"/>
        <v>59.5</v>
      </c>
      <c r="G1982">
        <v>4.5830000000000002</v>
      </c>
      <c r="H1982">
        <v>4.2999999999999997E-2</v>
      </c>
      <c r="I1982">
        <v>0.89</v>
      </c>
      <c r="J1982">
        <v>1</v>
      </c>
      <c r="K1982">
        <v>2</v>
      </c>
      <c r="L1982">
        <v>3</v>
      </c>
      <c r="M1982">
        <v>0.29899999999999999</v>
      </c>
    </row>
    <row r="1983" spans="1:13" ht="15" customHeight="1">
      <c r="A1983" t="s">
        <v>27</v>
      </c>
      <c r="B1983">
        <f t="shared" si="120"/>
        <v>33.718347999999999</v>
      </c>
      <c r="C1983">
        <f t="shared" si="121"/>
        <v>-117.853889</v>
      </c>
      <c r="D1983">
        <f t="shared" si="122"/>
        <v>66</v>
      </c>
      <c r="E1983">
        <v>7.5</v>
      </c>
      <c r="F1983">
        <f t="shared" si="123"/>
        <v>58.5</v>
      </c>
      <c r="G1983">
        <v>7.4169999999999998</v>
      </c>
      <c r="H1983">
        <v>0.10299999999999999</v>
      </c>
      <c r="I1983">
        <v>1.3360000000000001</v>
      </c>
      <c r="J1983">
        <v>5</v>
      </c>
      <c r="K1983">
        <v>4</v>
      </c>
      <c r="L1983">
        <v>6</v>
      </c>
      <c r="M1983">
        <v>0.48599999999999999</v>
      </c>
    </row>
    <row r="1984" spans="1:13" ht="15" customHeight="1">
      <c r="A1984" t="s">
        <v>27</v>
      </c>
      <c r="B1984">
        <f t="shared" si="120"/>
        <v>33.718347999999999</v>
      </c>
      <c r="C1984">
        <f t="shared" si="121"/>
        <v>-117.853889</v>
      </c>
      <c r="D1984">
        <f t="shared" si="122"/>
        <v>66</v>
      </c>
      <c r="E1984">
        <v>8.5</v>
      </c>
      <c r="F1984">
        <f t="shared" si="123"/>
        <v>57.5</v>
      </c>
      <c r="G1984">
        <v>9.2829999999999995</v>
      </c>
      <c r="H1984">
        <v>0.26500000000000001</v>
      </c>
      <c r="I1984">
        <v>2.794</v>
      </c>
      <c r="J1984">
        <v>4</v>
      </c>
      <c r="K1984">
        <v>6</v>
      </c>
      <c r="L1984">
        <v>9</v>
      </c>
      <c r="M1984">
        <v>0.59899999999999998</v>
      </c>
    </row>
    <row r="1985" spans="1:13" ht="15" customHeight="1">
      <c r="A1985" t="s">
        <v>27</v>
      </c>
      <c r="B1985">
        <f t="shared" si="120"/>
        <v>33.718347999999999</v>
      </c>
      <c r="C1985">
        <f t="shared" si="121"/>
        <v>-117.853889</v>
      </c>
      <c r="D1985">
        <f t="shared" si="122"/>
        <v>66</v>
      </c>
      <c r="E1985">
        <v>9.5</v>
      </c>
      <c r="F1985">
        <f t="shared" si="123"/>
        <v>56.5</v>
      </c>
      <c r="G1985">
        <v>7.9329999999999998</v>
      </c>
      <c r="H1985">
        <v>0.27800000000000002</v>
      </c>
      <c r="I1985">
        <v>3.45</v>
      </c>
      <c r="J1985">
        <v>3</v>
      </c>
      <c r="K1985">
        <v>8</v>
      </c>
      <c r="L1985">
        <v>12</v>
      </c>
      <c r="M1985">
        <v>0.5</v>
      </c>
    </row>
    <row r="1986" spans="1:13" ht="15" customHeight="1">
      <c r="A1986" t="s">
        <v>27</v>
      </c>
      <c r="B1986">
        <f t="shared" ref="B1986:B2049" si="124">VLOOKUP(A1986,XYdata,3,FALSE)</f>
        <v>33.718347999999999</v>
      </c>
      <c r="C1986">
        <f t="shared" ref="C1986:C2049" si="125">VLOOKUP(A1986,XYdata,2,FALSE)</f>
        <v>-117.853889</v>
      </c>
      <c r="D1986">
        <f t="shared" ref="D1986:D2049" si="126">VLOOKUP(A1986,Elevation,2,FALSE)</f>
        <v>66</v>
      </c>
      <c r="E1986">
        <v>10.5</v>
      </c>
      <c r="F1986">
        <f t="shared" si="123"/>
        <v>55.5</v>
      </c>
      <c r="G1986">
        <v>8.657</v>
      </c>
      <c r="H1986">
        <v>0.32300000000000001</v>
      </c>
      <c r="I1986">
        <v>3.681</v>
      </c>
      <c r="J1986">
        <v>3</v>
      </c>
      <c r="K1986">
        <v>8</v>
      </c>
      <c r="L1986">
        <v>12</v>
      </c>
      <c r="M1986">
        <v>0.54300000000000004</v>
      </c>
    </row>
    <row r="1987" spans="1:13" ht="15" customHeight="1">
      <c r="A1987" t="s">
        <v>27</v>
      </c>
      <c r="B1987">
        <f t="shared" si="124"/>
        <v>33.718347999999999</v>
      </c>
      <c r="C1987">
        <f t="shared" si="125"/>
        <v>-117.853889</v>
      </c>
      <c r="D1987">
        <f t="shared" si="126"/>
        <v>66</v>
      </c>
      <c r="E1987">
        <v>11.5</v>
      </c>
      <c r="F1987">
        <f t="shared" ref="F1987:F2050" si="127">D1987-E1987</f>
        <v>54.5</v>
      </c>
      <c r="G1987">
        <v>10.867000000000001</v>
      </c>
      <c r="H1987">
        <v>0.433</v>
      </c>
      <c r="I1987">
        <v>3.9510000000000001</v>
      </c>
      <c r="J1987">
        <v>3</v>
      </c>
      <c r="K1987">
        <v>11</v>
      </c>
      <c r="L1987">
        <v>15</v>
      </c>
      <c r="M1987">
        <v>0.68600000000000005</v>
      </c>
    </row>
    <row r="1988" spans="1:13" ht="15" customHeight="1">
      <c r="A1988" t="s">
        <v>27</v>
      </c>
      <c r="B1988">
        <f t="shared" si="124"/>
        <v>33.718347999999999</v>
      </c>
      <c r="C1988">
        <f t="shared" si="125"/>
        <v>-117.853889</v>
      </c>
      <c r="D1988">
        <f t="shared" si="126"/>
        <v>66</v>
      </c>
      <c r="E1988">
        <v>12.5</v>
      </c>
      <c r="F1988">
        <f t="shared" si="127"/>
        <v>53.5</v>
      </c>
      <c r="G1988">
        <v>11.7</v>
      </c>
      <c r="H1988">
        <v>0.49</v>
      </c>
      <c r="I1988">
        <v>4.1760000000000002</v>
      </c>
      <c r="J1988">
        <v>3</v>
      </c>
      <c r="K1988">
        <v>11</v>
      </c>
      <c r="L1988">
        <v>14</v>
      </c>
      <c r="M1988">
        <v>0.73299999999999998</v>
      </c>
    </row>
    <row r="1989" spans="1:13" ht="15" customHeight="1">
      <c r="A1989" t="s">
        <v>27</v>
      </c>
      <c r="B1989">
        <f t="shared" si="124"/>
        <v>33.718347999999999</v>
      </c>
      <c r="C1989">
        <f t="shared" si="125"/>
        <v>-117.853889</v>
      </c>
      <c r="D1989">
        <f t="shared" si="126"/>
        <v>66</v>
      </c>
      <c r="E1989">
        <v>13.5</v>
      </c>
      <c r="F1989">
        <f t="shared" si="127"/>
        <v>52.5</v>
      </c>
      <c r="G1989">
        <v>9.3330000000000002</v>
      </c>
      <c r="H1989">
        <v>0.37</v>
      </c>
      <c r="I1989">
        <v>3.9430000000000001</v>
      </c>
      <c r="J1989">
        <v>3</v>
      </c>
      <c r="K1989">
        <v>9</v>
      </c>
      <c r="L1989">
        <v>11</v>
      </c>
      <c r="M1989">
        <v>0.57199999999999995</v>
      </c>
    </row>
    <row r="1990" spans="1:13" ht="15" customHeight="1">
      <c r="A1990" t="s">
        <v>27</v>
      </c>
      <c r="B1990">
        <f t="shared" si="124"/>
        <v>33.718347999999999</v>
      </c>
      <c r="C1990">
        <f t="shared" si="125"/>
        <v>-117.853889</v>
      </c>
      <c r="D1990">
        <f t="shared" si="126"/>
        <v>66</v>
      </c>
      <c r="E1990">
        <v>14.5</v>
      </c>
      <c r="F1990">
        <f t="shared" si="127"/>
        <v>51.5</v>
      </c>
      <c r="G1990">
        <v>9.4499999999999993</v>
      </c>
      <c r="H1990">
        <v>0.317</v>
      </c>
      <c r="I1990">
        <v>3.327</v>
      </c>
      <c r="J1990">
        <v>3</v>
      </c>
      <c r="K1990">
        <v>9</v>
      </c>
      <c r="L1990">
        <v>10</v>
      </c>
      <c r="M1990">
        <v>0.57699999999999996</v>
      </c>
    </row>
    <row r="1991" spans="1:13" ht="15" customHeight="1">
      <c r="A1991" t="s">
        <v>27</v>
      </c>
      <c r="B1991">
        <f t="shared" si="124"/>
        <v>33.718347999999999</v>
      </c>
      <c r="C1991">
        <f t="shared" si="125"/>
        <v>-117.853889</v>
      </c>
      <c r="D1991">
        <f t="shared" si="126"/>
        <v>66</v>
      </c>
      <c r="E1991">
        <v>15.5</v>
      </c>
      <c r="F1991">
        <f t="shared" si="127"/>
        <v>50.5</v>
      </c>
      <c r="G1991">
        <v>11.083</v>
      </c>
      <c r="H1991">
        <v>0.40200000000000002</v>
      </c>
      <c r="I1991">
        <v>3.597</v>
      </c>
      <c r="J1991">
        <v>3</v>
      </c>
      <c r="K1991">
        <v>11</v>
      </c>
      <c r="L1991">
        <v>12</v>
      </c>
      <c r="M1991">
        <v>0.68300000000000005</v>
      </c>
    </row>
    <row r="1992" spans="1:13" ht="15" customHeight="1">
      <c r="A1992" t="s">
        <v>27</v>
      </c>
      <c r="B1992">
        <f t="shared" si="124"/>
        <v>33.718347999999999</v>
      </c>
      <c r="C1992">
        <f t="shared" si="125"/>
        <v>-117.853889</v>
      </c>
      <c r="D1992">
        <f t="shared" si="126"/>
        <v>66</v>
      </c>
      <c r="E1992">
        <v>16.5</v>
      </c>
      <c r="F1992">
        <f t="shared" si="127"/>
        <v>49.5</v>
      </c>
      <c r="G1992">
        <v>12.35</v>
      </c>
      <c r="H1992">
        <v>0.45</v>
      </c>
      <c r="I1992">
        <v>3.61</v>
      </c>
      <c r="J1992">
        <v>4</v>
      </c>
      <c r="K1992">
        <v>8</v>
      </c>
      <c r="L1992">
        <v>8</v>
      </c>
      <c r="M1992">
        <v>0.76500000000000001</v>
      </c>
    </row>
    <row r="1993" spans="1:13" ht="15" customHeight="1">
      <c r="A1993" t="s">
        <v>27</v>
      </c>
      <c r="B1993">
        <f t="shared" si="124"/>
        <v>33.718347999999999</v>
      </c>
      <c r="C1993">
        <f t="shared" si="125"/>
        <v>-117.853889</v>
      </c>
      <c r="D1993">
        <f t="shared" si="126"/>
        <v>66</v>
      </c>
      <c r="E1993">
        <v>17.5</v>
      </c>
      <c r="F1993">
        <f t="shared" si="127"/>
        <v>48.5</v>
      </c>
      <c r="G1993">
        <v>14.1</v>
      </c>
      <c r="H1993">
        <v>0.54700000000000004</v>
      </c>
      <c r="I1993">
        <v>3.8359999999999999</v>
      </c>
      <c r="J1993">
        <v>4</v>
      </c>
      <c r="K1993">
        <v>9</v>
      </c>
      <c r="L1993">
        <v>9</v>
      </c>
      <c r="M1993">
        <v>0.88</v>
      </c>
    </row>
    <row r="1994" spans="1:13" ht="15" customHeight="1">
      <c r="A1994" t="s">
        <v>27</v>
      </c>
      <c r="B1994">
        <f t="shared" si="124"/>
        <v>33.718347999999999</v>
      </c>
      <c r="C1994">
        <f t="shared" si="125"/>
        <v>-117.853889</v>
      </c>
      <c r="D1994">
        <f t="shared" si="126"/>
        <v>66</v>
      </c>
      <c r="E1994">
        <v>18.5</v>
      </c>
      <c r="F1994">
        <f t="shared" si="127"/>
        <v>47.5</v>
      </c>
      <c r="G1994">
        <v>12.217000000000001</v>
      </c>
      <c r="H1994">
        <v>0.42699999999999999</v>
      </c>
      <c r="I1994">
        <v>3.4409999999999998</v>
      </c>
      <c r="J1994">
        <v>4</v>
      </c>
      <c r="K1994">
        <v>8</v>
      </c>
      <c r="L1994">
        <v>7</v>
      </c>
      <c r="M1994">
        <v>0.753</v>
      </c>
    </row>
    <row r="1995" spans="1:13" ht="15" customHeight="1">
      <c r="A1995" t="s">
        <v>27</v>
      </c>
      <c r="B1995">
        <f t="shared" si="124"/>
        <v>33.718347999999999</v>
      </c>
      <c r="C1995">
        <f t="shared" si="125"/>
        <v>-117.853889</v>
      </c>
      <c r="D1995">
        <f t="shared" si="126"/>
        <v>66</v>
      </c>
      <c r="E1995">
        <v>19.5</v>
      </c>
      <c r="F1995">
        <f t="shared" si="127"/>
        <v>46.5</v>
      </c>
      <c r="G1995">
        <v>10.433</v>
      </c>
      <c r="H1995">
        <v>0.32300000000000001</v>
      </c>
      <c r="I1995">
        <v>3.0409999999999999</v>
      </c>
      <c r="J1995">
        <v>4</v>
      </c>
      <c r="K1995">
        <v>7</v>
      </c>
      <c r="L1995">
        <v>6</v>
      </c>
      <c r="M1995">
        <v>0.63100000000000001</v>
      </c>
    </row>
    <row r="1996" spans="1:13" ht="15" customHeight="1">
      <c r="A1996" t="s">
        <v>27</v>
      </c>
      <c r="B1996">
        <f t="shared" si="124"/>
        <v>33.718347999999999</v>
      </c>
      <c r="C1996">
        <f t="shared" si="125"/>
        <v>-117.853889</v>
      </c>
      <c r="D1996">
        <f t="shared" si="126"/>
        <v>66</v>
      </c>
      <c r="E1996">
        <v>20.5</v>
      </c>
      <c r="F1996">
        <f t="shared" si="127"/>
        <v>45.5</v>
      </c>
      <c r="G1996">
        <v>9.7569999999999997</v>
      </c>
      <c r="H1996">
        <v>0.27100000000000002</v>
      </c>
      <c r="I1996">
        <v>2.714</v>
      </c>
      <c r="J1996">
        <v>4</v>
      </c>
      <c r="K1996">
        <v>6</v>
      </c>
      <c r="L1996">
        <v>5</v>
      </c>
      <c r="M1996">
        <v>0.58499999999999996</v>
      </c>
    </row>
    <row r="1997" spans="1:13" ht="15" customHeight="1">
      <c r="A1997" t="s">
        <v>27</v>
      </c>
      <c r="B1997">
        <f t="shared" si="124"/>
        <v>33.718347999999999</v>
      </c>
      <c r="C1997">
        <f t="shared" si="125"/>
        <v>-117.853889</v>
      </c>
      <c r="D1997">
        <f t="shared" si="126"/>
        <v>66</v>
      </c>
      <c r="E1997">
        <v>21.5</v>
      </c>
      <c r="F1997">
        <f t="shared" si="127"/>
        <v>44.5</v>
      </c>
      <c r="G1997">
        <v>9.8170000000000002</v>
      </c>
      <c r="H1997">
        <v>0.27</v>
      </c>
      <c r="I1997">
        <v>2.6869999999999998</v>
      </c>
      <c r="J1997">
        <v>4</v>
      </c>
      <c r="K1997">
        <v>6</v>
      </c>
      <c r="L1997">
        <v>5</v>
      </c>
      <c r="M1997">
        <v>0.58399999999999996</v>
      </c>
    </row>
    <row r="1998" spans="1:13" ht="15" customHeight="1">
      <c r="A1998" t="s">
        <v>27</v>
      </c>
      <c r="B1998">
        <f t="shared" si="124"/>
        <v>33.718347999999999</v>
      </c>
      <c r="C1998">
        <f t="shared" si="125"/>
        <v>-117.853889</v>
      </c>
      <c r="D1998">
        <f t="shared" si="126"/>
        <v>66</v>
      </c>
      <c r="E1998">
        <v>22.5</v>
      </c>
      <c r="F1998">
        <f t="shared" si="127"/>
        <v>43.5</v>
      </c>
      <c r="G1998">
        <v>11.266999999999999</v>
      </c>
      <c r="H1998">
        <v>0.34499999999999997</v>
      </c>
      <c r="I1998">
        <v>2.9910000000000001</v>
      </c>
      <c r="J1998">
        <v>4</v>
      </c>
      <c r="K1998">
        <v>7</v>
      </c>
      <c r="L1998">
        <v>6</v>
      </c>
      <c r="M1998">
        <v>0.67900000000000005</v>
      </c>
    </row>
    <row r="1999" spans="1:13" ht="15" customHeight="1">
      <c r="A1999" t="s">
        <v>27</v>
      </c>
      <c r="B1999">
        <f t="shared" si="124"/>
        <v>33.718347999999999</v>
      </c>
      <c r="C1999">
        <f t="shared" si="125"/>
        <v>-117.853889</v>
      </c>
      <c r="D1999">
        <f t="shared" si="126"/>
        <v>66</v>
      </c>
      <c r="E1999">
        <v>23.5</v>
      </c>
      <c r="F1999">
        <f t="shared" si="127"/>
        <v>42.5</v>
      </c>
      <c r="G1999">
        <v>14.05</v>
      </c>
      <c r="H1999">
        <v>0.315</v>
      </c>
      <c r="I1999">
        <v>2.2080000000000002</v>
      </c>
      <c r="J1999">
        <v>5</v>
      </c>
      <c r="K1999">
        <v>7</v>
      </c>
      <c r="L1999">
        <v>5</v>
      </c>
      <c r="M1999">
        <v>0.85699999999999998</v>
      </c>
    </row>
    <row r="2000" spans="1:13" ht="15" customHeight="1">
      <c r="A2000" t="s">
        <v>27</v>
      </c>
      <c r="B2000">
        <f t="shared" si="124"/>
        <v>33.718347999999999</v>
      </c>
      <c r="C2000">
        <f t="shared" si="125"/>
        <v>-117.853889</v>
      </c>
      <c r="D2000">
        <f t="shared" si="126"/>
        <v>66</v>
      </c>
      <c r="E2000">
        <v>24.5</v>
      </c>
      <c r="F2000">
        <f t="shared" si="127"/>
        <v>41.5</v>
      </c>
      <c r="G2000">
        <v>9.7829999999999995</v>
      </c>
      <c r="H2000">
        <v>0.23200000000000001</v>
      </c>
      <c r="I2000">
        <v>2.3210000000000002</v>
      </c>
      <c r="J2000">
        <v>5</v>
      </c>
      <c r="K2000">
        <v>5</v>
      </c>
      <c r="L2000">
        <v>4</v>
      </c>
      <c r="M2000">
        <v>0.56799999999999995</v>
      </c>
    </row>
    <row r="2001" spans="1:13" ht="15" customHeight="1">
      <c r="A2001" t="s">
        <v>27</v>
      </c>
      <c r="B2001">
        <f t="shared" si="124"/>
        <v>33.718347999999999</v>
      </c>
      <c r="C2001">
        <f t="shared" si="125"/>
        <v>-117.853889</v>
      </c>
      <c r="D2001">
        <f t="shared" si="126"/>
        <v>66</v>
      </c>
      <c r="E2001">
        <v>25.5</v>
      </c>
      <c r="F2001">
        <f t="shared" si="127"/>
        <v>40.5</v>
      </c>
      <c r="G2001">
        <v>10.3</v>
      </c>
      <c r="H2001">
        <v>0.26200000000000001</v>
      </c>
      <c r="I2001">
        <v>2.488</v>
      </c>
      <c r="J2001">
        <v>4</v>
      </c>
      <c r="K2001">
        <v>7</v>
      </c>
      <c r="L2001">
        <v>5</v>
      </c>
      <c r="M2001">
        <v>0.59899999999999998</v>
      </c>
    </row>
    <row r="2002" spans="1:13" ht="15" customHeight="1">
      <c r="A2002" t="s">
        <v>27</v>
      </c>
      <c r="B2002">
        <f t="shared" si="124"/>
        <v>33.718347999999999</v>
      </c>
      <c r="C2002">
        <f t="shared" si="125"/>
        <v>-117.853889</v>
      </c>
      <c r="D2002">
        <f t="shared" si="126"/>
        <v>66</v>
      </c>
      <c r="E2002">
        <v>26.5</v>
      </c>
      <c r="F2002">
        <f t="shared" si="127"/>
        <v>39.5</v>
      </c>
      <c r="G2002">
        <v>10.967000000000001</v>
      </c>
      <c r="H2002">
        <v>0.252</v>
      </c>
      <c r="I2002">
        <v>2.2469999999999999</v>
      </c>
      <c r="J2002">
        <v>5</v>
      </c>
      <c r="K2002">
        <v>5</v>
      </c>
      <c r="L2002">
        <v>4</v>
      </c>
      <c r="M2002">
        <v>0.64100000000000001</v>
      </c>
    </row>
    <row r="2003" spans="1:13" ht="15" customHeight="1">
      <c r="A2003" t="s">
        <v>27</v>
      </c>
      <c r="B2003">
        <f t="shared" si="124"/>
        <v>33.718347999999999</v>
      </c>
      <c r="C2003">
        <f t="shared" si="125"/>
        <v>-117.853889</v>
      </c>
      <c r="D2003">
        <f t="shared" si="126"/>
        <v>66</v>
      </c>
      <c r="E2003">
        <v>27.5</v>
      </c>
      <c r="F2003">
        <f t="shared" si="127"/>
        <v>38.5</v>
      </c>
      <c r="G2003">
        <v>17.617000000000001</v>
      </c>
      <c r="H2003">
        <v>0.47499999999999998</v>
      </c>
      <c r="I2003">
        <v>2.6739999999999999</v>
      </c>
      <c r="J2003">
        <v>5</v>
      </c>
      <c r="K2003">
        <v>9</v>
      </c>
      <c r="L2003">
        <v>6</v>
      </c>
      <c r="M2003">
        <v>1.075</v>
      </c>
    </row>
    <row r="2004" spans="1:13" ht="15" customHeight="1">
      <c r="A2004" t="s">
        <v>27</v>
      </c>
      <c r="B2004">
        <f t="shared" si="124"/>
        <v>33.718347999999999</v>
      </c>
      <c r="C2004">
        <f t="shared" si="125"/>
        <v>-117.853889</v>
      </c>
      <c r="D2004">
        <f t="shared" si="126"/>
        <v>66</v>
      </c>
      <c r="E2004">
        <v>28.5</v>
      </c>
      <c r="F2004">
        <f t="shared" si="127"/>
        <v>37.5</v>
      </c>
      <c r="G2004">
        <v>34.966999999999999</v>
      </c>
      <c r="H2004">
        <v>0.99299999999999999</v>
      </c>
      <c r="I2004">
        <v>2.831</v>
      </c>
      <c r="J2004">
        <v>6</v>
      </c>
      <c r="K2004">
        <v>13</v>
      </c>
      <c r="L2004">
        <v>9</v>
      </c>
      <c r="M2004">
        <v>2.2250000000000001</v>
      </c>
    </row>
    <row r="2005" spans="1:13" ht="15" customHeight="1">
      <c r="A2005" t="s">
        <v>27</v>
      </c>
      <c r="B2005">
        <f t="shared" si="124"/>
        <v>33.718347999999999</v>
      </c>
      <c r="C2005">
        <f t="shared" si="125"/>
        <v>-117.853889</v>
      </c>
      <c r="D2005">
        <f t="shared" si="126"/>
        <v>66</v>
      </c>
      <c r="E2005">
        <v>29.5</v>
      </c>
      <c r="F2005">
        <f t="shared" si="127"/>
        <v>36.5</v>
      </c>
      <c r="G2005">
        <v>93.05</v>
      </c>
      <c r="H2005">
        <v>2.1779999999999999</v>
      </c>
      <c r="I2005">
        <v>2.3439999999999999</v>
      </c>
      <c r="J2005">
        <v>7</v>
      </c>
      <c r="K2005">
        <v>30</v>
      </c>
      <c r="L2005">
        <v>21</v>
      </c>
      <c r="M2005" s="1">
        <v>9000000000</v>
      </c>
    </row>
    <row r="2006" spans="1:13" ht="15" customHeight="1">
      <c r="A2006" t="s">
        <v>27</v>
      </c>
      <c r="B2006">
        <f t="shared" si="124"/>
        <v>33.718347999999999</v>
      </c>
      <c r="C2006">
        <f t="shared" si="125"/>
        <v>-117.853889</v>
      </c>
      <c r="D2006">
        <f t="shared" si="126"/>
        <v>66</v>
      </c>
      <c r="E2006">
        <v>30.5</v>
      </c>
      <c r="F2006">
        <f t="shared" si="127"/>
        <v>35.5</v>
      </c>
      <c r="G2006">
        <v>32.917000000000002</v>
      </c>
      <c r="H2006">
        <v>1.4319999999999999</v>
      </c>
      <c r="I2006">
        <v>4.3559999999999999</v>
      </c>
      <c r="J2006">
        <v>4</v>
      </c>
      <c r="K2006">
        <v>21</v>
      </c>
      <c r="L2006">
        <v>14</v>
      </c>
      <c r="M2006">
        <v>2.069</v>
      </c>
    </row>
    <row r="2007" spans="1:13" ht="15" customHeight="1">
      <c r="A2007" t="s">
        <v>27</v>
      </c>
      <c r="B2007">
        <f t="shared" si="124"/>
        <v>33.718347999999999</v>
      </c>
      <c r="C2007">
        <f t="shared" si="125"/>
        <v>-117.853889</v>
      </c>
      <c r="D2007">
        <f t="shared" si="126"/>
        <v>66</v>
      </c>
      <c r="E2007">
        <v>31.5</v>
      </c>
      <c r="F2007">
        <f t="shared" si="127"/>
        <v>34.5</v>
      </c>
      <c r="G2007">
        <v>28.085999999999999</v>
      </c>
      <c r="H2007">
        <v>1.3169999999999999</v>
      </c>
      <c r="I2007">
        <v>4.7039999999999997</v>
      </c>
      <c r="J2007">
        <v>3</v>
      </c>
      <c r="K2007">
        <v>27</v>
      </c>
      <c r="L2007">
        <v>18</v>
      </c>
      <c r="M2007">
        <v>1.74</v>
      </c>
    </row>
    <row r="2008" spans="1:13" ht="15" customHeight="1">
      <c r="A2008" t="s">
        <v>27</v>
      </c>
      <c r="B2008">
        <f t="shared" si="124"/>
        <v>33.718347999999999</v>
      </c>
      <c r="C2008">
        <f t="shared" si="125"/>
        <v>-117.853889</v>
      </c>
      <c r="D2008">
        <f t="shared" si="126"/>
        <v>66</v>
      </c>
      <c r="E2008">
        <v>32.5</v>
      </c>
      <c r="F2008">
        <f t="shared" si="127"/>
        <v>33.5</v>
      </c>
      <c r="G2008">
        <v>29.917000000000002</v>
      </c>
      <c r="H2008">
        <v>1.8169999999999999</v>
      </c>
      <c r="I2008">
        <v>6.093</v>
      </c>
      <c r="J2008">
        <v>3</v>
      </c>
      <c r="K2008">
        <v>29</v>
      </c>
      <c r="L2008">
        <v>19</v>
      </c>
      <c r="M2008">
        <v>1.857</v>
      </c>
    </row>
    <row r="2009" spans="1:13" ht="15" customHeight="1">
      <c r="A2009" t="s">
        <v>27</v>
      </c>
      <c r="B2009">
        <f t="shared" si="124"/>
        <v>33.718347999999999</v>
      </c>
      <c r="C2009">
        <f t="shared" si="125"/>
        <v>-117.853889</v>
      </c>
      <c r="D2009">
        <f t="shared" si="126"/>
        <v>66</v>
      </c>
      <c r="E2009">
        <v>33.5</v>
      </c>
      <c r="F2009">
        <f t="shared" si="127"/>
        <v>32.5</v>
      </c>
      <c r="G2009">
        <v>16.3</v>
      </c>
      <c r="H2009">
        <v>0.82799999999999996</v>
      </c>
      <c r="I2009">
        <v>5.1130000000000004</v>
      </c>
      <c r="J2009">
        <v>3</v>
      </c>
      <c r="K2009">
        <v>16</v>
      </c>
      <c r="L2009">
        <v>10</v>
      </c>
      <c r="M2009">
        <v>0.94499999999999995</v>
      </c>
    </row>
    <row r="2010" spans="1:13" ht="15" customHeight="1">
      <c r="A2010" t="s">
        <v>27</v>
      </c>
      <c r="B2010">
        <f t="shared" si="124"/>
        <v>33.718347999999999</v>
      </c>
      <c r="C2010">
        <f t="shared" si="125"/>
        <v>-117.853889</v>
      </c>
      <c r="D2010">
        <f t="shared" si="126"/>
        <v>66</v>
      </c>
      <c r="E2010">
        <v>34.5</v>
      </c>
      <c r="F2010">
        <f t="shared" si="127"/>
        <v>31.5</v>
      </c>
      <c r="G2010">
        <v>13.733000000000001</v>
      </c>
      <c r="H2010">
        <v>0.48799999999999999</v>
      </c>
      <c r="I2010">
        <v>3.573</v>
      </c>
      <c r="J2010">
        <v>4</v>
      </c>
      <c r="K2010">
        <v>9</v>
      </c>
      <c r="L2010">
        <v>6</v>
      </c>
      <c r="M2010">
        <v>0.77200000000000002</v>
      </c>
    </row>
    <row r="2011" spans="1:13" ht="15" customHeight="1">
      <c r="A2011" t="s">
        <v>27</v>
      </c>
      <c r="B2011">
        <f t="shared" si="124"/>
        <v>33.718347999999999</v>
      </c>
      <c r="C2011">
        <f t="shared" si="125"/>
        <v>-117.853889</v>
      </c>
      <c r="D2011">
        <f t="shared" si="126"/>
        <v>66</v>
      </c>
      <c r="E2011">
        <v>35.5</v>
      </c>
      <c r="F2011">
        <f t="shared" si="127"/>
        <v>30.5</v>
      </c>
      <c r="G2011">
        <v>17.933</v>
      </c>
      <c r="H2011">
        <v>0.65700000000000003</v>
      </c>
      <c r="I2011">
        <v>3.6819999999999999</v>
      </c>
      <c r="J2011">
        <v>4</v>
      </c>
      <c r="K2011">
        <v>11</v>
      </c>
      <c r="L2011">
        <v>7</v>
      </c>
      <c r="M2011">
        <v>1.046</v>
      </c>
    </row>
    <row r="2012" spans="1:13" ht="15" customHeight="1">
      <c r="A2012" t="s">
        <v>27</v>
      </c>
      <c r="B2012">
        <f t="shared" si="124"/>
        <v>33.718347999999999</v>
      </c>
      <c r="C2012">
        <f t="shared" si="125"/>
        <v>-117.853889</v>
      </c>
      <c r="D2012">
        <f t="shared" si="126"/>
        <v>66</v>
      </c>
      <c r="E2012">
        <v>36.5</v>
      </c>
      <c r="F2012">
        <f t="shared" si="127"/>
        <v>29.5</v>
      </c>
      <c r="G2012">
        <v>24.132999999999999</v>
      </c>
      <c r="H2012">
        <v>0.7</v>
      </c>
      <c r="I2012">
        <v>2.907</v>
      </c>
      <c r="J2012">
        <v>5</v>
      </c>
      <c r="K2012">
        <v>12</v>
      </c>
      <c r="L2012">
        <v>7</v>
      </c>
      <c r="M2012">
        <v>1.4590000000000001</v>
      </c>
    </row>
    <row r="2013" spans="1:13" ht="15" customHeight="1">
      <c r="A2013" t="s">
        <v>27</v>
      </c>
      <c r="B2013">
        <f t="shared" si="124"/>
        <v>33.718347999999999</v>
      </c>
      <c r="C2013">
        <f t="shared" si="125"/>
        <v>-117.853889</v>
      </c>
      <c r="D2013">
        <f t="shared" si="126"/>
        <v>66</v>
      </c>
      <c r="E2013">
        <v>37.5</v>
      </c>
      <c r="F2013">
        <f t="shared" si="127"/>
        <v>28.5</v>
      </c>
      <c r="G2013">
        <v>47.582999999999998</v>
      </c>
      <c r="H2013">
        <v>1.7150000000000001</v>
      </c>
      <c r="I2013">
        <v>3.6080000000000001</v>
      </c>
      <c r="J2013">
        <v>5</v>
      </c>
      <c r="K2013">
        <v>23</v>
      </c>
      <c r="L2013">
        <v>14</v>
      </c>
      <c r="M2013">
        <v>3.0179999999999998</v>
      </c>
    </row>
    <row r="2014" spans="1:13" ht="15" customHeight="1">
      <c r="A2014" t="s">
        <v>27</v>
      </c>
      <c r="B2014">
        <f t="shared" si="124"/>
        <v>33.718347999999999</v>
      </c>
      <c r="C2014">
        <f t="shared" si="125"/>
        <v>-117.853889</v>
      </c>
      <c r="D2014">
        <f t="shared" si="126"/>
        <v>66</v>
      </c>
      <c r="E2014">
        <v>38.5</v>
      </c>
      <c r="F2014">
        <f t="shared" si="127"/>
        <v>27.5</v>
      </c>
      <c r="G2014">
        <v>48.1</v>
      </c>
      <c r="H2014">
        <v>1.667</v>
      </c>
      <c r="I2014">
        <v>3.4670000000000001</v>
      </c>
      <c r="J2014">
        <v>5</v>
      </c>
      <c r="K2014">
        <v>23</v>
      </c>
      <c r="L2014">
        <v>14</v>
      </c>
      <c r="M2014">
        <v>3.0489999999999999</v>
      </c>
    </row>
    <row r="2015" spans="1:13" ht="15" customHeight="1">
      <c r="A2015" t="s">
        <v>27</v>
      </c>
      <c r="B2015">
        <f t="shared" si="124"/>
        <v>33.718347999999999</v>
      </c>
      <c r="C2015">
        <f t="shared" si="125"/>
        <v>-117.853889</v>
      </c>
      <c r="D2015">
        <f t="shared" si="126"/>
        <v>66</v>
      </c>
      <c r="E2015">
        <v>39.5</v>
      </c>
      <c r="F2015">
        <f t="shared" si="127"/>
        <v>26.5</v>
      </c>
      <c r="G2015">
        <v>45.533000000000001</v>
      </c>
      <c r="H2015">
        <v>1.7370000000000001</v>
      </c>
      <c r="I2015">
        <v>3.8149999999999999</v>
      </c>
      <c r="J2015">
        <v>5</v>
      </c>
      <c r="K2015">
        <v>22</v>
      </c>
      <c r="L2015">
        <v>13</v>
      </c>
      <c r="M2015">
        <v>2.875</v>
      </c>
    </row>
    <row r="2016" spans="1:13" ht="15" customHeight="1">
      <c r="A2016" t="s">
        <v>27</v>
      </c>
      <c r="B2016">
        <f t="shared" si="124"/>
        <v>33.718347999999999</v>
      </c>
      <c r="C2016">
        <f t="shared" si="125"/>
        <v>-117.853889</v>
      </c>
      <c r="D2016">
        <f t="shared" si="126"/>
        <v>66</v>
      </c>
      <c r="E2016">
        <v>40.5</v>
      </c>
      <c r="F2016">
        <f t="shared" si="127"/>
        <v>25.5</v>
      </c>
      <c r="G2016">
        <v>63.716999999999999</v>
      </c>
      <c r="H2016">
        <v>3.0670000000000002</v>
      </c>
      <c r="I2016">
        <v>4.8129999999999997</v>
      </c>
      <c r="J2016">
        <v>4</v>
      </c>
      <c r="K2016">
        <v>41</v>
      </c>
      <c r="L2016">
        <v>24</v>
      </c>
      <c r="M2016">
        <v>4.0839999999999996</v>
      </c>
    </row>
    <row r="2017" spans="1:13" ht="15" customHeight="1">
      <c r="A2017" t="s">
        <v>27</v>
      </c>
      <c r="B2017">
        <f t="shared" si="124"/>
        <v>33.718347999999999</v>
      </c>
      <c r="C2017">
        <f t="shared" si="125"/>
        <v>-117.853889</v>
      </c>
      <c r="D2017">
        <f t="shared" si="126"/>
        <v>66</v>
      </c>
      <c r="E2017">
        <v>41.499000000000002</v>
      </c>
      <c r="F2017">
        <f t="shared" si="127"/>
        <v>24.500999999999998</v>
      </c>
      <c r="G2017">
        <v>87.228999999999999</v>
      </c>
      <c r="H2017">
        <v>4.359</v>
      </c>
      <c r="I2017">
        <v>4.9989999999999997</v>
      </c>
      <c r="J2017">
        <v>11</v>
      </c>
      <c r="K2017">
        <v>84</v>
      </c>
      <c r="L2017">
        <v>49</v>
      </c>
      <c r="M2017" s="1">
        <v>9000000000</v>
      </c>
    </row>
    <row r="2018" spans="1:13" ht="15" customHeight="1">
      <c r="A2018" t="s">
        <v>27</v>
      </c>
      <c r="B2018">
        <f t="shared" si="124"/>
        <v>33.718347999999999</v>
      </c>
      <c r="C2018">
        <f t="shared" si="125"/>
        <v>-117.853889</v>
      </c>
      <c r="D2018">
        <f t="shared" si="126"/>
        <v>66</v>
      </c>
      <c r="E2018">
        <v>42.499000000000002</v>
      </c>
      <c r="F2018">
        <f t="shared" si="127"/>
        <v>23.500999999999998</v>
      </c>
      <c r="G2018">
        <v>57.55</v>
      </c>
      <c r="H2018">
        <v>2.04</v>
      </c>
      <c r="I2018">
        <v>3.5459999999999998</v>
      </c>
      <c r="J2018">
        <v>5</v>
      </c>
      <c r="K2018">
        <v>28</v>
      </c>
      <c r="L2018">
        <v>16</v>
      </c>
      <c r="M2018">
        <v>3.6629999999999998</v>
      </c>
    </row>
    <row r="2019" spans="1:13" ht="15" customHeight="1">
      <c r="A2019" t="s">
        <v>27</v>
      </c>
      <c r="B2019">
        <f t="shared" si="124"/>
        <v>33.718347999999999</v>
      </c>
      <c r="C2019">
        <f t="shared" si="125"/>
        <v>-117.853889</v>
      </c>
      <c r="D2019">
        <f t="shared" si="126"/>
        <v>66</v>
      </c>
      <c r="E2019">
        <v>43.499000000000002</v>
      </c>
      <c r="F2019">
        <f t="shared" si="127"/>
        <v>22.500999999999998</v>
      </c>
      <c r="G2019">
        <v>37</v>
      </c>
      <c r="H2019">
        <v>1.4219999999999999</v>
      </c>
      <c r="I2019">
        <v>3.8439999999999999</v>
      </c>
      <c r="J2019">
        <v>5</v>
      </c>
      <c r="K2019">
        <v>18</v>
      </c>
      <c r="L2019">
        <v>10</v>
      </c>
      <c r="M2019">
        <v>2.2890000000000001</v>
      </c>
    </row>
    <row r="2020" spans="1:13" ht="15" customHeight="1">
      <c r="A2020" t="s">
        <v>27</v>
      </c>
      <c r="B2020">
        <f t="shared" si="124"/>
        <v>33.718347999999999</v>
      </c>
      <c r="C2020">
        <f t="shared" si="125"/>
        <v>-117.853889</v>
      </c>
      <c r="D2020">
        <f t="shared" si="126"/>
        <v>66</v>
      </c>
      <c r="E2020">
        <v>44.499000000000002</v>
      </c>
      <c r="F2020">
        <f t="shared" si="127"/>
        <v>21.500999999999998</v>
      </c>
      <c r="G2020">
        <v>20.332999999999998</v>
      </c>
      <c r="H2020">
        <v>0.76500000000000001</v>
      </c>
      <c r="I2020">
        <v>3.7650000000000001</v>
      </c>
      <c r="J2020">
        <v>4</v>
      </c>
      <c r="K2020">
        <v>13</v>
      </c>
      <c r="L2020">
        <v>7</v>
      </c>
      <c r="M2020">
        <v>1.1739999999999999</v>
      </c>
    </row>
    <row r="2021" spans="1:13" ht="15" customHeight="1">
      <c r="A2021" t="s">
        <v>27</v>
      </c>
      <c r="B2021">
        <f t="shared" si="124"/>
        <v>33.718347999999999</v>
      </c>
      <c r="C2021">
        <f t="shared" si="125"/>
        <v>-117.853889</v>
      </c>
      <c r="D2021">
        <f t="shared" si="126"/>
        <v>66</v>
      </c>
      <c r="E2021">
        <v>45.499000000000002</v>
      </c>
      <c r="F2021">
        <f t="shared" si="127"/>
        <v>20.500999999999998</v>
      </c>
      <c r="G2021">
        <v>25.317</v>
      </c>
      <c r="H2021">
        <v>0.998</v>
      </c>
      <c r="I2021">
        <v>3.9460000000000002</v>
      </c>
      <c r="J2021">
        <v>4</v>
      </c>
      <c r="K2021">
        <v>16</v>
      </c>
      <c r="L2021">
        <v>9</v>
      </c>
      <c r="M2021">
        <v>1.502</v>
      </c>
    </row>
    <row r="2022" spans="1:13" ht="15" customHeight="1">
      <c r="A2022" t="s">
        <v>27</v>
      </c>
      <c r="B2022">
        <f t="shared" si="124"/>
        <v>33.718347999999999</v>
      </c>
      <c r="C2022">
        <f t="shared" si="125"/>
        <v>-117.853889</v>
      </c>
      <c r="D2022">
        <f t="shared" si="126"/>
        <v>66</v>
      </c>
      <c r="E2022">
        <v>46.499000000000002</v>
      </c>
      <c r="F2022">
        <f t="shared" si="127"/>
        <v>19.500999999999998</v>
      </c>
      <c r="G2022">
        <v>57.567</v>
      </c>
      <c r="H2022">
        <v>2.2480000000000002</v>
      </c>
      <c r="I2022">
        <v>3.9079999999999999</v>
      </c>
      <c r="J2022">
        <v>5</v>
      </c>
      <c r="K2022">
        <v>28</v>
      </c>
      <c r="L2022">
        <v>15</v>
      </c>
      <c r="M2022">
        <v>3.6469999999999998</v>
      </c>
    </row>
    <row r="2023" spans="1:13" ht="15" customHeight="1">
      <c r="A2023" t="s">
        <v>27</v>
      </c>
      <c r="B2023">
        <f t="shared" si="124"/>
        <v>33.718347999999999</v>
      </c>
      <c r="C2023">
        <f t="shared" si="125"/>
        <v>-117.853889</v>
      </c>
      <c r="D2023">
        <f t="shared" si="126"/>
        <v>66</v>
      </c>
      <c r="E2023">
        <v>47.499000000000002</v>
      </c>
      <c r="F2023">
        <f t="shared" si="127"/>
        <v>18.500999999999998</v>
      </c>
      <c r="G2023">
        <v>50.783000000000001</v>
      </c>
      <c r="H2023">
        <v>1.7150000000000001</v>
      </c>
      <c r="I2023">
        <v>3.38</v>
      </c>
      <c r="J2023">
        <v>5</v>
      </c>
      <c r="K2023">
        <v>24</v>
      </c>
      <c r="L2023">
        <v>13</v>
      </c>
      <c r="M2023">
        <v>3.1890000000000001</v>
      </c>
    </row>
    <row r="2024" spans="1:13" ht="15" customHeight="1">
      <c r="A2024" t="s">
        <v>27</v>
      </c>
      <c r="B2024">
        <f t="shared" si="124"/>
        <v>33.718347999999999</v>
      </c>
      <c r="C2024">
        <f t="shared" si="125"/>
        <v>-117.853889</v>
      </c>
      <c r="D2024">
        <f t="shared" si="126"/>
        <v>66</v>
      </c>
      <c r="E2024">
        <v>48.499000000000002</v>
      </c>
      <c r="F2024">
        <f t="shared" si="127"/>
        <v>17.500999999999998</v>
      </c>
      <c r="G2024">
        <v>80.132999999999996</v>
      </c>
      <c r="H2024">
        <v>3.08</v>
      </c>
      <c r="I2024">
        <v>3.8479999999999999</v>
      </c>
      <c r="J2024">
        <v>5</v>
      </c>
      <c r="K2024">
        <v>38</v>
      </c>
      <c r="L2024">
        <v>21</v>
      </c>
      <c r="M2024">
        <v>5.1390000000000002</v>
      </c>
    </row>
    <row r="2025" spans="1:13" ht="15" customHeight="1">
      <c r="A2025" t="s">
        <v>27</v>
      </c>
      <c r="B2025">
        <f t="shared" si="124"/>
        <v>33.718347999999999</v>
      </c>
      <c r="C2025">
        <f t="shared" si="125"/>
        <v>-117.853889</v>
      </c>
      <c r="D2025">
        <f t="shared" si="126"/>
        <v>66</v>
      </c>
      <c r="E2025">
        <v>49.499000000000002</v>
      </c>
      <c r="F2025">
        <f t="shared" si="127"/>
        <v>16.500999999999998</v>
      </c>
      <c r="G2025">
        <v>123.983</v>
      </c>
      <c r="H2025">
        <v>3.298</v>
      </c>
      <c r="I2025">
        <v>2.6640000000000001</v>
      </c>
      <c r="J2025">
        <v>7</v>
      </c>
      <c r="K2025">
        <v>40</v>
      </c>
      <c r="L2025">
        <v>21</v>
      </c>
      <c r="M2025" s="1">
        <v>9000000000</v>
      </c>
    </row>
    <row r="2026" spans="1:13" ht="15" customHeight="1">
      <c r="A2026" t="s">
        <v>27</v>
      </c>
      <c r="B2026">
        <f t="shared" si="124"/>
        <v>33.718347999999999</v>
      </c>
      <c r="C2026">
        <f t="shared" si="125"/>
        <v>-117.853889</v>
      </c>
      <c r="D2026">
        <f t="shared" si="126"/>
        <v>66</v>
      </c>
      <c r="E2026">
        <v>50.499000000000002</v>
      </c>
      <c r="F2026">
        <f t="shared" si="127"/>
        <v>15.500999999999998</v>
      </c>
      <c r="G2026">
        <v>181.13300000000001</v>
      </c>
      <c r="H2026">
        <v>3.16</v>
      </c>
      <c r="I2026">
        <v>1.746</v>
      </c>
      <c r="J2026">
        <v>8</v>
      </c>
      <c r="K2026">
        <v>43</v>
      </c>
      <c r="L2026">
        <v>23</v>
      </c>
      <c r="M2026" s="1">
        <v>9000000000</v>
      </c>
    </row>
    <row r="2027" spans="1:13" ht="15" customHeight="1">
      <c r="A2027" t="s">
        <v>27</v>
      </c>
      <c r="B2027">
        <f t="shared" si="124"/>
        <v>33.718347999999999</v>
      </c>
      <c r="C2027">
        <f t="shared" si="125"/>
        <v>-117.853889</v>
      </c>
      <c r="D2027">
        <f t="shared" si="126"/>
        <v>66</v>
      </c>
      <c r="E2027">
        <v>51.499000000000002</v>
      </c>
      <c r="F2027">
        <f t="shared" si="127"/>
        <v>14.500999999999998</v>
      </c>
      <c r="G2027">
        <v>187.78299999999999</v>
      </c>
      <c r="H2027">
        <v>5.29</v>
      </c>
      <c r="I2027">
        <v>2.8180000000000001</v>
      </c>
      <c r="J2027">
        <v>7</v>
      </c>
      <c r="K2027">
        <v>60</v>
      </c>
      <c r="L2027">
        <v>31</v>
      </c>
      <c r="M2027" s="1">
        <v>9000000000</v>
      </c>
    </row>
    <row r="2028" spans="1:13" ht="15" customHeight="1">
      <c r="A2028" t="s">
        <v>27</v>
      </c>
      <c r="B2028">
        <f t="shared" si="124"/>
        <v>33.718347999999999</v>
      </c>
      <c r="C2028">
        <f t="shared" si="125"/>
        <v>-117.853889</v>
      </c>
      <c r="D2028">
        <f t="shared" si="126"/>
        <v>66</v>
      </c>
      <c r="E2028">
        <v>52.499000000000002</v>
      </c>
      <c r="F2028">
        <f t="shared" si="127"/>
        <v>13.500999999999998</v>
      </c>
      <c r="G2028">
        <v>34.686</v>
      </c>
      <c r="H2028">
        <v>1.7470000000000001</v>
      </c>
      <c r="I2028">
        <v>5.056</v>
      </c>
      <c r="J2028">
        <v>3</v>
      </c>
      <c r="K2028">
        <v>33</v>
      </c>
      <c r="L2028">
        <v>17</v>
      </c>
      <c r="M2028">
        <v>2.09</v>
      </c>
    </row>
    <row r="2029" spans="1:13" ht="15" customHeight="1">
      <c r="A2029" t="s">
        <v>27</v>
      </c>
      <c r="B2029">
        <f t="shared" si="124"/>
        <v>33.718347999999999</v>
      </c>
      <c r="C2029">
        <f t="shared" si="125"/>
        <v>-117.853889</v>
      </c>
      <c r="D2029">
        <f t="shared" si="126"/>
        <v>66</v>
      </c>
      <c r="E2029">
        <v>53.499000000000002</v>
      </c>
      <c r="F2029">
        <f t="shared" si="127"/>
        <v>12.500999999999998</v>
      </c>
      <c r="G2029">
        <v>23.117000000000001</v>
      </c>
      <c r="H2029">
        <v>0.64300000000000002</v>
      </c>
      <c r="I2029">
        <v>2.8010000000000002</v>
      </c>
      <c r="J2029">
        <v>5</v>
      </c>
      <c r="K2029">
        <v>11</v>
      </c>
      <c r="L2029">
        <v>6</v>
      </c>
      <c r="M2029">
        <v>1.3140000000000001</v>
      </c>
    </row>
    <row r="2030" spans="1:13" ht="15" customHeight="1">
      <c r="A2030" t="s">
        <v>27</v>
      </c>
      <c r="B2030">
        <f t="shared" si="124"/>
        <v>33.718347999999999</v>
      </c>
      <c r="C2030">
        <f t="shared" si="125"/>
        <v>-117.853889</v>
      </c>
      <c r="D2030">
        <f t="shared" si="126"/>
        <v>66</v>
      </c>
      <c r="E2030">
        <v>54.499000000000002</v>
      </c>
      <c r="F2030">
        <f t="shared" si="127"/>
        <v>11.500999999999998</v>
      </c>
      <c r="G2030">
        <v>27.5</v>
      </c>
      <c r="H2030">
        <v>0.89800000000000002</v>
      </c>
      <c r="I2030">
        <v>3.2850000000000001</v>
      </c>
      <c r="J2030">
        <v>5</v>
      </c>
      <c r="K2030">
        <v>13</v>
      </c>
      <c r="L2030">
        <v>7</v>
      </c>
      <c r="M2030">
        <v>1.6020000000000001</v>
      </c>
    </row>
    <row r="2031" spans="1:13" ht="15" customHeight="1">
      <c r="A2031" t="s">
        <v>27</v>
      </c>
      <c r="B2031">
        <f t="shared" si="124"/>
        <v>33.718347999999999</v>
      </c>
      <c r="C2031">
        <f t="shared" si="125"/>
        <v>-117.853889</v>
      </c>
      <c r="D2031">
        <f t="shared" si="126"/>
        <v>66</v>
      </c>
      <c r="E2031">
        <v>55.499000000000002</v>
      </c>
      <c r="F2031">
        <f t="shared" si="127"/>
        <v>10.500999999999998</v>
      </c>
      <c r="G2031">
        <v>34.482999999999997</v>
      </c>
      <c r="H2031">
        <v>1.143</v>
      </c>
      <c r="I2031">
        <v>3.33</v>
      </c>
      <c r="J2031">
        <v>5</v>
      </c>
      <c r="K2031">
        <v>16</v>
      </c>
      <c r="L2031">
        <v>8</v>
      </c>
      <c r="M2031">
        <v>2.0630000000000002</v>
      </c>
    </row>
    <row r="2032" spans="1:13" ht="15" customHeight="1">
      <c r="A2032" t="s">
        <v>27</v>
      </c>
      <c r="B2032">
        <f t="shared" si="124"/>
        <v>33.718347999999999</v>
      </c>
      <c r="C2032">
        <f t="shared" si="125"/>
        <v>-117.853889</v>
      </c>
      <c r="D2032">
        <f t="shared" si="126"/>
        <v>66</v>
      </c>
      <c r="E2032">
        <v>56.499000000000002</v>
      </c>
      <c r="F2032">
        <f t="shared" si="127"/>
        <v>9.5009999999999977</v>
      </c>
      <c r="G2032">
        <v>50.866999999999997</v>
      </c>
      <c r="H2032">
        <v>1.5880000000000001</v>
      </c>
      <c r="I2032">
        <v>3.13</v>
      </c>
      <c r="J2032">
        <v>6</v>
      </c>
      <c r="K2032">
        <v>19</v>
      </c>
      <c r="L2032">
        <v>10</v>
      </c>
      <c r="M2032">
        <v>3.153</v>
      </c>
    </row>
    <row r="2033" spans="1:13" ht="15" customHeight="1">
      <c r="A2033" t="s">
        <v>27</v>
      </c>
      <c r="B2033">
        <f t="shared" si="124"/>
        <v>33.718347999999999</v>
      </c>
      <c r="C2033">
        <f t="shared" si="125"/>
        <v>-117.853889</v>
      </c>
      <c r="D2033">
        <f t="shared" si="126"/>
        <v>66</v>
      </c>
      <c r="E2033">
        <v>57.499000000000002</v>
      </c>
      <c r="F2033">
        <f t="shared" si="127"/>
        <v>8.5009999999999977</v>
      </c>
      <c r="G2033">
        <v>59.7</v>
      </c>
      <c r="H2033">
        <v>2.9870000000000001</v>
      </c>
      <c r="I2033">
        <v>5.0110000000000001</v>
      </c>
      <c r="J2033">
        <v>4</v>
      </c>
      <c r="K2033">
        <v>38</v>
      </c>
      <c r="L2033">
        <v>19</v>
      </c>
      <c r="M2033">
        <v>3.7389999999999999</v>
      </c>
    </row>
    <row r="2034" spans="1:13" ht="15" customHeight="1">
      <c r="A2034" t="s">
        <v>27</v>
      </c>
      <c r="B2034">
        <f t="shared" si="124"/>
        <v>33.718347999999999</v>
      </c>
      <c r="C2034">
        <f t="shared" si="125"/>
        <v>-117.853889</v>
      </c>
      <c r="D2034">
        <f t="shared" si="126"/>
        <v>66</v>
      </c>
      <c r="E2034">
        <v>58.499000000000002</v>
      </c>
      <c r="F2034">
        <f t="shared" si="127"/>
        <v>7.5009999999999977</v>
      </c>
      <c r="G2034">
        <v>72.816999999999993</v>
      </c>
      <c r="H2034">
        <v>3.0950000000000002</v>
      </c>
      <c r="I2034">
        <v>4.2560000000000002</v>
      </c>
      <c r="J2034">
        <v>5</v>
      </c>
      <c r="K2034">
        <v>35</v>
      </c>
      <c r="L2034">
        <v>18</v>
      </c>
      <c r="M2034">
        <v>4.609</v>
      </c>
    </row>
    <row r="2035" spans="1:13" ht="15" customHeight="1">
      <c r="A2035" t="s">
        <v>27</v>
      </c>
      <c r="B2035">
        <f t="shared" si="124"/>
        <v>33.718347999999999</v>
      </c>
      <c r="C2035">
        <f t="shared" si="125"/>
        <v>-117.853889</v>
      </c>
      <c r="D2035">
        <f t="shared" si="126"/>
        <v>66</v>
      </c>
      <c r="E2035">
        <v>59.499000000000002</v>
      </c>
      <c r="F2035">
        <f t="shared" si="127"/>
        <v>6.5009999999999977</v>
      </c>
      <c r="G2035">
        <v>83.033000000000001</v>
      </c>
      <c r="H2035">
        <v>2.577</v>
      </c>
      <c r="I2035">
        <v>3.1080000000000001</v>
      </c>
      <c r="J2035">
        <v>6</v>
      </c>
      <c r="K2035">
        <v>32</v>
      </c>
      <c r="L2035">
        <v>16</v>
      </c>
      <c r="M2035">
        <v>5.2839999999999998</v>
      </c>
    </row>
    <row r="2036" spans="1:13" ht="15" customHeight="1">
      <c r="A2036" t="s">
        <v>27</v>
      </c>
      <c r="B2036">
        <f t="shared" si="124"/>
        <v>33.718347999999999</v>
      </c>
      <c r="C2036">
        <f t="shared" si="125"/>
        <v>-117.853889</v>
      </c>
      <c r="D2036">
        <f t="shared" si="126"/>
        <v>66</v>
      </c>
      <c r="E2036">
        <v>60.499000000000002</v>
      </c>
      <c r="F2036">
        <f t="shared" si="127"/>
        <v>5.5009999999999977</v>
      </c>
      <c r="G2036">
        <v>81.566999999999993</v>
      </c>
      <c r="H2036">
        <v>2.56</v>
      </c>
      <c r="I2036">
        <v>3.145</v>
      </c>
      <c r="J2036">
        <v>6</v>
      </c>
      <c r="K2036">
        <v>31</v>
      </c>
      <c r="L2036">
        <v>16</v>
      </c>
      <c r="M2036">
        <v>5.18</v>
      </c>
    </row>
    <row r="2037" spans="1:13" ht="15" customHeight="1">
      <c r="A2037" t="s">
        <v>27</v>
      </c>
      <c r="B2037">
        <f t="shared" si="124"/>
        <v>33.718347999999999</v>
      </c>
      <c r="C2037">
        <f t="shared" si="125"/>
        <v>-117.853889</v>
      </c>
      <c r="D2037">
        <f t="shared" si="126"/>
        <v>66</v>
      </c>
      <c r="E2037">
        <v>61.499000000000002</v>
      </c>
      <c r="F2037">
        <f t="shared" si="127"/>
        <v>4.5009999999999977</v>
      </c>
      <c r="G2037">
        <v>44.533000000000001</v>
      </c>
      <c r="H2037">
        <v>2.2000000000000002</v>
      </c>
      <c r="I2037">
        <v>4.9589999999999996</v>
      </c>
      <c r="J2037">
        <v>3</v>
      </c>
      <c r="K2037">
        <v>42</v>
      </c>
      <c r="L2037">
        <v>21</v>
      </c>
      <c r="M2037">
        <v>2.7069999999999999</v>
      </c>
    </row>
    <row r="2038" spans="1:13" ht="15" customHeight="1">
      <c r="A2038" t="s">
        <v>27</v>
      </c>
      <c r="B2038">
        <f t="shared" si="124"/>
        <v>33.718347999999999</v>
      </c>
      <c r="C2038">
        <f t="shared" si="125"/>
        <v>-117.853889</v>
      </c>
      <c r="D2038">
        <f t="shared" si="126"/>
        <v>66</v>
      </c>
      <c r="E2038">
        <v>62.499000000000002</v>
      </c>
      <c r="F2038">
        <f t="shared" si="127"/>
        <v>3.5009999999999977</v>
      </c>
      <c r="G2038">
        <v>86.070999999999998</v>
      </c>
      <c r="H2038">
        <v>2.7690000000000001</v>
      </c>
      <c r="I2038">
        <v>3.2240000000000002</v>
      </c>
      <c r="J2038">
        <v>6</v>
      </c>
      <c r="K2038">
        <v>33</v>
      </c>
      <c r="L2038">
        <v>17</v>
      </c>
      <c r="M2038">
        <v>5.47</v>
      </c>
    </row>
    <row r="2039" spans="1:13" ht="15" customHeight="1">
      <c r="A2039" t="s">
        <v>27</v>
      </c>
      <c r="B2039">
        <f t="shared" si="124"/>
        <v>33.718347999999999</v>
      </c>
      <c r="C2039">
        <f t="shared" si="125"/>
        <v>-117.853889</v>
      </c>
      <c r="D2039">
        <f t="shared" si="126"/>
        <v>66</v>
      </c>
      <c r="E2039">
        <v>63.499000000000002</v>
      </c>
      <c r="F2039">
        <f t="shared" si="127"/>
        <v>2.5009999999999977</v>
      </c>
      <c r="G2039">
        <v>44.95</v>
      </c>
      <c r="H2039">
        <v>2.2599999999999998</v>
      </c>
      <c r="I2039">
        <v>5.048</v>
      </c>
      <c r="J2039">
        <v>3</v>
      </c>
      <c r="K2039">
        <v>43</v>
      </c>
      <c r="L2039">
        <v>22</v>
      </c>
      <c r="M2039">
        <v>2.7250000000000001</v>
      </c>
    </row>
    <row r="2040" spans="1:13" ht="15" customHeight="1">
      <c r="A2040" t="s">
        <v>27</v>
      </c>
      <c r="B2040">
        <f t="shared" si="124"/>
        <v>33.718347999999999</v>
      </c>
      <c r="C2040">
        <f t="shared" si="125"/>
        <v>-117.853889</v>
      </c>
      <c r="D2040">
        <f t="shared" si="126"/>
        <v>66</v>
      </c>
      <c r="E2040">
        <v>64.498999999999995</v>
      </c>
      <c r="F2040">
        <f t="shared" si="127"/>
        <v>1.5010000000000048</v>
      </c>
      <c r="G2040">
        <v>45.582999999999998</v>
      </c>
      <c r="H2040">
        <v>2.0649999999999999</v>
      </c>
      <c r="I2040">
        <v>4.548</v>
      </c>
      <c r="J2040">
        <v>4</v>
      </c>
      <c r="K2040">
        <v>29</v>
      </c>
      <c r="L2040">
        <v>15</v>
      </c>
      <c r="M2040">
        <v>2.7629999999999999</v>
      </c>
    </row>
    <row r="2041" spans="1:13" ht="15" customHeight="1">
      <c r="A2041" t="s">
        <v>27</v>
      </c>
      <c r="B2041">
        <f t="shared" si="124"/>
        <v>33.718347999999999</v>
      </c>
      <c r="C2041">
        <f t="shared" si="125"/>
        <v>-117.853889</v>
      </c>
      <c r="D2041">
        <f t="shared" si="126"/>
        <v>66</v>
      </c>
      <c r="E2041">
        <v>65.498999999999995</v>
      </c>
      <c r="F2041">
        <f t="shared" si="127"/>
        <v>0.50100000000000477</v>
      </c>
      <c r="G2041">
        <v>24.15</v>
      </c>
      <c r="H2041">
        <v>0.99</v>
      </c>
      <c r="I2041">
        <v>4.125</v>
      </c>
      <c r="J2041">
        <v>4</v>
      </c>
      <c r="K2041">
        <v>15</v>
      </c>
      <c r="L2041">
        <v>8</v>
      </c>
      <c r="M2041">
        <v>1.3320000000000001</v>
      </c>
    </row>
    <row r="2042" spans="1:13" ht="15" customHeight="1">
      <c r="A2042" t="s">
        <v>27</v>
      </c>
      <c r="B2042">
        <f t="shared" si="124"/>
        <v>33.718347999999999</v>
      </c>
      <c r="C2042">
        <f t="shared" si="125"/>
        <v>-117.853889</v>
      </c>
      <c r="D2042">
        <f t="shared" si="126"/>
        <v>66</v>
      </c>
      <c r="E2042">
        <v>66.498999999999995</v>
      </c>
      <c r="F2042">
        <f t="shared" si="127"/>
        <v>-0.49899999999999523</v>
      </c>
      <c r="G2042">
        <v>34.082999999999998</v>
      </c>
      <c r="H2042">
        <v>1.3779999999999999</v>
      </c>
      <c r="I2042">
        <v>4.0659999999999998</v>
      </c>
      <c r="J2042">
        <v>4</v>
      </c>
      <c r="K2042">
        <v>22</v>
      </c>
      <c r="L2042">
        <v>11</v>
      </c>
      <c r="M2042">
        <v>1.988</v>
      </c>
    </row>
    <row r="2043" spans="1:13" ht="15" customHeight="1">
      <c r="A2043" t="s">
        <v>27</v>
      </c>
      <c r="B2043">
        <f t="shared" si="124"/>
        <v>33.718347999999999</v>
      </c>
      <c r="C2043">
        <f t="shared" si="125"/>
        <v>-117.853889</v>
      </c>
      <c r="D2043">
        <f t="shared" si="126"/>
        <v>66</v>
      </c>
      <c r="E2043">
        <v>67.498999999999995</v>
      </c>
      <c r="F2043">
        <f t="shared" si="127"/>
        <v>-1.4989999999999952</v>
      </c>
      <c r="G2043">
        <v>28.05</v>
      </c>
      <c r="H2043">
        <v>1.302</v>
      </c>
      <c r="I2043">
        <v>4.6710000000000003</v>
      </c>
      <c r="J2043">
        <v>3</v>
      </c>
      <c r="K2043">
        <v>27</v>
      </c>
      <c r="L2043">
        <v>14</v>
      </c>
      <c r="M2043">
        <v>1.5820000000000001</v>
      </c>
    </row>
    <row r="2044" spans="1:13" ht="15" customHeight="1">
      <c r="A2044" t="s">
        <v>27</v>
      </c>
      <c r="B2044">
        <f t="shared" si="124"/>
        <v>33.718347999999999</v>
      </c>
      <c r="C2044">
        <f t="shared" si="125"/>
        <v>-117.853889</v>
      </c>
      <c r="D2044">
        <f t="shared" si="126"/>
        <v>66</v>
      </c>
      <c r="E2044">
        <v>68.498999999999995</v>
      </c>
      <c r="F2044">
        <f t="shared" si="127"/>
        <v>-2.4989999999999952</v>
      </c>
      <c r="G2044">
        <v>25.183</v>
      </c>
      <c r="H2044">
        <v>0.95199999999999996</v>
      </c>
      <c r="I2044">
        <v>3.802</v>
      </c>
      <c r="J2044">
        <v>4</v>
      </c>
      <c r="K2044">
        <v>16</v>
      </c>
      <c r="L2044">
        <v>8</v>
      </c>
      <c r="M2044">
        <v>1.389</v>
      </c>
    </row>
    <row r="2045" spans="1:13" ht="15" customHeight="1">
      <c r="A2045" t="s">
        <v>27</v>
      </c>
      <c r="B2045">
        <f t="shared" si="124"/>
        <v>33.718347999999999</v>
      </c>
      <c r="C2045">
        <f t="shared" si="125"/>
        <v>-117.853889</v>
      </c>
      <c r="D2045">
        <f t="shared" si="126"/>
        <v>66</v>
      </c>
      <c r="E2045">
        <v>69.498999999999995</v>
      </c>
      <c r="F2045">
        <f t="shared" si="127"/>
        <v>-3.4989999999999952</v>
      </c>
      <c r="G2045">
        <v>18.417000000000002</v>
      </c>
      <c r="H2045">
        <v>0.35799999999999998</v>
      </c>
      <c r="I2045">
        <v>1.958</v>
      </c>
      <c r="J2045">
        <v>6</v>
      </c>
      <c r="K2045">
        <v>7</v>
      </c>
      <c r="L2045">
        <v>4</v>
      </c>
      <c r="M2045">
        <v>0.93600000000000005</v>
      </c>
    </row>
    <row r="2046" spans="1:13" ht="15" customHeight="1">
      <c r="A2046" t="s">
        <v>27</v>
      </c>
      <c r="B2046">
        <f t="shared" si="124"/>
        <v>33.718347999999999</v>
      </c>
      <c r="C2046">
        <f t="shared" si="125"/>
        <v>-117.853889</v>
      </c>
      <c r="D2046">
        <f t="shared" si="126"/>
        <v>66</v>
      </c>
      <c r="E2046">
        <v>70.498999999999995</v>
      </c>
      <c r="F2046">
        <f t="shared" si="127"/>
        <v>-4.4989999999999952</v>
      </c>
      <c r="G2046">
        <v>21.817</v>
      </c>
      <c r="H2046">
        <v>0.51300000000000001</v>
      </c>
      <c r="I2046">
        <v>2.3690000000000002</v>
      </c>
      <c r="J2046">
        <v>5</v>
      </c>
      <c r="K2046">
        <v>10</v>
      </c>
      <c r="L2046">
        <v>5</v>
      </c>
      <c r="M2046">
        <v>1.1559999999999999</v>
      </c>
    </row>
    <row r="2047" spans="1:13" ht="15" customHeight="1">
      <c r="A2047" t="s">
        <v>27</v>
      </c>
      <c r="B2047">
        <f t="shared" si="124"/>
        <v>33.718347999999999</v>
      </c>
      <c r="C2047">
        <f t="shared" si="125"/>
        <v>-117.853889</v>
      </c>
      <c r="D2047">
        <f t="shared" si="126"/>
        <v>66</v>
      </c>
      <c r="E2047">
        <v>71.498999999999995</v>
      </c>
      <c r="F2047">
        <f t="shared" si="127"/>
        <v>-5.4989999999999952</v>
      </c>
      <c r="G2047">
        <v>83.45</v>
      </c>
      <c r="H2047">
        <v>3.1120000000000001</v>
      </c>
      <c r="I2047">
        <v>3.734</v>
      </c>
      <c r="J2047">
        <v>5</v>
      </c>
      <c r="K2047">
        <v>40</v>
      </c>
      <c r="L2047">
        <v>20</v>
      </c>
      <c r="M2047">
        <v>5.2629999999999999</v>
      </c>
    </row>
    <row r="2048" spans="1:13" ht="15" customHeight="1">
      <c r="A2048" t="s">
        <v>27</v>
      </c>
      <c r="B2048">
        <f t="shared" si="124"/>
        <v>33.718347999999999</v>
      </c>
      <c r="C2048">
        <f t="shared" si="125"/>
        <v>-117.853889</v>
      </c>
      <c r="D2048">
        <f t="shared" si="126"/>
        <v>66</v>
      </c>
      <c r="E2048">
        <v>72.498999999999995</v>
      </c>
      <c r="F2048">
        <f t="shared" si="127"/>
        <v>-6.4989999999999952</v>
      </c>
      <c r="G2048">
        <v>183.82900000000001</v>
      </c>
      <c r="H2048">
        <v>6.2389999999999999</v>
      </c>
      <c r="I2048">
        <v>3.3969999999999998</v>
      </c>
      <c r="J2048">
        <v>12</v>
      </c>
      <c r="K2048">
        <v>88</v>
      </c>
      <c r="L2048">
        <v>44</v>
      </c>
      <c r="M2048" s="1">
        <v>9000000000</v>
      </c>
    </row>
    <row r="2049" spans="1:13" ht="15" customHeight="1">
      <c r="A2049" t="s">
        <v>27</v>
      </c>
      <c r="B2049">
        <f t="shared" si="124"/>
        <v>33.718347999999999</v>
      </c>
      <c r="C2049">
        <f t="shared" si="125"/>
        <v>-117.853889</v>
      </c>
      <c r="D2049">
        <f t="shared" si="126"/>
        <v>66</v>
      </c>
      <c r="E2049">
        <v>73.498999999999995</v>
      </c>
      <c r="F2049">
        <f t="shared" si="127"/>
        <v>-7.4989999999999952</v>
      </c>
      <c r="G2049">
        <v>95.483000000000004</v>
      </c>
      <c r="H2049">
        <v>3.8479999999999999</v>
      </c>
      <c r="I2049">
        <v>4.0380000000000003</v>
      </c>
      <c r="J2049">
        <v>5</v>
      </c>
      <c r="K2049">
        <v>46</v>
      </c>
      <c r="L2049">
        <v>23</v>
      </c>
      <c r="M2049">
        <v>6.0519999999999996</v>
      </c>
    </row>
    <row r="2050" spans="1:13" ht="15" customHeight="1">
      <c r="A2050" t="s">
        <v>27</v>
      </c>
      <c r="B2050">
        <f t="shared" ref="B2050:B2113" si="128">VLOOKUP(A2050,XYdata,3,FALSE)</f>
        <v>33.718347999999999</v>
      </c>
      <c r="C2050">
        <f t="shared" ref="C2050:C2113" si="129">VLOOKUP(A2050,XYdata,2,FALSE)</f>
        <v>-117.853889</v>
      </c>
      <c r="D2050">
        <f t="shared" ref="D2050:D2113" si="130">VLOOKUP(A2050,Elevation,2,FALSE)</f>
        <v>66</v>
      </c>
      <c r="E2050">
        <v>74.498999999999995</v>
      </c>
      <c r="F2050">
        <f t="shared" si="127"/>
        <v>-8.4989999999999952</v>
      </c>
      <c r="G2050">
        <v>183.583</v>
      </c>
      <c r="H2050">
        <v>2.677</v>
      </c>
      <c r="I2050">
        <v>1.4590000000000001</v>
      </c>
      <c r="J2050">
        <v>8</v>
      </c>
      <c r="K2050">
        <v>44</v>
      </c>
      <c r="L2050">
        <v>22</v>
      </c>
      <c r="M2050" s="1">
        <v>9000000000</v>
      </c>
    </row>
    <row r="2051" spans="1:13" ht="15" customHeight="1">
      <c r="A2051" t="s">
        <v>27</v>
      </c>
      <c r="B2051">
        <f t="shared" si="128"/>
        <v>33.718347999999999</v>
      </c>
      <c r="C2051">
        <f t="shared" si="129"/>
        <v>-117.853889</v>
      </c>
      <c r="D2051">
        <f t="shared" si="130"/>
        <v>66</v>
      </c>
      <c r="E2051">
        <v>75.498999999999995</v>
      </c>
      <c r="F2051">
        <f t="shared" ref="F2051:F2114" si="131">D2051-E2051</f>
        <v>-9.4989999999999952</v>
      </c>
      <c r="G2051">
        <v>59.633000000000003</v>
      </c>
      <c r="H2051">
        <v>1.6479999999999999</v>
      </c>
      <c r="I2051">
        <v>2.7690000000000001</v>
      </c>
      <c r="J2051">
        <v>6</v>
      </c>
      <c r="K2051">
        <v>23</v>
      </c>
      <c r="L2051">
        <v>12</v>
      </c>
      <c r="M2051">
        <v>3.66</v>
      </c>
    </row>
    <row r="2052" spans="1:13" ht="15" customHeight="1">
      <c r="A2052" t="s">
        <v>27</v>
      </c>
      <c r="B2052">
        <f t="shared" si="128"/>
        <v>33.718347999999999</v>
      </c>
      <c r="C2052">
        <f t="shared" si="129"/>
        <v>-117.853889</v>
      </c>
      <c r="D2052">
        <f t="shared" si="130"/>
        <v>66</v>
      </c>
      <c r="E2052">
        <v>76.498999999999995</v>
      </c>
      <c r="F2052">
        <f t="shared" si="131"/>
        <v>-10.498999999999995</v>
      </c>
      <c r="G2052">
        <v>65.5</v>
      </c>
      <c r="H2052">
        <v>2.7970000000000002</v>
      </c>
      <c r="I2052">
        <v>4.2809999999999997</v>
      </c>
      <c r="J2052">
        <v>5</v>
      </c>
      <c r="K2052">
        <v>31</v>
      </c>
      <c r="L2052">
        <v>16</v>
      </c>
      <c r="M2052">
        <v>4.0419999999999998</v>
      </c>
    </row>
    <row r="2053" spans="1:13" ht="15" customHeight="1">
      <c r="A2053" t="s">
        <v>27</v>
      </c>
      <c r="B2053">
        <f t="shared" si="128"/>
        <v>33.718347999999999</v>
      </c>
      <c r="C2053">
        <f t="shared" si="129"/>
        <v>-117.853889</v>
      </c>
      <c r="D2053">
        <f t="shared" si="130"/>
        <v>66</v>
      </c>
      <c r="E2053">
        <v>77.498999999999995</v>
      </c>
      <c r="F2053">
        <f t="shared" si="131"/>
        <v>-11.498999999999995</v>
      </c>
      <c r="G2053">
        <v>23.632999999999999</v>
      </c>
      <c r="H2053">
        <v>0.67800000000000005</v>
      </c>
      <c r="I2053">
        <v>2.8889999999999998</v>
      </c>
      <c r="J2053">
        <v>5</v>
      </c>
      <c r="K2053">
        <v>11</v>
      </c>
      <c r="L2053">
        <v>6</v>
      </c>
      <c r="M2053">
        <v>1.248</v>
      </c>
    </row>
    <row r="2054" spans="1:13" ht="15" customHeight="1">
      <c r="A2054" t="s">
        <v>27</v>
      </c>
      <c r="B2054">
        <f t="shared" si="128"/>
        <v>33.718347999999999</v>
      </c>
      <c r="C2054">
        <f t="shared" si="129"/>
        <v>-117.853889</v>
      </c>
      <c r="D2054">
        <f t="shared" si="130"/>
        <v>66</v>
      </c>
      <c r="E2054">
        <v>78.498999999999995</v>
      </c>
      <c r="F2054">
        <f t="shared" si="131"/>
        <v>-12.498999999999995</v>
      </c>
      <c r="G2054">
        <v>24.582999999999998</v>
      </c>
      <c r="H2054">
        <v>0.71299999999999997</v>
      </c>
      <c r="I2054">
        <v>2.92</v>
      </c>
      <c r="J2054">
        <v>5</v>
      </c>
      <c r="K2054">
        <v>12</v>
      </c>
      <c r="L2054">
        <v>6</v>
      </c>
      <c r="M2054">
        <v>1.3069999999999999</v>
      </c>
    </row>
    <row r="2055" spans="1:13" ht="15" customHeight="1">
      <c r="A2055" t="s">
        <v>27</v>
      </c>
      <c r="B2055">
        <f t="shared" si="128"/>
        <v>33.718347999999999</v>
      </c>
      <c r="C2055">
        <f t="shared" si="129"/>
        <v>-117.853889</v>
      </c>
      <c r="D2055">
        <f t="shared" si="130"/>
        <v>66</v>
      </c>
      <c r="E2055">
        <v>79.498999999999995</v>
      </c>
      <c r="F2055">
        <f t="shared" si="131"/>
        <v>-13.498999999999995</v>
      </c>
      <c r="G2055">
        <v>81.45</v>
      </c>
      <c r="H2055">
        <v>2.2869999999999999</v>
      </c>
      <c r="I2055">
        <v>2.8130000000000002</v>
      </c>
      <c r="J2055">
        <v>6</v>
      </c>
      <c r="K2055">
        <v>31</v>
      </c>
      <c r="L2055">
        <v>16</v>
      </c>
      <c r="M2055">
        <v>5.0940000000000003</v>
      </c>
    </row>
    <row r="2056" spans="1:13" ht="15" customHeight="1">
      <c r="A2056" t="s">
        <v>27</v>
      </c>
      <c r="B2056">
        <f t="shared" si="128"/>
        <v>33.718347999999999</v>
      </c>
      <c r="C2056">
        <f t="shared" si="129"/>
        <v>-117.853889</v>
      </c>
      <c r="D2056">
        <f t="shared" si="130"/>
        <v>66</v>
      </c>
      <c r="E2056">
        <v>80.498999999999995</v>
      </c>
      <c r="F2056">
        <f t="shared" si="131"/>
        <v>-14.498999999999995</v>
      </c>
      <c r="G2056">
        <v>52.5</v>
      </c>
      <c r="H2056">
        <v>2.9969999999999999</v>
      </c>
      <c r="I2056">
        <v>5.726</v>
      </c>
      <c r="J2056">
        <v>3</v>
      </c>
      <c r="K2056">
        <v>50</v>
      </c>
      <c r="L2056">
        <v>25</v>
      </c>
      <c r="M2056">
        <v>3.1589999999999998</v>
      </c>
    </row>
    <row r="2057" spans="1:13" ht="15" customHeight="1">
      <c r="A2057" t="s">
        <v>27</v>
      </c>
      <c r="B2057">
        <f t="shared" si="128"/>
        <v>33.718347999999999</v>
      </c>
      <c r="C2057">
        <f t="shared" si="129"/>
        <v>-117.853889</v>
      </c>
      <c r="D2057">
        <f t="shared" si="130"/>
        <v>66</v>
      </c>
      <c r="E2057">
        <v>81.498999999999995</v>
      </c>
      <c r="F2057">
        <f t="shared" si="131"/>
        <v>-15.498999999999995</v>
      </c>
      <c r="G2057">
        <v>121.333</v>
      </c>
      <c r="H2057">
        <v>2.7530000000000001</v>
      </c>
      <c r="I2057">
        <v>2.2709999999999999</v>
      </c>
      <c r="J2057">
        <v>7</v>
      </c>
      <c r="K2057">
        <v>39</v>
      </c>
      <c r="L2057">
        <v>20</v>
      </c>
      <c r="M2057" s="1">
        <v>9000000000</v>
      </c>
    </row>
    <row r="2058" spans="1:13" ht="15" customHeight="1">
      <c r="A2058" t="s">
        <v>27</v>
      </c>
      <c r="B2058">
        <f t="shared" si="128"/>
        <v>33.718347999999999</v>
      </c>
      <c r="C2058">
        <f t="shared" si="129"/>
        <v>-117.853889</v>
      </c>
      <c r="D2058">
        <f t="shared" si="130"/>
        <v>66</v>
      </c>
      <c r="E2058">
        <v>82.498999999999995</v>
      </c>
      <c r="F2058">
        <f t="shared" si="131"/>
        <v>-16.498999999999995</v>
      </c>
      <c r="G2058">
        <v>49.1</v>
      </c>
      <c r="H2058">
        <v>2.2069999999999999</v>
      </c>
      <c r="I2058">
        <v>4.51</v>
      </c>
      <c r="J2058">
        <v>4</v>
      </c>
      <c r="K2058">
        <v>31</v>
      </c>
      <c r="L2058">
        <v>16</v>
      </c>
      <c r="M2058">
        <v>2.9239999999999999</v>
      </c>
    </row>
    <row r="2059" spans="1:13" ht="15" customHeight="1">
      <c r="A2059" t="s">
        <v>27</v>
      </c>
      <c r="B2059">
        <f t="shared" si="128"/>
        <v>33.718347999999999</v>
      </c>
      <c r="C2059">
        <f t="shared" si="129"/>
        <v>-117.853889</v>
      </c>
      <c r="D2059">
        <f t="shared" si="130"/>
        <v>66</v>
      </c>
      <c r="E2059">
        <v>83.498999999999995</v>
      </c>
      <c r="F2059">
        <f t="shared" si="131"/>
        <v>-17.498999999999995</v>
      </c>
      <c r="G2059">
        <v>28.713999999999999</v>
      </c>
      <c r="H2059">
        <v>1.1100000000000001</v>
      </c>
      <c r="I2059">
        <v>3.8929999999999998</v>
      </c>
      <c r="J2059">
        <v>4</v>
      </c>
      <c r="K2059">
        <v>18</v>
      </c>
      <c r="L2059">
        <v>9</v>
      </c>
      <c r="M2059">
        <v>1.5580000000000001</v>
      </c>
    </row>
    <row r="2060" spans="1:13" ht="15" customHeight="1">
      <c r="A2060" t="s">
        <v>27</v>
      </c>
      <c r="B2060">
        <f t="shared" si="128"/>
        <v>33.718347999999999</v>
      </c>
      <c r="C2060">
        <f t="shared" si="129"/>
        <v>-117.853889</v>
      </c>
      <c r="D2060">
        <f t="shared" si="130"/>
        <v>66</v>
      </c>
      <c r="E2060">
        <v>84.498999999999995</v>
      </c>
      <c r="F2060">
        <f t="shared" si="131"/>
        <v>-18.498999999999995</v>
      </c>
      <c r="G2060">
        <v>24.766999999999999</v>
      </c>
      <c r="H2060">
        <v>0.79200000000000004</v>
      </c>
      <c r="I2060">
        <v>3.218</v>
      </c>
      <c r="J2060">
        <v>5</v>
      </c>
      <c r="K2060">
        <v>12</v>
      </c>
      <c r="L2060">
        <v>6</v>
      </c>
      <c r="M2060">
        <v>1.2929999999999999</v>
      </c>
    </row>
    <row r="2061" spans="1:13" ht="15" customHeight="1">
      <c r="A2061" t="s">
        <v>27</v>
      </c>
      <c r="B2061">
        <f t="shared" si="128"/>
        <v>33.718347999999999</v>
      </c>
      <c r="C2061">
        <f t="shared" si="129"/>
        <v>-117.853889</v>
      </c>
      <c r="D2061">
        <f t="shared" si="130"/>
        <v>66</v>
      </c>
      <c r="E2061">
        <v>85.498999999999995</v>
      </c>
      <c r="F2061">
        <f t="shared" si="131"/>
        <v>-19.498999999999995</v>
      </c>
      <c r="G2061">
        <v>23.65</v>
      </c>
      <c r="H2061">
        <v>0.66300000000000003</v>
      </c>
      <c r="I2061">
        <v>2.827</v>
      </c>
      <c r="J2061">
        <v>5</v>
      </c>
      <c r="K2061">
        <v>11</v>
      </c>
      <c r="L2061">
        <v>6</v>
      </c>
      <c r="M2061">
        <v>1.214</v>
      </c>
    </row>
    <row r="2062" spans="1:13" ht="15" customHeight="1">
      <c r="A2062" t="s">
        <v>27</v>
      </c>
      <c r="B2062">
        <f t="shared" si="128"/>
        <v>33.718347999999999</v>
      </c>
      <c r="C2062">
        <f t="shared" si="129"/>
        <v>-117.853889</v>
      </c>
      <c r="D2062">
        <f t="shared" si="130"/>
        <v>66</v>
      </c>
      <c r="E2062">
        <v>86.498999999999995</v>
      </c>
      <c r="F2062">
        <f t="shared" si="131"/>
        <v>-20.498999999999995</v>
      </c>
      <c r="G2062">
        <v>23.733000000000001</v>
      </c>
      <c r="H2062">
        <v>0.76500000000000001</v>
      </c>
      <c r="I2062">
        <v>3.2440000000000002</v>
      </c>
      <c r="J2062">
        <v>5</v>
      </c>
      <c r="K2062">
        <v>11</v>
      </c>
      <c r="L2062">
        <v>6</v>
      </c>
      <c r="M2062">
        <v>1.2170000000000001</v>
      </c>
    </row>
    <row r="2063" spans="1:13" ht="15" customHeight="1">
      <c r="A2063" t="s">
        <v>27</v>
      </c>
      <c r="B2063">
        <f t="shared" si="128"/>
        <v>33.718347999999999</v>
      </c>
      <c r="C2063">
        <f t="shared" si="129"/>
        <v>-117.853889</v>
      </c>
      <c r="D2063">
        <f t="shared" si="130"/>
        <v>66</v>
      </c>
      <c r="E2063">
        <v>87.498999999999995</v>
      </c>
      <c r="F2063">
        <f t="shared" si="131"/>
        <v>-21.498999999999995</v>
      </c>
      <c r="G2063">
        <v>23.632999999999999</v>
      </c>
      <c r="H2063">
        <v>0.68300000000000005</v>
      </c>
      <c r="I2063">
        <v>2.9079999999999999</v>
      </c>
      <c r="J2063">
        <v>5</v>
      </c>
      <c r="K2063">
        <v>11</v>
      </c>
      <c r="L2063">
        <v>6</v>
      </c>
      <c r="M2063">
        <v>1.2070000000000001</v>
      </c>
    </row>
    <row r="2064" spans="1:13" ht="15" customHeight="1">
      <c r="A2064" t="s">
        <v>27</v>
      </c>
      <c r="B2064">
        <f t="shared" si="128"/>
        <v>33.718347999999999</v>
      </c>
      <c r="C2064">
        <f t="shared" si="129"/>
        <v>-117.853889</v>
      </c>
      <c r="D2064">
        <f t="shared" si="130"/>
        <v>66</v>
      </c>
      <c r="E2064">
        <v>88.498999999999995</v>
      </c>
      <c r="F2064">
        <f t="shared" si="131"/>
        <v>-22.498999999999995</v>
      </c>
      <c r="G2064">
        <v>21.766999999999999</v>
      </c>
      <c r="H2064">
        <v>0.55800000000000005</v>
      </c>
      <c r="I2064">
        <v>2.585</v>
      </c>
      <c r="J2064">
        <v>5</v>
      </c>
      <c r="K2064">
        <v>10</v>
      </c>
      <c r="L2064">
        <v>5</v>
      </c>
      <c r="M2064">
        <v>1.077</v>
      </c>
    </row>
    <row r="2065" spans="1:13" ht="15" customHeight="1">
      <c r="A2065" t="s">
        <v>27</v>
      </c>
      <c r="B2065">
        <f t="shared" si="128"/>
        <v>33.718347999999999</v>
      </c>
      <c r="C2065">
        <f t="shared" si="129"/>
        <v>-117.853889</v>
      </c>
      <c r="D2065">
        <f t="shared" si="130"/>
        <v>66</v>
      </c>
      <c r="E2065">
        <v>89.498999999999995</v>
      </c>
      <c r="F2065">
        <f t="shared" si="131"/>
        <v>-23.498999999999995</v>
      </c>
      <c r="G2065">
        <v>23.183</v>
      </c>
      <c r="H2065">
        <v>0.67700000000000005</v>
      </c>
      <c r="I2065">
        <v>2.9380000000000002</v>
      </c>
      <c r="J2065">
        <v>5</v>
      </c>
      <c r="K2065">
        <v>11</v>
      </c>
      <c r="L2065">
        <v>6</v>
      </c>
      <c r="M2065">
        <v>1.1679999999999999</v>
      </c>
    </row>
    <row r="2066" spans="1:13" ht="15" customHeight="1">
      <c r="A2066" t="s">
        <v>27</v>
      </c>
      <c r="B2066">
        <f t="shared" si="128"/>
        <v>33.718347999999999</v>
      </c>
      <c r="C2066">
        <f t="shared" si="129"/>
        <v>-117.853889</v>
      </c>
      <c r="D2066">
        <f t="shared" si="130"/>
        <v>66</v>
      </c>
      <c r="E2066">
        <v>90.498999999999995</v>
      </c>
      <c r="F2066">
        <f t="shared" si="131"/>
        <v>-24.498999999999995</v>
      </c>
      <c r="G2066">
        <v>21.233000000000001</v>
      </c>
      <c r="H2066">
        <v>0.62</v>
      </c>
      <c r="I2066">
        <v>2.9380000000000002</v>
      </c>
      <c r="J2066">
        <v>5</v>
      </c>
      <c r="K2066">
        <v>10</v>
      </c>
      <c r="L2066">
        <v>5</v>
      </c>
      <c r="M2066">
        <v>1.0349999999999999</v>
      </c>
    </row>
    <row r="2067" spans="1:13" ht="15" customHeight="1">
      <c r="A2067" t="s">
        <v>27</v>
      </c>
      <c r="B2067">
        <f t="shared" si="128"/>
        <v>33.718347999999999</v>
      </c>
      <c r="C2067">
        <f t="shared" si="129"/>
        <v>-117.853889</v>
      </c>
      <c r="D2067">
        <f t="shared" si="130"/>
        <v>66</v>
      </c>
      <c r="E2067">
        <v>91.498999999999995</v>
      </c>
      <c r="F2067">
        <f t="shared" si="131"/>
        <v>-25.498999999999995</v>
      </c>
      <c r="G2067">
        <v>26.867000000000001</v>
      </c>
      <c r="H2067">
        <v>0.93700000000000006</v>
      </c>
      <c r="I2067">
        <v>3.5019999999999998</v>
      </c>
      <c r="J2067">
        <v>5</v>
      </c>
      <c r="K2067">
        <v>13</v>
      </c>
      <c r="L2067">
        <v>7</v>
      </c>
      <c r="M2067">
        <v>1.407</v>
      </c>
    </row>
    <row r="2068" spans="1:13" ht="15" customHeight="1">
      <c r="A2068" t="s">
        <v>27</v>
      </c>
      <c r="B2068">
        <f t="shared" si="128"/>
        <v>33.718347999999999</v>
      </c>
      <c r="C2068">
        <f t="shared" si="129"/>
        <v>-117.853889</v>
      </c>
      <c r="D2068">
        <f t="shared" si="130"/>
        <v>66</v>
      </c>
      <c r="E2068">
        <v>92.498999999999995</v>
      </c>
      <c r="F2068">
        <f t="shared" si="131"/>
        <v>-26.498999999999995</v>
      </c>
      <c r="G2068">
        <v>26.683</v>
      </c>
      <c r="H2068">
        <v>0.98199999999999998</v>
      </c>
      <c r="I2068">
        <v>3.6970000000000001</v>
      </c>
      <c r="J2068">
        <v>5</v>
      </c>
      <c r="K2068">
        <v>13</v>
      </c>
      <c r="L2068">
        <v>7</v>
      </c>
      <c r="M2068">
        <v>1.39</v>
      </c>
    </row>
    <row r="2069" spans="1:13" ht="15" customHeight="1">
      <c r="A2069" t="s">
        <v>27</v>
      </c>
      <c r="B2069">
        <f t="shared" si="128"/>
        <v>33.718347999999999</v>
      </c>
      <c r="C2069">
        <f t="shared" si="129"/>
        <v>-117.853889</v>
      </c>
      <c r="D2069">
        <f t="shared" si="130"/>
        <v>66</v>
      </c>
      <c r="E2069">
        <v>93.498999999999995</v>
      </c>
      <c r="F2069">
        <f t="shared" si="131"/>
        <v>-27.498999999999995</v>
      </c>
      <c r="G2069">
        <v>26.286000000000001</v>
      </c>
      <c r="H2069">
        <v>1.0389999999999999</v>
      </c>
      <c r="I2069">
        <v>3.9660000000000002</v>
      </c>
      <c r="J2069">
        <v>4</v>
      </c>
      <c r="K2069">
        <v>17</v>
      </c>
      <c r="L2069">
        <v>9</v>
      </c>
      <c r="M2069">
        <v>1.361</v>
      </c>
    </row>
    <row r="2070" spans="1:13" ht="15" customHeight="1">
      <c r="A2070" t="s">
        <v>27</v>
      </c>
      <c r="B2070">
        <f t="shared" si="128"/>
        <v>33.718347999999999</v>
      </c>
      <c r="C2070">
        <f t="shared" si="129"/>
        <v>-117.853889</v>
      </c>
      <c r="D2070">
        <f t="shared" si="130"/>
        <v>66</v>
      </c>
      <c r="E2070">
        <v>94.498999999999995</v>
      </c>
      <c r="F2070">
        <f t="shared" si="131"/>
        <v>-28.498999999999995</v>
      </c>
      <c r="G2070">
        <v>26.183</v>
      </c>
      <c r="H2070">
        <v>1.0549999999999999</v>
      </c>
      <c r="I2070">
        <v>4.0449999999999999</v>
      </c>
      <c r="J2070">
        <v>4</v>
      </c>
      <c r="K2070">
        <v>17</v>
      </c>
      <c r="L2070">
        <v>9</v>
      </c>
      <c r="M2070">
        <v>1.35</v>
      </c>
    </row>
    <row r="2071" spans="1:13" ht="15" customHeight="1">
      <c r="A2071" t="s">
        <v>27</v>
      </c>
      <c r="B2071">
        <f t="shared" si="128"/>
        <v>33.718347999999999</v>
      </c>
      <c r="C2071">
        <f t="shared" si="129"/>
        <v>-117.853889</v>
      </c>
      <c r="D2071">
        <f t="shared" si="130"/>
        <v>66</v>
      </c>
      <c r="E2071">
        <v>95.498999999999995</v>
      </c>
      <c r="F2071">
        <f t="shared" si="131"/>
        <v>-29.498999999999995</v>
      </c>
      <c r="G2071">
        <v>31.167000000000002</v>
      </c>
      <c r="H2071">
        <v>1.05</v>
      </c>
      <c r="I2071">
        <v>3.3820000000000001</v>
      </c>
      <c r="J2071">
        <v>5</v>
      </c>
      <c r="K2071">
        <v>15</v>
      </c>
      <c r="L2071">
        <v>8</v>
      </c>
      <c r="M2071">
        <v>1.677</v>
      </c>
    </row>
    <row r="2072" spans="1:13" ht="15" customHeight="1">
      <c r="A2072" t="s">
        <v>27</v>
      </c>
      <c r="B2072">
        <f t="shared" si="128"/>
        <v>33.718347999999999</v>
      </c>
      <c r="C2072">
        <f t="shared" si="129"/>
        <v>-117.853889</v>
      </c>
      <c r="D2072">
        <f t="shared" si="130"/>
        <v>66</v>
      </c>
      <c r="E2072">
        <v>96.498999999999995</v>
      </c>
      <c r="F2072">
        <f t="shared" si="131"/>
        <v>-30.498999999999995</v>
      </c>
      <c r="G2072">
        <v>37.817</v>
      </c>
      <c r="H2072">
        <v>1.0720000000000001</v>
      </c>
      <c r="I2072">
        <v>2.84</v>
      </c>
      <c r="J2072">
        <v>6</v>
      </c>
      <c r="K2072">
        <v>14</v>
      </c>
      <c r="L2072">
        <v>7</v>
      </c>
      <c r="M2072">
        <v>2.1190000000000002</v>
      </c>
    </row>
    <row r="2073" spans="1:13" ht="15" customHeight="1">
      <c r="A2073" t="s">
        <v>27</v>
      </c>
      <c r="B2073">
        <f t="shared" si="128"/>
        <v>33.718347999999999</v>
      </c>
      <c r="C2073">
        <f t="shared" si="129"/>
        <v>-117.853889</v>
      </c>
      <c r="D2073">
        <f t="shared" si="130"/>
        <v>66</v>
      </c>
      <c r="E2073">
        <v>97.498999999999995</v>
      </c>
      <c r="F2073">
        <f t="shared" si="131"/>
        <v>-31.498999999999995</v>
      </c>
      <c r="G2073">
        <v>36.6</v>
      </c>
      <c r="H2073">
        <v>1.095</v>
      </c>
      <c r="I2073">
        <v>2.996</v>
      </c>
      <c r="J2073">
        <v>5</v>
      </c>
      <c r="K2073">
        <v>18</v>
      </c>
      <c r="L2073">
        <v>9</v>
      </c>
      <c r="M2073">
        <v>2.036</v>
      </c>
    </row>
    <row r="2074" spans="1:13" ht="15" customHeight="1">
      <c r="A2074" t="s">
        <v>27</v>
      </c>
      <c r="B2074">
        <f t="shared" si="128"/>
        <v>33.718347999999999</v>
      </c>
      <c r="C2074">
        <f t="shared" si="129"/>
        <v>-117.853889</v>
      </c>
      <c r="D2074">
        <f t="shared" si="130"/>
        <v>66</v>
      </c>
      <c r="E2074">
        <v>98.498999999999995</v>
      </c>
      <c r="F2074">
        <f t="shared" si="131"/>
        <v>-32.498999999999995</v>
      </c>
      <c r="G2074">
        <v>112.43300000000001</v>
      </c>
      <c r="H2074">
        <v>4.5620000000000003</v>
      </c>
      <c r="I2074">
        <v>4.0599999999999996</v>
      </c>
      <c r="J2074">
        <v>11</v>
      </c>
      <c r="K2074">
        <v>108</v>
      </c>
      <c r="L2074">
        <v>54</v>
      </c>
      <c r="M2074" s="1">
        <v>9000000000</v>
      </c>
    </row>
    <row r="2075" spans="1:13" ht="15" customHeight="1">
      <c r="A2075" t="s">
        <v>27</v>
      </c>
      <c r="B2075">
        <f t="shared" si="128"/>
        <v>33.718347999999999</v>
      </c>
      <c r="C2075">
        <f t="shared" si="129"/>
        <v>-117.853889</v>
      </c>
      <c r="D2075">
        <f t="shared" si="130"/>
        <v>66</v>
      </c>
      <c r="E2075">
        <v>99.498999999999995</v>
      </c>
      <c r="F2075">
        <f t="shared" si="131"/>
        <v>-33.498999999999995</v>
      </c>
      <c r="G2075">
        <v>201.28299999999999</v>
      </c>
      <c r="H2075">
        <v>4.9880000000000004</v>
      </c>
      <c r="I2075">
        <v>2.48</v>
      </c>
      <c r="J2075">
        <v>7</v>
      </c>
      <c r="K2075">
        <v>64</v>
      </c>
      <c r="L2075">
        <v>32</v>
      </c>
      <c r="M2075" s="1">
        <v>9000000000</v>
      </c>
    </row>
    <row r="2076" spans="1:13" ht="15" customHeight="1">
      <c r="A2076" t="s">
        <v>27</v>
      </c>
      <c r="B2076">
        <f t="shared" si="128"/>
        <v>33.718347999999999</v>
      </c>
      <c r="C2076">
        <f t="shared" si="129"/>
        <v>-117.853889</v>
      </c>
      <c r="D2076">
        <f t="shared" si="130"/>
        <v>66</v>
      </c>
      <c r="E2076">
        <v>100.499</v>
      </c>
      <c r="F2076">
        <f t="shared" si="131"/>
        <v>-34.498999999999995</v>
      </c>
      <c r="G2076">
        <v>82.617000000000004</v>
      </c>
      <c r="H2076">
        <v>2.0529999999999999</v>
      </c>
      <c r="I2076">
        <v>2.4849999999999999</v>
      </c>
      <c r="J2076">
        <v>6</v>
      </c>
      <c r="K2076">
        <v>32</v>
      </c>
      <c r="L2076">
        <v>16</v>
      </c>
      <c r="M2076">
        <v>5.0940000000000003</v>
      </c>
    </row>
    <row r="2077" spans="1:13" ht="15" customHeight="1">
      <c r="A2077" t="s">
        <v>27</v>
      </c>
      <c r="B2077">
        <f t="shared" si="128"/>
        <v>33.718347999999999</v>
      </c>
      <c r="C2077">
        <f t="shared" si="129"/>
        <v>-117.853889</v>
      </c>
      <c r="D2077">
        <f t="shared" si="130"/>
        <v>66</v>
      </c>
      <c r="E2077">
        <v>101.499</v>
      </c>
      <c r="F2077">
        <f t="shared" si="131"/>
        <v>-35.498999999999995</v>
      </c>
      <c r="G2077">
        <v>33.466999999999999</v>
      </c>
      <c r="H2077">
        <v>0.91200000000000003</v>
      </c>
      <c r="I2077">
        <v>2.6970000000000001</v>
      </c>
      <c r="J2077">
        <v>6</v>
      </c>
      <c r="K2077">
        <v>13</v>
      </c>
      <c r="L2077">
        <v>7</v>
      </c>
      <c r="M2077">
        <v>1.8360000000000001</v>
      </c>
    </row>
    <row r="2078" spans="1:13" ht="15" customHeight="1">
      <c r="A2078" t="s">
        <v>27</v>
      </c>
      <c r="B2078">
        <f t="shared" si="128"/>
        <v>33.718347999999999</v>
      </c>
      <c r="C2078">
        <f t="shared" si="129"/>
        <v>-117.853889</v>
      </c>
      <c r="D2078">
        <f t="shared" si="130"/>
        <v>66</v>
      </c>
      <c r="E2078">
        <v>102.499</v>
      </c>
      <c r="F2078">
        <f t="shared" si="131"/>
        <v>-36.498999999999995</v>
      </c>
      <c r="G2078">
        <v>30.783000000000001</v>
      </c>
      <c r="H2078">
        <v>0.73699999999999999</v>
      </c>
      <c r="I2078">
        <v>2.29</v>
      </c>
      <c r="J2078">
        <v>6</v>
      </c>
      <c r="K2078">
        <v>12</v>
      </c>
      <c r="L2078">
        <v>6</v>
      </c>
      <c r="M2078">
        <v>1.7230000000000001</v>
      </c>
    </row>
    <row r="2079" spans="1:13" ht="15" customHeight="1">
      <c r="A2079" t="s">
        <v>27</v>
      </c>
      <c r="B2079">
        <f t="shared" si="128"/>
        <v>33.718347999999999</v>
      </c>
      <c r="C2079">
        <f t="shared" si="129"/>
        <v>-117.853889</v>
      </c>
      <c r="D2079">
        <f t="shared" si="130"/>
        <v>66</v>
      </c>
      <c r="E2079">
        <v>103.499</v>
      </c>
      <c r="F2079">
        <f t="shared" si="131"/>
        <v>-37.498999999999995</v>
      </c>
      <c r="G2079">
        <v>35.5</v>
      </c>
      <c r="H2079">
        <v>0.84799999999999998</v>
      </c>
      <c r="I2079">
        <v>2.3159999999999998</v>
      </c>
      <c r="J2079">
        <v>6</v>
      </c>
      <c r="K2079">
        <v>14</v>
      </c>
      <c r="L2079">
        <v>7</v>
      </c>
      <c r="M2079">
        <v>2.016</v>
      </c>
    </row>
    <row r="2080" spans="1:13" ht="15" customHeight="1">
      <c r="A2080" t="s">
        <v>27</v>
      </c>
      <c r="B2080">
        <f t="shared" si="128"/>
        <v>33.718347999999999</v>
      </c>
      <c r="C2080">
        <f t="shared" si="129"/>
        <v>-117.853889</v>
      </c>
      <c r="D2080">
        <f t="shared" si="130"/>
        <v>66</v>
      </c>
      <c r="E2080">
        <v>104.499</v>
      </c>
      <c r="F2080">
        <f t="shared" si="131"/>
        <v>-38.498999999999995</v>
      </c>
      <c r="G2080">
        <v>72.171000000000006</v>
      </c>
      <c r="H2080">
        <v>3.09</v>
      </c>
      <c r="I2080">
        <v>4.2270000000000003</v>
      </c>
      <c r="J2080">
        <v>5</v>
      </c>
      <c r="K2080">
        <v>35</v>
      </c>
      <c r="L2080">
        <v>18</v>
      </c>
      <c r="M2080">
        <v>4.4429999999999996</v>
      </c>
    </row>
    <row r="2081" spans="1:13" ht="15" customHeight="1">
      <c r="A2081" t="s">
        <v>27</v>
      </c>
      <c r="B2081">
        <f t="shared" si="128"/>
        <v>33.718347999999999</v>
      </c>
      <c r="C2081">
        <f t="shared" si="129"/>
        <v>-117.853889</v>
      </c>
      <c r="D2081">
        <f t="shared" si="130"/>
        <v>66</v>
      </c>
      <c r="E2081">
        <v>105.499</v>
      </c>
      <c r="F2081">
        <f t="shared" si="131"/>
        <v>-39.498999999999995</v>
      </c>
      <c r="G2081">
        <v>95.516999999999996</v>
      </c>
      <c r="H2081">
        <v>4.4729999999999999</v>
      </c>
      <c r="I2081">
        <v>4.6900000000000004</v>
      </c>
      <c r="J2081">
        <v>11</v>
      </c>
      <c r="K2081">
        <v>91</v>
      </c>
      <c r="L2081">
        <v>46</v>
      </c>
      <c r="M2081" s="1">
        <v>9000000000</v>
      </c>
    </row>
    <row r="2082" spans="1:13" ht="15" customHeight="1">
      <c r="A2082" t="s">
        <v>27</v>
      </c>
      <c r="B2082">
        <f t="shared" si="128"/>
        <v>33.718347999999999</v>
      </c>
      <c r="C2082">
        <f t="shared" si="129"/>
        <v>-117.853889</v>
      </c>
      <c r="D2082">
        <f t="shared" si="130"/>
        <v>66</v>
      </c>
      <c r="E2082">
        <v>106.499</v>
      </c>
      <c r="F2082">
        <f t="shared" si="131"/>
        <v>-40.498999999999995</v>
      </c>
      <c r="G2082">
        <v>51.716999999999999</v>
      </c>
      <c r="H2082">
        <v>2.44</v>
      </c>
      <c r="I2082">
        <v>4.7290000000000001</v>
      </c>
      <c r="J2082">
        <v>4</v>
      </c>
      <c r="K2082">
        <v>33</v>
      </c>
      <c r="L2082">
        <v>17</v>
      </c>
      <c r="M2082">
        <v>3.0009999999999999</v>
      </c>
    </row>
    <row r="2083" spans="1:13" ht="15" customHeight="1">
      <c r="A2083" t="s">
        <v>27</v>
      </c>
      <c r="B2083">
        <f t="shared" si="128"/>
        <v>33.718347999999999</v>
      </c>
      <c r="C2083">
        <f t="shared" si="129"/>
        <v>-117.853889</v>
      </c>
      <c r="D2083">
        <f t="shared" si="130"/>
        <v>66</v>
      </c>
      <c r="E2083">
        <v>107.499</v>
      </c>
      <c r="F2083">
        <f t="shared" si="131"/>
        <v>-41.498999999999995</v>
      </c>
      <c r="G2083">
        <v>103.75</v>
      </c>
      <c r="H2083">
        <v>3.907</v>
      </c>
      <c r="I2083">
        <v>3.77</v>
      </c>
      <c r="J2083">
        <v>5</v>
      </c>
      <c r="K2083">
        <v>50</v>
      </c>
      <c r="L2083">
        <v>25</v>
      </c>
      <c r="M2083">
        <v>6.4649999999999999</v>
      </c>
    </row>
    <row r="2084" spans="1:13" ht="15" customHeight="1">
      <c r="A2084" t="s">
        <v>27</v>
      </c>
      <c r="B2084">
        <f t="shared" si="128"/>
        <v>33.718347999999999</v>
      </c>
      <c r="C2084">
        <f t="shared" si="129"/>
        <v>-117.853889</v>
      </c>
      <c r="D2084">
        <f t="shared" si="130"/>
        <v>66</v>
      </c>
      <c r="E2084">
        <v>108.499</v>
      </c>
      <c r="F2084">
        <f t="shared" si="131"/>
        <v>-42.498999999999995</v>
      </c>
      <c r="G2084">
        <v>46.767000000000003</v>
      </c>
      <c r="H2084">
        <v>1.9079999999999999</v>
      </c>
      <c r="I2084">
        <v>4.0910000000000002</v>
      </c>
      <c r="J2084">
        <v>5</v>
      </c>
      <c r="K2084">
        <v>22</v>
      </c>
      <c r="L2084">
        <v>11</v>
      </c>
      <c r="M2084">
        <v>2.6629999999999998</v>
      </c>
    </row>
    <row r="2085" spans="1:13" ht="15" customHeight="1">
      <c r="A2085" t="s">
        <v>27</v>
      </c>
      <c r="B2085">
        <f t="shared" si="128"/>
        <v>33.718347999999999</v>
      </c>
      <c r="C2085">
        <f t="shared" si="129"/>
        <v>-117.853889</v>
      </c>
      <c r="D2085">
        <f t="shared" si="130"/>
        <v>66</v>
      </c>
      <c r="E2085">
        <v>109.499</v>
      </c>
      <c r="F2085">
        <f t="shared" si="131"/>
        <v>-43.498999999999995</v>
      </c>
      <c r="G2085">
        <v>34.582999999999998</v>
      </c>
      <c r="H2085">
        <v>1.0529999999999999</v>
      </c>
      <c r="I2085">
        <v>3.056</v>
      </c>
      <c r="J2085">
        <v>5</v>
      </c>
      <c r="K2085">
        <v>17</v>
      </c>
      <c r="L2085">
        <v>9</v>
      </c>
      <c r="M2085">
        <v>1.8460000000000001</v>
      </c>
    </row>
    <row r="2086" spans="1:13" ht="15" customHeight="1">
      <c r="A2086" t="s">
        <v>27</v>
      </c>
      <c r="B2086">
        <f t="shared" si="128"/>
        <v>33.718347999999999</v>
      </c>
      <c r="C2086">
        <f t="shared" si="129"/>
        <v>-117.853889</v>
      </c>
      <c r="D2086">
        <f t="shared" si="130"/>
        <v>66</v>
      </c>
      <c r="E2086">
        <v>110.499</v>
      </c>
      <c r="F2086">
        <f t="shared" si="131"/>
        <v>-44.498999999999995</v>
      </c>
      <c r="G2086">
        <v>33.466999999999999</v>
      </c>
      <c r="H2086">
        <v>1.0169999999999999</v>
      </c>
      <c r="I2086">
        <v>3.052</v>
      </c>
      <c r="J2086">
        <v>5</v>
      </c>
      <c r="K2086">
        <v>16</v>
      </c>
      <c r="L2086">
        <v>8</v>
      </c>
      <c r="M2086">
        <v>1.766</v>
      </c>
    </row>
    <row r="2087" spans="1:13" ht="15" customHeight="1">
      <c r="A2087" t="s">
        <v>27</v>
      </c>
      <c r="B2087">
        <f t="shared" si="128"/>
        <v>33.718347999999999</v>
      </c>
      <c r="C2087">
        <f t="shared" si="129"/>
        <v>-117.853889</v>
      </c>
      <c r="D2087">
        <f t="shared" si="130"/>
        <v>66</v>
      </c>
      <c r="E2087">
        <v>111.499</v>
      </c>
      <c r="F2087">
        <f t="shared" si="131"/>
        <v>-45.498999999999995</v>
      </c>
      <c r="G2087">
        <v>31.783000000000001</v>
      </c>
      <c r="H2087">
        <v>1.03</v>
      </c>
      <c r="I2087">
        <v>3.2509999999999999</v>
      </c>
      <c r="J2087">
        <v>5</v>
      </c>
      <c r="K2087">
        <v>15</v>
      </c>
      <c r="L2087">
        <v>8</v>
      </c>
      <c r="M2087">
        <v>1.6519999999999999</v>
      </c>
    </row>
    <row r="2088" spans="1:13" ht="15" customHeight="1">
      <c r="A2088" t="s">
        <v>27</v>
      </c>
      <c r="B2088">
        <f t="shared" si="128"/>
        <v>33.718347999999999</v>
      </c>
      <c r="C2088">
        <f t="shared" si="129"/>
        <v>-117.853889</v>
      </c>
      <c r="D2088">
        <f t="shared" si="130"/>
        <v>66</v>
      </c>
      <c r="E2088">
        <v>112.499</v>
      </c>
      <c r="F2088">
        <f t="shared" si="131"/>
        <v>-46.498999999999995</v>
      </c>
      <c r="G2088">
        <v>39.6</v>
      </c>
      <c r="H2088">
        <v>1.728</v>
      </c>
      <c r="I2088">
        <v>4.3760000000000003</v>
      </c>
      <c r="J2088">
        <v>4</v>
      </c>
      <c r="K2088">
        <v>25</v>
      </c>
      <c r="L2088">
        <v>13</v>
      </c>
      <c r="M2088">
        <v>2.169</v>
      </c>
    </row>
    <row r="2089" spans="1:13" ht="15" customHeight="1">
      <c r="A2089" t="s">
        <v>27</v>
      </c>
      <c r="B2089">
        <f t="shared" si="128"/>
        <v>33.718347999999999</v>
      </c>
      <c r="C2089">
        <f t="shared" si="129"/>
        <v>-117.853889</v>
      </c>
      <c r="D2089">
        <f t="shared" si="130"/>
        <v>66</v>
      </c>
      <c r="E2089">
        <v>113.499</v>
      </c>
      <c r="F2089">
        <f t="shared" si="131"/>
        <v>-47.498999999999995</v>
      </c>
      <c r="G2089">
        <v>49.832999999999998</v>
      </c>
      <c r="H2089">
        <v>2.69</v>
      </c>
      <c r="I2089">
        <v>5.4089999999999998</v>
      </c>
      <c r="J2089">
        <v>3</v>
      </c>
      <c r="K2089">
        <v>48</v>
      </c>
      <c r="L2089">
        <v>24</v>
      </c>
      <c r="M2089">
        <v>2.847</v>
      </c>
    </row>
    <row r="2090" spans="1:13" ht="15" customHeight="1">
      <c r="A2090" t="s">
        <v>27</v>
      </c>
      <c r="B2090">
        <f t="shared" si="128"/>
        <v>33.718347999999999</v>
      </c>
      <c r="C2090">
        <f t="shared" si="129"/>
        <v>-117.853889</v>
      </c>
      <c r="D2090">
        <f t="shared" si="130"/>
        <v>66</v>
      </c>
      <c r="E2090">
        <v>114.499</v>
      </c>
      <c r="F2090">
        <f t="shared" si="131"/>
        <v>-48.498999999999995</v>
      </c>
      <c r="G2090">
        <v>47.643000000000001</v>
      </c>
      <c r="H2090">
        <v>2.0390000000000001</v>
      </c>
      <c r="I2090">
        <v>4.2880000000000003</v>
      </c>
      <c r="J2090">
        <v>4</v>
      </c>
      <c r="K2090">
        <v>30</v>
      </c>
      <c r="L2090">
        <v>15</v>
      </c>
      <c r="M2090">
        <v>2.6970000000000001</v>
      </c>
    </row>
    <row r="2091" spans="1:13" ht="15" customHeight="1">
      <c r="A2091" t="s">
        <v>27</v>
      </c>
      <c r="B2091">
        <f t="shared" si="128"/>
        <v>33.718347999999999</v>
      </c>
      <c r="C2091">
        <f t="shared" si="129"/>
        <v>-117.853889</v>
      </c>
      <c r="D2091">
        <f t="shared" si="130"/>
        <v>66</v>
      </c>
      <c r="E2091">
        <v>115.499</v>
      </c>
      <c r="F2091">
        <f t="shared" si="131"/>
        <v>-49.498999999999995</v>
      </c>
      <c r="G2091">
        <v>92.733000000000004</v>
      </c>
      <c r="H2091">
        <v>5.0179999999999998</v>
      </c>
      <c r="I2091">
        <v>5.4169999999999998</v>
      </c>
      <c r="J2091">
        <v>11</v>
      </c>
      <c r="K2091">
        <v>89</v>
      </c>
      <c r="L2091">
        <v>45</v>
      </c>
      <c r="M2091" s="1">
        <v>9000000000</v>
      </c>
    </row>
    <row r="2092" spans="1:13" ht="15" customHeight="1">
      <c r="A2092" t="s">
        <v>27</v>
      </c>
      <c r="B2092">
        <f t="shared" si="128"/>
        <v>33.718347999999999</v>
      </c>
      <c r="C2092">
        <f t="shared" si="129"/>
        <v>-117.853889</v>
      </c>
      <c r="D2092">
        <f t="shared" si="130"/>
        <v>66</v>
      </c>
      <c r="E2092">
        <v>116.499</v>
      </c>
      <c r="F2092">
        <f t="shared" si="131"/>
        <v>-50.498999999999995</v>
      </c>
      <c r="G2092">
        <v>105.65</v>
      </c>
      <c r="H2092">
        <v>4.8120000000000003</v>
      </c>
      <c r="I2092">
        <v>4.5590000000000002</v>
      </c>
      <c r="J2092">
        <v>11</v>
      </c>
      <c r="K2092">
        <v>101</v>
      </c>
      <c r="L2092">
        <v>51</v>
      </c>
      <c r="M2092" s="1">
        <v>9000000000</v>
      </c>
    </row>
    <row r="2093" spans="1:13" ht="15" customHeight="1">
      <c r="A2093" t="s">
        <v>27</v>
      </c>
      <c r="B2093">
        <f t="shared" si="128"/>
        <v>33.718347999999999</v>
      </c>
      <c r="C2093">
        <f t="shared" si="129"/>
        <v>-117.853889</v>
      </c>
      <c r="D2093">
        <f t="shared" si="130"/>
        <v>66</v>
      </c>
      <c r="E2093">
        <v>117.498</v>
      </c>
      <c r="F2093">
        <f t="shared" si="131"/>
        <v>-51.498000000000005</v>
      </c>
      <c r="G2093">
        <v>195.11699999999999</v>
      </c>
      <c r="H2093">
        <v>5.407</v>
      </c>
      <c r="I2093">
        <v>2.7719999999999998</v>
      </c>
      <c r="J2093">
        <v>7</v>
      </c>
      <c r="K2093">
        <v>62</v>
      </c>
      <c r="L2093">
        <v>31</v>
      </c>
      <c r="M2093" s="1">
        <v>9000000000</v>
      </c>
    </row>
    <row r="2094" spans="1:13" ht="15" customHeight="1">
      <c r="A2094" t="s">
        <v>27</v>
      </c>
      <c r="B2094">
        <f t="shared" si="128"/>
        <v>33.718347999999999</v>
      </c>
      <c r="C2094">
        <f t="shared" si="129"/>
        <v>-117.853889</v>
      </c>
      <c r="D2094">
        <f t="shared" si="130"/>
        <v>66</v>
      </c>
      <c r="E2094">
        <v>118.498</v>
      </c>
      <c r="F2094">
        <f t="shared" si="131"/>
        <v>-52.498000000000005</v>
      </c>
      <c r="G2094">
        <v>170.28299999999999</v>
      </c>
      <c r="H2094">
        <v>5.84</v>
      </c>
      <c r="I2094">
        <v>3.4319999999999999</v>
      </c>
      <c r="J2094">
        <v>6</v>
      </c>
      <c r="K2094">
        <v>65</v>
      </c>
      <c r="L2094">
        <v>33</v>
      </c>
      <c r="M2094">
        <v>10.853999999999999</v>
      </c>
    </row>
    <row r="2095" spans="1:13" ht="15" customHeight="1">
      <c r="A2095" t="s">
        <v>27</v>
      </c>
      <c r="B2095">
        <f t="shared" si="128"/>
        <v>33.718347999999999</v>
      </c>
      <c r="C2095">
        <f t="shared" si="129"/>
        <v>-117.853889</v>
      </c>
      <c r="D2095">
        <f t="shared" si="130"/>
        <v>66</v>
      </c>
      <c r="E2095">
        <v>119.498</v>
      </c>
      <c r="F2095">
        <f t="shared" si="131"/>
        <v>-53.498000000000005</v>
      </c>
      <c r="G2095">
        <v>171.733</v>
      </c>
      <c r="H2095">
        <v>5.0330000000000004</v>
      </c>
      <c r="I2095">
        <v>2.9340000000000002</v>
      </c>
      <c r="J2095">
        <v>7</v>
      </c>
      <c r="K2095">
        <v>55</v>
      </c>
      <c r="L2095">
        <v>28</v>
      </c>
      <c r="M2095" s="1">
        <v>9000000000</v>
      </c>
    </row>
    <row r="2096" spans="1:13" ht="15" customHeight="1">
      <c r="A2096" t="s">
        <v>27</v>
      </c>
      <c r="B2096">
        <f t="shared" si="128"/>
        <v>33.718347999999999</v>
      </c>
      <c r="C2096">
        <f t="shared" si="129"/>
        <v>-117.853889</v>
      </c>
      <c r="D2096">
        <f t="shared" si="130"/>
        <v>66</v>
      </c>
      <c r="E2096">
        <v>120.498</v>
      </c>
      <c r="F2096">
        <f t="shared" si="131"/>
        <v>-54.498000000000005</v>
      </c>
      <c r="G2096">
        <v>43.167000000000002</v>
      </c>
      <c r="H2096">
        <v>2.0670000000000002</v>
      </c>
      <c r="I2096">
        <v>4.8010000000000002</v>
      </c>
      <c r="J2096">
        <v>4</v>
      </c>
      <c r="K2096">
        <v>27</v>
      </c>
      <c r="L2096">
        <v>14</v>
      </c>
      <c r="M2096">
        <v>2.3719999999999999</v>
      </c>
    </row>
    <row r="2097" spans="1:13" ht="15" customHeight="1">
      <c r="A2097" t="s">
        <v>27</v>
      </c>
      <c r="B2097">
        <f t="shared" si="128"/>
        <v>33.718347999999999</v>
      </c>
      <c r="C2097">
        <f t="shared" si="129"/>
        <v>-117.853889</v>
      </c>
      <c r="D2097">
        <f t="shared" si="130"/>
        <v>66</v>
      </c>
      <c r="E2097">
        <v>121.498</v>
      </c>
      <c r="F2097">
        <f t="shared" si="131"/>
        <v>-55.498000000000005</v>
      </c>
      <c r="G2097">
        <v>64</v>
      </c>
      <c r="H2097">
        <v>2.6869999999999998</v>
      </c>
      <c r="I2097">
        <v>4.2069999999999999</v>
      </c>
      <c r="J2097">
        <v>5</v>
      </c>
      <c r="K2097">
        <v>31</v>
      </c>
      <c r="L2097">
        <v>16</v>
      </c>
      <c r="M2097">
        <v>3.7559999999999998</v>
      </c>
    </row>
    <row r="2098" spans="1:13" ht="15" customHeight="1">
      <c r="A2098" t="s">
        <v>27</v>
      </c>
      <c r="B2098">
        <f t="shared" si="128"/>
        <v>33.718347999999999</v>
      </c>
      <c r="C2098">
        <f t="shared" si="129"/>
        <v>-117.853889</v>
      </c>
      <c r="D2098">
        <f t="shared" si="130"/>
        <v>66</v>
      </c>
      <c r="E2098">
        <v>122.498</v>
      </c>
      <c r="F2098">
        <f t="shared" si="131"/>
        <v>-56.498000000000005</v>
      </c>
      <c r="G2098">
        <v>282.68299999999999</v>
      </c>
      <c r="H2098">
        <v>5.5979999999999999</v>
      </c>
      <c r="I2098">
        <v>1.9810000000000001</v>
      </c>
      <c r="J2098">
        <v>8</v>
      </c>
      <c r="K2098">
        <v>68</v>
      </c>
      <c r="L2098">
        <v>34</v>
      </c>
      <c r="M2098" s="1">
        <v>9000000000</v>
      </c>
    </row>
    <row r="2099" spans="1:13" ht="15" customHeight="1">
      <c r="A2099" t="s">
        <v>27</v>
      </c>
      <c r="B2099">
        <f t="shared" si="128"/>
        <v>33.718347999999999</v>
      </c>
      <c r="C2099">
        <f t="shared" si="129"/>
        <v>-117.853889</v>
      </c>
      <c r="D2099">
        <f t="shared" si="130"/>
        <v>66</v>
      </c>
      <c r="E2099">
        <v>123.498</v>
      </c>
      <c r="F2099">
        <f t="shared" si="131"/>
        <v>-57.498000000000005</v>
      </c>
      <c r="G2099">
        <v>270.05</v>
      </c>
      <c r="H2099">
        <v>4.702</v>
      </c>
      <c r="I2099">
        <v>1.742</v>
      </c>
      <c r="J2099">
        <v>8</v>
      </c>
      <c r="K2099">
        <v>65</v>
      </c>
      <c r="L2099">
        <v>33</v>
      </c>
      <c r="M2099" s="1">
        <v>9000000000</v>
      </c>
    </row>
    <row r="2100" spans="1:13" ht="15" customHeight="1">
      <c r="A2100" t="s">
        <v>27</v>
      </c>
      <c r="B2100">
        <f t="shared" si="128"/>
        <v>33.718347999999999</v>
      </c>
      <c r="C2100">
        <f t="shared" si="129"/>
        <v>-117.853889</v>
      </c>
      <c r="D2100">
        <f t="shared" si="130"/>
        <v>66</v>
      </c>
      <c r="E2100">
        <v>124.498</v>
      </c>
      <c r="F2100">
        <f t="shared" si="131"/>
        <v>-58.498000000000005</v>
      </c>
      <c r="G2100">
        <v>250.11699999999999</v>
      </c>
      <c r="H2100">
        <v>4.2679999999999998</v>
      </c>
      <c r="I2100">
        <v>1.708</v>
      </c>
      <c r="J2100">
        <v>8</v>
      </c>
      <c r="K2100">
        <v>60</v>
      </c>
      <c r="L2100">
        <v>30</v>
      </c>
      <c r="M2100" s="1">
        <v>9000000000</v>
      </c>
    </row>
    <row r="2101" spans="1:13" ht="15" customHeight="1">
      <c r="A2101" t="s">
        <v>27</v>
      </c>
      <c r="B2101">
        <f t="shared" si="128"/>
        <v>33.718347999999999</v>
      </c>
      <c r="C2101">
        <f t="shared" si="129"/>
        <v>-117.853889</v>
      </c>
      <c r="D2101">
        <f t="shared" si="130"/>
        <v>66</v>
      </c>
      <c r="E2101">
        <v>125.498</v>
      </c>
      <c r="F2101">
        <f t="shared" si="131"/>
        <v>-59.498000000000005</v>
      </c>
      <c r="G2101">
        <v>61.728999999999999</v>
      </c>
      <c r="H2101">
        <v>3.0569999999999999</v>
      </c>
      <c r="I2101">
        <v>4.9649999999999999</v>
      </c>
      <c r="J2101">
        <v>4</v>
      </c>
      <c r="K2101">
        <v>39</v>
      </c>
      <c r="L2101">
        <v>20</v>
      </c>
      <c r="M2101">
        <v>3.5859999999999999</v>
      </c>
    </row>
    <row r="2102" spans="1:13" ht="15" customHeight="1">
      <c r="A2102" t="s">
        <v>27</v>
      </c>
      <c r="B2102">
        <f t="shared" si="128"/>
        <v>33.718347999999999</v>
      </c>
      <c r="C2102">
        <f t="shared" si="129"/>
        <v>-117.853889</v>
      </c>
      <c r="D2102">
        <f t="shared" si="130"/>
        <v>66</v>
      </c>
      <c r="E2102">
        <v>126.498</v>
      </c>
      <c r="F2102">
        <f t="shared" si="131"/>
        <v>-60.498000000000005</v>
      </c>
      <c r="G2102">
        <v>80.75</v>
      </c>
      <c r="H2102">
        <v>4.82</v>
      </c>
      <c r="I2102">
        <v>5.98</v>
      </c>
      <c r="J2102">
        <v>11</v>
      </c>
      <c r="K2102">
        <v>77</v>
      </c>
      <c r="L2102">
        <v>39</v>
      </c>
      <c r="M2102" s="1">
        <v>9000000000</v>
      </c>
    </row>
    <row r="2103" spans="1:13" ht="15" customHeight="1">
      <c r="A2103" t="s">
        <v>27</v>
      </c>
      <c r="B2103">
        <f t="shared" si="128"/>
        <v>33.718347999999999</v>
      </c>
      <c r="C2103">
        <f t="shared" si="129"/>
        <v>-117.853889</v>
      </c>
      <c r="D2103">
        <f t="shared" si="130"/>
        <v>66</v>
      </c>
      <c r="E2103">
        <v>127.498</v>
      </c>
      <c r="F2103">
        <f t="shared" si="131"/>
        <v>-61.498000000000005</v>
      </c>
      <c r="G2103">
        <v>171</v>
      </c>
      <c r="H2103">
        <v>6.0579999999999998</v>
      </c>
      <c r="I2103">
        <v>3.5459999999999998</v>
      </c>
      <c r="J2103">
        <v>12</v>
      </c>
      <c r="K2103">
        <v>82</v>
      </c>
      <c r="L2103">
        <v>41</v>
      </c>
      <c r="M2103" s="1">
        <v>9000000000</v>
      </c>
    </row>
    <row r="2104" spans="1:13" ht="15" customHeight="1">
      <c r="A2104" t="s">
        <v>27</v>
      </c>
      <c r="B2104">
        <f t="shared" si="128"/>
        <v>33.718347999999999</v>
      </c>
      <c r="C2104">
        <f t="shared" si="129"/>
        <v>-117.853889</v>
      </c>
      <c r="D2104">
        <f t="shared" si="130"/>
        <v>66</v>
      </c>
      <c r="E2104">
        <v>128.49799999999999</v>
      </c>
      <c r="F2104">
        <f t="shared" si="131"/>
        <v>-62.49799999999999</v>
      </c>
      <c r="G2104">
        <v>378.3</v>
      </c>
      <c r="H2104">
        <v>5.5279999999999996</v>
      </c>
      <c r="I2104">
        <v>1.462</v>
      </c>
      <c r="J2104">
        <v>9</v>
      </c>
      <c r="K2104">
        <v>72</v>
      </c>
      <c r="L2104">
        <v>36</v>
      </c>
      <c r="M2104" s="1">
        <v>9000000000</v>
      </c>
    </row>
    <row r="2105" spans="1:13" ht="15" customHeight="1">
      <c r="A2105" t="s">
        <v>27</v>
      </c>
      <c r="B2105">
        <f t="shared" si="128"/>
        <v>33.718347999999999</v>
      </c>
      <c r="C2105">
        <f t="shared" si="129"/>
        <v>-117.853889</v>
      </c>
      <c r="D2105">
        <f t="shared" si="130"/>
        <v>66</v>
      </c>
      <c r="E2105">
        <v>129.49799999999999</v>
      </c>
      <c r="F2105">
        <f t="shared" si="131"/>
        <v>-63.49799999999999</v>
      </c>
      <c r="G2105">
        <v>423.4</v>
      </c>
      <c r="H2105">
        <v>0</v>
      </c>
      <c r="I2105">
        <v>0</v>
      </c>
      <c r="J2105">
        <v>10</v>
      </c>
      <c r="K2105" s="1">
        <v>9000000000</v>
      </c>
      <c r="L2105" s="1">
        <v>9000000000</v>
      </c>
      <c r="M2105" s="1">
        <v>9000000000</v>
      </c>
    </row>
    <row r="2106" spans="1:13" ht="15" customHeight="1">
      <c r="A2106" t="s">
        <v>28</v>
      </c>
      <c r="B2106">
        <f t="shared" si="128"/>
        <v>33.718353</v>
      </c>
      <c r="C2106">
        <f t="shared" si="129"/>
        <v>-117.85274699999999</v>
      </c>
      <c r="D2106">
        <f t="shared" si="130"/>
        <v>67</v>
      </c>
      <c r="E2106">
        <v>0.5</v>
      </c>
      <c r="F2106">
        <f t="shared" si="131"/>
        <v>66.5</v>
      </c>
      <c r="G2106">
        <v>25.466999999999999</v>
      </c>
      <c r="H2106">
        <v>0.79300000000000004</v>
      </c>
      <c r="I2106">
        <v>3.1110000000000002</v>
      </c>
      <c r="J2106">
        <v>5</v>
      </c>
      <c r="K2106">
        <v>12</v>
      </c>
      <c r="L2106">
        <v>18</v>
      </c>
      <c r="M2106">
        <v>1.698</v>
      </c>
    </row>
    <row r="2107" spans="1:13" ht="15" customHeight="1">
      <c r="A2107" t="s">
        <v>28</v>
      </c>
      <c r="B2107">
        <f t="shared" si="128"/>
        <v>33.718353</v>
      </c>
      <c r="C2107">
        <f t="shared" si="129"/>
        <v>-117.85274699999999</v>
      </c>
      <c r="D2107">
        <f t="shared" si="130"/>
        <v>67</v>
      </c>
      <c r="E2107">
        <v>1.5</v>
      </c>
      <c r="F2107">
        <f t="shared" si="131"/>
        <v>65.5</v>
      </c>
      <c r="G2107">
        <v>102.65</v>
      </c>
      <c r="H2107">
        <v>1.4219999999999999</v>
      </c>
      <c r="I2107">
        <v>1.377</v>
      </c>
      <c r="J2107">
        <v>8</v>
      </c>
      <c r="K2107">
        <v>25</v>
      </c>
      <c r="L2107">
        <v>38</v>
      </c>
      <c r="M2107" s="1">
        <v>9000000000</v>
      </c>
    </row>
    <row r="2108" spans="1:13" ht="15" customHeight="1">
      <c r="A2108" t="s">
        <v>28</v>
      </c>
      <c r="B2108">
        <f t="shared" si="128"/>
        <v>33.718353</v>
      </c>
      <c r="C2108">
        <f t="shared" si="129"/>
        <v>-117.85274699999999</v>
      </c>
      <c r="D2108">
        <f t="shared" si="130"/>
        <v>67</v>
      </c>
      <c r="E2108">
        <v>2.5</v>
      </c>
      <c r="F2108">
        <f t="shared" si="131"/>
        <v>64.5</v>
      </c>
      <c r="G2108">
        <v>45.017000000000003</v>
      </c>
      <c r="H2108">
        <v>0.623</v>
      </c>
      <c r="I2108">
        <v>1.385</v>
      </c>
      <c r="J2108">
        <v>7</v>
      </c>
      <c r="K2108">
        <v>14</v>
      </c>
      <c r="L2108">
        <v>21</v>
      </c>
      <c r="M2108" s="1">
        <v>9000000000</v>
      </c>
    </row>
    <row r="2109" spans="1:13" ht="15" customHeight="1">
      <c r="A2109" t="s">
        <v>28</v>
      </c>
      <c r="B2109">
        <f t="shared" si="128"/>
        <v>33.718353</v>
      </c>
      <c r="C2109">
        <f t="shared" si="129"/>
        <v>-117.85274699999999</v>
      </c>
      <c r="D2109">
        <f t="shared" si="130"/>
        <v>67</v>
      </c>
      <c r="E2109">
        <v>3.5</v>
      </c>
      <c r="F2109">
        <f t="shared" si="131"/>
        <v>63.5</v>
      </c>
      <c r="G2109">
        <v>37.283000000000001</v>
      </c>
      <c r="H2109">
        <v>0.35299999999999998</v>
      </c>
      <c r="I2109">
        <v>0.94899999999999995</v>
      </c>
      <c r="J2109">
        <v>7</v>
      </c>
      <c r="K2109">
        <v>12</v>
      </c>
      <c r="L2109">
        <v>18</v>
      </c>
      <c r="M2109" s="1">
        <v>9000000000</v>
      </c>
    </row>
    <row r="2110" spans="1:13" ht="15" customHeight="1">
      <c r="A2110" t="s">
        <v>28</v>
      </c>
      <c r="B2110">
        <f t="shared" si="128"/>
        <v>33.718353</v>
      </c>
      <c r="C2110">
        <f t="shared" si="129"/>
        <v>-117.85274699999999</v>
      </c>
      <c r="D2110">
        <f t="shared" si="130"/>
        <v>67</v>
      </c>
      <c r="E2110">
        <v>4.5</v>
      </c>
      <c r="F2110">
        <f t="shared" si="131"/>
        <v>62.5</v>
      </c>
      <c r="G2110">
        <v>47.832999999999998</v>
      </c>
      <c r="H2110">
        <v>0.44</v>
      </c>
      <c r="I2110">
        <v>0.92100000000000004</v>
      </c>
      <c r="J2110">
        <v>7</v>
      </c>
      <c r="K2110">
        <v>15</v>
      </c>
      <c r="L2110">
        <v>23</v>
      </c>
      <c r="M2110" s="1">
        <v>9000000000</v>
      </c>
    </row>
    <row r="2111" spans="1:13" ht="15" customHeight="1">
      <c r="A2111" t="s">
        <v>28</v>
      </c>
      <c r="B2111">
        <f t="shared" si="128"/>
        <v>33.718353</v>
      </c>
      <c r="C2111">
        <f t="shared" si="129"/>
        <v>-117.85274699999999</v>
      </c>
      <c r="D2111">
        <f t="shared" si="130"/>
        <v>67</v>
      </c>
      <c r="E2111">
        <v>5.5</v>
      </c>
      <c r="F2111">
        <f t="shared" si="131"/>
        <v>61.5</v>
      </c>
      <c r="G2111">
        <v>34.417000000000002</v>
      </c>
      <c r="H2111">
        <v>0.34799999999999998</v>
      </c>
      <c r="I2111">
        <v>1.0129999999999999</v>
      </c>
      <c r="J2111">
        <v>7</v>
      </c>
      <c r="K2111">
        <v>11</v>
      </c>
      <c r="L2111">
        <v>17</v>
      </c>
      <c r="M2111" s="1">
        <v>9000000000</v>
      </c>
    </row>
    <row r="2112" spans="1:13" ht="15" customHeight="1">
      <c r="A2112" t="s">
        <v>28</v>
      </c>
      <c r="B2112">
        <f t="shared" si="128"/>
        <v>33.718353</v>
      </c>
      <c r="C2112">
        <f t="shared" si="129"/>
        <v>-117.85274699999999</v>
      </c>
      <c r="D2112">
        <f t="shared" si="130"/>
        <v>67</v>
      </c>
      <c r="E2112">
        <v>6.5</v>
      </c>
      <c r="F2112">
        <f t="shared" si="131"/>
        <v>60.5</v>
      </c>
      <c r="G2112">
        <v>37.450000000000003</v>
      </c>
      <c r="H2112">
        <v>0.42299999999999999</v>
      </c>
      <c r="I2112">
        <v>1.131</v>
      </c>
      <c r="J2112">
        <v>7</v>
      </c>
      <c r="K2112">
        <v>12</v>
      </c>
      <c r="L2112">
        <v>18</v>
      </c>
      <c r="M2112" s="1">
        <v>9000000000</v>
      </c>
    </row>
    <row r="2113" spans="1:13" ht="15" customHeight="1">
      <c r="A2113" t="s">
        <v>28</v>
      </c>
      <c r="B2113">
        <f t="shared" si="128"/>
        <v>33.718353</v>
      </c>
      <c r="C2113">
        <f t="shared" si="129"/>
        <v>-117.85274699999999</v>
      </c>
      <c r="D2113">
        <f t="shared" si="130"/>
        <v>67</v>
      </c>
      <c r="E2113">
        <v>7.5</v>
      </c>
      <c r="F2113">
        <f t="shared" si="131"/>
        <v>59.5</v>
      </c>
      <c r="G2113">
        <v>23.233000000000001</v>
      </c>
      <c r="H2113">
        <v>0.53200000000000003</v>
      </c>
      <c r="I2113">
        <v>2.29</v>
      </c>
      <c r="J2113">
        <v>6</v>
      </c>
      <c r="K2113">
        <v>9</v>
      </c>
      <c r="L2113">
        <v>14</v>
      </c>
      <c r="M2113">
        <v>1.5169999999999999</v>
      </c>
    </row>
    <row r="2114" spans="1:13" ht="15" customHeight="1">
      <c r="A2114" t="s">
        <v>28</v>
      </c>
      <c r="B2114">
        <f t="shared" ref="B2114:B2177" si="132">VLOOKUP(A2114,XYdata,3,FALSE)</f>
        <v>33.718353</v>
      </c>
      <c r="C2114">
        <f t="shared" ref="C2114:C2177" si="133">VLOOKUP(A2114,XYdata,2,FALSE)</f>
        <v>-117.85274699999999</v>
      </c>
      <c r="D2114">
        <f t="shared" ref="D2114:D2177" si="134">VLOOKUP(A2114,Elevation,2,FALSE)</f>
        <v>67</v>
      </c>
      <c r="E2114">
        <v>8.5</v>
      </c>
      <c r="F2114">
        <f t="shared" si="131"/>
        <v>58.5</v>
      </c>
      <c r="G2114">
        <v>11.333</v>
      </c>
      <c r="H2114">
        <v>0.308</v>
      </c>
      <c r="I2114">
        <v>2.7170000000000001</v>
      </c>
      <c r="J2114">
        <v>4</v>
      </c>
      <c r="K2114">
        <v>7</v>
      </c>
      <c r="L2114">
        <v>11</v>
      </c>
      <c r="M2114">
        <v>0.72199999999999998</v>
      </c>
    </row>
    <row r="2115" spans="1:13" ht="15" customHeight="1">
      <c r="A2115" t="s">
        <v>28</v>
      </c>
      <c r="B2115">
        <f t="shared" si="132"/>
        <v>33.718353</v>
      </c>
      <c r="C2115">
        <f t="shared" si="133"/>
        <v>-117.85274699999999</v>
      </c>
      <c r="D2115">
        <f t="shared" si="134"/>
        <v>67</v>
      </c>
      <c r="E2115">
        <v>9.5</v>
      </c>
      <c r="F2115">
        <f t="shared" ref="F2115:F2178" si="135">D2115-E2115</f>
        <v>57.5</v>
      </c>
      <c r="G2115">
        <v>26.167000000000002</v>
      </c>
      <c r="H2115">
        <v>0.78800000000000003</v>
      </c>
      <c r="I2115">
        <v>2.9940000000000002</v>
      </c>
      <c r="J2115">
        <v>5</v>
      </c>
      <c r="K2115">
        <v>13</v>
      </c>
      <c r="L2115">
        <v>20</v>
      </c>
      <c r="M2115">
        <v>1.7170000000000001</v>
      </c>
    </row>
    <row r="2116" spans="1:13" ht="15" customHeight="1">
      <c r="A2116" t="s">
        <v>28</v>
      </c>
      <c r="B2116">
        <f t="shared" si="132"/>
        <v>33.718353</v>
      </c>
      <c r="C2116">
        <f t="shared" si="133"/>
        <v>-117.85274699999999</v>
      </c>
      <c r="D2116">
        <f t="shared" si="134"/>
        <v>67</v>
      </c>
      <c r="E2116">
        <v>10.5</v>
      </c>
      <c r="F2116">
        <f t="shared" si="135"/>
        <v>56.5</v>
      </c>
      <c r="G2116">
        <v>31.843</v>
      </c>
      <c r="H2116">
        <v>1.2889999999999999</v>
      </c>
      <c r="I2116">
        <v>4.0270000000000001</v>
      </c>
      <c r="J2116">
        <v>4</v>
      </c>
      <c r="K2116">
        <v>20</v>
      </c>
      <c r="L2116">
        <v>28</v>
      </c>
      <c r="M2116">
        <v>2.0910000000000002</v>
      </c>
    </row>
    <row r="2117" spans="1:13" ht="15" customHeight="1">
      <c r="A2117" t="s">
        <v>28</v>
      </c>
      <c r="B2117">
        <f t="shared" si="132"/>
        <v>33.718353</v>
      </c>
      <c r="C2117">
        <f t="shared" si="133"/>
        <v>-117.85274699999999</v>
      </c>
      <c r="D2117">
        <f t="shared" si="134"/>
        <v>67</v>
      </c>
      <c r="E2117">
        <v>11.5</v>
      </c>
      <c r="F2117">
        <f t="shared" si="135"/>
        <v>55.5</v>
      </c>
      <c r="G2117">
        <v>19.983000000000001</v>
      </c>
      <c r="H2117">
        <v>0.81799999999999995</v>
      </c>
      <c r="I2117">
        <v>4.0810000000000004</v>
      </c>
      <c r="J2117">
        <v>4</v>
      </c>
      <c r="K2117">
        <v>13</v>
      </c>
      <c r="L2117">
        <v>17</v>
      </c>
      <c r="M2117">
        <v>1.29</v>
      </c>
    </row>
    <row r="2118" spans="1:13" ht="15" customHeight="1">
      <c r="A2118" t="s">
        <v>28</v>
      </c>
      <c r="B2118">
        <f t="shared" si="132"/>
        <v>33.718353</v>
      </c>
      <c r="C2118">
        <f t="shared" si="133"/>
        <v>-117.85274699999999</v>
      </c>
      <c r="D2118">
        <f t="shared" si="134"/>
        <v>67</v>
      </c>
      <c r="E2118">
        <v>12.5</v>
      </c>
      <c r="F2118">
        <f t="shared" si="135"/>
        <v>54.5</v>
      </c>
      <c r="G2118">
        <v>6.0830000000000002</v>
      </c>
      <c r="H2118">
        <v>0.26800000000000002</v>
      </c>
      <c r="I2118">
        <v>4.423</v>
      </c>
      <c r="J2118">
        <v>3</v>
      </c>
      <c r="K2118">
        <v>6</v>
      </c>
      <c r="L2118">
        <v>7</v>
      </c>
      <c r="M2118">
        <v>0.35399999999999998</v>
      </c>
    </row>
    <row r="2119" spans="1:13" ht="15" customHeight="1">
      <c r="A2119" t="s">
        <v>28</v>
      </c>
      <c r="B2119">
        <f t="shared" si="132"/>
        <v>33.718353</v>
      </c>
      <c r="C2119">
        <f t="shared" si="133"/>
        <v>-117.85274699999999</v>
      </c>
      <c r="D2119">
        <f t="shared" si="134"/>
        <v>67</v>
      </c>
      <c r="E2119">
        <v>13.5</v>
      </c>
      <c r="F2119">
        <f t="shared" si="135"/>
        <v>53.5</v>
      </c>
      <c r="G2119">
        <v>4.5670000000000002</v>
      </c>
      <c r="H2119">
        <v>0.10199999999999999</v>
      </c>
      <c r="I2119">
        <v>2.202</v>
      </c>
      <c r="J2119">
        <v>3</v>
      </c>
      <c r="K2119">
        <v>4</v>
      </c>
      <c r="L2119">
        <v>5</v>
      </c>
      <c r="M2119">
        <v>0.253</v>
      </c>
    </row>
    <row r="2120" spans="1:13" ht="15" customHeight="1">
      <c r="A2120" t="s">
        <v>28</v>
      </c>
      <c r="B2120">
        <f t="shared" si="132"/>
        <v>33.718353</v>
      </c>
      <c r="C2120">
        <f t="shared" si="133"/>
        <v>-117.85274699999999</v>
      </c>
      <c r="D2120">
        <f t="shared" si="134"/>
        <v>67</v>
      </c>
      <c r="E2120">
        <v>14.5</v>
      </c>
      <c r="F2120">
        <f t="shared" si="135"/>
        <v>52.5</v>
      </c>
      <c r="G2120">
        <v>5.4329999999999998</v>
      </c>
      <c r="H2120">
        <v>0.17499999999999999</v>
      </c>
      <c r="I2120">
        <v>3.1629999999999998</v>
      </c>
      <c r="J2120">
        <v>3</v>
      </c>
      <c r="K2120">
        <v>5</v>
      </c>
      <c r="L2120">
        <v>6</v>
      </c>
      <c r="M2120">
        <v>0.31</v>
      </c>
    </row>
    <row r="2121" spans="1:13" ht="15" customHeight="1">
      <c r="A2121" t="s">
        <v>28</v>
      </c>
      <c r="B2121">
        <f t="shared" si="132"/>
        <v>33.718353</v>
      </c>
      <c r="C2121">
        <f t="shared" si="133"/>
        <v>-117.85274699999999</v>
      </c>
      <c r="D2121">
        <f t="shared" si="134"/>
        <v>67</v>
      </c>
      <c r="E2121">
        <v>15.5</v>
      </c>
      <c r="F2121">
        <f t="shared" si="135"/>
        <v>51.5</v>
      </c>
      <c r="G2121">
        <v>7.9669999999999996</v>
      </c>
      <c r="H2121">
        <v>0.313</v>
      </c>
      <c r="I2121">
        <v>3.8519999999999999</v>
      </c>
      <c r="J2121">
        <v>3</v>
      </c>
      <c r="K2121">
        <v>8</v>
      </c>
      <c r="L2121">
        <v>8</v>
      </c>
      <c r="M2121">
        <v>0.47899999999999998</v>
      </c>
    </row>
    <row r="2122" spans="1:13" ht="15" customHeight="1">
      <c r="A2122" t="s">
        <v>28</v>
      </c>
      <c r="B2122">
        <f t="shared" si="132"/>
        <v>33.718353</v>
      </c>
      <c r="C2122">
        <f t="shared" si="133"/>
        <v>-117.85274699999999</v>
      </c>
      <c r="D2122">
        <f t="shared" si="134"/>
        <v>67</v>
      </c>
      <c r="E2122">
        <v>16.5</v>
      </c>
      <c r="F2122">
        <f t="shared" si="135"/>
        <v>50.5</v>
      </c>
      <c r="G2122">
        <v>9.5329999999999995</v>
      </c>
      <c r="H2122">
        <v>0.35799999999999998</v>
      </c>
      <c r="I2122">
        <v>3.7010000000000001</v>
      </c>
      <c r="J2122">
        <v>3</v>
      </c>
      <c r="K2122">
        <v>9</v>
      </c>
      <c r="L2122">
        <v>9</v>
      </c>
      <c r="M2122">
        <v>0.57899999999999996</v>
      </c>
    </row>
    <row r="2123" spans="1:13" ht="15" customHeight="1">
      <c r="A2123" t="s">
        <v>28</v>
      </c>
      <c r="B2123">
        <f t="shared" si="132"/>
        <v>33.718353</v>
      </c>
      <c r="C2123">
        <f t="shared" si="133"/>
        <v>-117.85274699999999</v>
      </c>
      <c r="D2123">
        <f t="shared" si="134"/>
        <v>67</v>
      </c>
      <c r="E2123">
        <v>17.5</v>
      </c>
      <c r="F2123">
        <f t="shared" si="135"/>
        <v>49.5</v>
      </c>
      <c r="G2123">
        <v>6.1669999999999998</v>
      </c>
      <c r="H2123">
        <v>0.16200000000000001</v>
      </c>
      <c r="I2123">
        <v>2.5590000000000002</v>
      </c>
      <c r="J2123">
        <v>4</v>
      </c>
      <c r="K2123">
        <v>4</v>
      </c>
      <c r="L2123">
        <v>4</v>
      </c>
      <c r="M2123">
        <v>0.35</v>
      </c>
    </row>
    <row r="2124" spans="1:13" ht="15" customHeight="1">
      <c r="A2124" t="s">
        <v>28</v>
      </c>
      <c r="B2124">
        <f t="shared" si="132"/>
        <v>33.718353</v>
      </c>
      <c r="C2124">
        <f t="shared" si="133"/>
        <v>-117.85274699999999</v>
      </c>
      <c r="D2124">
        <f t="shared" si="134"/>
        <v>67</v>
      </c>
      <c r="E2124">
        <v>18.5</v>
      </c>
      <c r="F2124">
        <f t="shared" si="135"/>
        <v>48.5</v>
      </c>
      <c r="G2124">
        <v>9.3000000000000007</v>
      </c>
      <c r="H2124">
        <v>0.252</v>
      </c>
      <c r="I2124">
        <v>2.6440000000000001</v>
      </c>
      <c r="J2124">
        <v>4</v>
      </c>
      <c r="K2124">
        <v>6</v>
      </c>
      <c r="L2124">
        <v>5</v>
      </c>
      <c r="M2124">
        <v>0.56000000000000005</v>
      </c>
    </row>
    <row r="2125" spans="1:13" ht="15" customHeight="1">
      <c r="A2125" t="s">
        <v>28</v>
      </c>
      <c r="B2125">
        <f t="shared" si="132"/>
        <v>33.718353</v>
      </c>
      <c r="C2125">
        <f t="shared" si="133"/>
        <v>-117.85274699999999</v>
      </c>
      <c r="D2125">
        <f t="shared" si="134"/>
        <v>67</v>
      </c>
      <c r="E2125">
        <v>19.5</v>
      </c>
      <c r="F2125">
        <f t="shared" si="135"/>
        <v>47.5</v>
      </c>
      <c r="G2125">
        <v>10.8</v>
      </c>
      <c r="H2125">
        <v>0.36699999999999999</v>
      </c>
      <c r="I2125">
        <v>3.3029999999999999</v>
      </c>
      <c r="J2125">
        <v>4</v>
      </c>
      <c r="K2125">
        <v>7</v>
      </c>
      <c r="L2125">
        <v>6</v>
      </c>
      <c r="M2125">
        <v>0.66100000000000003</v>
      </c>
    </row>
    <row r="2126" spans="1:13" ht="15" customHeight="1">
      <c r="A2126" t="s">
        <v>28</v>
      </c>
      <c r="B2126">
        <f t="shared" si="132"/>
        <v>33.718353</v>
      </c>
      <c r="C2126">
        <f t="shared" si="133"/>
        <v>-117.85274699999999</v>
      </c>
      <c r="D2126">
        <f t="shared" si="134"/>
        <v>67</v>
      </c>
      <c r="E2126">
        <v>20.5</v>
      </c>
      <c r="F2126">
        <f t="shared" si="135"/>
        <v>46.5</v>
      </c>
      <c r="G2126">
        <v>10.186</v>
      </c>
      <c r="H2126">
        <v>0.33100000000000002</v>
      </c>
      <c r="I2126">
        <v>3.1779999999999999</v>
      </c>
      <c r="J2126">
        <v>4</v>
      </c>
      <c r="K2126">
        <v>7</v>
      </c>
      <c r="L2126">
        <v>6</v>
      </c>
      <c r="M2126">
        <v>0.61199999999999999</v>
      </c>
    </row>
    <row r="2127" spans="1:13" ht="15" customHeight="1">
      <c r="A2127" t="s">
        <v>28</v>
      </c>
      <c r="B2127">
        <f t="shared" si="132"/>
        <v>33.718353</v>
      </c>
      <c r="C2127">
        <f t="shared" si="133"/>
        <v>-117.85274699999999</v>
      </c>
      <c r="D2127">
        <f t="shared" si="134"/>
        <v>67</v>
      </c>
      <c r="E2127">
        <v>21.5</v>
      </c>
      <c r="F2127">
        <f t="shared" si="135"/>
        <v>45.5</v>
      </c>
      <c r="G2127">
        <v>8.8829999999999991</v>
      </c>
      <c r="H2127">
        <v>0.23799999999999999</v>
      </c>
      <c r="I2127">
        <v>2.6190000000000002</v>
      </c>
      <c r="J2127">
        <v>4</v>
      </c>
      <c r="K2127">
        <v>6</v>
      </c>
      <c r="L2127">
        <v>5</v>
      </c>
      <c r="M2127">
        <v>0.52</v>
      </c>
    </row>
    <row r="2128" spans="1:13" ht="15" customHeight="1">
      <c r="A2128" t="s">
        <v>28</v>
      </c>
      <c r="B2128">
        <f t="shared" si="132"/>
        <v>33.718353</v>
      </c>
      <c r="C2128">
        <f t="shared" si="133"/>
        <v>-117.85274699999999</v>
      </c>
      <c r="D2128">
        <f t="shared" si="134"/>
        <v>67</v>
      </c>
      <c r="E2128">
        <v>22.5</v>
      </c>
      <c r="F2128">
        <f t="shared" si="135"/>
        <v>44.5</v>
      </c>
      <c r="G2128">
        <v>9.6329999999999991</v>
      </c>
      <c r="H2128">
        <v>0.313</v>
      </c>
      <c r="I2128">
        <v>3.1859999999999999</v>
      </c>
      <c r="J2128">
        <v>4</v>
      </c>
      <c r="K2128">
        <v>6</v>
      </c>
      <c r="L2128">
        <v>5</v>
      </c>
      <c r="M2128">
        <v>0.56499999999999995</v>
      </c>
    </row>
    <row r="2129" spans="1:13" ht="15" customHeight="1">
      <c r="A2129" t="s">
        <v>28</v>
      </c>
      <c r="B2129">
        <f t="shared" si="132"/>
        <v>33.718353</v>
      </c>
      <c r="C2129">
        <f t="shared" si="133"/>
        <v>-117.85274699999999</v>
      </c>
      <c r="D2129">
        <f t="shared" si="134"/>
        <v>67</v>
      </c>
      <c r="E2129">
        <v>23.5</v>
      </c>
      <c r="F2129">
        <f t="shared" si="135"/>
        <v>43.5</v>
      </c>
      <c r="G2129">
        <v>20.85</v>
      </c>
      <c r="H2129">
        <v>0.23799999999999999</v>
      </c>
      <c r="I2129">
        <v>1.135</v>
      </c>
      <c r="J2129">
        <v>6</v>
      </c>
      <c r="K2129">
        <v>8</v>
      </c>
      <c r="L2129">
        <v>6</v>
      </c>
      <c r="M2129">
        <v>1.3049999999999999</v>
      </c>
    </row>
    <row r="2130" spans="1:13" ht="15" customHeight="1">
      <c r="A2130" t="s">
        <v>28</v>
      </c>
      <c r="B2130">
        <f t="shared" si="132"/>
        <v>33.718353</v>
      </c>
      <c r="C2130">
        <f t="shared" si="133"/>
        <v>-117.85274699999999</v>
      </c>
      <c r="D2130">
        <f t="shared" si="134"/>
        <v>67</v>
      </c>
      <c r="E2130">
        <v>24.5</v>
      </c>
      <c r="F2130">
        <f t="shared" si="135"/>
        <v>42.5</v>
      </c>
      <c r="G2130">
        <v>39.116999999999997</v>
      </c>
      <c r="H2130">
        <v>0.56699999999999995</v>
      </c>
      <c r="I2130">
        <v>1.4530000000000001</v>
      </c>
      <c r="J2130">
        <v>7</v>
      </c>
      <c r="K2130">
        <v>12</v>
      </c>
      <c r="L2130">
        <v>9</v>
      </c>
      <c r="M2130" s="1">
        <v>9000000000</v>
      </c>
    </row>
    <row r="2131" spans="1:13" ht="15" customHeight="1">
      <c r="A2131" t="s">
        <v>28</v>
      </c>
      <c r="B2131">
        <f t="shared" si="132"/>
        <v>33.718353</v>
      </c>
      <c r="C2131">
        <f t="shared" si="133"/>
        <v>-117.85274699999999</v>
      </c>
      <c r="D2131">
        <f t="shared" si="134"/>
        <v>67</v>
      </c>
      <c r="E2131">
        <v>25.5</v>
      </c>
      <c r="F2131">
        <f t="shared" si="135"/>
        <v>41.5</v>
      </c>
      <c r="G2131">
        <v>10.217000000000001</v>
      </c>
      <c r="H2131">
        <v>0.36</v>
      </c>
      <c r="I2131">
        <v>3.5529999999999999</v>
      </c>
      <c r="J2131">
        <v>3</v>
      </c>
      <c r="K2131">
        <v>10</v>
      </c>
      <c r="L2131">
        <v>7</v>
      </c>
      <c r="M2131">
        <v>0.57299999999999995</v>
      </c>
    </row>
    <row r="2132" spans="1:13" ht="15" customHeight="1">
      <c r="A2132" t="s">
        <v>28</v>
      </c>
      <c r="B2132">
        <f t="shared" si="132"/>
        <v>33.718353</v>
      </c>
      <c r="C2132">
        <f t="shared" si="133"/>
        <v>-117.85274699999999</v>
      </c>
      <c r="D2132">
        <f t="shared" si="134"/>
        <v>67</v>
      </c>
      <c r="E2132">
        <v>26.5</v>
      </c>
      <c r="F2132">
        <f t="shared" si="135"/>
        <v>40.5</v>
      </c>
      <c r="G2132">
        <v>11.1</v>
      </c>
      <c r="H2132">
        <v>0.35499999999999998</v>
      </c>
      <c r="I2132">
        <v>3.2130000000000001</v>
      </c>
      <c r="J2132">
        <v>4</v>
      </c>
      <c r="K2132">
        <v>7</v>
      </c>
      <c r="L2132">
        <v>5</v>
      </c>
      <c r="M2132">
        <v>0.63</v>
      </c>
    </row>
    <row r="2133" spans="1:13" ht="15" customHeight="1">
      <c r="A2133" t="s">
        <v>28</v>
      </c>
      <c r="B2133">
        <f t="shared" si="132"/>
        <v>33.718353</v>
      </c>
      <c r="C2133">
        <f t="shared" si="133"/>
        <v>-117.85274699999999</v>
      </c>
      <c r="D2133">
        <f t="shared" si="134"/>
        <v>67</v>
      </c>
      <c r="E2133">
        <v>27.5</v>
      </c>
      <c r="F2133">
        <f t="shared" si="135"/>
        <v>39.5</v>
      </c>
      <c r="G2133">
        <v>15</v>
      </c>
      <c r="H2133">
        <v>0.622</v>
      </c>
      <c r="I2133">
        <v>4.1630000000000003</v>
      </c>
      <c r="J2133">
        <v>3</v>
      </c>
      <c r="K2133">
        <v>14</v>
      </c>
      <c r="L2133">
        <v>10</v>
      </c>
      <c r="M2133">
        <v>0.88400000000000001</v>
      </c>
    </row>
    <row r="2134" spans="1:13" ht="15" customHeight="1">
      <c r="A2134" t="s">
        <v>28</v>
      </c>
      <c r="B2134">
        <f t="shared" si="132"/>
        <v>33.718353</v>
      </c>
      <c r="C2134">
        <f t="shared" si="133"/>
        <v>-117.85274699999999</v>
      </c>
      <c r="D2134">
        <f t="shared" si="134"/>
        <v>67</v>
      </c>
      <c r="E2134">
        <v>28.5</v>
      </c>
      <c r="F2134">
        <f t="shared" si="135"/>
        <v>38.5</v>
      </c>
      <c r="G2134">
        <v>8.9169999999999998</v>
      </c>
      <c r="H2134">
        <v>0.245</v>
      </c>
      <c r="I2134">
        <v>2.7530000000000001</v>
      </c>
      <c r="J2134">
        <v>4</v>
      </c>
      <c r="K2134">
        <v>6</v>
      </c>
      <c r="L2134">
        <v>4</v>
      </c>
      <c r="M2134">
        <v>0.47799999999999998</v>
      </c>
    </row>
    <row r="2135" spans="1:13" ht="15" customHeight="1">
      <c r="A2135" t="s">
        <v>28</v>
      </c>
      <c r="B2135">
        <f t="shared" si="132"/>
        <v>33.718353</v>
      </c>
      <c r="C2135">
        <f t="shared" si="133"/>
        <v>-117.85274699999999</v>
      </c>
      <c r="D2135">
        <f t="shared" si="134"/>
        <v>67</v>
      </c>
      <c r="E2135">
        <v>29.5</v>
      </c>
      <c r="F2135">
        <f t="shared" si="135"/>
        <v>37.5</v>
      </c>
      <c r="G2135">
        <v>10.032999999999999</v>
      </c>
      <c r="H2135">
        <v>0.27800000000000002</v>
      </c>
      <c r="I2135">
        <v>2.7690000000000001</v>
      </c>
      <c r="J2135">
        <v>4</v>
      </c>
      <c r="K2135">
        <v>6</v>
      </c>
      <c r="L2135">
        <v>4</v>
      </c>
      <c r="M2135">
        <v>0.55100000000000005</v>
      </c>
    </row>
    <row r="2136" spans="1:13" ht="15" customHeight="1">
      <c r="A2136" t="s">
        <v>28</v>
      </c>
      <c r="B2136">
        <f t="shared" si="132"/>
        <v>33.718353</v>
      </c>
      <c r="C2136">
        <f t="shared" si="133"/>
        <v>-117.85274699999999</v>
      </c>
      <c r="D2136">
        <f t="shared" si="134"/>
        <v>67</v>
      </c>
      <c r="E2136">
        <v>30.5</v>
      </c>
      <c r="F2136">
        <f t="shared" si="135"/>
        <v>36.5</v>
      </c>
      <c r="G2136">
        <v>10.717000000000001</v>
      </c>
      <c r="H2136">
        <v>0.26</v>
      </c>
      <c r="I2136">
        <v>2.407</v>
      </c>
      <c r="J2136">
        <v>5</v>
      </c>
      <c r="K2136">
        <v>5</v>
      </c>
      <c r="L2136">
        <v>3</v>
      </c>
      <c r="M2136">
        <v>0.59699999999999998</v>
      </c>
    </row>
    <row r="2137" spans="1:13" ht="15" customHeight="1">
      <c r="A2137" t="s">
        <v>28</v>
      </c>
      <c r="B2137">
        <f t="shared" si="132"/>
        <v>33.718353</v>
      </c>
      <c r="C2137">
        <f t="shared" si="133"/>
        <v>-117.85274699999999</v>
      </c>
      <c r="D2137">
        <f t="shared" si="134"/>
        <v>67</v>
      </c>
      <c r="E2137">
        <v>31.5</v>
      </c>
      <c r="F2137">
        <f t="shared" si="135"/>
        <v>35.5</v>
      </c>
      <c r="G2137">
        <v>14.157</v>
      </c>
      <c r="H2137">
        <v>0.36899999999999999</v>
      </c>
      <c r="I2137">
        <v>2.5169999999999999</v>
      </c>
      <c r="J2137">
        <v>5</v>
      </c>
      <c r="K2137">
        <v>7</v>
      </c>
      <c r="L2137">
        <v>5</v>
      </c>
      <c r="M2137">
        <v>0.84899999999999998</v>
      </c>
    </row>
    <row r="2138" spans="1:13" ht="15" customHeight="1">
      <c r="A2138" t="s">
        <v>28</v>
      </c>
      <c r="B2138">
        <f t="shared" si="132"/>
        <v>33.718353</v>
      </c>
      <c r="C2138">
        <f t="shared" si="133"/>
        <v>-117.85274699999999</v>
      </c>
      <c r="D2138">
        <f t="shared" si="134"/>
        <v>67</v>
      </c>
      <c r="E2138">
        <v>32.5</v>
      </c>
      <c r="F2138">
        <f t="shared" si="135"/>
        <v>34.5</v>
      </c>
      <c r="G2138">
        <v>45.082999999999998</v>
      </c>
      <c r="H2138">
        <v>2.16</v>
      </c>
      <c r="I2138">
        <v>4.7839999999999998</v>
      </c>
      <c r="J2138">
        <v>4</v>
      </c>
      <c r="K2138">
        <v>29</v>
      </c>
      <c r="L2138">
        <v>19</v>
      </c>
      <c r="M2138">
        <v>2.879</v>
      </c>
    </row>
    <row r="2139" spans="1:13" ht="15" customHeight="1">
      <c r="A2139" t="s">
        <v>28</v>
      </c>
      <c r="B2139">
        <f t="shared" si="132"/>
        <v>33.718353</v>
      </c>
      <c r="C2139">
        <f t="shared" si="133"/>
        <v>-117.85274699999999</v>
      </c>
      <c r="D2139">
        <f t="shared" si="134"/>
        <v>67</v>
      </c>
      <c r="E2139">
        <v>33.5</v>
      </c>
      <c r="F2139">
        <f t="shared" si="135"/>
        <v>33.5</v>
      </c>
      <c r="G2139">
        <v>22.632999999999999</v>
      </c>
      <c r="H2139">
        <v>1.258</v>
      </c>
      <c r="I2139">
        <v>5.5720000000000001</v>
      </c>
      <c r="J2139">
        <v>3</v>
      </c>
      <c r="K2139">
        <v>22</v>
      </c>
      <c r="L2139">
        <v>14</v>
      </c>
      <c r="M2139">
        <v>1.37</v>
      </c>
    </row>
    <row r="2140" spans="1:13" ht="15" customHeight="1">
      <c r="A2140" t="s">
        <v>28</v>
      </c>
      <c r="B2140">
        <f t="shared" si="132"/>
        <v>33.718353</v>
      </c>
      <c r="C2140">
        <f t="shared" si="133"/>
        <v>-117.85274699999999</v>
      </c>
      <c r="D2140">
        <f t="shared" si="134"/>
        <v>67</v>
      </c>
      <c r="E2140">
        <v>34.5</v>
      </c>
      <c r="F2140">
        <f t="shared" si="135"/>
        <v>32.5</v>
      </c>
      <c r="G2140">
        <v>24.3</v>
      </c>
      <c r="H2140">
        <v>1.302</v>
      </c>
      <c r="I2140">
        <v>5.3789999999999996</v>
      </c>
      <c r="J2140">
        <v>3</v>
      </c>
      <c r="K2140">
        <v>23</v>
      </c>
      <c r="L2140">
        <v>15</v>
      </c>
      <c r="M2140">
        <v>1.474</v>
      </c>
    </row>
    <row r="2141" spans="1:13" ht="15" customHeight="1">
      <c r="A2141" t="s">
        <v>28</v>
      </c>
      <c r="B2141">
        <f t="shared" si="132"/>
        <v>33.718353</v>
      </c>
      <c r="C2141">
        <f t="shared" si="133"/>
        <v>-117.85274699999999</v>
      </c>
      <c r="D2141">
        <f t="shared" si="134"/>
        <v>67</v>
      </c>
      <c r="E2141">
        <v>35.5</v>
      </c>
      <c r="F2141">
        <f t="shared" si="135"/>
        <v>31.5</v>
      </c>
      <c r="G2141">
        <v>19.817</v>
      </c>
      <c r="H2141">
        <v>0.92700000000000005</v>
      </c>
      <c r="I2141">
        <v>4.6879999999999997</v>
      </c>
      <c r="J2141">
        <v>3</v>
      </c>
      <c r="K2141">
        <v>19</v>
      </c>
      <c r="L2141">
        <v>12</v>
      </c>
      <c r="M2141">
        <v>1.1739999999999999</v>
      </c>
    </row>
    <row r="2142" spans="1:13" ht="15" customHeight="1">
      <c r="A2142" t="s">
        <v>28</v>
      </c>
      <c r="B2142">
        <f t="shared" si="132"/>
        <v>33.718353</v>
      </c>
      <c r="C2142">
        <f t="shared" si="133"/>
        <v>-117.85274699999999</v>
      </c>
      <c r="D2142">
        <f t="shared" si="134"/>
        <v>67</v>
      </c>
      <c r="E2142">
        <v>36.5</v>
      </c>
      <c r="F2142">
        <f t="shared" si="135"/>
        <v>30.5</v>
      </c>
      <c r="G2142">
        <v>12.867000000000001</v>
      </c>
      <c r="H2142">
        <v>0.47699999999999998</v>
      </c>
      <c r="I2142">
        <v>3.714</v>
      </c>
      <c r="J2142">
        <v>4</v>
      </c>
      <c r="K2142">
        <v>8</v>
      </c>
      <c r="L2142">
        <v>5</v>
      </c>
      <c r="M2142">
        <v>0.70799999999999996</v>
      </c>
    </row>
    <row r="2143" spans="1:13" ht="15" customHeight="1">
      <c r="A2143" t="s">
        <v>28</v>
      </c>
      <c r="B2143">
        <f t="shared" si="132"/>
        <v>33.718353</v>
      </c>
      <c r="C2143">
        <f t="shared" si="133"/>
        <v>-117.85274699999999</v>
      </c>
      <c r="D2143">
        <f t="shared" si="134"/>
        <v>67</v>
      </c>
      <c r="E2143">
        <v>37.5</v>
      </c>
      <c r="F2143">
        <f t="shared" si="135"/>
        <v>29.5</v>
      </c>
      <c r="G2143">
        <v>11.95</v>
      </c>
      <c r="H2143">
        <v>0.33800000000000002</v>
      </c>
      <c r="I2143">
        <v>2.835</v>
      </c>
      <c r="J2143">
        <v>4</v>
      </c>
      <c r="K2143">
        <v>8</v>
      </c>
      <c r="L2143">
        <v>5</v>
      </c>
      <c r="M2143">
        <v>0.64400000000000002</v>
      </c>
    </row>
    <row r="2144" spans="1:13" ht="15" customHeight="1">
      <c r="A2144" t="s">
        <v>28</v>
      </c>
      <c r="B2144">
        <f t="shared" si="132"/>
        <v>33.718353</v>
      </c>
      <c r="C2144">
        <f t="shared" si="133"/>
        <v>-117.85274699999999</v>
      </c>
      <c r="D2144">
        <f t="shared" si="134"/>
        <v>67</v>
      </c>
      <c r="E2144">
        <v>38.5</v>
      </c>
      <c r="F2144">
        <f t="shared" si="135"/>
        <v>28.5</v>
      </c>
      <c r="G2144">
        <v>13.35</v>
      </c>
      <c r="H2144">
        <v>0.23</v>
      </c>
      <c r="I2144">
        <v>1.7230000000000001</v>
      </c>
      <c r="J2144">
        <v>5</v>
      </c>
      <c r="K2144">
        <v>6</v>
      </c>
      <c r="L2144">
        <v>4</v>
      </c>
      <c r="M2144">
        <v>0.73399999999999999</v>
      </c>
    </row>
    <row r="2145" spans="1:13" ht="15" customHeight="1">
      <c r="A2145" t="s">
        <v>28</v>
      </c>
      <c r="B2145">
        <f t="shared" si="132"/>
        <v>33.718353</v>
      </c>
      <c r="C2145">
        <f t="shared" si="133"/>
        <v>-117.85274699999999</v>
      </c>
      <c r="D2145">
        <f t="shared" si="134"/>
        <v>67</v>
      </c>
      <c r="E2145">
        <v>39.5</v>
      </c>
      <c r="F2145">
        <f t="shared" si="135"/>
        <v>27.5</v>
      </c>
      <c r="G2145">
        <v>52.85</v>
      </c>
      <c r="H2145">
        <v>1.5029999999999999</v>
      </c>
      <c r="I2145">
        <v>2.806</v>
      </c>
      <c r="J2145">
        <v>6</v>
      </c>
      <c r="K2145">
        <v>21</v>
      </c>
      <c r="L2145">
        <v>13</v>
      </c>
      <c r="M2145">
        <v>3.4119999999999999</v>
      </c>
    </row>
    <row r="2146" spans="1:13" ht="15" customHeight="1">
      <c r="A2146" t="s">
        <v>28</v>
      </c>
      <c r="B2146">
        <f t="shared" si="132"/>
        <v>33.718353</v>
      </c>
      <c r="C2146">
        <f t="shared" si="133"/>
        <v>-117.85274699999999</v>
      </c>
      <c r="D2146">
        <f t="shared" si="134"/>
        <v>67</v>
      </c>
      <c r="E2146">
        <v>40.5</v>
      </c>
      <c r="F2146">
        <f t="shared" si="135"/>
        <v>26.5</v>
      </c>
      <c r="G2146">
        <v>70.533000000000001</v>
      </c>
      <c r="H2146">
        <v>2.528</v>
      </c>
      <c r="I2146">
        <v>3.4780000000000002</v>
      </c>
      <c r="J2146">
        <v>6</v>
      </c>
      <c r="K2146">
        <v>28</v>
      </c>
      <c r="L2146">
        <v>17</v>
      </c>
      <c r="M2146">
        <v>4.6829999999999998</v>
      </c>
    </row>
    <row r="2147" spans="1:13" ht="15" customHeight="1">
      <c r="A2147" t="s">
        <v>28</v>
      </c>
      <c r="B2147">
        <f t="shared" si="132"/>
        <v>33.718353</v>
      </c>
      <c r="C2147">
        <f t="shared" si="133"/>
        <v>-117.85274699999999</v>
      </c>
      <c r="D2147">
        <f t="shared" si="134"/>
        <v>67</v>
      </c>
      <c r="E2147">
        <v>41.499000000000002</v>
      </c>
      <c r="F2147">
        <f t="shared" si="135"/>
        <v>25.500999999999998</v>
      </c>
      <c r="G2147">
        <v>65.813999999999993</v>
      </c>
      <c r="H2147">
        <v>3.431</v>
      </c>
      <c r="I2147">
        <v>5.16</v>
      </c>
      <c r="J2147">
        <v>11</v>
      </c>
      <c r="K2147">
        <v>64</v>
      </c>
      <c r="L2147">
        <v>37</v>
      </c>
      <c r="M2147" s="1">
        <v>9000000000</v>
      </c>
    </row>
    <row r="2148" spans="1:13" ht="15" customHeight="1">
      <c r="A2148" t="s">
        <v>28</v>
      </c>
      <c r="B2148">
        <f t="shared" si="132"/>
        <v>33.718353</v>
      </c>
      <c r="C2148">
        <f t="shared" si="133"/>
        <v>-117.85274699999999</v>
      </c>
      <c r="D2148">
        <f t="shared" si="134"/>
        <v>67</v>
      </c>
      <c r="E2148">
        <v>42.499000000000002</v>
      </c>
      <c r="F2148">
        <f t="shared" si="135"/>
        <v>24.500999999999998</v>
      </c>
      <c r="G2148">
        <v>43.616999999999997</v>
      </c>
      <c r="H2148">
        <v>2.0979999999999999</v>
      </c>
      <c r="I2148">
        <v>4.774</v>
      </c>
      <c r="J2148">
        <v>4</v>
      </c>
      <c r="K2148">
        <v>28</v>
      </c>
      <c r="L2148">
        <v>16</v>
      </c>
      <c r="M2148">
        <v>2.7570000000000001</v>
      </c>
    </row>
    <row r="2149" spans="1:13" ht="15" customHeight="1">
      <c r="A2149" t="s">
        <v>28</v>
      </c>
      <c r="B2149">
        <f t="shared" si="132"/>
        <v>33.718353</v>
      </c>
      <c r="C2149">
        <f t="shared" si="133"/>
        <v>-117.85274699999999</v>
      </c>
      <c r="D2149">
        <f t="shared" si="134"/>
        <v>67</v>
      </c>
      <c r="E2149">
        <v>43.499000000000002</v>
      </c>
      <c r="F2149">
        <f t="shared" si="135"/>
        <v>23.500999999999998</v>
      </c>
      <c r="G2149">
        <v>36.067</v>
      </c>
      <c r="H2149">
        <v>1.665</v>
      </c>
      <c r="I2149">
        <v>4.5720000000000001</v>
      </c>
      <c r="J2149">
        <v>4</v>
      </c>
      <c r="K2149">
        <v>23</v>
      </c>
      <c r="L2149">
        <v>13</v>
      </c>
      <c r="M2149">
        <v>2.2509999999999999</v>
      </c>
    </row>
    <row r="2150" spans="1:13" ht="15" customHeight="1">
      <c r="A2150" t="s">
        <v>28</v>
      </c>
      <c r="B2150">
        <f t="shared" si="132"/>
        <v>33.718353</v>
      </c>
      <c r="C2150">
        <f t="shared" si="133"/>
        <v>-117.85274699999999</v>
      </c>
      <c r="D2150">
        <f t="shared" si="134"/>
        <v>67</v>
      </c>
      <c r="E2150">
        <v>44.499000000000002</v>
      </c>
      <c r="F2150">
        <f t="shared" si="135"/>
        <v>22.500999999999998</v>
      </c>
      <c r="G2150">
        <v>27.983000000000001</v>
      </c>
      <c r="H2150">
        <v>1.2370000000000001</v>
      </c>
      <c r="I2150">
        <v>4.383</v>
      </c>
      <c r="J2150">
        <v>4</v>
      </c>
      <c r="K2150">
        <v>18</v>
      </c>
      <c r="L2150">
        <v>10</v>
      </c>
      <c r="M2150">
        <v>1.7</v>
      </c>
    </row>
    <row r="2151" spans="1:13" ht="15" customHeight="1">
      <c r="A2151" t="s">
        <v>28</v>
      </c>
      <c r="B2151">
        <f t="shared" si="132"/>
        <v>33.718353</v>
      </c>
      <c r="C2151">
        <f t="shared" si="133"/>
        <v>-117.85274699999999</v>
      </c>
      <c r="D2151">
        <f t="shared" si="134"/>
        <v>67</v>
      </c>
      <c r="E2151">
        <v>45.499000000000002</v>
      </c>
      <c r="F2151">
        <f t="shared" si="135"/>
        <v>21.500999999999998</v>
      </c>
      <c r="G2151">
        <v>14.433</v>
      </c>
      <c r="H2151">
        <v>0.45</v>
      </c>
      <c r="I2151">
        <v>3.0649999999999999</v>
      </c>
      <c r="J2151">
        <v>5</v>
      </c>
      <c r="K2151">
        <v>7</v>
      </c>
      <c r="L2151">
        <v>4</v>
      </c>
      <c r="M2151">
        <v>0.79400000000000004</v>
      </c>
    </row>
    <row r="2152" spans="1:13" ht="15" customHeight="1">
      <c r="A2152" t="s">
        <v>28</v>
      </c>
      <c r="B2152">
        <f t="shared" si="132"/>
        <v>33.718353</v>
      </c>
      <c r="C2152">
        <f t="shared" si="133"/>
        <v>-117.85274699999999</v>
      </c>
      <c r="D2152">
        <f t="shared" si="134"/>
        <v>67</v>
      </c>
      <c r="E2152">
        <v>46.499000000000002</v>
      </c>
      <c r="F2152">
        <f t="shared" si="135"/>
        <v>20.500999999999998</v>
      </c>
      <c r="G2152">
        <v>17.466999999999999</v>
      </c>
      <c r="H2152">
        <v>0.70499999999999996</v>
      </c>
      <c r="I2152">
        <v>3.9910000000000001</v>
      </c>
      <c r="J2152">
        <v>4</v>
      </c>
      <c r="K2152">
        <v>11</v>
      </c>
      <c r="L2152">
        <v>6</v>
      </c>
      <c r="M2152">
        <v>0.98899999999999999</v>
      </c>
    </row>
    <row r="2153" spans="1:13" ht="15" customHeight="1">
      <c r="A2153" t="s">
        <v>28</v>
      </c>
      <c r="B2153">
        <f t="shared" si="132"/>
        <v>33.718353</v>
      </c>
      <c r="C2153">
        <f t="shared" si="133"/>
        <v>-117.85274699999999</v>
      </c>
      <c r="D2153">
        <f t="shared" si="134"/>
        <v>67</v>
      </c>
      <c r="E2153">
        <v>47.499000000000002</v>
      </c>
      <c r="F2153">
        <f t="shared" si="135"/>
        <v>19.500999999999998</v>
      </c>
      <c r="G2153">
        <v>33.133000000000003</v>
      </c>
      <c r="H2153">
        <v>1.458</v>
      </c>
      <c r="I2153">
        <v>4.3659999999999997</v>
      </c>
      <c r="J2153">
        <v>4</v>
      </c>
      <c r="K2153">
        <v>21</v>
      </c>
      <c r="L2153">
        <v>11</v>
      </c>
      <c r="M2153">
        <v>2.0329999999999999</v>
      </c>
    </row>
    <row r="2154" spans="1:13" ht="15" customHeight="1">
      <c r="A2154" t="s">
        <v>28</v>
      </c>
      <c r="B2154">
        <f t="shared" si="132"/>
        <v>33.718353</v>
      </c>
      <c r="C2154">
        <f t="shared" si="133"/>
        <v>-117.85274699999999</v>
      </c>
      <c r="D2154">
        <f t="shared" si="134"/>
        <v>67</v>
      </c>
      <c r="E2154">
        <v>48.499000000000002</v>
      </c>
      <c r="F2154">
        <f t="shared" si="135"/>
        <v>18.500999999999998</v>
      </c>
      <c r="G2154">
        <v>30.233000000000001</v>
      </c>
      <c r="H2154">
        <v>1.8720000000000001</v>
      </c>
      <c r="I2154">
        <v>6.17</v>
      </c>
      <c r="J2154">
        <v>3</v>
      </c>
      <c r="K2154">
        <v>29</v>
      </c>
      <c r="L2154">
        <v>16</v>
      </c>
      <c r="M2154">
        <v>1.825</v>
      </c>
    </row>
    <row r="2155" spans="1:13" ht="15" customHeight="1">
      <c r="A2155" t="s">
        <v>28</v>
      </c>
      <c r="B2155">
        <f t="shared" si="132"/>
        <v>33.718353</v>
      </c>
      <c r="C2155">
        <f t="shared" si="133"/>
        <v>-117.85274699999999</v>
      </c>
      <c r="D2155">
        <f t="shared" si="134"/>
        <v>67</v>
      </c>
      <c r="E2155">
        <v>49.499000000000002</v>
      </c>
      <c r="F2155">
        <f t="shared" si="135"/>
        <v>17.500999999999998</v>
      </c>
      <c r="G2155">
        <v>68</v>
      </c>
      <c r="H2155">
        <v>2.6829999999999998</v>
      </c>
      <c r="I2155">
        <v>3.9529999999999998</v>
      </c>
      <c r="J2155">
        <v>5</v>
      </c>
      <c r="K2155">
        <v>33</v>
      </c>
      <c r="L2155">
        <v>18</v>
      </c>
      <c r="M2155">
        <v>4.3239999999999998</v>
      </c>
    </row>
    <row r="2156" spans="1:13" ht="15" customHeight="1">
      <c r="A2156" t="s">
        <v>28</v>
      </c>
      <c r="B2156">
        <f t="shared" si="132"/>
        <v>33.718353</v>
      </c>
      <c r="C2156">
        <f t="shared" si="133"/>
        <v>-117.85274699999999</v>
      </c>
      <c r="D2156">
        <f t="shared" si="134"/>
        <v>67</v>
      </c>
      <c r="E2156">
        <v>50.499000000000002</v>
      </c>
      <c r="F2156">
        <f t="shared" si="135"/>
        <v>16.500999999999998</v>
      </c>
      <c r="G2156">
        <v>120.43300000000001</v>
      </c>
      <c r="H2156">
        <v>3.3170000000000002</v>
      </c>
      <c r="I2156">
        <v>2.7570000000000001</v>
      </c>
      <c r="J2156">
        <v>6</v>
      </c>
      <c r="K2156">
        <v>46</v>
      </c>
      <c r="L2156">
        <v>24</v>
      </c>
      <c r="M2156">
        <v>7.8129999999999997</v>
      </c>
    </row>
    <row r="2157" spans="1:13" ht="15" customHeight="1">
      <c r="A2157" t="s">
        <v>28</v>
      </c>
      <c r="B2157">
        <f t="shared" si="132"/>
        <v>33.718353</v>
      </c>
      <c r="C2157">
        <f t="shared" si="133"/>
        <v>-117.85274699999999</v>
      </c>
      <c r="D2157">
        <f t="shared" si="134"/>
        <v>67</v>
      </c>
      <c r="E2157">
        <v>51.499000000000002</v>
      </c>
      <c r="F2157">
        <f t="shared" si="135"/>
        <v>15.500999999999998</v>
      </c>
      <c r="G2157">
        <v>105.783</v>
      </c>
      <c r="H2157">
        <v>3.673</v>
      </c>
      <c r="I2157">
        <v>3.4780000000000002</v>
      </c>
      <c r="J2157">
        <v>6</v>
      </c>
      <c r="K2157">
        <v>40</v>
      </c>
      <c r="L2157">
        <v>21</v>
      </c>
      <c r="M2157">
        <v>6.8310000000000004</v>
      </c>
    </row>
    <row r="2158" spans="1:13" ht="15" customHeight="1">
      <c r="A2158" t="s">
        <v>28</v>
      </c>
      <c r="B2158">
        <f t="shared" si="132"/>
        <v>33.718353</v>
      </c>
      <c r="C2158">
        <f t="shared" si="133"/>
        <v>-117.85274699999999</v>
      </c>
      <c r="D2158">
        <f t="shared" si="134"/>
        <v>67</v>
      </c>
      <c r="E2158">
        <v>52.499000000000002</v>
      </c>
      <c r="F2158">
        <f t="shared" si="135"/>
        <v>14.500999999999998</v>
      </c>
      <c r="G2158">
        <v>85.257000000000005</v>
      </c>
      <c r="H2158">
        <v>3.3159999999999998</v>
      </c>
      <c r="I2158">
        <v>3.8969999999999998</v>
      </c>
      <c r="J2158">
        <v>5</v>
      </c>
      <c r="K2158">
        <v>41</v>
      </c>
      <c r="L2158">
        <v>21</v>
      </c>
      <c r="M2158">
        <v>5.4580000000000002</v>
      </c>
    </row>
    <row r="2159" spans="1:13" ht="15" customHeight="1">
      <c r="A2159" t="s">
        <v>28</v>
      </c>
      <c r="B2159">
        <f t="shared" si="132"/>
        <v>33.718353</v>
      </c>
      <c r="C2159">
        <f t="shared" si="133"/>
        <v>-117.85274699999999</v>
      </c>
      <c r="D2159">
        <f t="shared" si="134"/>
        <v>67</v>
      </c>
      <c r="E2159">
        <v>53.499000000000002</v>
      </c>
      <c r="F2159">
        <f t="shared" si="135"/>
        <v>13.500999999999998</v>
      </c>
      <c r="G2159">
        <v>154.083</v>
      </c>
      <c r="H2159">
        <v>3.73</v>
      </c>
      <c r="I2159">
        <v>2.4239999999999999</v>
      </c>
      <c r="J2159">
        <v>7</v>
      </c>
      <c r="K2159">
        <v>49</v>
      </c>
      <c r="L2159">
        <v>25</v>
      </c>
      <c r="M2159" s="1">
        <v>9000000000</v>
      </c>
    </row>
    <row r="2160" spans="1:13" ht="15" customHeight="1">
      <c r="A2160" t="s">
        <v>28</v>
      </c>
      <c r="B2160">
        <f t="shared" si="132"/>
        <v>33.718353</v>
      </c>
      <c r="C2160">
        <f t="shared" si="133"/>
        <v>-117.85274699999999</v>
      </c>
      <c r="D2160">
        <f t="shared" si="134"/>
        <v>67</v>
      </c>
      <c r="E2160">
        <v>54.499000000000002</v>
      </c>
      <c r="F2160">
        <f t="shared" si="135"/>
        <v>12.500999999999998</v>
      </c>
      <c r="G2160">
        <v>103.733</v>
      </c>
      <c r="H2160">
        <v>4.593</v>
      </c>
      <c r="I2160">
        <v>4.4370000000000003</v>
      </c>
      <c r="J2160">
        <v>11</v>
      </c>
      <c r="K2160">
        <v>99</v>
      </c>
      <c r="L2160">
        <v>50</v>
      </c>
      <c r="M2160" s="1">
        <v>9000000000</v>
      </c>
    </row>
    <row r="2161" spans="1:13" ht="15" customHeight="1">
      <c r="A2161" t="s">
        <v>28</v>
      </c>
      <c r="B2161">
        <f t="shared" si="132"/>
        <v>33.718353</v>
      </c>
      <c r="C2161">
        <f t="shared" si="133"/>
        <v>-117.85274699999999</v>
      </c>
      <c r="D2161">
        <f t="shared" si="134"/>
        <v>67</v>
      </c>
      <c r="E2161">
        <v>55.499000000000002</v>
      </c>
      <c r="F2161">
        <f t="shared" si="135"/>
        <v>11.500999999999998</v>
      </c>
      <c r="G2161">
        <v>40.582999999999998</v>
      </c>
      <c r="H2161">
        <v>2.0699999999999998</v>
      </c>
      <c r="I2161">
        <v>5.1130000000000004</v>
      </c>
      <c r="J2161">
        <v>3</v>
      </c>
      <c r="K2161">
        <v>39</v>
      </c>
      <c r="L2161">
        <v>20</v>
      </c>
      <c r="M2161">
        <v>2.472</v>
      </c>
    </row>
    <row r="2162" spans="1:13" ht="15" customHeight="1">
      <c r="A2162" t="s">
        <v>28</v>
      </c>
      <c r="B2162">
        <f t="shared" si="132"/>
        <v>33.718353</v>
      </c>
      <c r="C2162">
        <f t="shared" si="133"/>
        <v>-117.85274699999999</v>
      </c>
      <c r="D2162">
        <f t="shared" si="134"/>
        <v>67</v>
      </c>
      <c r="E2162">
        <v>56.499000000000002</v>
      </c>
      <c r="F2162">
        <f t="shared" si="135"/>
        <v>10.500999999999998</v>
      </c>
      <c r="G2162">
        <v>77.283000000000001</v>
      </c>
      <c r="H2162">
        <v>3.173</v>
      </c>
      <c r="I2162">
        <v>4.1139999999999999</v>
      </c>
      <c r="J2162">
        <v>5</v>
      </c>
      <c r="K2162">
        <v>37</v>
      </c>
      <c r="L2162">
        <v>19</v>
      </c>
      <c r="M2162">
        <v>4.9109999999999996</v>
      </c>
    </row>
    <row r="2163" spans="1:13" ht="15" customHeight="1">
      <c r="A2163" t="s">
        <v>28</v>
      </c>
      <c r="B2163">
        <f t="shared" si="132"/>
        <v>33.718353</v>
      </c>
      <c r="C2163">
        <f t="shared" si="133"/>
        <v>-117.85274699999999</v>
      </c>
      <c r="D2163">
        <f t="shared" si="134"/>
        <v>67</v>
      </c>
      <c r="E2163">
        <v>57.499000000000002</v>
      </c>
      <c r="F2163">
        <f t="shared" si="135"/>
        <v>9.5009999999999977</v>
      </c>
      <c r="G2163">
        <v>397.81700000000001</v>
      </c>
      <c r="H2163">
        <v>5.4219999999999997</v>
      </c>
      <c r="I2163">
        <v>1.3640000000000001</v>
      </c>
      <c r="J2163">
        <v>9</v>
      </c>
      <c r="K2163">
        <v>76</v>
      </c>
      <c r="L2163">
        <v>38</v>
      </c>
      <c r="M2163" s="1">
        <v>9000000000</v>
      </c>
    </row>
    <row r="2164" spans="1:13" ht="15" customHeight="1">
      <c r="A2164" t="s">
        <v>28</v>
      </c>
      <c r="B2164">
        <f t="shared" si="132"/>
        <v>33.718353</v>
      </c>
      <c r="C2164">
        <f t="shared" si="133"/>
        <v>-117.85274699999999</v>
      </c>
      <c r="D2164">
        <f t="shared" si="134"/>
        <v>67</v>
      </c>
      <c r="E2164">
        <v>58.499000000000002</v>
      </c>
      <c r="F2164">
        <f t="shared" si="135"/>
        <v>8.5009999999999977</v>
      </c>
      <c r="G2164">
        <v>493</v>
      </c>
      <c r="H2164">
        <v>3.51</v>
      </c>
      <c r="I2164">
        <v>0.71199999999999997</v>
      </c>
      <c r="J2164">
        <v>10</v>
      </c>
      <c r="K2164">
        <v>79</v>
      </c>
      <c r="L2164">
        <v>40</v>
      </c>
      <c r="M2164" s="1">
        <v>9000000000</v>
      </c>
    </row>
    <row r="2165" spans="1:13" ht="15" customHeight="1">
      <c r="A2165" t="s">
        <v>28</v>
      </c>
      <c r="B2165">
        <f t="shared" si="132"/>
        <v>33.718353</v>
      </c>
      <c r="C2165">
        <f t="shared" si="133"/>
        <v>-117.85274699999999</v>
      </c>
      <c r="D2165">
        <f t="shared" si="134"/>
        <v>67</v>
      </c>
      <c r="E2165">
        <v>59.499000000000002</v>
      </c>
      <c r="F2165">
        <f t="shared" si="135"/>
        <v>7.5009999999999977</v>
      </c>
      <c r="G2165">
        <v>524.28300000000002</v>
      </c>
      <c r="H2165">
        <v>3.53</v>
      </c>
      <c r="I2165">
        <v>0.67300000000000004</v>
      </c>
      <c r="J2165">
        <v>10</v>
      </c>
      <c r="K2165">
        <v>84</v>
      </c>
      <c r="L2165">
        <v>42</v>
      </c>
      <c r="M2165" s="1">
        <v>9000000000</v>
      </c>
    </row>
    <row r="2166" spans="1:13" ht="15" customHeight="1">
      <c r="A2166" t="s">
        <v>28</v>
      </c>
      <c r="B2166">
        <f t="shared" si="132"/>
        <v>33.718353</v>
      </c>
      <c r="C2166">
        <f t="shared" si="133"/>
        <v>-117.85274699999999</v>
      </c>
      <c r="D2166">
        <f t="shared" si="134"/>
        <v>67</v>
      </c>
      <c r="E2166">
        <v>60.499000000000002</v>
      </c>
      <c r="F2166">
        <f t="shared" si="135"/>
        <v>6.5009999999999977</v>
      </c>
      <c r="G2166">
        <v>558.11699999999996</v>
      </c>
      <c r="H2166">
        <v>3.4569999999999999</v>
      </c>
      <c r="I2166">
        <v>0.61899999999999999</v>
      </c>
      <c r="J2166">
        <v>10</v>
      </c>
      <c r="K2166">
        <v>89</v>
      </c>
      <c r="L2166">
        <v>45</v>
      </c>
      <c r="M2166" s="1">
        <v>9000000000</v>
      </c>
    </row>
    <row r="2167" spans="1:13" ht="15" customHeight="1">
      <c r="A2167" t="s">
        <v>28</v>
      </c>
      <c r="B2167">
        <f t="shared" si="132"/>
        <v>33.718353</v>
      </c>
      <c r="C2167">
        <f t="shared" si="133"/>
        <v>-117.85274699999999</v>
      </c>
      <c r="D2167">
        <f t="shared" si="134"/>
        <v>67</v>
      </c>
      <c r="E2167">
        <v>61.499000000000002</v>
      </c>
      <c r="F2167">
        <f t="shared" si="135"/>
        <v>5.5009999999999977</v>
      </c>
      <c r="G2167">
        <v>394.56700000000001</v>
      </c>
      <c r="H2167">
        <v>2.0819999999999999</v>
      </c>
      <c r="I2167">
        <v>0.52800000000000002</v>
      </c>
      <c r="J2167">
        <v>10</v>
      </c>
      <c r="K2167">
        <v>63</v>
      </c>
      <c r="L2167">
        <v>32</v>
      </c>
      <c r="M2167" s="1">
        <v>9000000000</v>
      </c>
    </row>
    <row r="2168" spans="1:13" ht="15" customHeight="1">
      <c r="A2168" t="s">
        <v>28</v>
      </c>
      <c r="B2168">
        <f t="shared" si="132"/>
        <v>33.718353</v>
      </c>
      <c r="C2168">
        <f t="shared" si="133"/>
        <v>-117.85274699999999</v>
      </c>
      <c r="D2168">
        <f t="shared" si="134"/>
        <v>67</v>
      </c>
      <c r="E2168">
        <v>62.499000000000002</v>
      </c>
      <c r="F2168">
        <f t="shared" si="135"/>
        <v>4.5009999999999977</v>
      </c>
      <c r="G2168">
        <v>524.78599999999994</v>
      </c>
      <c r="H2168">
        <v>3.7530000000000001</v>
      </c>
      <c r="I2168">
        <v>0.71499999999999997</v>
      </c>
      <c r="J2168">
        <v>10</v>
      </c>
      <c r="K2168">
        <v>84</v>
      </c>
      <c r="L2168">
        <v>42</v>
      </c>
      <c r="M2168" s="1">
        <v>9000000000</v>
      </c>
    </row>
    <row r="2169" spans="1:13" ht="15" customHeight="1">
      <c r="A2169" t="s">
        <v>28</v>
      </c>
      <c r="B2169">
        <f t="shared" si="132"/>
        <v>33.718353</v>
      </c>
      <c r="C2169">
        <f t="shared" si="133"/>
        <v>-117.85274699999999</v>
      </c>
      <c r="D2169">
        <f t="shared" si="134"/>
        <v>67</v>
      </c>
      <c r="E2169">
        <v>63.499000000000002</v>
      </c>
      <c r="F2169">
        <f t="shared" si="135"/>
        <v>3.5009999999999977</v>
      </c>
      <c r="G2169">
        <v>436.58300000000003</v>
      </c>
      <c r="H2169">
        <v>4.165</v>
      </c>
      <c r="I2169">
        <v>0.95399999999999996</v>
      </c>
      <c r="J2169">
        <v>9</v>
      </c>
      <c r="K2169">
        <v>84</v>
      </c>
      <c r="L2169">
        <v>42</v>
      </c>
      <c r="M2169" s="1">
        <v>9000000000</v>
      </c>
    </row>
    <row r="2170" spans="1:13" ht="15" customHeight="1">
      <c r="A2170" t="s">
        <v>28</v>
      </c>
      <c r="B2170">
        <f t="shared" si="132"/>
        <v>33.718353</v>
      </c>
      <c r="C2170">
        <f t="shared" si="133"/>
        <v>-117.85274699999999</v>
      </c>
      <c r="D2170">
        <f t="shared" si="134"/>
        <v>67</v>
      </c>
      <c r="E2170">
        <v>64.498999999999995</v>
      </c>
      <c r="F2170">
        <f t="shared" si="135"/>
        <v>2.5010000000000048</v>
      </c>
      <c r="G2170">
        <v>418.85</v>
      </c>
      <c r="H2170">
        <v>2.5819999999999999</v>
      </c>
      <c r="I2170">
        <v>0.61599999999999999</v>
      </c>
      <c r="J2170">
        <v>10</v>
      </c>
      <c r="K2170">
        <v>67</v>
      </c>
      <c r="L2170">
        <v>34</v>
      </c>
      <c r="M2170" s="1">
        <v>9000000000</v>
      </c>
    </row>
    <row r="2171" spans="1:13" ht="15" customHeight="1">
      <c r="A2171" t="s">
        <v>28</v>
      </c>
      <c r="B2171">
        <f t="shared" si="132"/>
        <v>33.718353</v>
      </c>
      <c r="C2171">
        <f t="shared" si="133"/>
        <v>-117.85274699999999</v>
      </c>
      <c r="D2171">
        <f t="shared" si="134"/>
        <v>67</v>
      </c>
      <c r="E2171">
        <v>65.498999999999995</v>
      </c>
      <c r="F2171">
        <f t="shared" si="135"/>
        <v>1.5010000000000048</v>
      </c>
      <c r="G2171">
        <v>423.3</v>
      </c>
      <c r="H2171">
        <v>3.0979999999999999</v>
      </c>
      <c r="I2171">
        <v>0.73199999999999998</v>
      </c>
      <c r="J2171">
        <v>10</v>
      </c>
      <c r="K2171">
        <v>68</v>
      </c>
      <c r="L2171">
        <v>34</v>
      </c>
      <c r="M2171" s="1">
        <v>9000000000</v>
      </c>
    </row>
    <row r="2172" spans="1:13" ht="15" customHeight="1">
      <c r="A2172" t="s">
        <v>28</v>
      </c>
      <c r="B2172">
        <f t="shared" si="132"/>
        <v>33.718353</v>
      </c>
      <c r="C2172">
        <f t="shared" si="133"/>
        <v>-117.85274699999999</v>
      </c>
      <c r="D2172">
        <f t="shared" si="134"/>
        <v>67</v>
      </c>
      <c r="E2172">
        <v>66.498999999999995</v>
      </c>
      <c r="F2172">
        <f t="shared" si="135"/>
        <v>0.50100000000000477</v>
      </c>
      <c r="G2172">
        <v>349.267</v>
      </c>
      <c r="H2172">
        <v>1.6279999999999999</v>
      </c>
      <c r="I2172">
        <v>0.46600000000000003</v>
      </c>
      <c r="J2172">
        <v>10</v>
      </c>
      <c r="K2172">
        <v>56</v>
      </c>
      <c r="L2172">
        <v>28</v>
      </c>
      <c r="M2172" s="1">
        <v>9000000000</v>
      </c>
    </row>
    <row r="2173" spans="1:13" ht="15" customHeight="1">
      <c r="A2173" t="s">
        <v>28</v>
      </c>
      <c r="B2173">
        <f t="shared" si="132"/>
        <v>33.718353</v>
      </c>
      <c r="C2173">
        <f t="shared" si="133"/>
        <v>-117.85274699999999</v>
      </c>
      <c r="D2173">
        <f t="shared" si="134"/>
        <v>67</v>
      </c>
      <c r="E2173">
        <v>67.498999999999995</v>
      </c>
      <c r="F2173">
        <f t="shared" si="135"/>
        <v>-0.49899999999999523</v>
      </c>
      <c r="G2173">
        <v>363.1</v>
      </c>
      <c r="H2173">
        <v>1.262</v>
      </c>
      <c r="I2173">
        <v>0.34799999999999998</v>
      </c>
      <c r="J2173">
        <v>10</v>
      </c>
      <c r="K2173">
        <v>58</v>
      </c>
      <c r="L2173">
        <v>29</v>
      </c>
      <c r="M2173" s="1">
        <v>9000000000</v>
      </c>
    </row>
    <row r="2174" spans="1:13" ht="15" customHeight="1">
      <c r="A2174" t="s">
        <v>28</v>
      </c>
      <c r="B2174">
        <f t="shared" si="132"/>
        <v>33.718353</v>
      </c>
      <c r="C2174">
        <f t="shared" si="133"/>
        <v>-117.85274699999999</v>
      </c>
      <c r="D2174">
        <f t="shared" si="134"/>
        <v>67</v>
      </c>
      <c r="E2174">
        <v>68.498999999999995</v>
      </c>
      <c r="F2174">
        <f t="shared" si="135"/>
        <v>-1.4989999999999952</v>
      </c>
      <c r="G2174">
        <v>134.9</v>
      </c>
      <c r="H2174">
        <v>2.9849999999999999</v>
      </c>
      <c r="I2174">
        <v>2.214</v>
      </c>
      <c r="J2174">
        <v>7</v>
      </c>
      <c r="K2174">
        <v>43</v>
      </c>
      <c r="L2174">
        <v>22</v>
      </c>
      <c r="M2174" s="1">
        <v>9000000000</v>
      </c>
    </row>
    <row r="2175" spans="1:13" ht="15" customHeight="1">
      <c r="A2175" t="s">
        <v>28</v>
      </c>
      <c r="B2175">
        <f t="shared" si="132"/>
        <v>33.718353</v>
      </c>
      <c r="C2175">
        <f t="shared" si="133"/>
        <v>-117.85274699999999</v>
      </c>
      <c r="D2175">
        <f t="shared" si="134"/>
        <v>67</v>
      </c>
      <c r="E2175">
        <v>69.498999999999995</v>
      </c>
      <c r="F2175">
        <f t="shared" si="135"/>
        <v>-2.4989999999999952</v>
      </c>
      <c r="G2175">
        <v>43.35</v>
      </c>
      <c r="H2175">
        <v>1.49</v>
      </c>
      <c r="I2175">
        <v>3.4489999999999998</v>
      </c>
      <c r="J2175">
        <v>5</v>
      </c>
      <c r="K2175">
        <v>21</v>
      </c>
      <c r="L2175">
        <v>11</v>
      </c>
      <c r="M2175">
        <v>2.593</v>
      </c>
    </row>
    <row r="2176" spans="1:13" ht="15" customHeight="1">
      <c r="A2176" t="s">
        <v>28</v>
      </c>
      <c r="B2176">
        <f t="shared" si="132"/>
        <v>33.718353</v>
      </c>
      <c r="C2176">
        <f t="shared" si="133"/>
        <v>-117.85274699999999</v>
      </c>
      <c r="D2176">
        <f t="shared" si="134"/>
        <v>67</v>
      </c>
      <c r="E2176">
        <v>70.498999999999995</v>
      </c>
      <c r="F2176">
        <f t="shared" si="135"/>
        <v>-3.4989999999999952</v>
      </c>
      <c r="G2176">
        <v>25.117000000000001</v>
      </c>
      <c r="H2176">
        <v>0.77200000000000002</v>
      </c>
      <c r="I2176">
        <v>3.089</v>
      </c>
      <c r="J2176">
        <v>5</v>
      </c>
      <c r="K2176">
        <v>12</v>
      </c>
      <c r="L2176">
        <v>6</v>
      </c>
      <c r="M2176">
        <v>1.375</v>
      </c>
    </row>
    <row r="2177" spans="1:13" ht="15" customHeight="1">
      <c r="A2177" t="s">
        <v>28</v>
      </c>
      <c r="B2177">
        <f t="shared" si="132"/>
        <v>33.718353</v>
      </c>
      <c r="C2177">
        <f t="shared" si="133"/>
        <v>-117.85274699999999</v>
      </c>
      <c r="D2177">
        <f t="shared" si="134"/>
        <v>67</v>
      </c>
      <c r="E2177">
        <v>71.498999999999995</v>
      </c>
      <c r="F2177">
        <f t="shared" si="135"/>
        <v>-4.4989999999999952</v>
      </c>
      <c r="G2177">
        <v>22.6</v>
      </c>
      <c r="H2177">
        <v>0.53800000000000003</v>
      </c>
      <c r="I2177">
        <v>2.387</v>
      </c>
      <c r="J2177">
        <v>6</v>
      </c>
      <c r="K2177">
        <v>9</v>
      </c>
      <c r="L2177">
        <v>5</v>
      </c>
      <c r="M2177">
        <v>1.208</v>
      </c>
    </row>
    <row r="2178" spans="1:13" ht="15" customHeight="1">
      <c r="A2178" t="s">
        <v>28</v>
      </c>
      <c r="B2178">
        <f t="shared" ref="B2178:B2241" si="136">VLOOKUP(A2178,XYdata,3,FALSE)</f>
        <v>33.718353</v>
      </c>
      <c r="C2178">
        <f t="shared" ref="C2178:C2241" si="137">VLOOKUP(A2178,XYdata,2,FALSE)</f>
        <v>-117.85274699999999</v>
      </c>
      <c r="D2178">
        <f t="shared" ref="D2178:D2241" si="138">VLOOKUP(A2178,Elevation,2,FALSE)</f>
        <v>67</v>
      </c>
      <c r="E2178">
        <v>72.498999999999995</v>
      </c>
      <c r="F2178">
        <f t="shared" si="135"/>
        <v>-5.4989999999999952</v>
      </c>
      <c r="G2178">
        <v>40.057000000000002</v>
      </c>
      <c r="H2178">
        <v>1.4410000000000001</v>
      </c>
      <c r="I2178">
        <v>3.5950000000000002</v>
      </c>
      <c r="J2178">
        <v>5</v>
      </c>
      <c r="K2178">
        <v>19</v>
      </c>
      <c r="L2178">
        <v>10</v>
      </c>
      <c r="M2178">
        <v>2.3740000000000001</v>
      </c>
    </row>
    <row r="2179" spans="1:13" ht="15" customHeight="1">
      <c r="A2179" t="s">
        <v>28</v>
      </c>
      <c r="B2179">
        <f t="shared" si="136"/>
        <v>33.718353</v>
      </c>
      <c r="C2179">
        <f t="shared" si="137"/>
        <v>-117.85274699999999</v>
      </c>
      <c r="D2179">
        <f t="shared" si="138"/>
        <v>67</v>
      </c>
      <c r="E2179">
        <v>73.498999999999995</v>
      </c>
      <c r="F2179">
        <f t="shared" ref="F2179:F2242" si="139">D2179-E2179</f>
        <v>-6.4989999999999952</v>
      </c>
      <c r="G2179">
        <v>23.466999999999999</v>
      </c>
      <c r="H2179">
        <v>0.65200000000000002</v>
      </c>
      <c r="I2179">
        <v>2.7669999999999999</v>
      </c>
      <c r="J2179">
        <v>5</v>
      </c>
      <c r="K2179">
        <v>11</v>
      </c>
      <c r="L2179">
        <v>6</v>
      </c>
      <c r="M2179">
        <v>1.2669999999999999</v>
      </c>
    </row>
    <row r="2180" spans="1:13" ht="15" customHeight="1">
      <c r="A2180" t="s">
        <v>28</v>
      </c>
      <c r="B2180">
        <f t="shared" si="136"/>
        <v>33.718353</v>
      </c>
      <c r="C2180">
        <f t="shared" si="137"/>
        <v>-117.85274699999999</v>
      </c>
      <c r="D2180">
        <f t="shared" si="138"/>
        <v>67</v>
      </c>
      <c r="E2180">
        <v>74.498999999999995</v>
      </c>
      <c r="F2180">
        <f t="shared" si="139"/>
        <v>-7.4989999999999952</v>
      </c>
      <c r="G2180">
        <v>22.45</v>
      </c>
      <c r="H2180">
        <v>0.56299999999999994</v>
      </c>
      <c r="I2180">
        <v>2.411</v>
      </c>
      <c r="J2180">
        <v>6</v>
      </c>
      <c r="K2180">
        <v>9</v>
      </c>
      <c r="L2180">
        <v>5</v>
      </c>
      <c r="M2180">
        <v>1.25</v>
      </c>
    </row>
    <row r="2181" spans="1:13" ht="15" customHeight="1">
      <c r="A2181" t="s">
        <v>28</v>
      </c>
      <c r="B2181">
        <f t="shared" si="136"/>
        <v>33.718353</v>
      </c>
      <c r="C2181">
        <f t="shared" si="137"/>
        <v>-117.85274699999999</v>
      </c>
      <c r="D2181">
        <f t="shared" si="138"/>
        <v>67</v>
      </c>
      <c r="E2181">
        <v>75.498999999999995</v>
      </c>
      <c r="F2181">
        <f t="shared" si="139"/>
        <v>-8.4989999999999952</v>
      </c>
      <c r="G2181">
        <v>27.433</v>
      </c>
      <c r="H2181">
        <v>0.75800000000000001</v>
      </c>
      <c r="I2181">
        <v>2.6160000000000001</v>
      </c>
      <c r="J2181">
        <v>6</v>
      </c>
      <c r="K2181">
        <v>11</v>
      </c>
      <c r="L2181">
        <v>6</v>
      </c>
      <c r="M2181">
        <v>1.621</v>
      </c>
    </row>
    <row r="2182" spans="1:13" ht="15" customHeight="1">
      <c r="A2182" t="s">
        <v>28</v>
      </c>
      <c r="B2182">
        <f t="shared" si="136"/>
        <v>33.718353</v>
      </c>
      <c r="C2182">
        <f t="shared" si="137"/>
        <v>-117.85274699999999</v>
      </c>
      <c r="D2182">
        <f t="shared" si="138"/>
        <v>67</v>
      </c>
      <c r="E2182">
        <v>76.498999999999995</v>
      </c>
      <c r="F2182">
        <f t="shared" si="139"/>
        <v>-9.4989999999999952</v>
      </c>
      <c r="G2182">
        <v>59.582999999999998</v>
      </c>
      <c r="H2182">
        <v>2.4470000000000001</v>
      </c>
      <c r="I2182">
        <v>4.0789999999999997</v>
      </c>
      <c r="J2182">
        <v>5</v>
      </c>
      <c r="K2182">
        <v>29</v>
      </c>
      <c r="L2182">
        <v>15</v>
      </c>
      <c r="M2182">
        <v>3.6829999999999998</v>
      </c>
    </row>
    <row r="2183" spans="1:13" ht="15" customHeight="1">
      <c r="A2183" t="s">
        <v>28</v>
      </c>
      <c r="B2183">
        <f t="shared" si="136"/>
        <v>33.718353</v>
      </c>
      <c r="C2183">
        <f t="shared" si="137"/>
        <v>-117.85274699999999</v>
      </c>
      <c r="D2183">
        <f t="shared" si="138"/>
        <v>67</v>
      </c>
      <c r="E2183">
        <v>77.498999999999995</v>
      </c>
      <c r="F2183">
        <f t="shared" si="139"/>
        <v>-10.498999999999995</v>
      </c>
      <c r="G2183">
        <v>108.917</v>
      </c>
      <c r="H2183">
        <v>3.5630000000000002</v>
      </c>
      <c r="I2183">
        <v>3.2770000000000001</v>
      </c>
      <c r="J2183">
        <v>6</v>
      </c>
      <c r="K2183">
        <v>42</v>
      </c>
      <c r="L2183">
        <v>21</v>
      </c>
      <c r="M2183">
        <v>6.93</v>
      </c>
    </row>
    <row r="2184" spans="1:13" ht="15" customHeight="1">
      <c r="A2184" t="s">
        <v>28</v>
      </c>
      <c r="B2184">
        <f t="shared" si="136"/>
        <v>33.718353</v>
      </c>
      <c r="C2184">
        <f t="shared" si="137"/>
        <v>-117.85274699999999</v>
      </c>
      <c r="D2184">
        <f t="shared" si="138"/>
        <v>67</v>
      </c>
      <c r="E2184">
        <v>78.498999999999995</v>
      </c>
      <c r="F2184">
        <f t="shared" si="139"/>
        <v>-11.498999999999995</v>
      </c>
      <c r="G2184">
        <v>207.167</v>
      </c>
      <c r="H2184">
        <v>2.718</v>
      </c>
      <c r="I2184">
        <v>1.3129999999999999</v>
      </c>
      <c r="J2184">
        <v>8</v>
      </c>
      <c r="K2184">
        <v>50</v>
      </c>
      <c r="L2184">
        <v>25</v>
      </c>
      <c r="M2184" s="1">
        <v>9000000000</v>
      </c>
    </row>
    <row r="2185" spans="1:13" ht="15" customHeight="1">
      <c r="A2185" t="s">
        <v>28</v>
      </c>
      <c r="B2185">
        <f t="shared" si="136"/>
        <v>33.718353</v>
      </c>
      <c r="C2185">
        <f t="shared" si="137"/>
        <v>-117.85274699999999</v>
      </c>
      <c r="D2185">
        <f t="shared" si="138"/>
        <v>67</v>
      </c>
      <c r="E2185">
        <v>79.498999999999995</v>
      </c>
      <c r="F2185">
        <f t="shared" si="139"/>
        <v>-12.498999999999995</v>
      </c>
      <c r="G2185">
        <v>146.25</v>
      </c>
      <c r="H2185">
        <v>1.667</v>
      </c>
      <c r="I2185">
        <v>1.141</v>
      </c>
      <c r="J2185">
        <v>8</v>
      </c>
      <c r="K2185">
        <v>35</v>
      </c>
      <c r="L2185">
        <v>18</v>
      </c>
      <c r="M2185" s="1">
        <v>9000000000</v>
      </c>
    </row>
    <row r="2186" spans="1:13" ht="15" customHeight="1">
      <c r="A2186" t="s">
        <v>28</v>
      </c>
      <c r="B2186">
        <f t="shared" si="136"/>
        <v>33.718353</v>
      </c>
      <c r="C2186">
        <f t="shared" si="137"/>
        <v>-117.85274699999999</v>
      </c>
      <c r="D2186">
        <f t="shared" si="138"/>
        <v>67</v>
      </c>
      <c r="E2186">
        <v>80.498999999999995</v>
      </c>
      <c r="F2186">
        <f t="shared" si="139"/>
        <v>-13.498999999999995</v>
      </c>
      <c r="G2186">
        <v>143.06700000000001</v>
      </c>
      <c r="H2186">
        <v>2.0230000000000001</v>
      </c>
      <c r="I2186">
        <v>1.4159999999999999</v>
      </c>
      <c r="J2186">
        <v>8</v>
      </c>
      <c r="K2186">
        <v>34</v>
      </c>
      <c r="L2186">
        <v>17</v>
      </c>
      <c r="M2186" s="1">
        <v>9000000000</v>
      </c>
    </row>
    <row r="2187" spans="1:13" ht="15" customHeight="1">
      <c r="A2187" t="s">
        <v>28</v>
      </c>
      <c r="B2187">
        <f t="shared" si="136"/>
        <v>33.718353</v>
      </c>
      <c r="C2187">
        <f t="shared" si="137"/>
        <v>-117.85274699999999</v>
      </c>
      <c r="D2187">
        <f t="shared" si="138"/>
        <v>67</v>
      </c>
      <c r="E2187">
        <v>81.498999999999995</v>
      </c>
      <c r="F2187">
        <f t="shared" si="139"/>
        <v>-14.498999999999995</v>
      </c>
      <c r="G2187">
        <v>63.183</v>
      </c>
      <c r="H2187">
        <v>2.4319999999999999</v>
      </c>
      <c r="I2187">
        <v>3.8570000000000002</v>
      </c>
      <c r="J2187">
        <v>5</v>
      </c>
      <c r="K2187">
        <v>30</v>
      </c>
      <c r="L2187">
        <v>15</v>
      </c>
      <c r="M2187">
        <v>3.867</v>
      </c>
    </row>
    <row r="2188" spans="1:13" ht="15" customHeight="1">
      <c r="A2188" t="s">
        <v>28</v>
      </c>
      <c r="B2188">
        <f t="shared" si="136"/>
        <v>33.718353</v>
      </c>
      <c r="C2188">
        <f t="shared" si="137"/>
        <v>-117.85274699999999</v>
      </c>
      <c r="D2188">
        <f t="shared" si="138"/>
        <v>67</v>
      </c>
      <c r="E2188">
        <v>82.498999999999995</v>
      </c>
      <c r="F2188">
        <f t="shared" si="139"/>
        <v>-15.498999999999995</v>
      </c>
      <c r="G2188">
        <v>27.9</v>
      </c>
      <c r="H2188">
        <v>0.875</v>
      </c>
      <c r="I2188">
        <v>3.1419999999999999</v>
      </c>
      <c r="J2188">
        <v>5</v>
      </c>
      <c r="K2188">
        <v>13</v>
      </c>
      <c r="L2188">
        <v>7</v>
      </c>
      <c r="M2188">
        <v>1.516</v>
      </c>
    </row>
    <row r="2189" spans="1:13" ht="15" customHeight="1">
      <c r="A2189" t="s">
        <v>28</v>
      </c>
      <c r="B2189">
        <f t="shared" si="136"/>
        <v>33.718353</v>
      </c>
      <c r="C2189">
        <f t="shared" si="137"/>
        <v>-117.85274699999999</v>
      </c>
      <c r="D2189">
        <f t="shared" si="138"/>
        <v>67</v>
      </c>
      <c r="E2189">
        <v>83.498999999999995</v>
      </c>
      <c r="F2189">
        <f t="shared" si="139"/>
        <v>-16.498999999999995</v>
      </c>
      <c r="G2189">
        <v>26.829000000000001</v>
      </c>
      <c r="H2189">
        <v>0.80600000000000005</v>
      </c>
      <c r="I2189">
        <v>2.9969999999999999</v>
      </c>
      <c r="J2189">
        <v>5</v>
      </c>
      <c r="K2189">
        <v>13</v>
      </c>
      <c r="L2189">
        <v>7</v>
      </c>
      <c r="M2189">
        <v>1.4470000000000001</v>
      </c>
    </row>
    <row r="2190" spans="1:13" ht="15" customHeight="1">
      <c r="A2190" t="s">
        <v>28</v>
      </c>
      <c r="B2190">
        <f t="shared" si="136"/>
        <v>33.718353</v>
      </c>
      <c r="C2190">
        <f t="shared" si="137"/>
        <v>-117.85274699999999</v>
      </c>
      <c r="D2190">
        <f t="shared" si="138"/>
        <v>67</v>
      </c>
      <c r="E2190">
        <v>84.498999999999995</v>
      </c>
      <c r="F2190">
        <f t="shared" si="139"/>
        <v>-17.498999999999995</v>
      </c>
      <c r="G2190">
        <v>31.132999999999999</v>
      </c>
      <c r="H2190">
        <v>0.93500000000000005</v>
      </c>
      <c r="I2190">
        <v>2.9460000000000002</v>
      </c>
      <c r="J2190">
        <v>5</v>
      </c>
      <c r="K2190">
        <v>15</v>
      </c>
      <c r="L2190">
        <v>8</v>
      </c>
      <c r="M2190">
        <v>1.7669999999999999</v>
      </c>
    </row>
    <row r="2191" spans="1:13" ht="15" customHeight="1">
      <c r="A2191" t="s">
        <v>28</v>
      </c>
      <c r="B2191">
        <f t="shared" si="136"/>
        <v>33.718353</v>
      </c>
      <c r="C2191">
        <f t="shared" si="137"/>
        <v>-117.85274699999999</v>
      </c>
      <c r="D2191">
        <f t="shared" si="138"/>
        <v>67</v>
      </c>
      <c r="E2191">
        <v>85.498999999999995</v>
      </c>
      <c r="F2191">
        <f t="shared" si="139"/>
        <v>-18.498999999999995</v>
      </c>
      <c r="G2191">
        <v>31.016999999999999</v>
      </c>
      <c r="H2191">
        <v>1.153</v>
      </c>
      <c r="I2191">
        <v>3.5649999999999999</v>
      </c>
      <c r="J2191">
        <v>5</v>
      </c>
      <c r="K2191">
        <v>15</v>
      </c>
      <c r="L2191">
        <v>8</v>
      </c>
      <c r="M2191">
        <v>1.8029999999999999</v>
      </c>
    </row>
    <row r="2192" spans="1:13" ht="15" customHeight="1">
      <c r="A2192" t="s">
        <v>28</v>
      </c>
      <c r="B2192">
        <f t="shared" si="136"/>
        <v>33.718353</v>
      </c>
      <c r="C2192">
        <f t="shared" si="137"/>
        <v>-117.85274699999999</v>
      </c>
      <c r="D2192">
        <f t="shared" si="138"/>
        <v>67</v>
      </c>
      <c r="E2192">
        <v>86.498999999999995</v>
      </c>
      <c r="F2192">
        <f t="shared" si="139"/>
        <v>-19.498999999999995</v>
      </c>
      <c r="G2192">
        <v>63.55</v>
      </c>
      <c r="H2192">
        <v>2.36</v>
      </c>
      <c r="I2192">
        <v>3.718</v>
      </c>
      <c r="J2192">
        <v>5</v>
      </c>
      <c r="K2192">
        <v>30</v>
      </c>
      <c r="L2192">
        <v>15</v>
      </c>
      <c r="M2192">
        <v>3.875</v>
      </c>
    </row>
    <row r="2193" spans="1:13" ht="15" customHeight="1">
      <c r="A2193" t="s">
        <v>28</v>
      </c>
      <c r="B2193">
        <f t="shared" si="136"/>
        <v>33.718353</v>
      </c>
      <c r="C2193">
        <f t="shared" si="137"/>
        <v>-117.85274699999999</v>
      </c>
      <c r="D2193">
        <f t="shared" si="138"/>
        <v>67</v>
      </c>
      <c r="E2193">
        <v>87.498999999999995</v>
      </c>
      <c r="F2193">
        <f t="shared" si="139"/>
        <v>-20.498999999999995</v>
      </c>
      <c r="G2193">
        <v>48.25</v>
      </c>
      <c r="H2193">
        <v>2.15</v>
      </c>
      <c r="I2193">
        <v>4.468</v>
      </c>
      <c r="J2193">
        <v>4</v>
      </c>
      <c r="K2193">
        <v>31</v>
      </c>
      <c r="L2193">
        <v>16</v>
      </c>
      <c r="M2193">
        <v>2.8460000000000001</v>
      </c>
    </row>
    <row r="2194" spans="1:13" ht="15" customHeight="1">
      <c r="A2194" t="s">
        <v>28</v>
      </c>
      <c r="B2194">
        <f t="shared" si="136"/>
        <v>33.718353</v>
      </c>
      <c r="C2194">
        <f t="shared" si="137"/>
        <v>-117.85274699999999</v>
      </c>
      <c r="D2194">
        <f t="shared" si="138"/>
        <v>67</v>
      </c>
      <c r="E2194">
        <v>88.498999999999995</v>
      </c>
      <c r="F2194">
        <f t="shared" si="139"/>
        <v>-21.498999999999995</v>
      </c>
      <c r="G2194">
        <v>31.117000000000001</v>
      </c>
      <c r="H2194">
        <v>1.3149999999999999</v>
      </c>
      <c r="I2194">
        <v>4.2350000000000003</v>
      </c>
      <c r="J2194">
        <v>4</v>
      </c>
      <c r="K2194">
        <v>20</v>
      </c>
      <c r="L2194">
        <v>10</v>
      </c>
      <c r="M2194">
        <v>1.704</v>
      </c>
    </row>
    <row r="2195" spans="1:13" ht="15" customHeight="1">
      <c r="A2195" t="s">
        <v>28</v>
      </c>
      <c r="B2195">
        <f t="shared" si="136"/>
        <v>33.718353</v>
      </c>
      <c r="C2195">
        <f t="shared" si="137"/>
        <v>-117.85274699999999</v>
      </c>
      <c r="D2195">
        <f t="shared" si="138"/>
        <v>67</v>
      </c>
      <c r="E2195">
        <v>89.498999999999995</v>
      </c>
      <c r="F2195">
        <f t="shared" si="139"/>
        <v>-22.498999999999995</v>
      </c>
      <c r="G2195">
        <v>20.433</v>
      </c>
      <c r="H2195">
        <v>0.63800000000000001</v>
      </c>
      <c r="I2195">
        <v>3.1240000000000001</v>
      </c>
      <c r="J2195">
        <v>5</v>
      </c>
      <c r="K2195">
        <v>10</v>
      </c>
      <c r="L2195">
        <v>5</v>
      </c>
      <c r="M2195">
        <v>0.99199999999999999</v>
      </c>
    </row>
    <row r="2196" spans="1:13" ht="15" customHeight="1">
      <c r="A2196" t="s">
        <v>28</v>
      </c>
      <c r="B2196">
        <f t="shared" si="136"/>
        <v>33.718353</v>
      </c>
      <c r="C2196">
        <f t="shared" si="137"/>
        <v>-117.85274699999999</v>
      </c>
      <c r="D2196">
        <f t="shared" si="138"/>
        <v>67</v>
      </c>
      <c r="E2196">
        <v>90.498999999999995</v>
      </c>
      <c r="F2196">
        <f t="shared" si="139"/>
        <v>-23.498999999999995</v>
      </c>
      <c r="G2196">
        <v>24.2</v>
      </c>
      <c r="H2196">
        <v>0.70699999999999996</v>
      </c>
      <c r="I2196">
        <v>2.8570000000000002</v>
      </c>
      <c r="J2196">
        <v>5</v>
      </c>
      <c r="K2196">
        <v>12</v>
      </c>
      <c r="L2196">
        <v>6</v>
      </c>
      <c r="M2196">
        <v>1.2749999999999999</v>
      </c>
    </row>
    <row r="2197" spans="1:13" ht="15" customHeight="1">
      <c r="A2197" t="s">
        <v>28</v>
      </c>
      <c r="B2197">
        <f t="shared" si="136"/>
        <v>33.718353</v>
      </c>
      <c r="C2197">
        <f t="shared" si="137"/>
        <v>-117.85274699999999</v>
      </c>
      <c r="D2197">
        <f t="shared" si="138"/>
        <v>67</v>
      </c>
      <c r="E2197">
        <v>91.498999999999995</v>
      </c>
      <c r="F2197">
        <f t="shared" si="139"/>
        <v>-24.498999999999995</v>
      </c>
      <c r="G2197">
        <v>25.45</v>
      </c>
      <c r="H2197">
        <v>0.80800000000000005</v>
      </c>
      <c r="I2197">
        <v>3.0219999999999998</v>
      </c>
      <c r="J2197">
        <v>5</v>
      </c>
      <c r="K2197">
        <v>13</v>
      </c>
      <c r="L2197">
        <v>7</v>
      </c>
      <c r="M2197">
        <v>1.405</v>
      </c>
    </row>
    <row r="2198" spans="1:13" ht="15" customHeight="1">
      <c r="A2198" t="s">
        <v>28</v>
      </c>
      <c r="B2198">
        <f t="shared" si="136"/>
        <v>33.718353</v>
      </c>
      <c r="C2198">
        <f t="shared" si="137"/>
        <v>-117.85274699999999</v>
      </c>
      <c r="D2198">
        <f t="shared" si="138"/>
        <v>67</v>
      </c>
      <c r="E2198">
        <v>92.498999999999995</v>
      </c>
      <c r="F2198">
        <f t="shared" si="139"/>
        <v>-25.498999999999995</v>
      </c>
      <c r="G2198">
        <v>22.483000000000001</v>
      </c>
      <c r="H2198">
        <v>0.64500000000000002</v>
      </c>
      <c r="I2198">
        <v>2.669</v>
      </c>
      <c r="J2198">
        <v>5</v>
      </c>
      <c r="K2198">
        <v>12</v>
      </c>
      <c r="L2198">
        <v>6</v>
      </c>
      <c r="M2198">
        <v>1.2290000000000001</v>
      </c>
    </row>
    <row r="2199" spans="1:13" ht="15" customHeight="1">
      <c r="A2199" t="s">
        <v>28</v>
      </c>
      <c r="B2199">
        <f t="shared" si="136"/>
        <v>33.718353</v>
      </c>
      <c r="C2199">
        <f t="shared" si="137"/>
        <v>-117.85274699999999</v>
      </c>
      <c r="D2199">
        <f t="shared" si="138"/>
        <v>67</v>
      </c>
      <c r="E2199">
        <v>93.498999999999995</v>
      </c>
      <c r="F2199">
        <f t="shared" si="139"/>
        <v>-26.498999999999995</v>
      </c>
      <c r="G2199">
        <v>21.129000000000001</v>
      </c>
      <c r="H2199">
        <v>0.56399999999999995</v>
      </c>
      <c r="I2199">
        <v>2.444</v>
      </c>
      <c r="J2199">
        <v>6</v>
      </c>
      <c r="K2199">
        <v>9</v>
      </c>
      <c r="L2199">
        <v>5</v>
      </c>
      <c r="M2199">
        <v>1.153</v>
      </c>
    </row>
    <row r="2200" spans="1:13" ht="15" customHeight="1">
      <c r="A2200" t="s">
        <v>28</v>
      </c>
      <c r="B2200">
        <f t="shared" si="136"/>
        <v>33.718353</v>
      </c>
      <c r="C2200">
        <f t="shared" si="137"/>
        <v>-117.85274699999999</v>
      </c>
      <c r="D2200">
        <f t="shared" si="138"/>
        <v>67</v>
      </c>
      <c r="E2200">
        <v>94.498999999999995</v>
      </c>
      <c r="F2200">
        <f t="shared" si="139"/>
        <v>-27.498999999999995</v>
      </c>
      <c r="G2200">
        <v>21.55</v>
      </c>
      <c r="H2200">
        <v>0.6</v>
      </c>
      <c r="I2200">
        <v>2.544</v>
      </c>
      <c r="J2200">
        <v>5</v>
      </c>
      <c r="K2200">
        <v>11</v>
      </c>
      <c r="L2200">
        <v>6</v>
      </c>
      <c r="M2200">
        <v>1.1819999999999999</v>
      </c>
    </row>
    <row r="2201" spans="1:13" ht="15" customHeight="1">
      <c r="A2201" t="s">
        <v>28</v>
      </c>
      <c r="B2201">
        <f t="shared" si="136"/>
        <v>33.718353</v>
      </c>
      <c r="C2201">
        <f t="shared" si="137"/>
        <v>-117.85274699999999</v>
      </c>
      <c r="D2201">
        <f t="shared" si="138"/>
        <v>67</v>
      </c>
      <c r="E2201">
        <v>95.498999999999995</v>
      </c>
      <c r="F2201">
        <f t="shared" si="139"/>
        <v>-28.498999999999995</v>
      </c>
      <c r="G2201">
        <v>22.966999999999999</v>
      </c>
      <c r="H2201">
        <v>0.623</v>
      </c>
      <c r="I2201">
        <v>2.488</v>
      </c>
      <c r="J2201">
        <v>6</v>
      </c>
      <c r="K2201">
        <v>10</v>
      </c>
      <c r="L2201">
        <v>5</v>
      </c>
      <c r="M2201">
        <v>1.2749999999999999</v>
      </c>
    </row>
    <row r="2202" spans="1:13" ht="15" customHeight="1">
      <c r="A2202" t="s">
        <v>28</v>
      </c>
      <c r="B2202">
        <f t="shared" si="136"/>
        <v>33.718353</v>
      </c>
      <c r="C2202">
        <f t="shared" si="137"/>
        <v>-117.85274699999999</v>
      </c>
      <c r="D2202">
        <f t="shared" si="138"/>
        <v>67</v>
      </c>
      <c r="E2202">
        <v>96.498999999999995</v>
      </c>
      <c r="F2202">
        <f t="shared" si="139"/>
        <v>-29.498999999999995</v>
      </c>
      <c r="G2202">
        <v>22.1</v>
      </c>
      <c r="H2202">
        <v>0.59799999999999998</v>
      </c>
      <c r="I2202">
        <v>2.4790000000000001</v>
      </c>
      <c r="J2202">
        <v>6</v>
      </c>
      <c r="K2202">
        <v>9</v>
      </c>
      <c r="L2202">
        <v>5</v>
      </c>
      <c r="M2202">
        <v>1.21</v>
      </c>
    </row>
    <row r="2203" spans="1:13" ht="15" customHeight="1">
      <c r="A2203" t="s">
        <v>28</v>
      </c>
      <c r="B2203">
        <f t="shared" si="136"/>
        <v>33.718353</v>
      </c>
      <c r="C2203">
        <f t="shared" si="137"/>
        <v>-117.85274699999999</v>
      </c>
      <c r="D2203">
        <f t="shared" si="138"/>
        <v>67</v>
      </c>
      <c r="E2203">
        <v>97.498999999999995</v>
      </c>
      <c r="F2203">
        <f t="shared" si="139"/>
        <v>-30.498999999999995</v>
      </c>
      <c r="G2203">
        <v>23.667000000000002</v>
      </c>
      <c r="H2203">
        <v>0.77700000000000002</v>
      </c>
      <c r="I2203">
        <v>3.0920000000000001</v>
      </c>
      <c r="J2203">
        <v>5</v>
      </c>
      <c r="K2203">
        <v>12</v>
      </c>
      <c r="L2203">
        <v>6</v>
      </c>
      <c r="M2203">
        <v>1.2709999999999999</v>
      </c>
    </row>
    <row r="2204" spans="1:13" ht="15" customHeight="1">
      <c r="A2204" t="s">
        <v>28</v>
      </c>
      <c r="B2204">
        <f t="shared" si="136"/>
        <v>33.718353</v>
      </c>
      <c r="C2204">
        <f t="shared" si="137"/>
        <v>-117.85274699999999</v>
      </c>
      <c r="D2204">
        <f t="shared" si="138"/>
        <v>67</v>
      </c>
      <c r="E2204">
        <v>98.498999999999995</v>
      </c>
      <c r="F2204">
        <f t="shared" si="139"/>
        <v>-31.498999999999995</v>
      </c>
      <c r="G2204">
        <v>23.483000000000001</v>
      </c>
      <c r="H2204">
        <v>0.75800000000000001</v>
      </c>
      <c r="I2204">
        <v>3.05</v>
      </c>
      <c r="J2204">
        <v>5</v>
      </c>
      <c r="K2204">
        <v>12</v>
      </c>
      <c r="L2204">
        <v>6</v>
      </c>
      <c r="M2204">
        <v>1.2509999999999999</v>
      </c>
    </row>
    <row r="2205" spans="1:13" ht="15" customHeight="1">
      <c r="A2205" t="s">
        <v>28</v>
      </c>
      <c r="B2205">
        <f t="shared" si="136"/>
        <v>33.718353</v>
      </c>
      <c r="C2205">
        <f t="shared" si="137"/>
        <v>-117.85274699999999</v>
      </c>
      <c r="D2205">
        <f t="shared" si="138"/>
        <v>67</v>
      </c>
      <c r="E2205">
        <v>99.498999999999995</v>
      </c>
      <c r="F2205">
        <f t="shared" si="139"/>
        <v>-32.498999999999995</v>
      </c>
      <c r="G2205">
        <v>31.766999999999999</v>
      </c>
      <c r="H2205">
        <v>1.1319999999999999</v>
      </c>
      <c r="I2205">
        <v>3.4929999999999999</v>
      </c>
      <c r="J2205">
        <v>5</v>
      </c>
      <c r="K2205">
        <v>16</v>
      </c>
      <c r="L2205">
        <v>8</v>
      </c>
      <c r="M2205">
        <v>1.7490000000000001</v>
      </c>
    </row>
    <row r="2206" spans="1:13" ht="15" customHeight="1">
      <c r="A2206" t="s">
        <v>28</v>
      </c>
      <c r="B2206">
        <f t="shared" si="136"/>
        <v>33.718353</v>
      </c>
      <c r="C2206">
        <f t="shared" si="137"/>
        <v>-117.85274699999999</v>
      </c>
      <c r="D2206">
        <f t="shared" si="138"/>
        <v>67</v>
      </c>
      <c r="E2206">
        <v>100.499</v>
      </c>
      <c r="F2206">
        <f t="shared" si="139"/>
        <v>-33.498999999999995</v>
      </c>
      <c r="G2206">
        <v>30.817</v>
      </c>
      <c r="H2206">
        <v>1.107</v>
      </c>
      <c r="I2206">
        <v>3.508</v>
      </c>
      <c r="J2206">
        <v>5</v>
      </c>
      <c r="K2206">
        <v>15</v>
      </c>
      <c r="L2206">
        <v>8</v>
      </c>
      <c r="M2206">
        <v>1.6879999999999999</v>
      </c>
    </row>
    <row r="2207" spans="1:13" ht="15" customHeight="1">
      <c r="A2207" t="s">
        <v>28</v>
      </c>
      <c r="B2207">
        <f t="shared" si="136"/>
        <v>33.718353</v>
      </c>
      <c r="C2207">
        <f t="shared" si="137"/>
        <v>-117.85274699999999</v>
      </c>
      <c r="D2207">
        <f t="shared" si="138"/>
        <v>67</v>
      </c>
      <c r="E2207">
        <v>101.499</v>
      </c>
      <c r="F2207">
        <f t="shared" si="139"/>
        <v>-34.498999999999995</v>
      </c>
      <c r="G2207">
        <v>29.25</v>
      </c>
      <c r="H2207">
        <v>1.0149999999999999</v>
      </c>
      <c r="I2207">
        <v>3.3719999999999999</v>
      </c>
      <c r="J2207">
        <v>5</v>
      </c>
      <c r="K2207">
        <v>14</v>
      </c>
      <c r="L2207">
        <v>7</v>
      </c>
      <c r="M2207">
        <v>1.587</v>
      </c>
    </row>
    <row r="2208" spans="1:13" ht="15" customHeight="1">
      <c r="A2208" t="s">
        <v>28</v>
      </c>
      <c r="B2208">
        <f t="shared" si="136"/>
        <v>33.718353</v>
      </c>
      <c r="C2208">
        <f t="shared" si="137"/>
        <v>-117.85274699999999</v>
      </c>
      <c r="D2208">
        <f t="shared" si="138"/>
        <v>67</v>
      </c>
      <c r="E2208">
        <v>102.499</v>
      </c>
      <c r="F2208">
        <f t="shared" si="139"/>
        <v>-35.498999999999995</v>
      </c>
      <c r="G2208">
        <v>29.6</v>
      </c>
      <c r="H2208">
        <v>0.72</v>
      </c>
      <c r="I2208">
        <v>2.3090000000000002</v>
      </c>
      <c r="J2208">
        <v>6</v>
      </c>
      <c r="K2208">
        <v>12</v>
      </c>
      <c r="L2208">
        <v>6</v>
      </c>
      <c r="M2208">
        <v>1.655</v>
      </c>
    </row>
    <row r="2209" spans="1:13" ht="15" customHeight="1">
      <c r="A2209" t="s">
        <v>28</v>
      </c>
      <c r="B2209">
        <f t="shared" si="136"/>
        <v>33.718353</v>
      </c>
      <c r="C2209">
        <f t="shared" si="137"/>
        <v>-117.85274699999999</v>
      </c>
      <c r="D2209">
        <f t="shared" si="138"/>
        <v>67</v>
      </c>
      <c r="E2209">
        <v>103.499</v>
      </c>
      <c r="F2209">
        <f t="shared" si="139"/>
        <v>-36.498999999999995</v>
      </c>
      <c r="G2209">
        <v>33.866999999999997</v>
      </c>
      <c r="H2209">
        <v>0.90500000000000003</v>
      </c>
      <c r="I2209">
        <v>2.528</v>
      </c>
      <c r="J2209">
        <v>6</v>
      </c>
      <c r="K2209">
        <v>14</v>
      </c>
      <c r="L2209">
        <v>7</v>
      </c>
      <c r="M2209">
        <v>1.9590000000000001</v>
      </c>
    </row>
    <row r="2210" spans="1:13" ht="15" customHeight="1">
      <c r="A2210" t="s">
        <v>28</v>
      </c>
      <c r="B2210">
        <f t="shared" si="136"/>
        <v>33.718353</v>
      </c>
      <c r="C2210">
        <f t="shared" si="137"/>
        <v>-117.85274699999999</v>
      </c>
      <c r="D2210">
        <f t="shared" si="138"/>
        <v>67</v>
      </c>
      <c r="E2210">
        <v>104.499</v>
      </c>
      <c r="F2210">
        <f t="shared" si="139"/>
        <v>-37.498999999999995</v>
      </c>
      <c r="G2210">
        <v>31.3</v>
      </c>
      <c r="H2210">
        <v>0.84299999999999997</v>
      </c>
      <c r="I2210">
        <v>2.5339999999999998</v>
      </c>
      <c r="J2210">
        <v>6</v>
      </c>
      <c r="K2210">
        <v>13</v>
      </c>
      <c r="L2210">
        <v>7</v>
      </c>
      <c r="M2210">
        <v>1.7849999999999999</v>
      </c>
    </row>
    <row r="2211" spans="1:13" ht="15" customHeight="1">
      <c r="A2211" t="s">
        <v>28</v>
      </c>
      <c r="B2211">
        <f t="shared" si="136"/>
        <v>33.718353</v>
      </c>
      <c r="C2211">
        <f t="shared" si="137"/>
        <v>-117.85274699999999</v>
      </c>
      <c r="D2211">
        <f t="shared" si="138"/>
        <v>67</v>
      </c>
      <c r="E2211">
        <v>105.499</v>
      </c>
      <c r="F2211">
        <f t="shared" si="139"/>
        <v>-38.498999999999995</v>
      </c>
      <c r="G2211">
        <v>29.35</v>
      </c>
      <c r="H2211">
        <v>0.80800000000000005</v>
      </c>
      <c r="I2211">
        <v>2.5960000000000001</v>
      </c>
      <c r="J2211">
        <v>6</v>
      </c>
      <c r="K2211">
        <v>12</v>
      </c>
      <c r="L2211">
        <v>6</v>
      </c>
      <c r="M2211">
        <v>1.639</v>
      </c>
    </row>
    <row r="2212" spans="1:13" ht="15" customHeight="1">
      <c r="A2212" t="s">
        <v>28</v>
      </c>
      <c r="B2212">
        <f t="shared" si="136"/>
        <v>33.718353</v>
      </c>
      <c r="C2212">
        <f t="shared" si="137"/>
        <v>-117.85274699999999</v>
      </c>
      <c r="D2212">
        <f t="shared" si="138"/>
        <v>67</v>
      </c>
      <c r="E2212">
        <v>106.499</v>
      </c>
      <c r="F2212">
        <f t="shared" si="139"/>
        <v>-39.498999999999995</v>
      </c>
      <c r="G2212">
        <v>28.15</v>
      </c>
      <c r="H2212">
        <v>0.70799999999999996</v>
      </c>
      <c r="I2212">
        <v>2.3340000000000001</v>
      </c>
      <c r="J2212">
        <v>6</v>
      </c>
      <c r="K2212">
        <v>12</v>
      </c>
      <c r="L2212">
        <v>6</v>
      </c>
      <c r="M2212">
        <v>1.583</v>
      </c>
    </row>
    <row r="2213" spans="1:13" ht="15" customHeight="1">
      <c r="A2213" t="s">
        <v>28</v>
      </c>
      <c r="B2213">
        <f t="shared" si="136"/>
        <v>33.718353</v>
      </c>
      <c r="C2213">
        <f t="shared" si="137"/>
        <v>-117.85274699999999</v>
      </c>
      <c r="D2213">
        <f t="shared" si="138"/>
        <v>67</v>
      </c>
      <c r="E2213">
        <v>107.499</v>
      </c>
      <c r="F2213">
        <f t="shared" si="139"/>
        <v>-40.498999999999995</v>
      </c>
      <c r="G2213">
        <v>32.033000000000001</v>
      </c>
      <c r="H2213">
        <v>0.92300000000000004</v>
      </c>
      <c r="I2213">
        <v>2.7240000000000002</v>
      </c>
      <c r="J2213">
        <v>6</v>
      </c>
      <c r="K2213">
        <v>13</v>
      </c>
      <c r="L2213">
        <v>7</v>
      </c>
      <c r="M2213">
        <v>1.8149999999999999</v>
      </c>
    </row>
    <row r="2214" spans="1:13" ht="15" customHeight="1">
      <c r="A2214" t="s">
        <v>28</v>
      </c>
      <c r="B2214">
        <f t="shared" si="136"/>
        <v>33.718353</v>
      </c>
      <c r="C2214">
        <f t="shared" si="137"/>
        <v>-117.85274699999999</v>
      </c>
      <c r="D2214">
        <f t="shared" si="138"/>
        <v>67</v>
      </c>
      <c r="E2214">
        <v>108.499</v>
      </c>
      <c r="F2214">
        <f t="shared" si="139"/>
        <v>-41.498999999999995</v>
      </c>
      <c r="G2214">
        <v>29.05</v>
      </c>
      <c r="H2214">
        <v>0.79300000000000004</v>
      </c>
      <c r="I2214">
        <v>2.5870000000000002</v>
      </c>
      <c r="J2214">
        <v>6</v>
      </c>
      <c r="K2214">
        <v>12</v>
      </c>
      <c r="L2214">
        <v>6</v>
      </c>
      <c r="M2214">
        <v>1.5960000000000001</v>
      </c>
    </row>
    <row r="2215" spans="1:13" ht="15" customHeight="1">
      <c r="A2215" t="s">
        <v>28</v>
      </c>
      <c r="B2215">
        <f t="shared" si="136"/>
        <v>33.718353</v>
      </c>
      <c r="C2215">
        <f t="shared" si="137"/>
        <v>-117.85274699999999</v>
      </c>
      <c r="D2215">
        <f t="shared" si="138"/>
        <v>67</v>
      </c>
      <c r="E2215">
        <v>109.499</v>
      </c>
      <c r="F2215">
        <f t="shared" si="139"/>
        <v>-42.498999999999995</v>
      </c>
      <c r="G2215">
        <v>28.45</v>
      </c>
      <c r="H2215">
        <v>0.81799999999999995</v>
      </c>
      <c r="I2215">
        <v>2.7069999999999999</v>
      </c>
      <c r="J2215">
        <v>6</v>
      </c>
      <c r="K2215">
        <v>12</v>
      </c>
      <c r="L2215">
        <v>6</v>
      </c>
      <c r="M2215">
        <v>1.5620000000000001</v>
      </c>
    </row>
    <row r="2216" spans="1:13" ht="15" customHeight="1">
      <c r="A2216" t="s">
        <v>28</v>
      </c>
      <c r="B2216">
        <f t="shared" si="136"/>
        <v>33.718353</v>
      </c>
      <c r="C2216">
        <f t="shared" si="137"/>
        <v>-117.85274699999999</v>
      </c>
      <c r="D2216">
        <f t="shared" si="138"/>
        <v>67</v>
      </c>
      <c r="E2216">
        <v>110.499</v>
      </c>
      <c r="F2216">
        <f t="shared" si="139"/>
        <v>-43.498999999999995</v>
      </c>
      <c r="G2216">
        <v>29.933</v>
      </c>
      <c r="H2216">
        <v>0.85499999999999998</v>
      </c>
      <c r="I2216">
        <v>2.673</v>
      </c>
      <c r="J2216">
        <v>6</v>
      </c>
      <c r="K2216">
        <v>12</v>
      </c>
      <c r="L2216">
        <v>6</v>
      </c>
      <c r="M2216">
        <v>1.675</v>
      </c>
    </row>
    <row r="2217" spans="1:13" ht="15" customHeight="1">
      <c r="A2217" t="s">
        <v>28</v>
      </c>
      <c r="B2217">
        <f t="shared" si="136"/>
        <v>33.718353</v>
      </c>
      <c r="C2217">
        <f t="shared" si="137"/>
        <v>-117.85274699999999</v>
      </c>
      <c r="D2217">
        <f t="shared" si="138"/>
        <v>67</v>
      </c>
      <c r="E2217">
        <v>111.499</v>
      </c>
      <c r="F2217">
        <f t="shared" si="139"/>
        <v>-44.498999999999995</v>
      </c>
      <c r="G2217">
        <v>32.183</v>
      </c>
      <c r="H2217">
        <v>1.2430000000000001</v>
      </c>
      <c r="I2217">
        <v>3.6349999999999998</v>
      </c>
      <c r="J2217">
        <v>5</v>
      </c>
      <c r="K2217">
        <v>16</v>
      </c>
      <c r="L2217">
        <v>8</v>
      </c>
      <c r="M2217">
        <v>1.819</v>
      </c>
    </row>
    <row r="2218" spans="1:13" ht="15" customHeight="1">
      <c r="A2218" t="s">
        <v>28</v>
      </c>
      <c r="B2218">
        <f t="shared" si="136"/>
        <v>33.718353</v>
      </c>
      <c r="C2218">
        <f t="shared" si="137"/>
        <v>-117.85274699999999</v>
      </c>
      <c r="D2218">
        <f t="shared" si="138"/>
        <v>67</v>
      </c>
      <c r="E2218">
        <v>112.499</v>
      </c>
      <c r="F2218">
        <f t="shared" si="139"/>
        <v>-45.498999999999995</v>
      </c>
      <c r="G2218">
        <v>89.316999999999993</v>
      </c>
      <c r="H2218">
        <v>3.778</v>
      </c>
      <c r="I2218">
        <v>4.2309999999999999</v>
      </c>
      <c r="J2218">
        <v>5</v>
      </c>
      <c r="K2218">
        <v>43</v>
      </c>
      <c r="L2218">
        <v>22</v>
      </c>
      <c r="M2218">
        <v>5.4880000000000004</v>
      </c>
    </row>
    <row r="2219" spans="1:13" ht="15" customHeight="1">
      <c r="A2219" t="s">
        <v>28</v>
      </c>
      <c r="B2219">
        <f t="shared" si="136"/>
        <v>33.718353</v>
      </c>
      <c r="C2219">
        <f t="shared" si="137"/>
        <v>-117.85274699999999</v>
      </c>
      <c r="D2219">
        <f t="shared" si="138"/>
        <v>67</v>
      </c>
      <c r="E2219">
        <v>113.499</v>
      </c>
      <c r="F2219">
        <f t="shared" si="139"/>
        <v>-46.498999999999995</v>
      </c>
      <c r="G2219">
        <v>31.483000000000001</v>
      </c>
      <c r="H2219">
        <v>0.997</v>
      </c>
      <c r="I2219">
        <v>3.1760000000000002</v>
      </c>
      <c r="J2219">
        <v>5</v>
      </c>
      <c r="K2219">
        <v>15</v>
      </c>
      <c r="L2219">
        <v>8</v>
      </c>
      <c r="M2219">
        <v>1.6220000000000001</v>
      </c>
    </row>
    <row r="2220" spans="1:13" ht="15" customHeight="1">
      <c r="A2220" t="s">
        <v>28</v>
      </c>
      <c r="B2220">
        <f t="shared" si="136"/>
        <v>33.718353</v>
      </c>
      <c r="C2220">
        <f t="shared" si="137"/>
        <v>-117.85274699999999</v>
      </c>
      <c r="D2220">
        <f t="shared" si="138"/>
        <v>67</v>
      </c>
      <c r="E2220">
        <v>114.499</v>
      </c>
      <c r="F2220">
        <f t="shared" si="139"/>
        <v>-47.498999999999995</v>
      </c>
      <c r="G2220">
        <v>28.757000000000001</v>
      </c>
      <c r="H2220">
        <v>0.78600000000000003</v>
      </c>
      <c r="I2220">
        <v>2.7349999999999999</v>
      </c>
      <c r="J2220">
        <v>6</v>
      </c>
      <c r="K2220">
        <v>11</v>
      </c>
      <c r="L2220">
        <v>6</v>
      </c>
      <c r="M2220">
        <v>1.4410000000000001</v>
      </c>
    </row>
    <row r="2221" spans="1:13" ht="15" customHeight="1">
      <c r="A2221" t="s">
        <v>28</v>
      </c>
      <c r="B2221">
        <f t="shared" si="136"/>
        <v>33.718353</v>
      </c>
      <c r="C2221">
        <f t="shared" si="137"/>
        <v>-117.85274699999999</v>
      </c>
      <c r="D2221">
        <f t="shared" si="138"/>
        <v>67</v>
      </c>
      <c r="E2221">
        <v>115.499</v>
      </c>
      <c r="F2221">
        <f t="shared" si="139"/>
        <v>-48.498999999999995</v>
      </c>
      <c r="G2221">
        <v>30.567</v>
      </c>
      <c r="H2221">
        <v>0.84799999999999998</v>
      </c>
      <c r="I2221">
        <v>2.7679999999999998</v>
      </c>
      <c r="J2221">
        <v>6</v>
      </c>
      <c r="K2221">
        <v>12</v>
      </c>
      <c r="L2221">
        <v>6</v>
      </c>
      <c r="M2221">
        <v>1.5649999999999999</v>
      </c>
    </row>
    <row r="2222" spans="1:13" ht="15" customHeight="1">
      <c r="A2222" t="s">
        <v>28</v>
      </c>
      <c r="B2222">
        <f t="shared" si="136"/>
        <v>33.718353</v>
      </c>
      <c r="C2222">
        <f t="shared" si="137"/>
        <v>-117.85274699999999</v>
      </c>
      <c r="D2222">
        <f t="shared" si="138"/>
        <v>67</v>
      </c>
      <c r="E2222">
        <v>116.499</v>
      </c>
      <c r="F2222">
        <f t="shared" si="139"/>
        <v>-49.498999999999995</v>
      </c>
      <c r="G2222">
        <v>31.132999999999999</v>
      </c>
      <c r="H2222">
        <v>0.873</v>
      </c>
      <c r="I2222">
        <v>2.7410000000000001</v>
      </c>
      <c r="J2222">
        <v>6</v>
      </c>
      <c r="K2222">
        <v>12</v>
      </c>
      <c r="L2222">
        <v>6</v>
      </c>
      <c r="M2222">
        <v>1.6419999999999999</v>
      </c>
    </row>
    <row r="2223" spans="1:13" ht="15" customHeight="1">
      <c r="A2223" t="s">
        <v>28</v>
      </c>
      <c r="B2223">
        <f t="shared" si="136"/>
        <v>33.718353</v>
      </c>
      <c r="C2223">
        <f t="shared" si="137"/>
        <v>-117.85274699999999</v>
      </c>
      <c r="D2223">
        <f t="shared" si="138"/>
        <v>67</v>
      </c>
      <c r="E2223">
        <v>117.498</v>
      </c>
      <c r="F2223">
        <f t="shared" si="139"/>
        <v>-50.498000000000005</v>
      </c>
      <c r="G2223">
        <v>34.667000000000002</v>
      </c>
      <c r="H2223">
        <v>1.1879999999999999</v>
      </c>
      <c r="I2223">
        <v>3.2919999999999998</v>
      </c>
      <c r="J2223">
        <v>5</v>
      </c>
      <c r="K2223">
        <v>17</v>
      </c>
      <c r="L2223">
        <v>9</v>
      </c>
      <c r="M2223">
        <v>1.92</v>
      </c>
    </row>
    <row r="2224" spans="1:13" ht="15" customHeight="1">
      <c r="A2224" t="s">
        <v>28</v>
      </c>
      <c r="B2224">
        <f t="shared" si="136"/>
        <v>33.718353</v>
      </c>
      <c r="C2224">
        <f t="shared" si="137"/>
        <v>-117.85274699999999</v>
      </c>
      <c r="D2224">
        <f t="shared" si="138"/>
        <v>67</v>
      </c>
      <c r="E2224">
        <v>118.498</v>
      </c>
      <c r="F2224">
        <f t="shared" si="139"/>
        <v>-51.498000000000005</v>
      </c>
      <c r="G2224">
        <v>62.267000000000003</v>
      </c>
      <c r="H2224">
        <v>2.0870000000000002</v>
      </c>
      <c r="I2224">
        <v>3.3069999999999999</v>
      </c>
      <c r="J2224">
        <v>6</v>
      </c>
      <c r="K2224">
        <v>24</v>
      </c>
      <c r="L2224">
        <v>12</v>
      </c>
      <c r="M2224">
        <v>3.7160000000000002</v>
      </c>
    </row>
    <row r="2225" spans="1:13" ht="15" customHeight="1">
      <c r="A2225" t="s">
        <v>28</v>
      </c>
      <c r="B2225">
        <f t="shared" si="136"/>
        <v>33.718353</v>
      </c>
      <c r="C2225">
        <f t="shared" si="137"/>
        <v>-117.85274699999999</v>
      </c>
      <c r="D2225">
        <f t="shared" si="138"/>
        <v>67</v>
      </c>
      <c r="E2225">
        <v>119.498</v>
      </c>
      <c r="F2225">
        <f t="shared" si="139"/>
        <v>-52.498000000000005</v>
      </c>
      <c r="G2225">
        <v>184.733</v>
      </c>
      <c r="H2225">
        <v>2.347</v>
      </c>
      <c r="I2225">
        <v>1.2709999999999999</v>
      </c>
      <c r="J2225">
        <v>8</v>
      </c>
      <c r="K2225">
        <v>44</v>
      </c>
      <c r="L2225">
        <v>22</v>
      </c>
      <c r="M2225" s="1">
        <v>9000000000</v>
      </c>
    </row>
    <row r="2226" spans="1:13" ht="15" customHeight="1">
      <c r="A2226" t="s">
        <v>28</v>
      </c>
      <c r="B2226">
        <f t="shared" si="136"/>
        <v>33.718353</v>
      </c>
      <c r="C2226">
        <f t="shared" si="137"/>
        <v>-117.85274699999999</v>
      </c>
      <c r="D2226">
        <f t="shared" si="138"/>
        <v>67</v>
      </c>
      <c r="E2226">
        <v>120.498</v>
      </c>
      <c r="F2226">
        <f t="shared" si="139"/>
        <v>-53.498000000000005</v>
      </c>
      <c r="G2226">
        <v>270.2</v>
      </c>
      <c r="H2226">
        <v>1.34</v>
      </c>
      <c r="I2226">
        <v>0.496</v>
      </c>
      <c r="J2226">
        <v>10</v>
      </c>
      <c r="K2226">
        <v>43</v>
      </c>
      <c r="L2226">
        <v>22</v>
      </c>
      <c r="M2226" s="1">
        <v>9000000000</v>
      </c>
    </row>
    <row r="2227" spans="1:13" ht="15" customHeight="1">
      <c r="A2227" t="s">
        <v>28</v>
      </c>
      <c r="B2227">
        <f t="shared" si="136"/>
        <v>33.718353</v>
      </c>
      <c r="C2227">
        <f t="shared" si="137"/>
        <v>-117.85274699999999</v>
      </c>
      <c r="D2227">
        <f t="shared" si="138"/>
        <v>67</v>
      </c>
      <c r="E2227">
        <v>121.498</v>
      </c>
      <c r="F2227">
        <f t="shared" si="139"/>
        <v>-54.498000000000005</v>
      </c>
      <c r="G2227">
        <v>303.3</v>
      </c>
      <c r="H2227">
        <v>1.64</v>
      </c>
      <c r="I2227">
        <v>0.54100000000000004</v>
      </c>
      <c r="J2227">
        <v>10</v>
      </c>
      <c r="K2227">
        <v>48</v>
      </c>
      <c r="L2227">
        <v>24</v>
      </c>
      <c r="M2227" s="1">
        <v>9000000000</v>
      </c>
    </row>
    <row r="2228" spans="1:13" ht="15" customHeight="1">
      <c r="A2228" t="s">
        <v>28</v>
      </c>
      <c r="B2228">
        <f t="shared" si="136"/>
        <v>33.718353</v>
      </c>
      <c r="C2228">
        <f t="shared" si="137"/>
        <v>-117.85274699999999</v>
      </c>
      <c r="D2228">
        <f t="shared" si="138"/>
        <v>67</v>
      </c>
      <c r="E2228">
        <v>122.498</v>
      </c>
      <c r="F2228">
        <f t="shared" si="139"/>
        <v>-55.498000000000005</v>
      </c>
      <c r="G2228">
        <v>338.66699999999997</v>
      </c>
      <c r="H2228">
        <v>2.665</v>
      </c>
      <c r="I2228">
        <v>0.78700000000000003</v>
      </c>
      <c r="J2228">
        <v>10</v>
      </c>
      <c r="K2228">
        <v>54</v>
      </c>
      <c r="L2228">
        <v>27</v>
      </c>
      <c r="M2228" s="1">
        <v>9000000000</v>
      </c>
    </row>
    <row r="2229" spans="1:13" ht="15" customHeight="1">
      <c r="A2229" t="s">
        <v>28</v>
      </c>
      <c r="B2229">
        <f t="shared" si="136"/>
        <v>33.718353</v>
      </c>
      <c r="C2229">
        <f t="shared" si="137"/>
        <v>-117.85274699999999</v>
      </c>
      <c r="D2229">
        <f t="shared" si="138"/>
        <v>67</v>
      </c>
      <c r="E2229">
        <v>123.498</v>
      </c>
      <c r="F2229">
        <f t="shared" si="139"/>
        <v>-56.498000000000005</v>
      </c>
      <c r="G2229">
        <v>319.96699999999998</v>
      </c>
      <c r="H2229">
        <v>3.4470000000000001</v>
      </c>
      <c r="I2229">
        <v>1.075</v>
      </c>
      <c r="J2229">
        <v>9</v>
      </c>
      <c r="K2229">
        <v>61</v>
      </c>
      <c r="L2229">
        <v>31</v>
      </c>
      <c r="M2229" s="1">
        <v>9000000000</v>
      </c>
    </row>
    <row r="2230" spans="1:13" ht="15" customHeight="1">
      <c r="A2230" t="s">
        <v>28</v>
      </c>
      <c r="B2230">
        <f t="shared" si="136"/>
        <v>33.718353</v>
      </c>
      <c r="C2230">
        <f t="shared" si="137"/>
        <v>-117.85274699999999</v>
      </c>
      <c r="D2230">
        <f t="shared" si="138"/>
        <v>67</v>
      </c>
      <c r="E2230">
        <v>124.498</v>
      </c>
      <c r="F2230">
        <f t="shared" si="139"/>
        <v>-57.498000000000005</v>
      </c>
      <c r="G2230">
        <v>325.25</v>
      </c>
      <c r="H2230">
        <v>3.5779999999999998</v>
      </c>
      <c r="I2230">
        <v>1.0980000000000001</v>
      </c>
      <c r="J2230">
        <v>9</v>
      </c>
      <c r="K2230">
        <v>62</v>
      </c>
      <c r="L2230">
        <v>31</v>
      </c>
      <c r="M2230" s="1">
        <v>9000000000</v>
      </c>
    </row>
    <row r="2231" spans="1:13" ht="15" customHeight="1">
      <c r="A2231" t="s">
        <v>28</v>
      </c>
      <c r="B2231">
        <f t="shared" si="136"/>
        <v>33.718353</v>
      </c>
      <c r="C2231">
        <f t="shared" si="137"/>
        <v>-117.85274699999999</v>
      </c>
      <c r="D2231">
        <f t="shared" si="138"/>
        <v>67</v>
      </c>
      <c r="E2231">
        <v>125.498</v>
      </c>
      <c r="F2231">
        <f t="shared" si="139"/>
        <v>-58.498000000000005</v>
      </c>
      <c r="G2231">
        <v>317.22899999999998</v>
      </c>
      <c r="H2231">
        <v>4.7869999999999999</v>
      </c>
      <c r="I2231">
        <v>1.5069999999999999</v>
      </c>
      <c r="J2231">
        <v>8</v>
      </c>
      <c r="K2231">
        <v>76</v>
      </c>
      <c r="L2231">
        <v>38</v>
      </c>
      <c r="M2231" s="1">
        <v>9000000000</v>
      </c>
    </row>
    <row r="2232" spans="1:13" ht="15" customHeight="1">
      <c r="A2232" t="s">
        <v>28</v>
      </c>
      <c r="B2232">
        <f t="shared" si="136"/>
        <v>33.718353</v>
      </c>
      <c r="C2232">
        <f t="shared" si="137"/>
        <v>-117.85274699999999</v>
      </c>
      <c r="D2232">
        <f t="shared" si="138"/>
        <v>67</v>
      </c>
      <c r="E2232">
        <v>126.498</v>
      </c>
      <c r="F2232">
        <f t="shared" si="139"/>
        <v>-59.498000000000005</v>
      </c>
      <c r="G2232">
        <v>192.31700000000001</v>
      </c>
      <c r="H2232">
        <v>7.1319999999999997</v>
      </c>
      <c r="I2232">
        <v>3.7120000000000002</v>
      </c>
      <c r="J2232">
        <v>12</v>
      </c>
      <c r="K2232">
        <v>92</v>
      </c>
      <c r="L2232">
        <v>46</v>
      </c>
      <c r="M2232" s="1">
        <v>9000000000</v>
      </c>
    </row>
    <row r="2233" spans="1:13" ht="15" customHeight="1">
      <c r="A2233" t="s">
        <v>28</v>
      </c>
      <c r="B2233">
        <f t="shared" si="136"/>
        <v>33.718353</v>
      </c>
      <c r="C2233">
        <f t="shared" si="137"/>
        <v>-117.85274699999999</v>
      </c>
      <c r="D2233">
        <f t="shared" si="138"/>
        <v>67</v>
      </c>
      <c r="E2233">
        <v>127.498</v>
      </c>
      <c r="F2233">
        <f t="shared" si="139"/>
        <v>-60.498000000000005</v>
      </c>
      <c r="G2233">
        <v>153.833</v>
      </c>
      <c r="H2233">
        <v>4.1120000000000001</v>
      </c>
      <c r="I2233">
        <v>2.6760000000000002</v>
      </c>
      <c r="J2233">
        <v>7</v>
      </c>
      <c r="K2233">
        <v>49</v>
      </c>
      <c r="L2233">
        <v>25</v>
      </c>
      <c r="M2233" s="1">
        <v>9000000000</v>
      </c>
    </row>
    <row r="2234" spans="1:13" ht="15" customHeight="1">
      <c r="A2234" t="s">
        <v>28</v>
      </c>
      <c r="B2234">
        <f t="shared" si="136"/>
        <v>33.718353</v>
      </c>
      <c r="C2234">
        <f t="shared" si="137"/>
        <v>-117.85274699999999</v>
      </c>
      <c r="D2234">
        <f t="shared" si="138"/>
        <v>67</v>
      </c>
      <c r="E2234">
        <v>128.49799999999999</v>
      </c>
      <c r="F2234">
        <f t="shared" si="139"/>
        <v>-61.49799999999999</v>
      </c>
      <c r="G2234">
        <v>271.33300000000003</v>
      </c>
      <c r="H2234">
        <v>4.2080000000000002</v>
      </c>
      <c r="I2234">
        <v>1.552</v>
      </c>
      <c r="J2234">
        <v>8</v>
      </c>
      <c r="K2234">
        <v>65</v>
      </c>
      <c r="L2234">
        <v>33</v>
      </c>
      <c r="M2234" s="1">
        <v>9000000000</v>
      </c>
    </row>
    <row r="2235" spans="1:13" ht="15" customHeight="1">
      <c r="A2235" t="s">
        <v>28</v>
      </c>
      <c r="B2235">
        <f t="shared" si="136"/>
        <v>33.718353</v>
      </c>
      <c r="C2235">
        <f t="shared" si="137"/>
        <v>-117.85274699999999</v>
      </c>
      <c r="D2235">
        <f t="shared" si="138"/>
        <v>67</v>
      </c>
      <c r="E2235">
        <v>129.49799999999999</v>
      </c>
      <c r="F2235">
        <f t="shared" si="139"/>
        <v>-62.49799999999999</v>
      </c>
      <c r="G2235">
        <v>294.58300000000003</v>
      </c>
      <c r="H2235">
        <v>4.7569999999999997</v>
      </c>
      <c r="I2235">
        <v>1.6160000000000001</v>
      </c>
      <c r="J2235">
        <v>8</v>
      </c>
      <c r="K2235">
        <v>70</v>
      </c>
      <c r="L2235">
        <v>35</v>
      </c>
      <c r="M2235" s="1">
        <v>9000000000</v>
      </c>
    </row>
    <row r="2236" spans="1:13" ht="15" customHeight="1">
      <c r="A2236" t="s">
        <v>28</v>
      </c>
      <c r="B2236">
        <f t="shared" si="136"/>
        <v>33.718353</v>
      </c>
      <c r="C2236">
        <f t="shared" si="137"/>
        <v>-117.85274699999999</v>
      </c>
      <c r="D2236">
        <f t="shared" si="138"/>
        <v>67</v>
      </c>
      <c r="E2236">
        <v>130.49799999999999</v>
      </c>
      <c r="F2236">
        <f t="shared" si="139"/>
        <v>-63.49799999999999</v>
      </c>
      <c r="G2236">
        <v>298.10000000000002</v>
      </c>
      <c r="H2236">
        <v>0</v>
      </c>
      <c r="I2236">
        <v>0</v>
      </c>
      <c r="J2236">
        <v>10</v>
      </c>
      <c r="K2236" s="1">
        <v>9000000000</v>
      </c>
      <c r="L2236" s="1">
        <v>9000000000</v>
      </c>
      <c r="M2236" s="1">
        <v>9000000000</v>
      </c>
    </row>
    <row r="2237" spans="1:13" ht="15" customHeight="1">
      <c r="A2237" t="s">
        <v>29</v>
      </c>
      <c r="B2237" t="e">
        <f t="shared" si="136"/>
        <v>#N/A</v>
      </c>
      <c r="C2237" t="e">
        <f t="shared" si="137"/>
        <v>#N/A</v>
      </c>
      <c r="D2237" t="e">
        <f t="shared" si="138"/>
        <v>#N/A</v>
      </c>
      <c r="E2237">
        <v>0.5</v>
      </c>
      <c r="F2237" t="e">
        <f t="shared" si="139"/>
        <v>#N/A</v>
      </c>
      <c r="G2237">
        <v>4.1669999999999998</v>
      </c>
      <c r="H2237">
        <v>3.3000000000000002E-2</v>
      </c>
      <c r="I2237">
        <v>0.8</v>
      </c>
      <c r="J2237">
        <v>1</v>
      </c>
      <c r="K2237">
        <v>2</v>
      </c>
      <c r="L2237">
        <v>3</v>
      </c>
      <c r="M2237">
        <v>0.27600000000000002</v>
      </c>
    </row>
    <row r="2238" spans="1:13" ht="15" customHeight="1">
      <c r="A2238" t="s">
        <v>29</v>
      </c>
      <c r="B2238" t="e">
        <f t="shared" si="136"/>
        <v>#N/A</v>
      </c>
      <c r="C2238" t="e">
        <f t="shared" si="137"/>
        <v>#N/A</v>
      </c>
      <c r="D2238" t="e">
        <f t="shared" si="138"/>
        <v>#N/A</v>
      </c>
      <c r="E2238">
        <v>1.5</v>
      </c>
      <c r="F2238" t="e">
        <f t="shared" si="139"/>
        <v>#N/A</v>
      </c>
      <c r="G2238">
        <v>24.716999999999999</v>
      </c>
      <c r="H2238">
        <v>0.313</v>
      </c>
      <c r="I2238">
        <v>1.2669999999999999</v>
      </c>
      <c r="J2238">
        <v>6</v>
      </c>
      <c r="K2238">
        <v>9</v>
      </c>
      <c r="L2238">
        <v>14</v>
      </c>
      <c r="M2238">
        <v>1.643</v>
      </c>
    </row>
    <row r="2239" spans="1:13" ht="15" customHeight="1">
      <c r="A2239" t="s">
        <v>29</v>
      </c>
      <c r="B2239" t="e">
        <f t="shared" si="136"/>
        <v>#N/A</v>
      </c>
      <c r="C2239" t="e">
        <f t="shared" si="137"/>
        <v>#N/A</v>
      </c>
      <c r="D2239" t="e">
        <f t="shared" si="138"/>
        <v>#N/A</v>
      </c>
      <c r="E2239">
        <v>2.5</v>
      </c>
      <c r="F2239" t="e">
        <f t="shared" si="139"/>
        <v>#N/A</v>
      </c>
      <c r="G2239">
        <v>16.95</v>
      </c>
      <c r="H2239">
        <v>0.60199999999999998</v>
      </c>
      <c r="I2239">
        <v>3.5459999999999998</v>
      </c>
      <c r="J2239">
        <v>4</v>
      </c>
      <c r="K2239">
        <v>11</v>
      </c>
      <c r="L2239">
        <v>17</v>
      </c>
      <c r="M2239">
        <v>1.1220000000000001</v>
      </c>
    </row>
    <row r="2240" spans="1:13" ht="15" customHeight="1">
      <c r="A2240" t="s">
        <v>29</v>
      </c>
      <c r="B2240" t="e">
        <f t="shared" si="136"/>
        <v>#N/A</v>
      </c>
      <c r="C2240" t="e">
        <f t="shared" si="137"/>
        <v>#N/A</v>
      </c>
      <c r="D2240" t="e">
        <f t="shared" si="138"/>
        <v>#N/A</v>
      </c>
      <c r="E2240">
        <v>3.5</v>
      </c>
      <c r="F2240" t="e">
        <f t="shared" si="139"/>
        <v>#N/A</v>
      </c>
      <c r="G2240">
        <v>13.882999999999999</v>
      </c>
      <c r="H2240">
        <v>0.432</v>
      </c>
      <c r="I2240">
        <v>3.109</v>
      </c>
      <c r="J2240">
        <v>4</v>
      </c>
      <c r="K2240">
        <v>9</v>
      </c>
      <c r="L2240">
        <v>14</v>
      </c>
      <c r="M2240">
        <v>0.91200000000000003</v>
      </c>
    </row>
    <row r="2241" spans="1:13" ht="15" customHeight="1">
      <c r="A2241" t="s">
        <v>29</v>
      </c>
      <c r="B2241" t="e">
        <f t="shared" si="136"/>
        <v>#N/A</v>
      </c>
      <c r="C2241" t="e">
        <f t="shared" si="137"/>
        <v>#N/A</v>
      </c>
      <c r="D2241" t="e">
        <f t="shared" si="138"/>
        <v>#N/A</v>
      </c>
      <c r="E2241">
        <v>4.5</v>
      </c>
      <c r="F2241" t="e">
        <f t="shared" si="139"/>
        <v>#N/A</v>
      </c>
      <c r="G2241">
        <v>15.183</v>
      </c>
      <c r="H2241">
        <v>0.54200000000000004</v>
      </c>
      <c r="I2241">
        <v>3.5680000000000001</v>
      </c>
      <c r="J2241">
        <v>4</v>
      </c>
      <c r="K2241">
        <v>10</v>
      </c>
      <c r="L2241">
        <v>15</v>
      </c>
      <c r="M2241">
        <v>0.995</v>
      </c>
    </row>
    <row r="2242" spans="1:13" ht="15" customHeight="1">
      <c r="A2242" t="s">
        <v>29</v>
      </c>
      <c r="B2242" t="e">
        <f t="shared" ref="B2242:B2305" si="140">VLOOKUP(A2242,XYdata,3,FALSE)</f>
        <v>#N/A</v>
      </c>
      <c r="C2242" t="e">
        <f t="shared" ref="C2242:C2305" si="141">VLOOKUP(A2242,XYdata,2,FALSE)</f>
        <v>#N/A</v>
      </c>
      <c r="D2242" t="e">
        <f t="shared" ref="D2242:D2305" si="142">VLOOKUP(A2242,Elevation,2,FALSE)</f>
        <v>#N/A</v>
      </c>
      <c r="E2242">
        <v>5.5</v>
      </c>
      <c r="F2242" t="e">
        <f t="shared" si="139"/>
        <v>#N/A</v>
      </c>
      <c r="G2242">
        <v>10.45</v>
      </c>
      <c r="H2242">
        <v>0.28999999999999998</v>
      </c>
      <c r="I2242">
        <v>2.7749999999999999</v>
      </c>
      <c r="J2242">
        <v>4</v>
      </c>
      <c r="K2242">
        <v>7</v>
      </c>
      <c r="L2242">
        <v>11</v>
      </c>
      <c r="M2242">
        <v>0.67500000000000004</v>
      </c>
    </row>
    <row r="2243" spans="1:13" ht="15" customHeight="1">
      <c r="A2243" t="s">
        <v>29</v>
      </c>
      <c r="B2243" t="e">
        <f t="shared" si="140"/>
        <v>#N/A</v>
      </c>
      <c r="C2243" t="e">
        <f t="shared" si="141"/>
        <v>#N/A</v>
      </c>
      <c r="D2243" t="e">
        <f t="shared" si="142"/>
        <v>#N/A</v>
      </c>
      <c r="E2243">
        <v>6.5</v>
      </c>
      <c r="F2243" t="e">
        <f t="shared" ref="F2243:F2306" si="143">D2243-E2243</f>
        <v>#N/A</v>
      </c>
      <c r="G2243">
        <v>9.8330000000000002</v>
      </c>
      <c r="H2243">
        <v>0.32800000000000001</v>
      </c>
      <c r="I2243">
        <v>3.339</v>
      </c>
      <c r="J2243">
        <v>4</v>
      </c>
      <c r="K2243">
        <v>6</v>
      </c>
      <c r="L2243">
        <v>9</v>
      </c>
      <c r="M2243">
        <v>0.63</v>
      </c>
    </row>
    <row r="2244" spans="1:13" ht="15" customHeight="1">
      <c r="A2244" t="s">
        <v>29</v>
      </c>
      <c r="B2244" t="e">
        <f t="shared" si="140"/>
        <v>#N/A</v>
      </c>
      <c r="C2244" t="e">
        <f t="shared" si="141"/>
        <v>#N/A</v>
      </c>
      <c r="D2244" t="e">
        <f t="shared" si="142"/>
        <v>#N/A</v>
      </c>
      <c r="E2244">
        <v>7.5</v>
      </c>
      <c r="F2244" t="e">
        <f t="shared" si="143"/>
        <v>#N/A</v>
      </c>
      <c r="G2244">
        <v>14.782999999999999</v>
      </c>
      <c r="H2244">
        <v>0.35799999999999998</v>
      </c>
      <c r="I2244">
        <v>2.4079999999999999</v>
      </c>
      <c r="J2244">
        <v>5</v>
      </c>
      <c r="K2244">
        <v>7</v>
      </c>
      <c r="L2244">
        <v>11</v>
      </c>
      <c r="M2244">
        <v>0.96299999999999997</v>
      </c>
    </row>
    <row r="2245" spans="1:13" ht="15" customHeight="1">
      <c r="A2245" t="s">
        <v>29</v>
      </c>
      <c r="B2245" t="e">
        <f t="shared" si="140"/>
        <v>#N/A</v>
      </c>
      <c r="C2245" t="e">
        <f t="shared" si="141"/>
        <v>#N/A</v>
      </c>
      <c r="D2245" t="e">
        <f t="shared" si="142"/>
        <v>#N/A</v>
      </c>
      <c r="E2245">
        <v>8.5</v>
      </c>
      <c r="F2245" t="e">
        <f t="shared" si="143"/>
        <v>#N/A</v>
      </c>
      <c r="G2245">
        <v>15.617000000000001</v>
      </c>
      <c r="H2245">
        <v>0.307</v>
      </c>
      <c r="I2245">
        <v>1.9450000000000001</v>
      </c>
      <c r="J2245">
        <v>5</v>
      </c>
      <c r="K2245">
        <v>8</v>
      </c>
      <c r="L2245">
        <v>12</v>
      </c>
      <c r="M2245">
        <v>1.018</v>
      </c>
    </row>
    <row r="2246" spans="1:13" ht="15" customHeight="1">
      <c r="A2246" t="s">
        <v>29</v>
      </c>
      <c r="B2246" t="e">
        <f t="shared" si="140"/>
        <v>#N/A</v>
      </c>
      <c r="C2246" t="e">
        <f t="shared" si="141"/>
        <v>#N/A</v>
      </c>
      <c r="D2246" t="e">
        <f t="shared" si="142"/>
        <v>#N/A</v>
      </c>
      <c r="E2246">
        <v>9.5</v>
      </c>
      <c r="F2246" t="e">
        <f t="shared" si="143"/>
        <v>#N/A</v>
      </c>
      <c r="G2246">
        <v>8.7330000000000005</v>
      </c>
      <c r="H2246">
        <v>0.218</v>
      </c>
      <c r="I2246">
        <v>2.472</v>
      </c>
      <c r="J2246">
        <v>4</v>
      </c>
      <c r="K2246">
        <v>6</v>
      </c>
      <c r="L2246">
        <v>9</v>
      </c>
      <c r="M2246">
        <v>0.55100000000000005</v>
      </c>
    </row>
    <row r="2247" spans="1:13" ht="15" customHeight="1">
      <c r="A2247" t="s">
        <v>29</v>
      </c>
      <c r="B2247" t="e">
        <f t="shared" si="140"/>
        <v>#N/A</v>
      </c>
      <c r="C2247" t="e">
        <f t="shared" si="141"/>
        <v>#N/A</v>
      </c>
      <c r="D2247" t="e">
        <f t="shared" si="142"/>
        <v>#N/A</v>
      </c>
      <c r="E2247">
        <v>10.5</v>
      </c>
      <c r="F2247" t="e">
        <f t="shared" si="143"/>
        <v>#N/A</v>
      </c>
      <c r="G2247">
        <v>10.914</v>
      </c>
      <c r="H2247">
        <v>0.31900000000000001</v>
      </c>
      <c r="I2247">
        <v>2.8919999999999999</v>
      </c>
      <c r="J2247">
        <v>4</v>
      </c>
      <c r="K2247">
        <v>7</v>
      </c>
      <c r="L2247">
        <v>10</v>
      </c>
      <c r="M2247">
        <v>0.69299999999999995</v>
      </c>
    </row>
    <row r="2248" spans="1:13" ht="15" customHeight="1">
      <c r="A2248" t="s">
        <v>29</v>
      </c>
      <c r="B2248" t="e">
        <f t="shared" si="140"/>
        <v>#N/A</v>
      </c>
      <c r="C2248" t="e">
        <f t="shared" si="141"/>
        <v>#N/A</v>
      </c>
      <c r="D2248" t="e">
        <f t="shared" si="142"/>
        <v>#N/A</v>
      </c>
      <c r="E2248">
        <v>11.5</v>
      </c>
      <c r="F2248" t="e">
        <f t="shared" si="143"/>
        <v>#N/A</v>
      </c>
      <c r="G2248">
        <v>8.65</v>
      </c>
      <c r="H2248">
        <v>0.29299999999999998</v>
      </c>
      <c r="I2248">
        <v>3.3650000000000002</v>
      </c>
      <c r="J2248">
        <v>3</v>
      </c>
      <c r="K2248">
        <v>8</v>
      </c>
      <c r="L2248">
        <v>11</v>
      </c>
      <c r="M2248">
        <v>0.53600000000000003</v>
      </c>
    </row>
    <row r="2249" spans="1:13" ht="15" customHeight="1">
      <c r="A2249" t="s">
        <v>29</v>
      </c>
      <c r="B2249" t="e">
        <f t="shared" si="140"/>
        <v>#N/A</v>
      </c>
      <c r="C2249" t="e">
        <f t="shared" si="141"/>
        <v>#N/A</v>
      </c>
      <c r="D2249" t="e">
        <f t="shared" si="142"/>
        <v>#N/A</v>
      </c>
      <c r="E2249">
        <v>12.5</v>
      </c>
      <c r="F2249" t="e">
        <f t="shared" si="143"/>
        <v>#N/A</v>
      </c>
      <c r="G2249">
        <v>8.1170000000000009</v>
      </c>
      <c r="H2249">
        <v>0.26200000000000001</v>
      </c>
      <c r="I2249">
        <v>3.2040000000000002</v>
      </c>
      <c r="J2249">
        <v>3</v>
      </c>
      <c r="K2249">
        <v>8</v>
      </c>
      <c r="L2249">
        <v>10</v>
      </c>
      <c r="M2249">
        <v>0.495</v>
      </c>
    </row>
    <row r="2250" spans="1:13" ht="15" customHeight="1">
      <c r="A2250" t="s">
        <v>29</v>
      </c>
      <c r="B2250" t="e">
        <f t="shared" si="140"/>
        <v>#N/A</v>
      </c>
      <c r="C2250" t="e">
        <f t="shared" si="141"/>
        <v>#N/A</v>
      </c>
      <c r="D2250" t="e">
        <f t="shared" si="142"/>
        <v>#N/A</v>
      </c>
      <c r="E2250">
        <v>13.5</v>
      </c>
      <c r="F2250" t="e">
        <f t="shared" si="143"/>
        <v>#N/A</v>
      </c>
      <c r="G2250">
        <v>7.1</v>
      </c>
      <c r="H2250">
        <v>0.13700000000000001</v>
      </c>
      <c r="I2250">
        <v>1.9159999999999999</v>
      </c>
      <c r="J2250">
        <v>4</v>
      </c>
      <c r="K2250">
        <v>5</v>
      </c>
      <c r="L2250">
        <v>6</v>
      </c>
      <c r="M2250">
        <v>0.42199999999999999</v>
      </c>
    </row>
    <row r="2251" spans="1:13" ht="15" customHeight="1">
      <c r="A2251" t="s">
        <v>29</v>
      </c>
      <c r="B2251" t="e">
        <f t="shared" si="140"/>
        <v>#N/A</v>
      </c>
      <c r="C2251" t="e">
        <f t="shared" si="141"/>
        <v>#N/A</v>
      </c>
      <c r="D2251" t="e">
        <f t="shared" si="142"/>
        <v>#N/A</v>
      </c>
      <c r="E2251">
        <v>14.5</v>
      </c>
      <c r="F2251" t="e">
        <f t="shared" si="143"/>
        <v>#N/A</v>
      </c>
      <c r="G2251">
        <v>9.1829999999999998</v>
      </c>
      <c r="H2251">
        <v>0.21</v>
      </c>
      <c r="I2251">
        <v>2.278</v>
      </c>
      <c r="J2251">
        <v>4</v>
      </c>
      <c r="K2251">
        <v>6</v>
      </c>
      <c r="L2251">
        <v>7</v>
      </c>
      <c r="M2251">
        <v>0.55700000000000005</v>
      </c>
    </row>
    <row r="2252" spans="1:13" ht="15" customHeight="1">
      <c r="A2252" t="s">
        <v>29</v>
      </c>
      <c r="B2252" t="e">
        <f t="shared" si="140"/>
        <v>#N/A</v>
      </c>
      <c r="C2252" t="e">
        <f t="shared" si="141"/>
        <v>#N/A</v>
      </c>
      <c r="D2252" t="e">
        <f t="shared" si="142"/>
        <v>#N/A</v>
      </c>
      <c r="E2252">
        <v>15.5</v>
      </c>
      <c r="F2252" t="e">
        <f t="shared" si="143"/>
        <v>#N/A</v>
      </c>
      <c r="G2252">
        <v>13.117000000000001</v>
      </c>
      <c r="H2252">
        <v>0.41799999999999998</v>
      </c>
      <c r="I2252">
        <v>3.169</v>
      </c>
      <c r="J2252">
        <v>4</v>
      </c>
      <c r="K2252">
        <v>8</v>
      </c>
      <c r="L2252">
        <v>9</v>
      </c>
      <c r="M2252">
        <v>0.81799999999999995</v>
      </c>
    </row>
    <row r="2253" spans="1:13" ht="15" customHeight="1">
      <c r="A2253" t="s">
        <v>29</v>
      </c>
      <c r="B2253" t="e">
        <f t="shared" si="140"/>
        <v>#N/A</v>
      </c>
      <c r="C2253" t="e">
        <f t="shared" si="141"/>
        <v>#N/A</v>
      </c>
      <c r="D2253" t="e">
        <f t="shared" si="142"/>
        <v>#N/A</v>
      </c>
      <c r="E2253">
        <v>16.5</v>
      </c>
      <c r="F2253" t="e">
        <f t="shared" si="143"/>
        <v>#N/A</v>
      </c>
      <c r="G2253">
        <v>13.683</v>
      </c>
      <c r="H2253">
        <v>0.51</v>
      </c>
      <c r="I2253">
        <v>3.714</v>
      </c>
      <c r="J2253">
        <v>4</v>
      </c>
      <c r="K2253">
        <v>9</v>
      </c>
      <c r="L2253">
        <v>9</v>
      </c>
      <c r="M2253">
        <v>0.85</v>
      </c>
    </row>
    <row r="2254" spans="1:13" ht="15" customHeight="1">
      <c r="A2254" t="s">
        <v>29</v>
      </c>
      <c r="B2254" t="e">
        <f t="shared" si="140"/>
        <v>#N/A</v>
      </c>
      <c r="C2254" t="e">
        <f t="shared" si="141"/>
        <v>#N/A</v>
      </c>
      <c r="D2254" t="e">
        <f t="shared" si="142"/>
        <v>#N/A</v>
      </c>
      <c r="E2254">
        <v>17.5</v>
      </c>
      <c r="F2254" t="e">
        <f t="shared" si="143"/>
        <v>#N/A</v>
      </c>
      <c r="G2254">
        <v>9.9169999999999998</v>
      </c>
      <c r="H2254">
        <v>0.29799999999999999</v>
      </c>
      <c r="I2254">
        <v>2.9980000000000002</v>
      </c>
      <c r="J2254">
        <v>4</v>
      </c>
      <c r="K2254">
        <v>6</v>
      </c>
      <c r="L2254">
        <v>6</v>
      </c>
      <c r="M2254">
        <v>0.59399999999999997</v>
      </c>
    </row>
    <row r="2255" spans="1:13" ht="15" customHeight="1">
      <c r="A2255" t="s">
        <v>29</v>
      </c>
      <c r="B2255" t="e">
        <f t="shared" si="140"/>
        <v>#N/A</v>
      </c>
      <c r="C2255" t="e">
        <f t="shared" si="141"/>
        <v>#N/A</v>
      </c>
      <c r="D2255" t="e">
        <f t="shared" si="142"/>
        <v>#N/A</v>
      </c>
      <c r="E2255">
        <v>18.5</v>
      </c>
      <c r="F2255" t="e">
        <f t="shared" si="143"/>
        <v>#N/A</v>
      </c>
      <c r="G2255">
        <v>10.867000000000001</v>
      </c>
      <c r="H2255">
        <v>0.32700000000000001</v>
      </c>
      <c r="I2255">
        <v>2.988</v>
      </c>
      <c r="J2255">
        <v>4</v>
      </c>
      <c r="K2255">
        <v>7</v>
      </c>
      <c r="L2255">
        <v>6</v>
      </c>
      <c r="M2255">
        <v>0.65500000000000003</v>
      </c>
    </row>
    <row r="2256" spans="1:13" ht="15" customHeight="1">
      <c r="A2256" t="s">
        <v>29</v>
      </c>
      <c r="B2256" t="e">
        <f t="shared" si="140"/>
        <v>#N/A</v>
      </c>
      <c r="C2256" t="e">
        <f t="shared" si="141"/>
        <v>#N/A</v>
      </c>
      <c r="D2256" t="e">
        <f t="shared" si="142"/>
        <v>#N/A</v>
      </c>
      <c r="E2256">
        <v>19.5</v>
      </c>
      <c r="F2256" t="e">
        <f t="shared" si="143"/>
        <v>#N/A</v>
      </c>
      <c r="G2256">
        <v>11.667</v>
      </c>
      <c r="H2256">
        <v>0.33200000000000002</v>
      </c>
      <c r="I2256">
        <v>2.831</v>
      </c>
      <c r="J2256">
        <v>4</v>
      </c>
      <c r="K2256">
        <v>7</v>
      </c>
      <c r="L2256">
        <v>6</v>
      </c>
      <c r="M2256">
        <v>0.70399999999999996</v>
      </c>
    </row>
    <row r="2257" spans="1:13" ht="15" customHeight="1">
      <c r="A2257" t="s">
        <v>29</v>
      </c>
      <c r="B2257" t="e">
        <f t="shared" si="140"/>
        <v>#N/A</v>
      </c>
      <c r="C2257" t="e">
        <f t="shared" si="141"/>
        <v>#N/A</v>
      </c>
      <c r="D2257" t="e">
        <f t="shared" si="142"/>
        <v>#N/A</v>
      </c>
      <c r="E2257">
        <v>20.5</v>
      </c>
      <c r="F2257" t="e">
        <f t="shared" si="143"/>
        <v>#N/A</v>
      </c>
      <c r="G2257">
        <v>10.871</v>
      </c>
      <c r="H2257">
        <v>0.31</v>
      </c>
      <c r="I2257">
        <v>2.8370000000000002</v>
      </c>
      <c r="J2257">
        <v>4</v>
      </c>
      <c r="K2257">
        <v>7</v>
      </c>
      <c r="L2257">
        <v>6</v>
      </c>
      <c r="M2257">
        <v>0.64700000000000002</v>
      </c>
    </row>
    <row r="2258" spans="1:13" ht="15" customHeight="1">
      <c r="A2258" t="s">
        <v>29</v>
      </c>
      <c r="B2258" t="e">
        <f t="shared" si="140"/>
        <v>#N/A</v>
      </c>
      <c r="C2258" t="e">
        <f t="shared" si="141"/>
        <v>#N/A</v>
      </c>
      <c r="D2258" t="e">
        <f t="shared" si="142"/>
        <v>#N/A</v>
      </c>
      <c r="E2258">
        <v>21.5</v>
      </c>
      <c r="F2258" t="e">
        <f t="shared" si="143"/>
        <v>#N/A</v>
      </c>
      <c r="G2258">
        <v>21.882999999999999</v>
      </c>
      <c r="H2258">
        <v>0.23799999999999999</v>
      </c>
      <c r="I2258">
        <v>1.089</v>
      </c>
      <c r="J2258">
        <v>6</v>
      </c>
      <c r="K2258">
        <v>8</v>
      </c>
      <c r="L2258">
        <v>7</v>
      </c>
      <c r="M2258">
        <v>1.373</v>
      </c>
    </row>
    <row r="2259" spans="1:13" ht="15" customHeight="1">
      <c r="A2259" t="s">
        <v>29</v>
      </c>
      <c r="B2259" t="e">
        <f t="shared" si="140"/>
        <v>#N/A</v>
      </c>
      <c r="C2259" t="e">
        <f t="shared" si="141"/>
        <v>#N/A</v>
      </c>
      <c r="D2259" t="e">
        <f t="shared" si="142"/>
        <v>#N/A</v>
      </c>
      <c r="E2259">
        <v>22.5</v>
      </c>
      <c r="F2259" t="e">
        <f t="shared" si="143"/>
        <v>#N/A</v>
      </c>
      <c r="G2259">
        <v>18.149999999999999</v>
      </c>
      <c r="H2259">
        <v>0.27300000000000002</v>
      </c>
      <c r="I2259">
        <v>1.51</v>
      </c>
      <c r="J2259">
        <v>6</v>
      </c>
      <c r="K2259">
        <v>7</v>
      </c>
      <c r="L2259">
        <v>6</v>
      </c>
      <c r="M2259">
        <v>1.117</v>
      </c>
    </row>
    <row r="2260" spans="1:13" ht="15" customHeight="1">
      <c r="A2260" t="s">
        <v>29</v>
      </c>
      <c r="B2260" t="e">
        <f t="shared" si="140"/>
        <v>#N/A</v>
      </c>
      <c r="C2260" t="e">
        <f t="shared" si="141"/>
        <v>#N/A</v>
      </c>
      <c r="D2260" t="e">
        <f t="shared" si="142"/>
        <v>#N/A</v>
      </c>
      <c r="E2260">
        <v>23.5</v>
      </c>
      <c r="F2260" t="e">
        <f t="shared" si="143"/>
        <v>#N/A</v>
      </c>
      <c r="G2260">
        <v>36.417000000000002</v>
      </c>
      <c r="H2260">
        <v>0.22700000000000001</v>
      </c>
      <c r="I2260">
        <v>0.624</v>
      </c>
      <c r="J2260">
        <v>7</v>
      </c>
      <c r="K2260">
        <v>12</v>
      </c>
      <c r="L2260">
        <v>9</v>
      </c>
      <c r="M2260" s="1">
        <v>9000000000</v>
      </c>
    </row>
    <row r="2261" spans="1:13" ht="15" customHeight="1">
      <c r="A2261" t="s">
        <v>29</v>
      </c>
      <c r="B2261" t="e">
        <f t="shared" si="140"/>
        <v>#N/A</v>
      </c>
      <c r="C2261" t="e">
        <f t="shared" si="141"/>
        <v>#N/A</v>
      </c>
      <c r="D2261" t="e">
        <f t="shared" si="142"/>
        <v>#N/A</v>
      </c>
      <c r="E2261">
        <v>24.5</v>
      </c>
      <c r="F2261" t="e">
        <f t="shared" si="143"/>
        <v>#N/A</v>
      </c>
      <c r="G2261">
        <v>47.45</v>
      </c>
      <c r="H2261">
        <v>0.40300000000000002</v>
      </c>
      <c r="I2261">
        <v>0.85299999999999998</v>
      </c>
      <c r="J2261">
        <v>7</v>
      </c>
      <c r="K2261">
        <v>15</v>
      </c>
      <c r="L2261">
        <v>11</v>
      </c>
      <c r="M2261" s="1">
        <v>9000000000</v>
      </c>
    </row>
    <row r="2262" spans="1:13" ht="15" customHeight="1">
      <c r="A2262" t="s">
        <v>29</v>
      </c>
      <c r="B2262" t="e">
        <f t="shared" si="140"/>
        <v>#N/A</v>
      </c>
      <c r="C2262" t="e">
        <f t="shared" si="141"/>
        <v>#N/A</v>
      </c>
      <c r="D2262" t="e">
        <f t="shared" si="142"/>
        <v>#N/A</v>
      </c>
      <c r="E2262">
        <v>25.5</v>
      </c>
      <c r="F2262" t="e">
        <f t="shared" si="143"/>
        <v>#N/A</v>
      </c>
      <c r="G2262">
        <v>9.85</v>
      </c>
      <c r="H2262">
        <v>0.27300000000000002</v>
      </c>
      <c r="I2262">
        <v>2.8029999999999999</v>
      </c>
      <c r="J2262">
        <v>4</v>
      </c>
      <c r="K2262">
        <v>6</v>
      </c>
      <c r="L2262">
        <v>4</v>
      </c>
      <c r="M2262">
        <v>0.54800000000000004</v>
      </c>
    </row>
    <row r="2263" spans="1:13" ht="15" customHeight="1">
      <c r="A2263" t="s">
        <v>29</v>
      </c>
      <c r="B2263" t="e">
        <f t="shared" si="140"/>
        <v>#N/A</v>
      </c>
      <c r="C2263" t="e">
        <f t="shared" si="141"/>
        <v>#N/A</v>
      </c>
      <c r="D2263" t="e">
        <f t="shared" si="142"/>
        <v>#N/A</v>
      </c>
      <c r="E2263">
        <v>26.5</v>
      </c>
      <c r="F2263" t="e">
        <f t="shared" si="143"/>
        <v>#N/A</v>
      </c>
      <c r="G2263">
        <v>11.4</v>
      </c>
      <c r="H2263">
        <v>0.313</v>
      </c>
      <c r="I2263">
        <v>2.7650000000000001</v>
      </c>
      <c r="J2263">
        <v>4</v>
      </c>
      <c r="K2263">
        <v>7</v>
      </c>
      <c r="L2263">
        <v>5</v>
      </c>
      <c r="M2263">
        <v>0.65</v>
      </c>
    </row>
    <row r="2264" spans="1:13" ht="15" customHeight="1">
      <c r="A2264" t="s">
        <v>29</v>
      </c>
      <c r="B2264" t="e">
        <f t="shared" si="140"/>
        <v>#N/A</v>
      </c>
      <c r="C2264" t="e">
        <f t="shared" si="141"/>
        <v>#N/A</v>
      </c>
      <c r="D2264" t="e">
        <f t="shared" si="142"/>
        <v>#N/A</v>
      </c>
      <c r="E2264">
        <v>27.5</v>
      </c>
      <c r="F2264" t="e">
        <f t="shared" si="143"/>
        <v>#N/A</v>
      </c>
      <c r="G2264">
        <v>13.882999999999999</v>
      </c>
      <c r="H2264">
        <v>0.4</v>
      </c>
      <c r="I2264">
        <v>2.9020000000000001</v>
      </c>
      <c r="J2264">
        <v>5</v>
      </c>
      <c r="K2264">
        <v>7</v>
      </c>
      <c r="L2264">
        <v>5</v>
      </c>
      <c r="M2264">
        <v>0.80900000000000005</v>
      </c>
    </row>
    <row r="2265" spans="1:13" ht="15" customHeight="1">
      <c r="A2265" t="s">
        <v>29</v>
      </c>
      <c r="B2265" t="e">
        <f t="shared" si="140"/>
        <v>#N/A</v>
      </c>
      <c r="C2265" t="e">
        <f t="shared" si="141"/>
        <v>#N/A</v>
      </c>
      <c r="D2265" t="e">
        <f t="shared" si="142"/>
        <v>#N/A</v>
      </c>
      <c r="E2265">
        <v>28.5</v>
      </c>
      <c r="F2265" t="e">
        <f t="shared" si="143"/>
        <v>#N/A</v>
      </c>
      <c r="G2265">
        <v>9.8829999999999991</v>
      </c>
      <c r="H2265">
        <v>0.24299999999999999</v>
      </c>
      <c r="I2265">
        <v>2.4660000000000002</v>
      </c>
      <c r="J2265">
        <v>4</v>
      </c>
      <c r="K2265">
        <v>6</v>
      </c>
      <c r="L2265">
        <v>4</v>
      </c>
      <c r="M2265">
        <v>0.54400000000000004</v>
      </c>
    </row>
    <row r="2266" spans="1:13" ht="15" customHeight="1">
      <c r="A2266" t="s">
        <v>29</v>
      </c>
      <c r="B2266" t="e">
        <f t="shared" si="140"/>
        <v>#N/A</v>
      </c>
      <c r="C2266" t="e">
        <f t="shared" si="141"/>
        <v>#N/A</v>
      </c>
      <c r="D2266" t="e">
        <f t="shared" si="142"/>
        <v>#N/A</v>
      </c>
      <c r="E2266">
        <v>29.5</v>
      </c>
      <c r="F2266" t="e">
        <f t="shared" si="143"/>
        <v>#N/A</v>
      </c>
      <c r="G2266">
        <v>10.683</v>
      </c>
      <c r="H2266">
        <v>0.253</v>
      </c>
      <c r="I2266">
        <v>2.36</v>
      </c>
      <c r="J2266">
        <v>5</v>
      </c>
      <c r="K2266">
        <v>5</v>
      </c>
      <c r="L2266">
        <v>3</v>
      </c>
      <c r="M2266">
        <v>0.59799999999999998</v>
      </c>
    </row>
    <row r="2267" spans="1:13" ht="15" customHeight="1">
      <c r="A2267" t="s">
        <v>29</v>
      </c>
      <c r="B2267" t="e">
        <f t="shared" si="140"/>
        <v>#N/A</v>
      </c>
      <c r="C2267" t="e">
        <f t="shared" si="141"/>
        <v>#N/A</v>
      </c>
      <c r="D2267" t="e">
        <f t="shared" si="142"/>
        <v>#N/A</v>
      </c>
      <c r="E2267">
        <v>30.5</v>
      </c>
      <c r="F2267" t="e">
        <f t="shared" si="143"/>
        <v>#N/A</v>
      </c>
      <c r="G2267">
        <v>12.817</v>
      </c>
      <c r="H2267">
        <v>0.32700000000000001</v>
      </c>
      <c r="I2267">
        <v>2.5289999999999999</v>
      </c>
      <c r="J2267">
        <v>5</v>
      </c>
      <c r="K2267">
        <v>6</v>
      </c>
      <c r="L2267">
        <v>4</v>
      </c>
      <c r="M2267">
        <v>0.73899999999999999</v>
      </c>
    </row>
    <row r="2268" spans="1:13" ht="15" customHeight="1">
      <c r="A2268" t="s">
        <v>29</v>
      </c>
      <c r="B2268" t="e">
        <f t="shared" si="140"/>
        <v>#N/A</v>
      </c>
      <c r="C2268" t="e">
        <f t="shared" si="141"/>
        <v>#N/A</v>
      </c>
      <c r="D2268" t="e">
        <f t="shared" si="142"/>
        <v>#N/A</v>
      </c>
      <c r="E2268">
        <v>31.5</v>
      </c>
      <c r="F2268" t="e">
        <f t="shared" si="143"/>
        <v>#N/A</v>
      </c>
      <c r="G2268">
        <v>23.143000000000001</v>
      </c>
      <c r="H2268">
        <v>0.57099999999999995</v>
      </c>
      <c r="I2268">
        <v>2.4489999999999998</v>
      </c>
      <c r="J2268">
        <v>6</v>
      </c>
      <c r="K2268">
        <v>9</v>
      </c>
      <c r="L2268">
        <v>6</v>
      </c>
      <c r="M2268">
        <v>1.429</v>
      </c>
    </row>
    <row r="2269" spans="1:13" ht="15" customHeight="1">
      <c r="A2269" t="s">
        <v>29</v>
      </c>
      <c r="B2269" t="e">
        <f t="shared" si="140"/>
        <v>#N/A</v>
      </c>
      <c r="C2269" t="e">
        <f t="shared" si="141"/>
        <v>#N/A</v>
      </c>
      <c r="D2269" t="e">
        <f t="shared" si="142"/>
        <v>#N/A</v>
      </c>
      <c r="E2269">
        <v>32.5</v>
      </c>
      <c r="F2269" t="e">
        <f t="shared" si="143"/>
        <v>#N/A</v>
      </c>
      <c r="G2269">
        <v>46.433</v>
      </c>
      <c r="H2269">
        <v>1.7669999999999999</v>
      </c>
      <c r="I2269">
        <v>3.8090000000000002</v>
      </c>
      <c r="J2269">
        <v>5</v>
      </c>
      <c r="K2269">
        <v>22</v>
      </c>
      <c r="L2269">
        <v>15</v>
      </c>
      <c r="M2269">
        <v>2.9620000000000002</v>
      </c>
    </row>
    <row r="2270" spans="1:13" ht="15" customHeight="1">
      <c r="A2270" t="s">
        <v>29</v>
      </c>
      <c r="B2270" t="e">
        <f t="shared" si="140"/>
        <v>#N/A</v>
      </c>
      <c r="C2270" t="e">
        <f t="shared" si="141"/>
        <v>#N/A</v>
      </c>
      <c r="D2270" t="e">
        <f t="shared" si="142"/>
        <v>#N/A</v>
      </c>
      <c r="E2270">
        <v>33.5</v>
      </c>
      <c r="F2270" t="e">
        <f t="shared" si="143"/>
        <v>#N/A</v>
      </c>
      <c r="G2270">
        <v>20.567</v>
      </c>
      <c r="H2270">
        <v>0.84299999999999997</v>
      </c>
      <c r="I2270">
        <v>4.1210000000000004</v>
      </c>
      <c r="J2270">
        <v>4</v>
      </c>
      <c r="K2270">
        <v>13</v>
      </c>
      <c r="L2270">
        <v>8</v>
      </c>
      <c r="M2270">
        <v>1.23</v>
      </c>
    </row>
    <row r="2271" spans="1:13" ht="15" customHeight="1">
      <c r="A2271" t="s">
        <v>29</v>
      </c>
      <c r="B2271" t="e">
        <f t="shared" si="140"/>
        <v>#N/A</v>
      </c>
      <c r="C2271" t="e">
        <f t="shared" si="141"/>
        <v>#N/A</v>
      </c>
      <c r="D2271" t="e">
        <f t="shared" si="142"/>
        <v>#N/A</v>
      </c>
      <c r="E2271">
        <v>34.5</v>
      </c>
      <c r="F2271" t="e">
        <f t="shared" si="143"/>
        <v>#N/A</v>
      </c>
      <c r="G2271">
        <v>27.55</v>
      </c>
      <c r="H2271">
        <v>1.492</v>
      </c>
      <c r="I2271">
        <v>5.4340000000000002</v>
      </c>
      <c r="J2271">
        <v>3</v>
      </c>
      <c r="K2271">
        <v>26</v>
      </c>
      <c r="L2271">
        <v>17</v>
      </c>
      <c r="M2271">
        <v>1.6919999999999999</v>
      </c>
    </row>
    <row r="2272" spans="1:13" ht="15" customHeight="1">
      <c r="A2272" t="s">
        <v>29</v>
      </c>
      <c r="B2272" t="e">
        <f t="shared" si="140"/>
        <v>#N/A</v>
      </c>
      <c r="C2272" t="e">
        <f t="shared" si="141"/>
        <v>#N/A</v>
      </c>
      <c r="D2272" t="e">
        <f t="shared" si="142"/>
        <v>#N/A</v>
      </c>
      <c r="E2272">
        <v>35.5</v>
      </c>
      <c r="F2272" t="e">
        <f t="shared" si="143"/>
        <v>#N/A</v>
      </c>
      <c r="G2272">
        <v>17.983000000000001</v>
      </c>
      <c r="H2272">
        <v>0.82799999999999996</v>
      </c>
      <c r="I2272">
        <v>4.6280000000000001</v>
      </c>
      <c r="J2272">
        <v>3</v>
      </c>
      <c r="K2272">
        <v>17</v>
      </c>
      <c r="L2272">
        <v>11</v>
      </c>
      <c r="M2272">
        <v>1.0509999999999999</v>
      </c>
    </row>
    <row r="2273" spans="1:13" ht="15" customHeight="1">
      <c r="A2273" t="s">
        <v>29</v>
      </c>
      <c r="B2273" t="e">
        <f t="shared" si="140"/>
        <v>#N/A</v>
      </c>
      <c r="C2273" t="e">
        <f t="shared" si="141"/>
        <v>#N/A</v>
      </c>
      <c r="D2273" t="e">
        <f t="shared" si="142"/>
        <v>#N/A</v>
      </c>
      <c r="E2273">
        <v>36.5</v>
      </c>
      <c r="F2273" t="e">
        <f t="shared" si="143"/>
        <v>#N/A</v>
      </c>
      <c r="G2273">
        <v>10.050000000000001</v>
      </c>
      <c r="H2273">
        <v>0.26</v>
      </c>
      <c r="I2273">
        <v>2.613</v>
      </c>
      <c r="J2273">
        <v>4</v>
      </c>
      <c r="K2273">
        <v>6</v>
      </c>
      <c r="L2273">
        <v>4</v>
      </c>
      <c r="M2273">
        <v>0.51700000000000002</v>
      </c>
    </row>
    <row r="2274" spans="1:13" ht="15" customHeight="1">
      <c r="A2274" t="s">
        <v>29</v>
      </c>
      <c r="B2274" t="e">
        <f t="shared" si="140"/>
        <v>#N/A</v>
      </c>
      <c r="C2274" t="e">
        <f t="shared" si="141"/>
        <v>#N/A</v>
      </c>
      <c r="D2274" t="e">
        <f t="shared" si="142"/>
        <v>#N/A</v>
      </c>
      <c r="E2274">
        <v>37.5</v>
      </c>
      <c r="F2274" t="e">
        <f t="shared" si="143"/>
        <v>#N/A</v>
      </c>
      <c r="G2274">
        <v>10.7</v>
      </c>
      <c r="H2274">
        <v>0.27200000000000002</v>
      </c>
      <c r="I2274">
        <v>2.5630000000000002</v>
      </c>
      <c r="J2274">
        <v>4</v>
      </c>
      <c r="K2274">
        <v>7</v>
      </c>
      <c r="L2274">
        <v>4</v>
      </c>
      <c r="M2274">
        <v>0.55600000000000005</v>
      </c>
    </row>
    <row r="2275" spans="1:13" ht="15" customHeight="1">
      <c r="A2275" t="s">
        <v>29</v>
      </c>
      <c r="B2275" t="e">
        <f t="shared" si="140"/>
        <v>#N/A</v>
      </c>
      <c r="C2275" t="e">
        <f t="shared" si="141"/>
        <v>#N/A</v>
      </c>
      <c r="D2275" t="e">
        <f t="shared" si="142"/>
        <v>#N/A</v>
      </c>
      <c r="E2275">
        <v>38.5</v>
      </c>
      <c r="F2275" t="e">
        <f t="shared" si="143"/>
        <v>#N/A</v>
      </c>
      <c r="G2275">
        <v>12.217000000000001</v>
      </c>
      <c r="H2275">
        <v>0.22</v>
      </c>
      <c r="I2275">
        <v>1.806</v>
      </c>
      <c r="J2275">
        <v>5</v>
      </c>
      <c r="K2275">
        <v>6</v>
      </c>
      <c r="L2275">
        <v>4</v>
      </c>
      <c r="M2275">
        <v>0.65800000000000003</v>
      </c>
    </row>
    <row r="2276" spans="1:13" ht="15" customHeight="1">
      <c r="A2276" t="s">
        <v>29</v>
      </c>
      <c r="B2276" t="e">
        <f t="shared" si="140"/>
        <v>#N/A</v>
      </c>
      <c r="C2276" t="e">
        <f t="shared" si="141"/>
        <v>#N/A</v>
      </c>
      <c r="D2276" t="e">
        <f t="shared" si="142"/>
        <v>#N/A</v>
      </c>
      <c r="E2276">
        <v>39.5</v>
      </c>
      <c r="F2276" t="e">
        <f t="shared" si="143"/>
        <v>#N/A</v>
      </c>
      <c r="G2276">
        <v>48.033000000000001</v>
      </c>
      <c r="H2276">
        <v>0.99199999999999999</v>
      </c>
      <c r="I2276">
        <v>2.0630000000000002</v>
      </c>
      <c r="J2276">
        <v>6</v>
      </c>
      <c r="K2276">
        <v>18</v>
      </c>
      <c r="L2276">
        <v>11</v>
      </c>
      <c r="M2276">
        <v>3.0459999999999998</v>
      </c>
    </row>
    <row r="2277" spans="1:13" ht="15" customHeight="1">
      <c r="A2277" t="s">
        <v>29</v>
      </c>
      <c r="B2277" t="e">
        <f t="shared" si="140"/>
        <v>#N/A</v>
      </c>
      <c r="C2277" t="e">
        <f t="shared" si="141"/>
        <v>#N/A</v>
      </c>
      <c r="D2277" t="e">
        <f t="shared" si="142"/>
        <v>#N/A</v>
      </c>
      <c r="E2277">
        <v>40.5</v>
      </c>
      <c r="F2277" t="e">
        <f t="shared" si="143"/>
        <v>#N/A</v>
      </c>
      <c r="G2277">
        <v>60.1</v>
      </c>
      <c r="H2277">
        <v>1.95</v>
      </c>
      <c r="I2277">
        <v>3.2250000000000001</v>
      </c>
      <c r="J2277">
        <v>6</v>
      </c>
      <c r="K2277">
        <v>23</v>
      </c>
      <c r="L2277">
        <v>14</v>
      </c>
      <c r="M2277">
        <v>3.8679999999999999</v>
      </c>
    </row>
    <row r="2278" spans="1:13" ht="15" customHeight="1">
      <c r="A2278" t="s">
        <v>29</v>
      </c>
      <c r="B2278" t="e">
        <f t="shared" si="140"/>
        <v>#N/A</v>
      </c>
      <c r="C2278" t="e">
        <f t="shared" si="141"/>
        <v>#N/A</v>
      </c>
      <c r="D2278" t="e">
        <f t="shared" si="142"/>
        <v>#N/A</v>
      </c>
      <c r="E2278">
        <v>41.499000000000002</v>
      </c>
      <c r="F2278" t="e">
        <f t="shared" si="143"/>
        <v>#N/A</v>
      </c>
      <c r="G2278">
        <v>47.643000000000001</v>
      </c>
      <c r="H2278">
        <v>1.784</v>
      </c>
      <c r="I2278">
        <v>3.7130000000000001</v>
      </c>
      <c r="J2278">
        <v>5</v>
      </c>
      <c r="K2278">
        <v>23</v>
      </c>
      <c r="L2278">
        <v>14</v>
      </c>
      <c r="M2278">
        <v>3.0369999999999999</v>
      </c>
    </row>
    <row r="2279" spans="1:13" ht="15" customHeight="1">
      <c r="A2279" t="s">
        <v>29</v>
      </c>
      <c r="B2279" t="e">
        <f t="shared" si="140"/>
        <v>#N/A</v>
      </c>
      <c r="C2279" t="e">
        <f t="shared" si="141"/>
        <v>#N/A</v>
      </c>
      <c r="D2279" t="e">
        <f t="shared" si="142"/>
        <v>#N/A</v>
      </c>
      <c r="E2279">
        <v>42.499000000000002</v>
      </c>
      <c r="F2279" t="e">
        <f t="shared" si="143"/>
        <v>#N/A</v>
      </c>
      <c r="G2279">
        <v>52.517000000000003</v>
      </c>
      <c r="H2279">
        <v>0.87</v>
      </c>
      <c r="I2279">
        <v>1.655</v>
      </c>
      <c r="J2279">
        <v>7</v>
      </c>
      <c r="K2279">
        <v>17</v>
      </c>
      <c r="L2279">
        <v>10</v>
      </c>
      <c r="M2279" s="1">
        <v>9000000000</v>
      </c>
    </row>
    <row r="2280" spans="1:13" ht="15" customHeight="1">
      <c r="A2280" t="s">
        <v>29</v>
      </c>
      <c r="B2280" t="e">
        <f t="shared" si="140"/>
        <v>#N/A</v>
      </c>
      <c r="C2280" t="e">
        <f t="shared" si="141"/>
        <v>#N/A</v>
      </c>
      <c r="D2280" t="e">
        <f t="shared" si="142"/>
        <v>#N/A</v>
      </c>
      <c r="E2280">
        <v>43.499000000000002</v>
      </c>
      <c r="F2280" t="e">
        <f t="shared" si="143"/>
        <v>#N/A</v>
      </c>
      <c r="G2280">
        <v>34.549999999999997</v>
      </c>
      <c r="H2280">
        <v>1.2070000000000001</v>
      </c>
      <c r="I2280">
        <v>3.4940000000000002</v>
      </c>
      <c r="J2280">
        <v>5</v>
      </c>
      <c r="K2280">
        <v>17</v>
      </c>
      <c r="L2280">
        <v>10</v>
      </c>
      <c r="M2280">
        <v>2.1269999999999998</v>
      </c>
    </row>
    <row r="2281" spans="1:13" ht="15" customHeight="1">
      <c r="A2281" t="s">
        <v>29</v>
      </c>
      <c r="B2281" t="e">
        <f t="shared" si="140"/>
        <v>#N/A</v>
      </c>
      <c r="C2281" t="e">
        <f t="shared" si="141"/>
        <v>#N/A</v>
      </c>
      <c r="D2281" t="e">
        <f t="shared" si="142"/>
        <v>#N/A</v>
      </c>
      <c r="E2281">
        <v>44.499000000000002</v>
      </c>
      <c r="F2281" t="e">
        <f t="shared" si="143"/>
        <v>#N/A</v>
      </c>
      <c r="G2281">
        <v>22.033000000000001</v>
      </c>
      <c r="H2281">
        <v>0.73799999999999999</v>
      </c>
      <c r="I2281">
        <v>3.359</v>
      </c>
      <c r="J2281">
        <v>5</v>
      </c>
      <c r="K2281">
        <v>11</v>
      </c>
      <c r="L2281">
        <v>6</v>
      </c>
      <c r="M2281">
        <v>1.286</v>
      </c>
    </row>
    <row r="2282" spans="1:13" ht="15" customHeight="1">
      <c r="A2282" t="s">
        <v>29</v>
      </c>
      <c r="B2282" t="e">
        <f t="shared" si="140"/>
        <v>#N/A</v>
      </c>
      <c r="C2282" t="e">
        <f t="shared" si="141"/>
        <v>#N/A</v>
      </c>
      <c r="D2282" t="e">
        <f t="shared" si="142"/>
        <v>#N/A</v>
      </c>
      <c r="E2282">
        <v>45.499000000000002</v>
      </c>
      <c r="F2282" t="e">
        <f t="shared" si="143"/>
        <v>#N/A</v>
      </c>
      <c r="G2282">
        <v>13.967000000000001</v>
      </c>
      <c r="H2282">
        <v>0.33800000000000002</v>
      </c>
      <c r="I2282">
        <v>2.4249999999999998</v>
      </c>
      <c r="J2282">
        <v>5</v>
      </c>
      <c r="K2282">
        <v>7</v>
      </c>
      <c r="L2282">
        <v>4</v>
      </c>
      <c r="M2282">
        <v>0.747</v>
      </c>
    </row>
    <row r="2283" spans="1:13" ht="15" customHeight="1">
      <c r="A2283" t="s">
        <v>29</v>
      </c>
      <c r="B2283" t="e">
        <f t="shared" si="140"/>
        <v>#N/A</v>
      </c>
      <c r="C2283" t="e">
        <f t="shared" si="141"/>
        <v>#N/A</v>
      </c>
      <c r="D2283" t="e">
        <f t="shared" si="142"/>
        <v>#N/A</v>
      </c>
      <c r="E2283">
        <v>46.499000000000002</v>
      </c>
      <c r="F2283" t="e">
        <f t="shared" si="143"/>
        <v>#N/A</v>
      </c>
      <c r="G2283">
        <v>19.25</v>
      </c>
      <c r="H2283">
        <v>0.66</v>
      </c>
      <c r="I2283">
        <v>3.4260000000000002</v>
      </c>
      <c r="J2283">
        <v>5</v>
      </c>
      <c r="K2283">
        <v>9</v>
      </c>
      <c r="L2283">
        <v>5</v>
      </c>
      <c r="M2283">
        <v>1.097</v>
      </c>
    </row>
    <row r="2284" spans="1:13" ht="15" customHeight="1">
      <c r="A2284" t="s">
        <v>29</v>
      </c>
      <c r="B2284" t="e">
        <f t="shared" si="140"/>
        <v>#N/A</v>
      </c>
      <c r="C2284" t="e">
        <f t="shared" si="141"/>
        <v>#N/A</v>
      </c>
      <c r="D2284" t="e">
        <f t="shared" si="142"/>
        <v>#N/A</v>
      </c>
      <c r="E2284">
        <v>47.499000000000002</v>
      </c>
      <c r="F2284" t="e">
        <f t="shared" si="143"/>
        <v>#N/A</v>
      </c>
      <c r="G2284">
        <v>32.366999999999997</v>
      </c>
      <c r="H2284">
        <v>1.397</v>
      </c>
      <c r="I2284">
        <v>4.3109999999999999</v>
      </c>
      <c r="J2284">
        <v>4</v>
      </c>
      <c r="K2284">
        <v>21</v>
      </c>
      <c r="L2284">
        <v>12</v>
      </c>
      <c r="M2284">
        <v>1.9690000000000001</v>
      </c>
    </row>
    <row r="2285" spans="1:13" ht="15" customHeight="1">
      <c r="A2285" t="s">
        <v>29</v>
      </c>
      <c r="B2285" t="e">
        <f t="shared" si="140"/>
        <v>#N/A</v>
      </c>
      <c r="C2285" t="e">
        <f t="shared" si="141"/>
        <v>#N/A</v>
      </c>
      <c r="D2285" t="e">
        <f t="shared" si="142"/>
        <v>#N/A</v>
      </c>
      <c r="E2285">
        <v>48.499000000000002</v>
      </c>
      <c r="F2285" t="e">
        <f t="shared" si="143"/>
        <v>#N/A</v>
      </c>
      <c r="G2285">
        <v>54.482999999999997</v>
      </c>
      <c r="H2285">
        <v>2.4649999999999999</v>
      </c>
      <c r="I2285">
        <v>4.53</v>
      </c>
      <c r="J2285">
        <v>4</v>
      </c>
      <c r="K2285">
        <v>35</v>
      </c>
      <c r="L2285">
        <v>19</v>
      </c>
      <c r="M2285">
        <v>3.4319999999999999</v>
      </c>
    </row>
    <row r="2286" spans="1:13" ht="15" customHeight="1">
      <c r="A2286" t="s">
        <v>29</v>
      </c>
      <c r="B2286" t="e">
        <f t="shared" si="140"/>
        <v>#N/A</v>
      </c>
      <c r="C2286" t="e">
        <f t="shared" si="141"/>
        <v>#N/A</v>
      </c>
      <c r="D2286" t="e">
        <f t="shared" si="142"/>
        <v>#N/A</v>
      </c>
      <c r="E2286">
        <v>49.499000000000002</v>
      </c>
      <c r="F2286" t="e">
        <f t="shared" si="143"/>
        <v>#N/A</v>
      </c>
      <c r="G2286">
        <v>94.35</v>
      </c>
      <c r="H2286">
        <v>2.3969999999999998</v>
      </c>
      <c r="I2286">
        <v>2.5430000000000001</v>
      </c>
      <c r="J2286">
        <v>6</v>
      </c>
      <c r="K2286">
        <v>36</v>
      </c>
      <c r="L2286">
        <v>19</v>
      </c>
      <c r="M2286">
        <v>6.0830000000000002</v>
      </c>
    </row>
    <row r="2287" spans="1:13" ht="15" customHeight="1">
      <c r="A2287" t="s">
        <v>29</v>
      </c>
      <c r="B2287" t="e">
        <f t="shared" si="140"/>
        <v>#N/A</v>
      </c>
      <c r="C2287" t="e">
        <f t="shared" si="141"/>
        <v>#N/A</v>
      </c>
      <c r="D2287" t="e">
        <f t="shared" si="142"/>
        <v>#N/A</v>
      </c>
      <c r="E2287">
        <v>50.499000000000002</v>
      </c>
      <c r="F2287" t="e">
        <f t="shared" si="143"/>
        <v>#N/A</v>
      </c>
      <c r="G2287">
        <v>112.217</v>
      </c>
      <c r="H2287">
        <v>4.883</v>
      </c>
      <c r="I2287">
        <v>4.3579999999999997</v>
      </c>
      <c r="J2287">
        <v>11</v>
      </c>
      <c r="K2287">
        <v>107</v>
      </c>
      <c r="L2287">
        <v>57</v>
      </c>
      <c r="M2287" s="1">
        <v>9000000000</v>
      </c>
    </row>
    <row r="2288" spans="1:13" ht="15" customHeight="1">
      <c r="A2288" t="s">
        <v>29</v>
      </c>
      <c r="B2288" t="e">
        <f t="shared" si="140"/>
        <v>#N/A</v>
      </c>
      <c r="C2288" t="e">
        <f t="shared" si="141"/>
        <v>#N/A</v>
      </c>
      <c r="D2288" t="e">
        <f t="shared" si="142"/>
        <v>#N/A</v>
      </c>
      <c r="E2288">
        <v>51.499000000000002</v>
      </c>
      <c r="F2288" t="e">
        <f t="shared" si="143"/>
        <v>#N/A</v>
      </c>
      <c r="G2288">
        <v>89.216999999999999</v>
      </c>
      <c r="H2288">
        <v>3.78</v>
      </c>
      <c r="I2288">
        <v>4.2439999999999998</v>
      </c>
      <c r="J2288">
        <v>5</v>
      </c>
      <c r="K2288">
        <v>43</v>
      </c>
      <c r="L2288">
        <v>23</v>
      </c>
      <c r="M2288">
        <v>5.7290000000000001</v>
      </c>
    </row>
    <row r="2289" spans="1:13" ht="15" customHeight="1">
      <c r="A2289" t="s">
        <v>29</v>
      </c>
      <c r="B2289" t="e">
        <f t="shared" si="140"/>
        <v>#N/A</v>
      </c>
      <c r="C2289" t="e">
        <f t="shared" si="141"/>
        <v>#N/A</v>
      </c>
      <c r="D2289" t="e">
        <f t="shared" si="142"/>
        <v>#N/A</v>
      </c>
      <c r="E2289">
        <v>52.499000000000002</v>
      </c>
      <c r="F2289" t="e">
        <f t="shared" si="143"/>
        <v>#N/A</v>
      </c>
      <c r="G2289">
        <v>128.74299999999999</v>
      </c>
      <c r="H2289">
        <v>4.3070000000000004</v>
      </c>
      <c r="I2289">
        <v>3.3490000000000002</v>
      </c>
      <c r="J2289">
        <v>6</v>
      </c>
      <c r="K2289">
        <v>49</v>
      </c>
      <c r="L2289">
        <v>26</v>
      </c>
      <c r="M2289">
        <v>8.3620000000000001</v>
      </c>
    </row>
    <row r="2290" spans="1:13" ht="15" customHeight="1">
      <c r="A2290" t="s">
        <v>29</v>
      </c>
      <c r="B2290" t="e">
        <f t="shared" si="140"/>
        <v>#N/A</v>
      </c>
      <c r="C2290" t="e">
        <f t="shared" si="141"/>
        <v>#N/A</v>
      </c>
      <c r="D2290" t="e">
        <f t="shared" si="142"/>
        <v>#N/A</v>
      </c>
      <c r="E2290">
        <v>53.499000000000002</v>
      </c>
      <c r="F2290" t="e">
        <f t="shared" si="143"/>
        <v>#N/A</v>
      </c>
      <c r="G2290">
        <v>110.217</v>
      </c>
      <c r="H2290">
        <v>4.7149999999999999</v>
      </c>
      <c r="I2290">
        <v>4.2859999999999996</v>
      </c>
      <c r="J2290">
        <v>11</v>
      </c>
      <c r="K2290">
        <v>105</v>
      </c>
      <c r="L2290">
        <v>54</v>
      </c>
      <c r="M2290" s="1">
        <v>9000000000</v>
      </c>
    </row>
    <row r="2291" spans="1:13" ht="15" customHeight="1">
      <c r="A2291" t="s">
        <v>29</v>
      </c>
      <c r="B2291" t="e">
        <f t="shared" si="140"/>
        <v>#N/A</v>
      </c>
      <c r="C2291" t="e">
        <f t="shared" si="141"/>
        <v>#N/A</v>
      </c>
      <c r="D2291" t="e">
        <f t="shared" si="142"/>
        <v>#N/A</v>
      </c>
      <c r="E2291">
        <v>54.499000000000002</v>
      </c>
      <c r="F2291" t="e">
        <f t="shared" si="143"/>
        <v>#N/A</v>
      </c>
      <c r="G2291">
        <v>57.817</v>
      </c>
      <c r="H2291">
        <v>2.617</v>
      </c>
      <c r="I2291">
        <v>4.5380000000000003</v>
      </c>
      <c r="J2291">
        <v>4</v>
      </c>
      <c r="K2291">
        <v>37</v>
      </c>
      <c r="L2291">
        <v>19</v>
      </c>
      <c r="M2291">
        <v>3.6230000000000002</v>
      </c>
    </row>
    <row r="2292" spans="1:13" ht="15" customHeight="1">
      <c r="A2292" t="s">
        <v>29</v>
      </c>
      <c r="B2292" t="e">
        <f t="shared" si="140"/>
        <v>#N/A</v>
      </c>
      <c r="C2292" t="e">
        <f t="shared" si="141"/>
        <v>#N/A</v>
      </c>
      <c r="D2292" t="e">
        <f t="shared" si="142"/>
        <v>#N/A</v>
      </c>
      <c r="E2292">
        <v>55.499000000000002</v>
      </c>
      <c r="F2292" t="e">
        <f t="shared" si="143"/>
        <v>#N/A</v>
      </c>
      <c r="G2292">
        <v>71.599999999999994</v>
      </c>
      <c r="H2292">
        <v>2.1230000000000002</v>
      </c>
      <c r="I2292">
        <v>2.972</v>
      </c>
      <c r="J2292">
        <v>6</v>
      </c>
      <c r="K2292">
        <v>27</v>
      </c>
      <c r="L2292">
        <v>14</v>
      </c>
      <c r="M2292">
        <v>4.5380000000000003</v>
      </c>
    </row>
    <row r="2293" spans="1:13" ht="15" customHeight="1">
      <c r="A2293" t="s">
        <v>29</v>
      </c>
      <c r="B2293" t="e">
        <f t="shared" si="140"/>
        <v>#N/A</v>
      </c>
      <c r="C2293" t="e">
        <f t="shared" si="141"/>
        <v>#N/A</v>
      </c>
      <c r="D2293" t="e">
        <f t="shared" si="142"/>
        <v>#N/A</v>
      </c>
      <c r="E2293">
        <v>56.499000000000002</v>
      </c>
      <c r="F2293" t="e">
        <f t="shared" si="143"/>
        <v>#N/A</v>
      </c>
      <c r="G2293">
        <v>254.583</v>
      </c>
      <c r="H2293">
        <v>6.1849999999999996</v>
      </c>
      <c r="I2293">
        <v>2.431</v>
      </c>
      <c r="J2293">
        <v>7</v>
      </c>
      <c r="K2293">
        <v>81</v>
      </c>
      <c r="L2293">
        <v>41</v>
      </c>
      <c r="M2293" s="1">
        <v>9000000000</v>
      </c>
    </row>
    <row r="2294" spans="1:13" ht="15" customHeight="1">
      <c r="A2294" t="s">
        <v>29</v>
      </c>
      <c r="B2294" t="e">
        <f t="shared" si="140"/>
        <v>#N/A</v>
      </c>
      <c r="C2294" t="e">
        <f t="shared" si="141"/>
        <v>#N/A</v>
      </c>
      <c r="D2294" t="e">
        <f t="shared" si="142"/>
        <v>#N/A</v>
      </c>
      <c r="E2294">
        <v>57.499000000000002</v>
      </c>
      <c r="F2294" t="e">
        <f t="shared" si="143"/>
        <v>#N/A</v>
      </c>
      <c r="G2294">
        <v>443.983</v>
      </c>
      <c r="H2294">
        <v>3.5030000000000001</v>
      </c>
      <c r="I2294">
        <v>0.78900000000000003</v>
      </c>
      <c r="J2294">
        <v>10</v>
      </c>
      <c r="K2294">
        <v>71</v>
      </c>
      <c r="L2294">
        <v>36</v>
      </c>
      <c r="M2294" s="1">
        <v>9000000000</v>
      </c>
    </row>
    <row r="2295" spans="1:13" ht="15" customHeight="1">
      <c r="A2295" t="s">
        <v>29</v>
      </c>
      <c r="B2295" t="e">
        <f t="shared" si="140"/>
        <v>#N/A</v>
      </c>
      <c r="C2295" t="e">
        <f t="shared" si="141"/>
        <v>#N/A</v>
      </c>
      <c r="D2295" t="e">
        <f t="shared" si="142"/>
        <v>#N/A</v>
      </c>
      <c r="E2295">
        <v>58.499000000000002</v>
      </c>
      <c r="F2295" t="e">
        <f t="shared" si="143"/>
        <v>#N/A</v>
      </c>
      <c r="G2295">
        <v>459.43299999999999</v>
      </c>
      <c r="H2295">
        <v>3.6720000000000002</v>
      </c>
      <c r="I2295">
        <v>0.79900000000000004</v>
      </c>
      <c r="J2295">
        <v>10</v>
      </c>
      <c r="K2295">
        <v>73</v>
      </c>
      <c r="L2295">
        <v>37</v>
      </c>
      <c r="M2295" s="1">
        <v>9000000000</v>
      </c>
    </row>
    <row r="2296" spans="1:13" ht="15" customHeight="1">
      <c r="A2296" t="s">
        <v>29</v>
      </c>
      <c r="B2296" t="e">
        <f t="shared" si="140"/>
        <v>#N/A</v>
      </c>
      <c r="C2296" t="e">
        <f t="shared" si="141"/>
        <v>#N/A</v>
      </c>
      <c r="D2296" t="e">
        <f t="shared" si="142"/>
        <v>#N/A</v>
      </c>
      <c r="E2296">
        <v>59.499000000000002</v>
      </c>
      <c r="F2296" t="e">
        <f t="shared" si="143"/>
        <v>#N/A</v>
      </c>
      <c r="G2296">
        <v>577.29999999999995</v>
      </c>
      <c r="H2296">
        <v>1.53</v>
      </c>
      <c r="I2296">
        <v>0.26500000000000001</v>
      </c>
      <c r="J2296">
        <v>10</v>
      </c>
      <c r="K2296">
        <v>92</v>
      </c>
      <c r="L2296">
        <v>46</v>
      </c>
      <c r="M2296" s="1">
        <v>9000000000</v>
      </c>
    </row>
    <row r="2297" spans="1:13" ht="15" customHeight="1">
      <c r="A2297" t="s">
        <v>30</v>
      </c>
      <c r="B2297">
        <f t="shared" si="140"/>
        <v>33.719078000000003</v>
      </c>
      <c r="C2297">
        <f t="shared" si="141"/>
        <v>-117.852715</v>
      </c>
      <c r="D2297">
        <f t="shared" si="142"/>
        <v>69</v>
      </c>
      <c r="E2297">
        <v>0.5</v>
      </c>
      <c r="F2297">
        <f t="shared" si="143"/>
        <v>68.5</v>
      </c>
      <c r="G2297">
        <v>4.4329999999999998</v>
      </c>
      <c r="H2297">
        <v>6.7000000000000004E-2</v>
      </c>
      <c r="I2297">
        <v>1.498</v>
      </c>
      <c r="J2297">
        <v>1</v>
      </c>
      <c r="K2297">
        <v>2</v>
      </c>
      <c r="L2297">
        <v>3</v>
      </c>
      <c r="M2297">
        <v>0.29499999999999998</v>
      </c>
    </row>
    <row r="2298" spans="1:13" ht="15" customHeight="1">
      <c r="A2298" t="s">
        <v>30</v>
      </c>
      <c r="B2298">
        <f t="shared" si="140"/>
        <v>33.719078000000003</v>
      </c>
      <c r="C2298">
        <f t="shared" si="141"/>
        <v>-117.852715</v>
      </c>
      <c r="D2298">
        <f t="shared" si="142"/>
        <v>69</v>
      </c>
      <c r="E2298">
        <v>1.5</v>
      </c>
      <c r="F2298">
        <f t="shared" si="143"/>
        <v>67.5</v>
      </c>
      <c r="G2298">
        <v>42.732999999999997</v>
      </c>
      <c r="H2298">
        <v>1.298</v>
      </c>
      <c r="I2298">
        <v>3.032</v>
      </c>
      <c r="J2298">
        <v>6</v>
      </c>
      <c r="K2298">
        <v>16</v>
      </c>
      <c r="L2298">
        <v>24</v>
      </c>
      <c r="M2298">
        <v>2.8490000000000002</v>
      </c>
    </row>
    <row r="2299" spans="1:13" ht="15" customHeight="1">
      <c r="A2299" t="s">
        <v>30</v>
      </c>
      <c r="B2299">
        <f t="shared" si="140"/>
        <v>33.719078000000003</v>
      </c>
      <c r="C2299">
        <f t="shared" si="141"/>
        <v>-117.852715</v>
      </c>
      <c r="D2299">
        <f t="shared" si="142"/>
        <v>69</v>
      </c>
      <c r="E2299">
        <v>2.5</v>
      </c>
      <c r="F2299">
        <f t="shared" si="143"/>
        <v>66.5</v>
      </c>
      <c r="G2299">
        <v>9.1999999999999993</v>
      </c>
      <c r="H2299">
        <v>0.41699999999999998</v>
      </c>
      <c r="I2299">
        <v>4.5129999999999999</v>
      </c>
      <c r="J2299">
        <v>3</v>
      </c>
      <c r="K2299">
        <v>9</v>
      </c>
      <c r="L2299">
        <v>14</v>
      </c>
      <c r="M2299">
        <v>0.60599999999999998</v>
      </c>
    </row>
    <row r="2300" spans="1:13" ht="15" customHeight="1">
      <c r="A2300" t="s">
        <v>30</v>
      </c>
      <c r="B2300">
        <f t="shared" si="140"/>
        <v>33.719078000000003</v>
      </c>
      <c r="C2300">
        <f t="shared" si="141"/>
        <v>-117.852715</v>
      </c>
      <c r="D2300">
        <f t="shared" si="142"/>
        <v>69</v>
      </c>
      <c r="E2300">
        <v>3.5</v>
      </c>
      <c r="F2300">
        <f t="shared" si="143"/>
        <v>65.5</v>
      </c>
      <c r="G2300">
        <v>7.2830000000000004</v>
      </c>
      <c r="H2300">
        <v>0.39800000000000002</v>
      </c>
      <c r="I2300">
        <v>5.4690000000000003</v>
      </c>
      <c r="J2300">
        <v>3</v>
      </c>
      <c r="K2300">
        <v>7</v>
      </c>
      <c r="L2300">
        <v>11</v>
      </c>
      <c r="M2300">
        <v>0.47199999999999998</v>
      </c>
    </row>
    <row r="2301" spans="1:13" ht="15" customHeight="1">
      <c r="A2301" t="s">
        <v>30</v>
      </c>
      <c r="B2301">
        <f t="shared" si="140"/>
        <v>33.719078000000003</v>
      </c>
      <c r="C2301">
        <f t="shared" si="141"/>
        <v>-117.852715</v>
      </c>
      <c r="D2301">
        <f t="shared" si="142"/>
        <v>69</v>
      </c>
      <c r="E2301">
        <v>4.5</v>
      </c>
      <c r="F2301">
        <f t="shared" si="143"/>
        <v>64.5</v>
      </c>
      <c r="G2301">
        <v>11.067</v>
      </c>
      <c r="H2301">
        <v>0.48699999999999999</v>
      </c>
      <c r="I2301">
        <v>4.4039999999999999</v>
      </c>
      <c r="J2301">
        <v>3</v>
      </c>
      <c r="K2301">
        <v>11</v>
      </c>
      <c r="L2301">
        <v>17</v>
      </c>
      <c r="M2301">
        <v>0.71899999999999997</v>
      </c>
    </row>
    <row r="2302" spans="1:13" ht="15" customHeight="1">
      <c r="A2302" t="s">
        <v>30</v>
      </c>
      <c r="B2302">
        <f t="shared" si="140"/>
        <v>33.719078000000003</v>
      </c>
      <c r="C2302">
        <f t="shared" si="141"/>
        <v>-117.852715</v>
      </c>
      <c r="D2302">
        <f t="shared" si="142"/>
        <v>69</v>
      </c>
      <c r="E2302">
        <v>5.5</v>
      </c>
      <c r="F2302">
        <f t="shared" si="143"/>
        <v>63.5</v>
      </c>
      <c r="G2302">
        <v>12.833</v>
      </c>
      <c r="H2302">
        <v>0.64</v>
      </c>
      <c r="I2302">
        <v>4.9809999999999999</v>
      </c>
      <c r="J2302">
        <v>3</v>
      </c>
      <c r="K2302">
        <v>12</v>
      </c>
      <c r="L2302">
        <v>18</v>
      </c>
      <c r="M2302">
        <v>0.83499999999999996</v>
      </c>
    </row>
    <row r="2303" spans="1:13" ht="15" customHeight="1">
      <c r="A2303" t="s">
        <v>30</v>
      </c>
      <c r="B2303">
        <f t="shared" si="140"/>
        <v>33.719078000000003</v>
      </c>
      <c r="C2303">
        <f t="shared" si="141"/>
        <v>-117.852715</v>
      </c>
      <c r="D2303">
        <f t="shared" si="142"/>
        <v>69</v>
      </c>
      <c r="E2303">
        <v>6.5</v>
      </c>
      <c r="F2303">
        <f t="shared" si="143"/>
        <v>62.5</v>
      </c>
      <c r="G2303">
        <v>17.183</v>
      </c>
      <c r="H2303">
        <v>0.68300000000000005</v>
      </c>
      <c r="I2303">
        <v>3.9609999999999999</v>
      </c>
      <c r="J2303">
        <v>4</v>
      </c>
      <c r="K2303">
        <v>11</v>
      </c>
      <c r="L2303">
        <v>17</v>
      </c>
      <c r="M2303">
        <v>1.1240000000000001</v>
      </c>
    </row>
    <row r="2304" spans="1:13" ht="15" customHeight="1">
      <c r="A2304" t="s">
        <v>30</v>
      </c>
      <c r="B2304">
        <f t="shared" si="140"/>
        <v>33.719078000000003</v>
      </c>
      <c r="C2304">
        <f t="shared" si="141"/>
        <v>-117.852715</v>
      </c>
      <c r="D2304">
        <f t="shared" si="142"/>
        <v>69</v>
      </c>
      <c r="E2304">
        <v>7.5</v>
      </c>
      <c r="F2304">
        <f t="shared" si="143"/>
        <v>61.5</v>
      </c>
      <c r="G2304">
        <v>16.399999999999999</v>
      </c>
      <c r="H2304">
        <v>0.627</v>
      </c>
      <c r="I2304">
        <v>3.79</v>
      </c>
      <c r="J2304">
        <v>4</v>
      </c>
      <c r="K2304">
        <v>11</v>
      </c>
      <c r="L2304">
        <v>17</v>
      </c>
      <c r="M2304">
        <v>1.0720000000000001</v>
      </c>
    </row>
    <row r="2305" spans="1:13" ht="15" customHeight="1">
      <c r="A2305" t="s">
        <v>30</v>
      </c>
      <c r="B2305">
        <f t="shared" si="140"/>
        <v>33.719078000000003</v>
      </c>
      <c r="C2305">
        <f t="shared" si="141"/>
        <v>-117.852715</v>
      </c>
      <c r="D2305">
        <f t="shared" si="142"/>
        <v>69</v>
      </c>
      <c r="E2305">
        <v>8.5</v>
      </c>
      <c r="F2305">
        <f t="shared" si="143"/>
        <v>60.5</v>
      </c>
      <c r="G2305">
        <v>14.8</v>
      </c>
      <c r="H2305">
        <v>0.61199999999999999</v>
      </c>
      <c r="I2305">
        <v>4.1189999999999998</v>
      </c>
      <c r="J2305">
        <v>3</v>
      </c>
      <c r="K2305">
        <v>14</v>
      </c>
      <c r="L2305">
        <v>21</v>
      </c>
      <c r="M2305">
        <v>0.95599999999999996</v>
      </c>
    </row>
    <row r="2306" spans="1:13" ht="15" customHeight="1">
      <c r="A2306" t="s">
        <v>30</v>
      </c>
      <c r="B2306">
        <f t="shared" ref="B2306:B2369" si="144">VLOOKUP(A2306,XYdata,3,FALSE)</f>
        <v>33.719078000000003</v>
      </c>
      <c r="C2306">
        <f t="shared" ref="C2306:C2369" si="145">VLOOKUP(A2306,XYdata,2,FALSE)</f>
        <v>-117.852715</v>
      </c>
      <c r="D2306">
        <f t="shared" ref="D2306:D2369" si="146">VLOOKUP(A2306,Elevation,2,FALSE)</f>
        <v>69</v>
      </c>
      <c r="E2306">
        <v>9.5</v>
      </c>
      <c r="F2306">
        <f t="shared" si="143"/>
        <v>59.5</v>
      </c>
      <c r="G2306">
        <v>13.766999999999999</v>
      </c>
      <c r="H2306">
        <v>0.60799999999999998</v>
      </c>
      <c r="I2306">
        <v>4.4139999999999997</v>
      </c>
      <c r="J2306">
        <v>3</v>
      </c>
      <c r="K2306">
        <v>13</v>
      </c>
      <c r="L2306">
        <v>20</v>
      </c>
      <c r="M2306">
        <v>0.88</v>
      </c>
    </row>
    <row r="2307" spans="1:13" ht="15" customHeight="1">
      <c r="A2307" t="s">
        <v>30</v>
      </c>
      <c r="B2307">
        <f t="shared" si="144"/>
        <v>33.719078000000003</v>
      </c>
      <c r="C2307">
        <f t="shared" si="145"/>
        <v>-117.852715</v>
      </c>
      <c r="D2307">
        <f t="shared" si="146"/>
        <v>69</v>
      </c>
      <c r="E2307">
        <v>10.5</v>
      </c>
      <c r="F2307">
        <f t="shared" ref="F2307:F2370" si="147">D2307-E2307</f>
        <v>58.5</v>
      </c>
      <c r="G2307">
        <v>9</v>
      </c>
      <c r="H2307">
        <v>0.41399999999999998</v>
      </c>
      <c r="I2307">
        <v>4.5960000000000001</v>
      </c>
      <c r="J2307">
        <v>3</v>
      </c>
      <c r="K2307">
        <v>9</v>
      </c>
      <c r="L2307">
        <v>13</v>
      </c>
      <c r="M2307">
        <v>0.55800000000000005</v>
      </c>
    </row>
    <row r="2308" spans="1:13" ht="15" customHeight="1">
      <c r="A2308" t="s">
        <v>30</v>
      </c>
      <c r="B2308">
        <f t="shared" si="144"/>
        <v>33.719078000000003</v>
      </c>
      <c r="C2308">
        <f t="shared" si="145"/>
        <v>-117.852715</v>
      </c>
      <c r="D2308">
        <f t="shared" si="146"/>
        <v>69</v>
      </c>
      <c r="E2308">
        <v>11.5</v>
      </c>
      <c r="F2308">
        <f t="shared" si="147"/>
        <v>57.5</v>
      </c>
      <c r="G2308">
        <v>6.15</v>
      </c>
      <c r="H2308">
        <v>0.19500000000000001</v>
      </c>
      <c r="I2308">
        <v>3.1619999999999999</v>
      </c>
      <c r="J2308">
        <v>3</v>
      </c>
      <c r="K2308">
        <v>6</v>
      </c>
      <c r="L2308">
        <v>8</v>
      </c>
      <c r="M2308">
        <v>0.36499999999999999</v>
      </c>
    </row>
    <row r="2309" spans="1:13" ht="15" customHeight="1">
      <c r="A2309" t="s">
        <v>30</v>
      </c>
      <c r="B2309">
        <f t="shared" si="144"/>
        <v>33.719078000000003</v>
      </c>
      <c r="C2309">
        <f t="shared" si="145"/>
        <v>-117.852715</v>
      </c>
      <c r="D2309">
        <f t="shared" si="146"/>
        <v>69</v>
      </c>
      <c r="E2309">
        <v>12.5</v>
      </c>
      <c r="F2309">
        <f t="shared" si="147"/>
        <v>56.5</v>
      </c>
      <c r="G2309">
        <v>5.9669999999999996</v>
      </c>
      <c r="H2309">
        <v>0.127</v>
      </c>
      <c r="I2309">
        <v>2.0990000000000002</v>
      </c>
      <c r="J2309">
        <v>4</v>
      </c>
      <c r="K2309">
        <v>4</v>
      </c>
      <c r="L2309">
        <v>5</v>
      </c>
      <c r="M2309">
        <v>0.35199999999999998</v>
      </c>
    </row>
    <row r="2310" spans="1:13" ht="15" customHeight="1">
      <c r="A2310" t="s">
        <v>30</v>
      </c>
      <c r="B2310">
        <f t="shared" si="144"/>
        <v>33.719078000000003</v>
      </c>
      <c r="C2310">
        <f t="shared" si="145"/>
        <v>-117.852715</v>
      </c>
      <c r="D2310">
        <f t="shared" si="146"/>
        <v>69</v>
      </c>
      <c r="E2310">
        <v>13.5</v>
      </c>
      <c r="F2310">
        <f t="shared" si="147"/>
        <v>55.5</v>
      </c>
      <c r="G2310">
        <v>9.85</v>
      </c>
      <c r="H2310">
        <v>0.36699999999999999</v>
      </c>
      <c r="I2310">
        <v>3.6909999999999998</v>
      </c>
      <c r="J2310">
        <v>3</v>
      </c>
      <c r="K2310">
        <v>10</v>
      </c>
      <c r="L2310">
        <v>12</v>
      </c>
      <c r="M2310">
        <v>0.60799999999999998</v>
      </c>
    </row>
    <row r="2311" spans="1:13" ht="15" customHeight="1">
      <c r="A2311" t="s">
        <v>30</v>
      </c>
      <c r="B2311">
        <f t="shared" si="144"/>
        <v>33.719078000000003</v>
      </c>
      <c r="C2311">
        <f t="shared" si="145"/>
        <v>-117.852715</v>
      </c>
      <c r="D2311">
        <f t="shared" si="146"/>
        <v>69</v>
      </c>
      <c r="E2311">
        <v>14.5</v>
      </c>
      <c r="F2311">
        <f t="shared" si="147"/>
        <v>54.5</v>
      </c>
      <c r="G2311">
        <v>11.282999999999999</v>
      </c>
      <c r="H2311">
        <v>0.44500000000000001</v>
      </c>
      <c r="I2311">
        <v>3.9089999999999998</v>
      </c>
      <c r="J2311">
        <v>3</v>
      </c>
      <c r="K2311">
        <v>11</v>
      </c>
      <c r="L2311">
        <v>12</v>
      </c>
      <c r="M2311">
        <v>0.7</v>
      </c>
    </row>
    <row r="2312" spans="1:13" ht="15" customHeight="1">
      <c r="A2312" t="s">
        <v>30</v>
      </c>
      <c r="B2312">
        <f t="shared" si="144"/>
        <v>33.719078000000003</v>
      </c>
      <c r="C2312">
        <f t="shared" si="145"/>
        <v>-117.852715</v>
      </c>
      <c r="D2312">
        <f t="shared" si="146"/>
        <v>69</v>
      </c>
      <c r="E2312">
        <v>15.5</v>
      </c>
      <c r="F2312">
        <f t="shared" si="147"/>
        <v>53.5</v>
      </c>
      <c r="G2312">
        <v>11.782999999999999</v>
      </c>
      <c r="H2312">
        <v>0.57199999999999995</v>
      </c>
      <c r="I2312">
        <v>4.8239999999999998</v>
      </c>
      <c r="J2312">
        <v>3</v>
      </c>
      <c r="K2312">
        <v>11</v>
      </c>
      <c r="L2312">
        <v>12</v>
      </c>
      <c r="M2312">
        <v>0.72699999999999998</v>
      </c>
    </row>
    <row r="2313" spans="1:13" ht="15" customHeight="1">
      <c r="A2313" t="s">
        <v>30</v>
      </c>
      <c r="B2313">
        <f t="shared" si="144"/>
        <v>33.719078000000003</v>
      </c>
      <c r="C2313">
        <f t="shared" si="145"/>
        <v>-117.852715</v>
      </c>
      <c r="D2313">
        <f t="shared" si="146"/>
        <v>69</v>
      </c>
      <c r="E2313">
        <v>16.5</v>
      </c>
      <c r="F2313">
        <f t="shared" si="147"/>
        <v>52.5</v>
      </c>
      <c r="G2313">
        <v>10.667</v>
      </c>
      <c r="H2313">
        <v>0.372</v>
      </c>
      <c r="I2313">
        <v>3.4569999999999999</v>
      </c>
      <c r="J2313">
        <v>4</v>
      </c>
      <c r="K2313">
        <v>7</v>
      </c>
      <c r="L2313">
        <v>7</v>
      </c>
      <c r="M2313">
        <v>0.65</v>
      </c>
    </row>
    <row r="2314" spans="1:13" ht="15" customHeight="1">
      <c r="A2314" t="s">
        <v>30</v>
      </c>
      <c r="B2314">
        <f t="shared" si="144"/>
        <v>33.719078000000003</v>
      </c>
      <c r="C2314">
        <f t="shared" si="145"/>
        <v>-117.852715</v>
      </c>
      <c r="D2314">
        <f t="shared" si="146"/>
        <v>69</v>
      </c>
      <c r="E2314">
        <v>17.5</v>
      </c>
      <c r="F2314">
        <f t="shared" si="147"/>
        <v>51.5</v>
      </c>
      <c r="G2314">
        <v>10.766999999999999</v>
      </c>
      <c r="H2314">
        <v>0.373</v>
      </c>
      <c r="I2314">
        <v>3.4359999999999999</v>
      </c>
      <c r="J2314">
        <v>4</v>
      </c>
      <c r="K2314">
        <v>7</v>
      </c>
      <c r="L2314">
        <v>7</v>
      </c>
      <c r="M2314">
        <v>0.65400000000000003</v>
      </c>
    </row>
    <row r="2315" spans="1:13" ht="15" customHeight="1">
      <c r="A2315" t="s">
        <v>30</v>
      </c>
      <c r="B2315">
        <f t="shared" si="144"/>
        <v>33.719078000000003</v>
      </c>
      <c r="C2315">
        <f t="shared" si="145"/>
        <v>-117.852715</v>
      </c>
      <c r="D2315">
        <f t="shared" si="146"/>
        <v>69</v>
      </c>
      <c r="E2315">
        <v>18.5</v>
      </c>
      <c r="F2315">
        <f t="shared" si="147"/>
        <v>50.5</v>
      </c>
      <c r="G2315">
        <v>9.75</v>
      </c>
      <c r="H2315">
        <v>0.3</v>
      </c>
      <c r="I2315">
        <v>3.0409999999999999</v>
      </c>
      <c r="J2315">
        <v>4</v>
      </c>
      <c r="K2315">
        <v>6</v>
      </c>
      <c r="L2315">
        <v>5</v>
      </c>
      <c r="M2315">
        <v>0.58299999999999996</v>
      </c>
    </row>
    <row r="2316" spans="1:13" ht="15" customHeight="1">
      <c r="A2316" t="s">
        <v>30</v>
      </c>
      <c r="B2316">
        <f t="shared" si="144"/>
        <v>33.719078000000003</v>
      </c>
      <c r="C2316">
        <f t="shared" si="145"/>
        <v>-117.852715</v>
      </c>
      <c r="D2316">
        <f t="shared" si="146"/>
        <v>69</v>
      </c>
      <c r="E2316">
        <v>19.5</v>
      </c>
      <c r="F2316">
        <f t="shared" si="147"/>
        <v>49.5</v>
      </c>
      <c r="G2316">
        <v>9.7829999999999995</v>
      </c>
      <c r="H2316">
        <v>0.35299999999999998</v>
      </c>
      <c r="I2316">
        <v>3.569</v>
      </c>
      <c r="J2316">
        <v>3</v>
      </c>
      <c r="K2316">
        <v>9</v>
      </c>
      <c r="L2316">
        <v>8</v>
      </c>
      <c r="M2316">
        <v>0.58099999999999996</v>
      </c>
    </row>
    <row r="2317" spans="1:13" ht="15" customHeight="1">
      <c r="A2317" t="s">
        <v>30</v>
      </c>
      <c r="B2317">
        <f t="shared" si="144"/>
        <v>33.719078000000003</v>
      </c>
      <c r="C2317">
        <f t="shared" si="145"/>
        <v>-117.852715</v>
      </c>
      <c r="D2317">
        <f t="shared" si="146"/>
        <v>69</v>
      </c>
      <c r="E2317">
        <v>20.5</v>
      </c>
      <c r="F2317">
        <f t="shared" si="147"/>
        <v>48.5</v>
      </c>
      <c r="G2317">
        <v>9.0139999999999993</v>
      </c>
      <c r="H2317">
        <v>0.28599999999999998</v>
      </c>
      <c r="I2317">
        <v>3.1150000000000002</v>
      </c>
      <c r="J2317">
        <v>4</v>
      </c>
      <c r="K2317">
        <v>6</v>
      </c>
      <c r="L2317">
        <v>5</v>
      </c>
      <c r="M2317">
        <v>0.52900000000000003</v>
      </c>
    </row>
    <row r="2318" spans="1:13" ht="15" customHeight="1">
      <c r="A2318" t="s">
        <v>30</v>
      </c>
      <c r="B2318">
        <f t="shared" si="144"/>
        <v>33.719078000000003</v>
      </c>
      <c r="C2318">
        <f t="shared" si="145"/>
        <v>-117.852715</v>
      </c>
      <c r="D2318">
        <f t="shared" si="146"/>
        <v>69</v>
      </c>
      <c r="E2318">
        <v>21.5</v>
      </c>
      <c r="F2318">
        <f t="shared" si="147"/>
        <v>47.5</v>
      </c>
      <c r="G2318">
        <v>47.65</v>
      </c>
      <c r="H2318">
        <v>0.78200000000000003</v>
      </c>
      <c r="I2318">
        <v>1.643</v>
      </c>
      <c r="J2318">
        <v>7</v>
      </c>
      <c r="K2318">
        <v>15</v>
      </c>
      <c r="L2318">
        <v>12</v>
      </c>
      <c r="M2318" s="1">
        <v>9000000000</v>
      </c>
    </row>
    <row r="2319" spans="1:13" ht="15" customHeight="1">
      <c r="A2319" t="s">
        <v>30</v>
      </c>
      <c r="B2319">
        <f t="shared" si="144"/>
        <v>33.719078000000003</v>
      </c>
      <c r="C2319">
        <f t="shared" si="145"/>
        <v>-117.852715</v>
      </c>
      <c r="D2319">
        <f t="shared" si="146"/>
        <v>69</v>
      </c>
      <c r="E2319">
        <v>22.5</v>
      </c>
      <c r="F2319">
        <f t="shared" si="147"/>
        <v>46.5</v>
      </c>
      <c r="G2319">
        <v>86.766999999999996</v>
      </c>
      <c r="H2319">
        <v>0.83299999999999996</v>
      </c>
      <c r="I2319">
        <v>0.96199999999999997</v>
      </c>
      <c r="J2319">
        <v>8</v>
      </c>
      <c r="K2319">
        <v>21</v>
      </c>
      <c r="L2319">
        <v>17</v>
      </c>
      <c r="M2319" s="1">
        <v>9000000000</v>
      </c>
    </row>
    <row r="2320" spans="1:13" ht="15" customHeight="1">
      <c r="A2320" t="s">
        <v>30</v>
      </c>
      <c r="B2320">
        <f t="shared" si="144"/>
        <v>33.719078000000003</v>
      </c>
      <c r="C2320">
        <f t="shared" si="145"/>
        <v>-117.852715</v>
      </c>
      <c r="D2320">
        <f t="shared" si="146"/>
        <v>69</v>
      </c>
      <c r="E2320">
        <v>23.5</v>
      </c>
      <c r="F2320">
        <f t="shared" si="147"/>
        <v>45.5</v>
      </c>
      <c r="G2320">
        <v>52.65</v>
      </c>
      <c r="H2320">
        <v>0.52200000000000002</v>
      </c>
      <c r="I2320">
        <v>0.99</v>
      </c>
      <c r="J2320">
        <v>7</v>
      </c>
      <c r="K2320">
        <v>17</v>
      </c>
      <c r="L2320">
        <v>13</v>
      </c>
      <c r="M2320" s="1">
        <v>9000000000</v>
      </c>
    </row>
    <row r="2321" spans="1:13" ht="15" customHeight="1">
      <c r="A2321" t="s">
        <v>30</v>
      </c>
      <c r="B2321">
        <f t="shared" si="144"/>
        <v>33.719078000000003</v>
      </c>
      <c r="C2321">
        <f t="shared" si="145"/>
        <v>-117.852715</v>
      </c>
      <c r="D2321">
        <f t="shared" si="146"/>
        <v>69</v>
      </c>
      <c r="E2321">
        <v>24.5</v>
      </c>
      <c r="F2321">
        <f t="shared" si="147"/>
        <v>44.5</v>
      </c>
      <c r="G2321">
        <v>10.083</v>
      </c>
      <c r="H2321">
        <v>0.29799999999999999</v>
      </c>
      <c r="I2321">
        <v>2.8639999999999999</v>
      </c>
      <c r="J2321">
        <v>4</v>
      </c>
      <c r="K2321">
        <v>7</v>
      </c>
      <c r="L2321">
        <v>5</v>
      </c>
      <c r="M2321">
        <v>0.59499999999999997</v>
      </c>
    </row>
    <row r="2322" spans="1:13" ht="15" customHeight="1">
      <c r="A2322" t="s">
        <v>30</v>
      </c>
      <c r="B2322">
        <f t="shared" si="144"/>
        <v>33.719078000000003</v>
      </c>
      <c r="C2322">
        <f t="shared" si="145"/>
        <v>-117.852715</v>
      </c>
      <c r="D2322">
        <f t="shared" si="146"/>
        <v>69</v>
      </c>
      <c r="E2322">
        <v>25.5</v>
      </c>
      <c r="F2322">
        <f t="shared" si="147"/>
        <v>43.5</v>
      </c>
      <c r="G2322">
        <v>12.4</v>
      </c>
      <c r="H2322">
        <v>0.41699999999999998</v>
      </c>
      <c r="I2322">
        <v>3.2639999999999998</v>
      </c>
      <c r="J2322">
        <v>4</v>
      </c>
      <c r="K2322">
        <v>8</v>
      </c>
      <c r="L2322">
        <v>6</v>
      </c>
      <c r="M2322">
        <v>0.748</v>
      </c>
    </row>
    <row r="2323" spans="1:13" ht="15" customHeight="1">
      <c r="A2323" t="s">
        <v>30</v>
      </c>
      <c r="B2323">
        <f t="shared" si="144"/>
        <v>33.719078000000003</v>
      </c>
      <c r="C2323">
        <f t="shared" si="145"/>
        <v>-117.852715</v>
      </c>
      <c r="D2323">
        <f t="shared" si="146"/>
        <v>69</v>
      </c>
      <c r="E2323">
        <v>26.5</v>
      </c>
      <c r="F2323">
        <f t="shared" si="147"/>
        <v>42.5</v>
      </c>
      <c r="G2323">
        <v>14.55</v>
      </c>
      <c r="H2323">
        <v>0.47199999999999998</v>
      </c>
      <c r="I2323">
        <v>3.194</v>
      </c>
      <c r="J2323">
        <v>4</v>
      </c>
      <c r="K2323">
        <v>9</v>
      </c>
      <c r="L2323">
        <v>6</v>
      </c>
      <c r="M2323">
        <v>0.877</v>
      </c>
    </row>
    <row r="2324" spans="1:13" ht="15" customHeight="1">
      <c r="A2324" t="s">
        <v>30</v>
      </c>
      <c r="B2324">
        <f t="shared" si="144"/>
        <v>33.719078000000003</v>
      </c>
      <c r="C2324">
        <f t="shared" si="145"/>
        <v>-117.852715</v>
      </c>
      <c r="D2324">
        <f t="shared" si="146"/>
        <v>69</v>
      </c>
      <c r="E2324">
        <v>27.5</v>
      </c>
      <c r="F2324">
        <f t="shared" si="147"/>
        <v>41.5</v>
      </c>
      <c r="G2324">
        <v>11.55</v>
      </c>
      <c r="H2324">
        <v>0.36199999999999999</v>
      </c>
      <c r="I2324">
        <v>3.0649999999999999</v>
      </c>
      <c r="J2324">
        <v>4</v>
      </c>
      <c r="K2324">
        <v>8</v>
      </c>
      <c r="L2324">
        <v>6</v>
      </c>
      <c r="M2324">
        <v>0.67600000000000005</v>
      </c>
    </row>
    <row r="2325" spans="1:13" ht="15" customHeight="1">
      <c r="A2325" t="s">
        <v>30</v>
      </c>
      <c r="B2325">
        <f t="shared" si="144"/>
        <v>33.719078000000003</v>
      </c>
      <c r="C2325">
        <f t="shared" si="145"/>
        <v>-117.852715</v>
      </c>
      <c r="D2325">
        <f t="shared" si="146"/>
        <v>69</v>
      </c>
      <c r="E2325">
        <v>28.5</v>
      </c>
      <c r="F2325">
        <f t="shared" si="147"/>
        <v>40.5</v>
      </c>
      <c r="G2325">
        <v>12.1</v>
      </c>
      <c r="H2325">
        <v>0.372</v>
      </c>
      <c r="I2325">
        <v>3.0139999999999998</v>
      </c>
      <c r="J2325">
        <v>4</v>
      </c>
      <c r="K2325">
        <v>8</v>
      </c>
      <c r="L2325">
        <v>6</v>
      </c>
      <c r="M2325">
        <v>0.70699999999999996</v>
      </c>
    </row>
    <row r="2326" spans="1:13" ht="15" customHeight="1">
      <c r="A2326" t="s">
        <v>30</v>
      </c>
      <c r="B2326">
        <f t="shared" si="144"/>
        <v>33.719078000000003</v>
      </c>
      <c r="C2326">
        <f t="shared" si="145"/>
        <v>-117.852715</v>
      </c>
      <c r="D2326">
        <f t="shared" si="146"/>
        <v>69</v>
      </c>
      <c r="E2326">
        <v>29.5</v>
      </c>
      <c r="F2326">
        <f t="shared" si="147"/>
        <v>39.5</v>
      </c>
      <c r="G2326">
        <v>13.282999999999999</v>
      </c>
      <c r="H2326">
        <v>0.34200000000000003</v>
      </c>
      <c r="I2326">
        <v>2.5030000000000001</v>
      </c>
      <c r="J2326">
        <v>5</v>
      </c>
      <c r="K2326">
        <v>7</v>
      </c>
      <c r="L2326">
        <v>5</v>
      </c>
      <c r="M2326">
        <v>0.79100000000000004</v>
      </c>
    </row>
    <row r="2327" spans="1:13" ht="15" customHeight="1">
      <c r="A2327" t="s">
        <v>30</v>
      </c>
      <c r="B2327">
        <f t="shared" si="144"/>
        <v>33.719078000000003</v>
      </c>
      <c r="C2327">
        <f t="shared" si="145"/>
        <v>-117.852715</v>
      </c>
      <c r="D2327">
        <f t="shared" si="146"/>
        <v>69</v>
      </c>
      <c r="E2327">
        <v>30.5</v>
      </c>
      <c r="F2327">
        <f t="shared" si="147"/>
        <v>38.5</v>
      </c>
      <c r="G2327">
        <v>15.632999999999999</v>
      </c>
      <c r="H2327">
        <v>0.375</v>
      </c>
      <c r="I2327">
        <v>2.3319999999999999</v>
      </c>
      <c r="J2327">
        <v>5</v>
      </c>
      <c r="K2327">
        <v>8</v>
      </c>
      <c r="L2327">
        <v>5</v>
      </c>
      <c r="M2327">
        <v>0.94899999999999995</v>
      </c>
    </row>
    <row r="2328" spans="1:13" ht="15" customHeight="1">
      <c r="A2328" t="s">
        <v>30</v>
      </c>
      <c r="B2328">
        <f t="shared" si="144"/>
        <v>33.719078000000003</v>
      </c>
      <c r="C2328">
        <f t="shared" si="145"/>
        <v>-117.852715</v>
      </c>
      <c r="D2328">
        <f t="shared" si="146"/>
        <v>69</v>
      </c>
      <c r="E2328">
        <v>31.5</v>
      </c>
      <c r="F2328">
        <f t="shared" si="147"/>
        <v>37.5</v>
      </c>
      <c r="G2328">
        <v>27.013999999999999</v>
      </c>
      <c r="H2328">
        <v>1.119</v>
      </c>
      <c r="I2328">
        <v>4.1040000000000001</v>
      </c>
      <c r="J2328">
        <v>4</v>
      </c>
      <c r="K2328">
        <v>17</v>
      </c>
      <c r="L2328">
        <v>11</v>
      </c>
      <c r="M2328">
        <v>1.69</v>
      </c>
    </row>
    <row r="2329" spans="1:13" ht="15" customHeight="1">
      <c r="A2329" t="s">
        <v>30</v>
      </c>
      <c r="B2329">
        <f t="shared" si="144"/>
        <v>33.719078000000003</v>
      </c>
      <c r="C2329">
        <f t="shared" si="145"/>
        <v>-117.852715</v>
      </c>
      <c r="D2329">
        <f t="shared" si="146"/>
        <v>69</v>
      </c>
      <c r="E2329">
        <v>32.5</v>
      </c>
      <c r="F2329">
        <f t="shared" si="147"/>
        <v>36.5</v>
      </c>
      <c r="G2329">
        <v>21.367000000000001</v>
      </c>
      <c r="H2329">
        <v>1.0780000000000001</v>
      </c>
      <c r="I2329">
        <v>5.0229999999999997</v>
      </c>
      <c r="J2329">
        <v>3</v>
      </c>
      <c r="K2329">
        <v>21</v>
      </c>
      <c r="L2329">
        <v>14</v>
      </c>
      <c r="M2329">
        <v>1.3</v>
      </c>
    </row>
    <row r="2330" spans="1:13" ht="15" customHeight="1">
      <c r="A2330" t="s">
        <v>30</v>
      </c>
      <c r="B2330">
        <f t="shared" si="144"/>
        <v>33.719078000000003</v>
      </c>
      <c r="C2330">
        <f t="shared" si="145"/>
        <v>-117.852715</v>
      </c>
      <c r="D2330">
        <f t="shared" si="146"/>
        <v>69</v>
      </c>
      <c r="E2330">
        <v>33.5</v>
      </c>
      <c r="F2330">
        <f t="shared" si="147"/>
        <v>35.5</v>
      </c>
      <c r="G2330">
        <v>27.5</v>
      </c>
      <c r="H2330">
        <v>1.3720000000000001</v>
      </c>
      <c r="I2330">
        <v>4.9850000000000003</v>
      </c>
      <c r="J2330">
        <v>3</v>
      </c>
      <c r="K2330">
        <v>26</v>
      </c>
      <c r="L2330">
        <v>17</v>
      </c>
      <c r="M2330">
        <v>1.6990000000000001</v>
      </c>
    </row>
    <row r="2331" spans="1:13" ht="15" customHeight="1">
      <c r="A2331" t="s">
        <v>30</v>
      </c>
      <c r="B2331">
        <f t="shared" si="144"/>
        <v>33.719078000000003</v>
      </c>
      <c r="C2331">
        <f t="shared" si="145"/>
        <v>-117.852715</v>
      </c>
      <c r="D2331">
        <f t="shared" si="146"/>
        <v>69</v>
      </c>
      <c r="E2331">
        <v>34.5</v>
      </c>
      <c r="F2331">
        <f t="shared" si="147"/>
        <v>34.5</v>
      </c>
      <c r="G2331">
        <v>17.8</v>
      </c>
      <c r="H2331">
        <v>0.77200000000000002</v>
      </c>
      <c r="I2331">
        <v>4.3470000000000004</v>
      </c>
      <c r="J2331">
        <v>3</v>
      </c>
      <c r="K2331">
        <v>17</v>
      </c>
      <c r="L2331">
        <v>11</v>
      </c>
      <c r="M2331">
        <v>1.044</v>
      </c>
    </row>
    <row r="2332" spans="1:13" ht="15" customHeight="1">
      <c r="A2332" t="s">
        <v>30</v>
      </c>
      <c r="B2332">
        <f t="shared" si="144"/>
        <v>33.719078000000003</v>
      </c>
      <c r="C2332">
        <f t="shared" si="145"/>
        <v>-117.852715</v>
      </c>
      <c r="D2332">
        <f t="shared" si="146"/>
        <v>69</v>
      </c>
      <c r="E2332">
        <v>35.5</v>
      </c>
      <c r="F2332">
        <f t="shared" si="147"/>
        <v>33.5</v>
      </c>
      <c r="G2332">
        <v>10.766999999999999</v>
      </c>
      <c r="H2332">
        <v>0.215</v>
      </c>
      <c r="I2332">
        <v>2.0030000000000001</v>
      </c>
      <c r="J2332">
        <v>5</v>
      </c>
      <c r="K2332">
        <v>5</v>
      </c>
      <c r="L2332">
        <v>3</v>
      </c>
      <c r="M2332">
        <v>0.57199999999999995</v>
      </c>
    </row>
    <row r="2333" spans="1:13" ht="15" customHeight="1">
      <c r="A2333" t="s">
        <v>30</v>
      </c>
      <c r="B2333">
        <f t="shared" si="144"/>
        <v>33.719078000000003</v>
      </c>
      <c r="C2333">
        <f t="shared" si="145"/>
        <v>-117.852715</v>
      </c>
      <c r="D2333">
        <f t="shared" si="146"/>
        <v>69</v>
      </c>
      <c r="E2333">
        <v>36.5</v>
      </c>
      <c r="F2333">
        <f t="shared" si="147"/>
        <v>32.5</v>
      </c>
      <c r="G2333">
        <v>11.867000000000001</v>
      </c>
      <c r="H2333">
        <v>0.34699999999999998</v>
      </c>
      <c r="I2333">
        <v>2.9129999999999998</v>
      </c>
      <c r="J2333">
        <v>4</v>
      </c>
      <c r="K2333">
        <v>8</v>
      </c>
      <c r="L2333">
        <v>5</v>
      </c>
      <c r="M2333">
        <v>0.64600000000000002</v>
      </c>
    </row>
    <row r="2334" spans="1:13" ht="15" customHeight="1">
      <c r="A2334" t="s">
        <v>30</v>
      </c>
      <c r="B2334">
        <f t="shared" si="144"/>
        <v>33.719078000000003</v>
      </c>
      <c r="C2334">
        <f t="shared" si="145"/>
        <v>-117.852715</v>
      </c>
      <c r="D2334">
        <f t="shared" si="146"/>
        <v>69</v>
      </c>
      <c r="E2334">
        <v>37.5</v>
      </c>
      <c r="F2334">
        <f t="shared" si="147"/>
        <v>31.5</v>
      </c>
      <c r="G2334">
        <v>11.117000000000001</v>
      </c>
      <c r="H2334">
        <v>0.21</v>
      </c>
      <c r="I2334">
        <v>1.8779999999999999</v>
      </c>
      <c r="J2334">
        <v>5</v>
      </c>
      <c r="K2334">
        <v>5</v>
      </c>
      <c r="L2334">
        <v>3</v>
      </c>
      <c r="M2334">
        <v>0.59399999999999997</v>
      </c>
    </row>
    <row r="2335" spans="1:13" ht="15" customHeight="1">
      <c r="A2335" t="s">
        <v>30</v>
      </c>
      <c r="B2335">
        <f t="shared" si="144"/>
        <v>33.719078000000003</v>
      </c>
      <c r="C2335">
        <f t="shared" si="145"/>
        <v>-117.852715</v>
      </c>
      <c r="D2335">
        <f t="shared" si="146"/>
        <v>69</v>
      </c>
      <c r="E2335">
        <v>38.5</v>
      </c>
      <c r="F2335">
        <f t="shared" si="147"/>
        <v>30.5</v>
      </c>
      <c r="G2335">
        <v>8.4830000000000005</v>
      </c>
      <c r="H2335">
        <v>9.5000000000000001E-2</v>
      </c>
      <c r="I2335">
        <v>1.105</v>
      </c>
      <c r="J2335">
        <v>5</v>
      </c>
      <c r="K2335">
        <v>4</v>
      </c>
      <c r="L2335">
        <v>2</v>
      </c>
      <c r="M2335">
        <v>0.41799999999999998</v>
      </c>
    </row>
    <row r="2336" spans="1:13" ht="15" customHeight="1">
      <c r="A2336" t="s">
        <v>30</v>
      </c>
      <c r="B2336">
        <f t="shared" si="144"/>
        <v>33.719078000000003</v>
      </c>
      <c r="C2336">
        <f t="shared" si="145"/>
        <v>-117.852715</v>
      </c>
      <c r="D2336">
        <f t="shared" si="146"/>
        <v>69</v>
      </c>
      <c r="E2336">
        <v>39.5</v>
      </c>
      <c r="F2336">
        <f t="shared" si="147"/>
        <v>29.5</v>
      </c>
      <c r="G2336">
        <v>40.183</v>
      </c>
      <c r="H2336">
        <v>1.32</v>
      </c>
      <c r="I2336">
        <v>3.262</v>
      </c>
      <c r="J2336">
        <v>5</v>
      </c>
      <c r="K2336">
        <v>19</v>
      </c>
      <c r="L2336">
        <v>11</v>
      </c>
      <c r="M2336">
        <v>2.5379999999999998</v>
      </c>
    </row>
    <row r="2337" spans="1:13" ht="15" customHeight="1">
      <c r="A2337" t="s">
        <v>30</v>
      </c>
      <c r="B2337">
        <f t="shared" si="144"/>
        <v>33.719078000000003</v>
      </c>
      <c r="C2337">
        <f t="shared" si="145"/>
        <v>-117.852715</v>
      </c>
      <c r="D2337">
        <f t="shared" si="146"/>
        <v>69</v>
      </c>
      <c r="E2337">
        <v>40.5</v>
      </c>
      <c r="F2337">
        <f t="shared" si="147"/>
        <v>28.5</v>
      </c>
      <c r="G2337">
        <v>55.15</v>
      </c>
      <c r="H2337">
        <v>1.73</v>
      </c>
      <c r="I2337">
        <v>3.0539999999999998</v>
      </c>
      <c r="J2337">
        <v>6</v>
      </c>
      <c r="K2337">
        <v>22</v>
      </c>
      <c r="L2337">
        <v>13</v>
      </c>
      <c r="M2337">
        <v>3.613</v>
      </c>
    </row>
    <row r="2338" spans="1:13" ht="15" customHeight="1">
      <c r="A2338" t="s">
        <v>30</v>
      </c>
      <c r="B2338">
        <f t="shared" si="144"/>
        <v>33.719078000000003</v>
      </c>
      <c r="C2338">
        <f t="shared" si="145"/>
        <v>-117.852715</v>
      </c>
      <c r="D2338">
        <f t="shared" si="146"/>
        <v>69</v>
      </c>
      <c r="E2338">
        <v>41.499000000000002</v>
      </c>
      <c r="F2338">
        <f t="shared" si="147"/>
        <v>27.500999999999998</v>
      </c>
      <c r="G2338">
        <v>48.713999999999999</v>
      </c>
      <c r="H2338">
        <v>1.4870000000000001</v>
      </c>
      <c r="I2338">
        <v>2.9380000000000002</v>
      </c>
      <c r="J2338">
        <v>6</v>
      </c>
      <c r="K2338">
        <v>19</v>
      </c>
      <c r="L2338">
        <v>11</v>
      </c>
      <c r="M2338">
        <v>3.206</v>
      </c>
    </row>
    <row r="2339" spans="1:13" ht="15" customHeight="1">
      <c r="A2339" t="s">
        <v>30</v>
      </c>
      <c r="B2339">
        <f t="shared" si="144"/>
        <v>33.719078000000003</v>
      </c>
      <c r="C2339">
        <f t="shared" si="145"/>
        <v>-117.852715</v>
      </c>
      <c r="D2339">
        <f t="shared" si="146"/>
        <v>69</v>
      </c>
      <c r="E2339">
        <v>42.499000000000002</v>
      </c>
      <c r="F2339">
        <f t="shared" si="147"/>
        <v>26.500999999999998</v>
      </c>
      <c r="G2339">
        <v>36.082999999999998</v>
      </c>
      <c r="H2339">
        <v>0.89800000000000002</v>
      </c>
      <c r="I2339">
        <v>2.355</v>
      </c>
      <c r="J2339">
        <v>6</v>
      </c>
      <c r="K2339">
        <v>15</v>
      </c>
      <c r="L2339">
        <v>9</v>
      </c>
      <c r="M2339">
        <v>2.371</v>
      </c>
    </row>
    <row r="2340" spans="1:13" ht="15" customHeight="1">
      <c r="A2340" t="s">
        <v>30</v>
      </c>
      <c r="B2340">
        <f t="shared" si="144"/>
        <v>33.719078000000003</v>
      </c>
      <c r="C2340">
        <f t="shared" si="145"/>
        <v>-117.852715</v>
      </c>
      <c r="D2340">
        <f t="shared" si="146"/>
        <v>69</v>
      </c>
      <c r="E2340">
        <v>43.499000000000002</v>
      </c>
      <c r="F2340">
        <f t="shared" si="147"/>
        <v>25.500999999999998</v>
      </c>
      <c r="G2340">
        <v>44.982999999999997</v>
      </c>
      <c r="H2340">
        <v>1.6180000000000001</v>
      </c>
      <c r="I2340">
        <v>3.484</v>
      </c>
      <c r="J2340">
        <v>5</v>
      </c>
      <c r="K2340">
        <v>22</v>
      </c>
      <c r="L2340">
        <v>13</v>
      </c>
      <c r="M2340">
        <v>2.92</v>
      </c>
    </row>
    <row r="2341" spans="1:13" ht="15" customHeight="1">
      <c r="A2341" t="s">
        <v>30</v>
      </c>
      <c r="B2341">
        <f t="shared" si="144"/>
        <v>33.719078000000003</v>
      </c>
      <c r="C2341">
        <f t="shared" si="145"/>
        <v>-117.852715</v>
      </c>
      <c r="D2341">
        <f t="shared" si="146"/>
        <v>69</v>
      </c>
      <c r="E2341">
        <v>44.499000000000002</v>
      </c>
      <c r="F2341">
        <f t="shared" si="147"/>
        <v>24.500999999999998</v>
      </c>
      <c r="G2341">
        <v>30</v>
      </c>
      <c r="H2341">
        <v>1.2</v>
      </c>
      <c r="I2341">
        <v>3.8940000000000001</v>
      </c>
      <c r="J2341">
        <v>4</v>
      </c>
      <c r="K2341">
        <v>20</v>
      </c>
      <c r="L2341">
        <v>11</v>
      </c>
      <c r="M2341">
        <v>1.8740000000000001</v>
      </c>
    </row>
    <row r="2342" spans="1:13" ht="15" customHeight="1">
      <c r="A2342" t="s">
        <v>30</v>
      </c>
      <c r="B2342">
        <f t="shared" si="144"/>
        <v>33.719078000000003</v>
      </c>
      <c r="C2342">
        <f t="shared" si="145"/>
        <v>-117.852715</v>
      </c>
      <c r="D2342">
        <f t="shared" si="146"/>
        <v>69</v>
      </c>
      <c r="E2342">
        <v>45.499000000000002</v>
      </c>
      <c r="F2342">
        <f t="shared" si="147"/>
        <v>23.500999999999998</v>
      </c>
      <c r="G2342">
        <v>19.516999999999999</v>
      </c>
      <c r="H2342">
        <v>0.86</v>
      </c>
      <c r="I2342">
        <v>4.351</v>
      </c>
      <c r="J2342">
        <v>3</v>
      </c>
      <c r="K2342">
        <v>19</v>
      </c>
      <c r="L2342">
        <v>11</v>
      </c>
      <c r="M2342">
        <v>1.133</v>
      </c>
    </row>
    <row r="2343" spans="1:13" ht="15" customHeight="1">
      <c r="A2343" t="s">
        <v>30</v>
      </c>
      <c r="B2343">
        <f t="shared" si="144"/>
        <v>33.719078000000003</v>
      </c>
      <c r="C2343">
        <f t="shared" si="145"/>
        <v>-117.852715</v>
      </c>
      <c r="D2343">
        <f t="shared" si="146"/>
        <v>69</v>
      </c>
      <c r="E2343">
        <v>46.499000000000002</v>
      </c>
      <c r="F2343">
        <f t="shared" si="147"/>
        <v>22.500999999999998</v>
      </c>
      <c r="G2343">
        <v>36.299999999999997</v>
      </c>
      <c r="H2343">
        <v>1.877</v>
      </c>
      <c r="I2343">
        <v>5.149</v>
      </c>
      <c r="J2343">
        <v>3</v>
      </c>
      <c r="K2343">
        <v>35</v>
      </c>
      <c r="L2343">
        <v>19</v>
      </c>
      <c r="M2343">
        <v>2.2410000000000001</v>
      </c>
    </row>
    <row r="2344" spans="1:13" ht="15" customHeight="1">
      <c r="A2344" t="s">
        <v>30</v>
      </c>
      <c r="B2344">
        <f t="shared" si="144"/>
        <v>33.719078000000003</v>
      </c>
      <c r="C2344">
        <f t="shared" si="145"/>
        <v>-117.852715</v>
      </c>
      <c r="D2344">
        <f t="shared" si="146"/>
        <v>69</v>
      </c>
      <c r="E2344">
        <v>47.499000000000002</v>
      </c>
      <c r="F2344">
        <f t="shared" si="147"/>
        <v>21.500999999999998</v>
      </c>
      <c r="G2344">
        <v>66.05</v>
      </c>
      <c r="H2344">
        <v>1.9450000000000001</v>
      </c>
      <c r="I2344">
        <v>2.95</v>
      </c>
      <c r="J2344">
        <v>6</v>
      </c>
      <c r="K2344">
        <v>25</v>
      </c>
      <c r="L2344">
        <v>14</v>
      </c>
      <c r="M2344">
        <v>4.202</v>
      </c>
    </row>
    <row r="2345" spans="1:13" ht="15" customHeight="1">
      <c r="A2345" t="s">
        <v>30</v>
      </c>
      <c r="B2345">
        <f t="shared" si="144"/>
        <v>33.719078000000003</v>
      </c>
      <c r="C2345">
        <f t="shared" si="145"/>
        <v>-117.852715</v>
      </c>
      <c r="D2345">
        <f t="shared" si="146"/>
        <v>69</v>
      </c>
      <c r="E2345">
        <v>48.499000000000002</v>
      </c>
      <c r="F2345">
        <f t="shared" si="147"/>
        <v>20.500999999999998</v>
      </c>
      <c r="G2345">
        <v>143.56700000000001</v>
      </c>
      <c r="H2345">
        <v>2.79</v>
      </c>
      <c r="I2345">
        <v>1.9450000000000001</v>
      </c>
      <c r="J2345">
        <v>7</v>
      </c>
      <c r="K2345">
        <v>46</v>
      </c>
      <c r="L2345">
        <v>25</v>
      </c>
      <c r="M2345" s="1">
        <v>9000000000</v>
      </c>
    </row>
    <row r="2346" spans="1:13" ht="15" customHeight="1">
      <c r="A2346" t="s">
        <v>30</v>
      </c>
      <c r="B2346">
        <f t="shared" si="144"/>
        <v>33.719078000000003</v>
      </c>
      <c r="C2346">
        <f t="shared" si="145"/>
        <v>-117.852715</v>
      </c>
      <c r="D2346">
        <f t="shared" si="146"/>
        <v>69</v>
      </c>
      <c r="E2346">
        <v>49.499000000000002</v>
      </c>
      <c r="F2346">
        <f t="shared" si="147"/>
        <v>19.500999999999998</v>
      </c>
      <c r="G2346">
        <v>276.233</v>
      </c>
      <c r="H2346">
        <v>3.8170000000000002</v>
      </c>
      <c r="I2346">
        <v>1.3819999999999999</v>
      </c>
      <c r="J2346">
        <v>9</v>
      </c>
      <c r="K2346">
        <v>53</v>
      </c>
      <c r="L2346">
        <v>28</v>
      </c>
      <c r="M2346" s="1">
        <v>9000000000</v>
      </c>
    </row>
    <row r="2347" spans="1:13" ht="15" customHeight="1">
      <c r="A2347" t="s">
        <v>30</v>
      </c>
      <c r="B2347">
        <f t="shared" si="144"/>
        <v>33.719078000000003</v>
      </c>
      <c r="C2347">
        <f t="shared" si="145"/>
        <v>-117.852715</v>
      </c>
      <c r="D2347">
        <f t="shared" si="146"/>
        <v>69</v>
      </c>
      <c r="E2347">
        <v>50.499000000000002</v>
      </c>
      <c r="F2347">
        <f t="shared" si="147"/>
        <v>18.500999999999998</v>
      </c>
      <c r="G2347">
        <v>294.39999999999998</v>
      </c>
      <c r="H2347">
        <v>7.15</v>
      </c>
      <c r="I2347">
        <v>2.4300000000000002</v>
      </c>
      <c r="J2347">
        <v>7</v>
      </c>
      <c r="K2347">
        <v>94</v>
      </c>
      <c r="L2347">
        <v>50</v>
      </c>
      <c r="M2347" s="1">
        <v>9000000000</v>
      </c>
    </row>
    <row r="2348" spans="1:13" ht="15" customHeight="1">
      <c r="A2348" t="s">
        <v>30</v>
      </c>
      <c r="B2348">
        <f t="shared" si="144"/>
        <v>33.719078000000003</v>
      </c>
      <c r="C2348">
        <f t="shared" si="145"/>
        <v>-117.852715</v>
      </c>
      <c r="D2348">
        <f t="shared" si="146"/>
        <v>69</v>
      </c>
      <c r="E2348">
        <v>51.499000000000002</v>
      </c>
      <c r="F2348">
        <f t="shared" si="147"/>
        <v>17.500999999999998</v>
      </c>
      <c r="G2348">
        <v>166.2</v>
      </c>
      <c r="H2348">
        <v>4.1100000000000003</v>
      </c>
      <c r="I2348">
        <v>2.4750000000000001</v>
      </c>
      <c r="J2348">
        <v>7</v>
      </c>
      <c r="K2348">
        <v>53</v>
      </c>
      <c r="L2348">
        <v>28</v>
      </c>
      <c r="M2348" s="1">
        <v>9000000000</v>
      </c>
    </row>
    <row r="2349" spans="1:13" ht="15" customHeight="1">
      <c r="A2349" t="s">
        <v>30</v>
      </c>
      <c r="B2349">
        <f t="shared" si="144"/>
        <v>33.719078000000003</v>
      </c>
      <c r="C2349">
        <f t="shared" si="145"/>
        <v>-117.852715</v>
      </c>
      <c r="D2349">
        <f t="shared" si="146"/>
        <v>69</v>
      </c>
      <c r="E2349">
        <v>52.499000000000002</v>
      </c>
      <c r="F2349">
        <f t="shared" si="147"/>
        <v>16.500999999999998</v>
      </c>
      <c r="G2349">
        <v>62.914000000000001</v>
      </c>
      <c r="H2349">
        <v>2.97</v>
      </c>
      <c r="I2349">
        <v>4.7350000000000003</v>
      </c>
      <c r="J2349">
        <v>4</v>
      </c>
      <c r="K2349">
        <v>40</v>
      </c>
      <c r="L2349">
        <v>21</v>
      </c>
      <c r="M2349">
        <v>3.968</v>
      </c>
    </row>
    <row r="2350" spans="1:13" ht="15" customHeight="1">
      <c r="A2350" t="s">
        <v>30</v>
      </c>
      <c r="B2350">
        <f t="shared" si="144"/>
        <v>33.719078000000003</v>
      </c>
      <c r="C2350">
        <f t="shared" si="145"/>
        <v>-117.852715</v>
      </c>
      <c r="D2350">
        <f t="shared" si="146"/>
        <v>69</v>
      </c>
      <c r="E2350">
        <v>53.499000000000002</v>
      </c>
      <c r="F2350">
        <f t="shared" si="147"/>
        <v>15.500999999999998</v>
      </c>
      <c r="G2350">
        <v>134.15</v>
      </c>
      <c r="H2350">
        <v>3.5379999999999998</v>
      </c>
      <c r="I2350">
        <v>2.6419999999999999</v>
      </c>
      <c r="J2350">
        <v>7</v>
      </c>
      <c r="K2350">
        <v>43</v>
      </c>
      <c r="L2350">
        <v>22</v>
      </c>
      <c r="M2350" s="1">
        <v>9000000000</v>
      </c>
    </row>
    <row r="2351" spans="1:13" ht="15" customHeight="1">
      <c r="A2351" t="s">
        <v>30</v>
      </c>
      <c r="B2351">
        <f t="shared" si="144"/>
        <v>33.719078000000003</v>
      </c>
      <c r="C2351">
        <f t="shared" si="145"/>
        <v>-117.852715</v>
      </c>
      <c r="D2351">
        <f t="shared" si="146"/>
        <v>69</v>
      </c>
      <c r="E2351">
        <v>54.499000000000002</v>
      </c>
      <c r="F2351">
        <f t="shared" si="147"/>
        <v>14.500999999999998</v>
      </c>
      <c r="G2351">
        <v>77.5</v>
      </c>
      <c r="H2351">
        <v>3.7</v>
      </c>
      <c r="I2351">
        <v>4.7830000000000004</v>
      </c>
      <c r="J2351">
        <v>11</v>
      </c>
      <c r="K2351">
        <v>74</v>
      </c>
      <c r="L2351">
        <v>38</v>
      </c>
      <c r="M2351" s="1">
        <v>9000000000</v>
      </c>
    </row>
    <row r="2352" spans="1:13" ht="15" customHeight="1">
      <c r="A2352" t="s">
        <v>30</v>
      </c>
      <c r="B2352">
        <f t="shared" si="144"/>
        <v>33.719078000000003</v>
      </c>
      <c r="C2352">
        <f t="shared" si="145"/>
        <v>-117.852715</v>
      </c>
      <c r="D2352">
        <f t="shared" si="146"/>
        <v>69</v>
      </c>
      <c r="E2352">
        <v>55.499000000000002</v>
      </c>
      <c r="F2352">
        <f t="shared" si="147"/>
        <v>13.500999999999998</v>
      </c>
      <c r="G2352">
        <v>40.417000000000002</v>
      </c>
      <c r="H2352">
        <v>1.825</v>
      </c>
      <c r="I2352">
        <v>4.5339999999999998</v>
      </c>
      <c r="J2352">
        <v>4</v>
      </c>
      <c r="K2352">
        <v>26</v>
      </c>
      <c r="L2352">
        <v>13</v>
      </c>
      <c r="M2352">
        <v>2.4569999999999999</v>
      </c>
    </row>
    <row r="2353" spans="1:13" ht="15" customHeight="1">
      <c r="A2353" t="s">
        <v>30</v>
      </c>
      <c r="B2353">
        <f t="shared" si="144"/>
        <v>33.719078000000003</v>
      </c>
      <c r="C2353">
        <f t="shared" si="145"/>
        <v>-117.852715</v>
      </c>
      <c r="D2353">
        <f t="shared" si="146"/>
        <v>69</v>
      </c>
      <c r="E2353">
        <v>56.499000000000002</v>
      </c>
      <c r="F2353">
        <f t="shared" si="147"/>
        <v>12.500999999999998</v>
      </c>
      <c r="G2353">
        <v>22.332999999999998</v>
      </c>
      <c r="H2353">
        <v>0.76500000000000001</v>
      </c>
      <c r="I2353">
        <v>3.4489999999999998</v>
      </c>
      <c r="J2353">
        <v>5</v>
      </c>
      <c r="K2353">
        <v>11</v>
      </c>
      <c r="L2353">
        <v>6</v>
      </c>
      <c r="M2353">
        <v>1.2490000000000001</v>
      </c>
    </row>
    <row r="2354" spans="1:13" ht="15" customHeight="1">
      <c r="A2354" t="s">
        <v>30</v>
      </c>
      <c r="B2354">
        <f t="shared" si="144"/>
        <v>33.719078000000003</v>
      </c>
      <c r="C2354">
        <f t="shared" si="145"/>
        <v>-117.852715</v>
      </c>
      <c r="D2354">
        <f t="shared" si="146"/>
        <v>69</v>
      </c>
      <c r="E2354">
        <v>57.499000000000002</v>
      </c>
      <c r="F2354">
        <f t="shared" si="147"/>
        <v>11.500999999999998</v>
      </c>
      <c r="G2354">
        <v>22.95</v>
      </c>
      <c r="H2354">
        <v>0.97199999999999998</v>
      </c>
      <c r="I2354">
        <v>4.2649999999999997</v>
      </c>
      <c r="J2354">
        <v>4</v>
      </c>
      <c r="K2354">
        <v>15</v>
      </c>
      <c r="L2354">
        <v>8</v>
      </c>
      <c r="M2354">
        <v>1.284</v>
      </c>
    </row>
    <row r="2355" spans="1:13" ht="15" customHeight="1">
      <c r="A2355" t="s">
        <v>30</v>
      </c>
      <c r="B2355">
        <f t="shared" si="144"/>
        <v>33.719078000000003</v>
      </c>
      <c r="C2355">
        <f t="shared" si="145"/>
        <v>-117.852715</v>
      </c>
      <c r="D2355">
        <f t="shared" si="146"/>
        <v>69</v>
      </c>
      <c r="E2355">
        <v>58.499000000000002</v>
      </c>
      <c r="F2355">
        <f t="shared" si="147"/>
        <v>10.500999999999998</v>
      </c>
      <c r="G2355">
        <v>184.35</v>
      </c>
      <c r="H2355">
        <v>5.37</v>
      </c>
      <c r="I2355">
        <v>2.9159999999999999</v>
      </c>
      <c r="J2355">
        <v>7</v>
      </c>
      <c r="K2355">
        <v>59</v>
      </c>
      <c r="L2355">
        <v>30</v>
      </c>
      <c r="M2355" s="1">
        <v>9000000000</v>
      </c>
    </row>
    <row r="2356" spans="1:13" ht="15" customHeight="1">
      <c r="A2356" t="s">
        <v>30</v>
      </c>
      <c r="B2356">
        <f t="shared" si="144"/>
        <v>33.719078000000003</v>
      </c>
      <c r="C2356">
        <f t="shared" si="145"/>
        <v>-117.852715</v>
      </c>
      <c r="D2356">
        <f t="shared" si="146"/>
        <v>69</v>
      </c>
      <c r="E2356">
        <v>59.499000000000002</v>
      </c>
      <c r="F2356">
        <f t="shared" si="147"/>
        <v>9.5009999999999977</v>
      </c>
      <c r="G2356">
        <v>104.917</v>
      </c>
      <c r="H2356">
        <v>2.7120000000000002</v>
      </c>
      <c r="I2356">
        <v>2.589</v>
      </c>
      <c r="J2356">
        <v>7</v>
      </c>
      <c r="K2356">
        <v>33</v>
      </c>
      <c r="L2356">
        <v>17</v>
      </c>
      <c r="M2356" s="1">
        <v>9000000000</v>
      </c>
    </row>
    <row r="2357" spans="1:13" ht="15" customHeight="1">
      <c r="A2357" t="s">
        <v>30</v>
      </c>
      <c r="B2357">
        <f t="shared" si="144"/>
        <v>33.719078000000003</v>
      </c>
      <c r="C2357">
        <f t="shared" si="145"/>
        <v>-117.852715</v>
      </c>
      <c r="D2357">
        <f t="shared" si="146"/>
        <v>69</v>
      </c>
      <c r="E2357">
        <v>60.499000000000002</v>
      </c>
      <c r="F2357">
        <f t="shared" si="147"/>
        <v>8.5009999999999977</v>
      </c>
      <c r="G2357">
        <v>95.617000000000004</v>
      </c>
      <c r="H2357">
        <v>4.7329999999999997</v>
      </c>
      <c r="I2357">
        <v>4.9610000000000003</v>
      </c>
      <c r="J2357">
        <v>11</v>
      </c>
      <c r="K2357">
        <v>91</v>
      </c>
      <c r="L2357">
        <v>46</v>
      </c>
      <c r="M2357" s="1">
        <v>9000000000</v>
      </c>
    </row>
    <row r="2358" spans="1:13" ht="15" customHeight="1">
      <c r="A2358" t="s">
        <v>30</v>
      </c>
      <c r="B2358">
        <f t="shared" si="144"/>
        <v>33.719078000000003</v>
      </c>
      <c r="C2358">
        <f t="shared" si="145"/>
        <v>-117.852715</v>
      </c>
      <c r="D2358">
        <f t="shared" si="146"/>
        <v>69</v>
      </c>
      <c r="E2358">
        <v>61.499000000000002</v>
      </c>
      <c r="F2358">
        <f t="shared" si="147"/>
        <v>7.5009999999999977</v>
      </c>
      <c r="G2358">
        <v>73.55</v>
      </c>
      <c r="H2358">
        <v>2.62</v>
      </c>
      <c r="I2358">
        <v>3.5720000000000001</v>
      </c>
      <c r="J2358">
        <v>5</v>
      </c>
      <c r="K2358">
        <v>35</v>
      </c>
      <c r="L2358">
        <v>18</v>
      </c>
      <c r="M2358">
        <v>4.6390000000000002</v>
      </c>
    </row>
    <row r="2359" spans="1:13" ht="15" customHeight="1">
      <c r="A2359" t="s">
        <v>30</v>
      </c>
      <c r="B2359">
        <f t="shared" si="144"/>
        <v>33.719078000000003</v>
      </c>
      <c r="C2359">
        <f t="shared" si="145"/>
        <v>-117.852715</v>
      </c>
      <c r="D2359">
        <f t="shared" si="146"/>
        <v>69</v>
      </c>
      <c r="E2359">
        <v>62.499000000000002</v>
      </c>
      <c r="F2359">
        <f t="shared" si="147"/>
        <v>6.5009999999999977</v>
      </c>
      <c r="G2359">
        <v>278.18599999999998</v>
      </c>
      <c r="H2359">
        <v>2.093</v>
      </c>
      <c r="I2359">
        <v>0.753</v>
      </c>
      <c r="J2359">
        <v>9</v>
      </c>
      <c r="K2359">
        <v>53</v>
      </c>
      <c r="L2359">
        <v>27</v>
      </c>
      <c r="M2359" s="1">
        <v>9000000000</v>
      </c>
    </row>
    <row r="2360" spans="1:13" ht="15" customHeight="1">
      <c r="A2360" t="s">
        <v>30</v>
      </c>
      <c r="B2360">
        <f t="shared" si="144"/>
        <v>33.719078000000003</v>
      </c>
      <c r="C2360">
        <f t="shared" si="145"/>
        <v>-117.852715</v>
      </c>
      <c r="D2360">
        <f t="shared" si="146"/>
        <v>69</v>
      </c>
      <c r="E2360">
        <v>63.499000000000002</v>
      </c>
      <c r="F2360">
        <f t="shared" si="147"/>
        <v>5.5009999999999977</v>
      </c>
      <c r="G2360">
        <v>379.71699999999998</v>
      </c>
      <c r="H2360">
        <v>1.9</v>
      </c>
      <c r="I2360">
        <v>0.501</v>
      </c>
      <c r="J2360">
        <v>10</v>
      </c>
      <c r="K2360">
        <v>61</v>
      </c>
      <c r="L2360">
        <v>31</v>
      </c>
      <c r="M2360" s="1">
        <v>9000000000</v>
      </c>
    </row>
    <row r="2361" spans="1:13" ht="15" customHeight="1">
      <c r="A2361" t="s">
        <v>30</v>
      </c>
      <c r="B2361">
        <f t="shared" si="144"/>
        <v>33.719078000000003</v>
      </c>
      <c r="C2361">
        <f t="shared" si="145"/>
        <v>-117.852715</v>
      </c>
      <c r="D2361">
        <f t="shared" si="146"/>
        <v>69</v>
      </c>
      <c r="E2361">
        <v>64.498999999999995</v>
      </c>
      <c r="F2361">
        <f t="shared" si="147"/>
        <v>4.5010000000000048</v>
      </c>
      <c r="G2361">
        <v>499.733</v>
      </c>
      <c r="H2361">
        <v>2.8530000000000002</v>
      </c>
      <c r="I2361">
        <v>0.57099999999999995</v>
      </c>
      <c r="J2361">
        <v>10</v>
      </c>
      <c r="K2361">
        <v>80</v>
      </c>
      <c r="L2361">
        <v>40</v>
      </c>
      <c r="M2361" s="1">
        <v>9000000000</v>
      </c>
    </row>
    <row r="2362" spans="1:13" ht="15" customHeight="1">
      <c r="A2362" t="s">
        <v>30</v>
      </c>
      <c r="B2362">
        <f t="shared" si="144"/>
        <v>33.719078000000003</v>
      </c>
      <c r="C2362">
        <f t="shared" si="145"/>
        <v>-117.852715</v>
      </c>
      <c r="D2362">
        <f t="shared" si="146"/>
        <v>69</v>
      </c>
      <c r="E2362">
        <v>65.498999999999995</v>
      </c>
      <c r="F2362">
        <f t="shared" si="147"/>
        <v>3.5010000000000048</v>
      </c>
      <c r="G2362">
        <v>559.33299999999997</v>
      </c>
      <c r="H2362">
        <v>3.242</v>
      </c>
      <c r="I2362">
        <v>0.57999999999999996</v>
      </c>
      <c r="J2362">
        <v>10</v>
      </c>
      <c r="K2362">
        <v>89</v>
      </c>
      <c r="L2362">
        <v>45</v>
      </c>
      <c r="M2362" s="1">
        <v>9000000000</v>
      </c>
    </row>
    <row r="2363" spans="1:13" ht="15" customHeight="1">
      <c r="A2363" t="s">
        <v>30</v>
      </c>
      <c r="B2363">
        <f t="shared" si="144"/>
        <v>33.719078000000003</v>
      </c>
      <c r="C2363">
        <f t="shared" si="145"/>
        <v>-117.852715</v>
      </c>
      <c r="D2363">
        <f t="shared" si="146"/>
        <v>69</v>
      </c>
      <c r="E2363">
        <v>66.498999999999995</v>
      </c>
      <c r="F2363">
        <f t="shared" si="147"/>
        <v>2.5010000000000048</v>
      </c>
      <c r="G2363">
        <v>387.13299999999998</v>
      </c>
      <c r="H2363">
        <v>2.0449999999999999</v>
      </c>
      <c r="I2363">
        <v>0.52800000000000002</v>
      </c>
      <c r="J2363">
        <v>10</v>
      </c>
      <c r="K2363">
        <v>62</v>
      </c>
      <c r="L2363">
        <v>31</v>
      </c>
      <c r="M2363" s="1">
        <v>9000000000</v>
      </c>
    </row>
    <row r="2364" spans="1:13" ht="15" customHeight="1">
      <c r="A2364" t="s">
        <v>30</v>
      </c>
      <c r="B2364">
        <f t="shared" si="144"/>
        <v>33.719078000000003</v>
      </c>
      <c r="C2364">
        <f t="shared" si="145"/>
        <v>-117.852715</v>
      </c>
      <c r="D2364">
        <f t="shared" si="146"/>
        <v>69</v>
      </c>
      <c r="E2364">
        <v>67.498999999999995</v>
      </c>
      <c r="F2364">
        <f t="shared" si="147"/>
        <v>1.5010000000000048</v>
      </c>
      <c r="G2364">
        <v>370.41699999999997</v>
      </c>
      <c r="H2364">
        <v>2.2229999999999999</v>
      </c>
      <c r="I2364">
        <v>0.6</v>
      </c>
      <c r="J2364">
        <v>10</v>
      </c>
      <c r="K2364">
        <v>59</v>
      </c>
      <c r="L2364">
        <v>30</v>
      </c>
      <c r="M2364" s="1">
        <v>9000000000</v>
      </c>
    </row>
    <row r="2365" spans="1:13" ht="15" customHeight="1">
      <c r="A2365" t="s">
        <v>30</v>
      </c>
      <c r="B2365">
        <f t="shared" si="144"/>
        <v>33.719078000000003</v>
      </c>
      <c r="C2365">
        <f t="shared" si="145"/>
        <v>-117.852715</v>
      </c>
      <c r="D2365">
        <f t="shared" si="146"/>
        <v>69</v>
      </c>
      <c r="E2365">
        <v>68.498999999999995</v>
      </c>
      <c r="F2365">
        <f t="shared" si="147"/>
        <v>0.50100000000000477</v>
      </c>
      <c r="G2365">
        <v>48.567</v>
      </c>
      <c r="H2365">
        <v>1.752</v>
      </c>
      <c r="I2365">
        <v>3.5379999999999998</v>
      </c>
      <c r="J2365">
        <v>5</v>
      </c>
      <c r="K2365">
        <v>24</v>
      </c>
      <c r="L2365">
        <v>12</v>
      </c>
      <c r="M2365">
        <v>3.02</v>
      </c>
    </row>
    <row r="2366" spans="1:13" ht="15" customHeight="1">
      <c r="A2366" t="s">
        <v>30</v>
      </c>
      <c r="B2366">
        <f t="shared" si="144"/>
        <v>33.719078000000003</v>
      </c>
      <c r="C2366">
        <f t="shared" si="145"/>
        <v>-117.852715</v>
      </c>
      <c r="D2366">
        <f t="shared" si="146"/>
        <v>69</v>
      </c>
      <c r="E2366">
        <v>69.498999999999995</v>
      </c>
      <c r="F2366">
        <f t="shared" si="147"/>
        <v>-0.49899999999999523</v>
      </c>
      <c r="G2366">
        <v>22.317</v>
      </c>
      <c r="H2366">
        <v>0.59499999999999997</v>
      </c>
      <c r="I2366">
        <v>2.516</v>
      </c>
      <c r="J2366">
        <v>6</v>
      </c>
      <c r="K2366">
        <v>9</v>
      </c>
      <c r="L2366">
        <v>5</v>
      </c>
      <c r="M2366">
        <v>1.2909999999999999</v>
      </c>
    </row>
    <row r="2367" spans="1:13" ht="15" customHeight="1">
      <c r="A2367" t="s">
        <v>30</v>
      </c>
      <c r="B2367">
        <f t="shared" si="144"/>
        <v>33.719078000000003</v>
      </c>
      <c r="C2367">
        <f t="shared" si="145"/>
        <v>-117.852715</v>
      </c>
      <c r="D2367">
        <f t="shared" si="146"/>
        <v>69</v>
      </c>
      <c r="E2367">
        <v>70.498999999999995</v>
      </c>
      <c r="F2367">
        <f t="shared" si="147"/>
        <v>-1.4989999999999952</v>
      </c>
      <c r="G2367">
        <v>36.549999999999997</v>
      </c>
      <c r="H2367">
        <v>0.97299999999999998</v>
      </c>
      <c r="I2367">
        <v>2.5649999999999999</v>
      </c>
      <c r="J2367">
        <v>6</v>
      </c>
      <c r="K2367">
        <v>15</v>
      </c>
      <c r="L2367">
        <v>8</v>
      </c>
      <c r="M2367">
        <v>2.2400000000000002</v>
      </c>
    </row>
    <row r="2368" spans="1:13" ht="15" customHeight="1">
      <c r="A2368" t="s">
        <v>30</v>
      </c>
      <c r="B2368">
        <f t="shared" si="144"/>
        <v>33.719078000000003</v>
      </c>
      <c r="C2368">
        <f t="shared" si="145"/>
        <v>-117.852715</v>
      </c>
      <c r="D2368">
        <f t="shared" si="146"/>
        <v>69</v>
      </c>
      <c r="E2368">
        <v>71.498999999999995</v>
      </c>
      <c r="F2368">
        <f t="shared" si="147"/>
        <v>-2.4989999999999952</v>
      </c>
      <c r="G2368">
        <v>77.150000000000006</v>
      </c>
      <c r="H2368">
        <v>3.36</v>
      </c>
      <c r="I2368">
        <v>4.3570000000000002</v>
      </c>
      <c r="J2368">
        <v>5</v>
      </c>
      <c r="K2368">
        <v>37</v>
      </c>
      <c r="L2368">
        <v>19</v>
      </c>
      <c r="M2368">
        <v>4.8470000000000004</v>
      </c>
    </row>
    <row r="2369" spans="1:13" ht="15" customHeight="1">
      <c r="A2369" t="s">
        <v>30</v>
      </c>
      <c r="B2369">
        <f t="shared" si="144"/>
        <v>33.719078000000003</v>
      </c>
      <c r="C2369">
        <f t="shared" si="145"/>
        <v>-117.852715</v>
      </c>
      <c r="D2369">
        <f t="shared" si="146"/>
        <v>69</v>
      </c>
      <c r="E2369">
        <v>72.498999999999995</v>
      </c>
      <c r="F2369">
        <f t="shared" si="147"/>
        <v>-3.4989999999999952</v>
      </c>
      <c r="G2369">
        <v>33.029000000000003</v>
      </c>
      <c r="H2369">
        <v>0.93400000000000005</v>
      </c>
      <c r="I2369">
        <v>2.8450000000000002</v>
      </c>
      <c r="J2369">
        <v>6</v>
      </c>
      <c r="K2369">
        <v>13</v>
      </c>
      <c r="L2369">
        <v>7</v>
      </c>
      <c r="M2369">
        <v>1.8919999999999999</v>
      </c>
    </row>
    <row r="2370" spans="1:13" ht="15" customHeight="1">
      <c r="A2370" t="s">
        <v>30</v>
      </c>
      <c r="B2370">
        <f t="shared" ref="B2370:B2433" si="148">VLOOKUP(A2370,XYdata,3,FALSE)</f>
        <v>33.719078000000003</v>
      </c>
      <c r="C2370">
        <f t="shared" ref="C2370:C2433" si="149">VLOOKUP(A2370,XYdata,2,FALSE)</f>
        <v>-117.852715</v>
      </c>
      <c r="D2370">
        <f t="shared" ref="D2370:D2433" si="150">VLOOKUP(A2370,Elevation,2,FALSE)</f>
        <v>69</v>
      </c>
      <c r="E2370">
        <v>73.498999999999995</v>
      </c>
      <c r="F2370">
        <f t="shared" si="147"/>
        <v>-4.4989999999999952</v>
      </c>
      <c r="G2370">
        <v>22.716999999999999</v>
      </c>
      <c r="H2370">
        <v>0.49299999999999999</v>
      </c>
      <c r="I2370">
        <v>2.181</v>
      </c>
      <c r="J2370">
        <v>6</v>
      </c>
      <c r="K2370">
        <v>9</v>
      </c>
      <c r="L2370">
        <v>5</v>
      </c>
      <c r="M2370">
        <v>1.206</v>
      </c>
    </row>
    <row r="2371" spans="1:13" ht="15" customHeight="1">
      <c r="A2371" t="s">
        <v>30</v>
      </c>
      <c r="B2371">
        <f t="shared" si="148"/>
        <v>33.719078000000003</v>
      </c>
      <c r="C2371">
        <f t="shared" si="149"/>
        <v>-117.852715</v>
      </c>
      <c r="D2371">
        <f t="shared" si="150"/>
        <v>69</v>
      </c>
      <c r="E2371">
        <v>74.498999999999995</v>
      </c>
      <c r="F2371">
        <f t="shared" ref="F2371:F2434" si="151">D2371-E2371</f>
        <v>-5.4989999999999952</v>
      </c>
      <c r="G2371">
        <v>22.667000000000002</v>
      </c>
      <c r="H2371">
        <v>0.61799999999999999</v>
      </c>
      <c r="I2371">
        <v>2.7240000000000002</v>
      </c>
      <c r="J2371">
        <v>5</v>
      </c>
      <c r="K2371">
        <v>11</v>
      </c>
      <c r="L2371">
        <v>6</v>
      </c>
      <c r="M2371">
        <v>1.2070000000000001</v>
      </c>
    </row>
    <row r="2372" spans="1:13" ht="15" customHeight="1">
      <c r="A2372" t="s">
        <v>30</v>
      </c>
      <c r="B2372">
        <f t="shared" si="148"/>
        <v>33.719078000000003</v>
      </c>
      <c r="C2372">
        <f t="shared" si="149"/>
        <v>-117.852715</v>
      </c>
      <c r="D2372">
        <f t="shared" si="150"/>
        <v>69</v>
      </c>
      <c r="E2372">
        <v>75.498999999999995</v>
      </c>
      <c r="F2372">
        <f t="shared" si="151"/>
        <v>-6.4989999999999952</v>
      </c>
      <c r="G2372">
        <v>29.832999999999998</v>
      </c>
      <c r="H2372">
        <v>0.80200000000000005</v>
      </c>
      <c r="I2372">
        <v>2.66</v>
      </c>
      <c r="J2372">
        <v>6</v>
      </c>
      <c r="K2372">
        <v>12</v>
      </c>
      <c r="L2372">
        <v>6</v>
      </c>
      <c r="M2372">
        <v>1.6990000000000001</v>
      </c>
    </row>
    <row r="2373" spans="1:13" ht="15" customHeight="1">
      <c r="A2373" t="s">
        <v>30</v>
      </c>
      <c r="B2373">
        <f t="shared" si="148"/>
        <v>33.719078000000003</v>
      </c>
      <c r="C2373">
        <f t="shared" si="149"/>
        <v>-117.852715</v>
      </c>
      <c r="D2373">
        <f t="shared" si="150"/>
        <v>69</v>
      </c>
      <c r="E2373">
        <v>76.498999999999995</v>
      </c>
      <c r="F2373">
        <f t="shared" si="151"/>
        <v>-7.4989999999999952</v>
      </c>
      <c r="G2373">
        <v>47.85</v>
      </c>
      <c r="H2373">
        <v>2.0630000000000002</v>
      </c>
      <c r="I2373">
        <v>4.2960000000000003</v>
      </c>
      <c r="J2373">
        <v>4</v>
      </c>
      <c r="K2373">
        <v>31</v>
      </c>
      <c r="L2373">
        <v>16</v>
      </c>
      <c r="M2373">
        <v>2.8879999999999999</v>
      </c>
    </row>
    <row r="2374" spans="1:13" ht="15" customHeight="1">
      <c r="A2374" t="s">
        <v>30</v>
      </c>
      <c r="B2374">
        <f t="shared" si="148"/>
        <v>33.719078000000003</v>
      </c>
      <c r="C2374">
        <f t="shared" si="149"/>
        <v>-117.852715</v>
      </c>
      <c r="D2374">
        <f t="shared" si="150"/>
        <v>69</v>
      </c>
      <c r="E2374">
        <v>77.498999999999995</v>
      </c>
      <c r="F2374">
        <f t="shared" si="151"/>
        <v>-8.4989999999999952</v>
      </c>
      <c r="G2374">
        <v>43.5</v>
      </c>
      <c r="H2374">
        <v>1.45</v>
      </c>
      <c r="I2374">
        <v>3.34</v>
      </c>
      <c r="J2374">
        <v>5</v>
      </c>
      <c r="K2374">
        <v>21</v>
      </c>
      <c r="L2374">
        <v>11</v>
      </c>
      <c r="M2374">
        <v>2.5760000000000001</v>
      </c>
    </row>
    <row r="2375" spans="1:13" ht="15" customHeight="1">
      <c r="A2375" t="s">
        <v>30</v>
      </c>
      <c r="B2375">
        <f t="shared" si="148"/>
        <v>33.719078000000003</v>
      </c>
      <c r="C2375">
        <f t="shared" si="149"/>
        <v>-117.852715</v>
      </c>
      <c r="D2375">
        <f t="shared" si="150"/>
        <v>69</v>
      </c>
      <c r="E2375">
        <v>78.498999999999995</v>
      </c>
      <c r="F2375">
        <f t="shared" si="151"/>
        <v>-9.4989999999999952</v>
      </c>
      <c r="G2375">
        <v>23.766999999999999</v>
      </c>
      <c r="H2375">
        <v>0.53300000000000003</v>
      </c>
      <c r="I2375">
        <v>2.246</v>
      </c>
      <c r="J2375">
        <v>6</v>
      </c>
      <c r="K2375">
        <v>9</v>
      </c>
      <c r="L2375">
        <v>5</v>
      </c>
      <c r="M2375">
        <v>1.26</v>
      </c>
    </row>
    <row r="2376" spans="1:13" ht="15" customHeight="1">
      <c r="A2376" t="s">
        <v>30</v>
      </c>
      <c r="B2376">
        <f t="shared" si="148"/>
        <v>33.719078000000003</v>
      </c>
      <c r="C2376">
        <f t="shared" si="149"/>
        <v>-117.852715</v>
      </c>
      <c r="D2376">
        <f t="shared" si="150"/>
        <v>69</v>
      </c>
      <c r="E2376">
        <v>79.498999999999995</v>
      </c>
      <c r="F2376">
        <f t="shared" si="151"/>
        <v>-10.498999999999995</v>
      </c>
      <c r="G2376">
        <v>22.817</v>
      </c>
      <c r="H2376">
        <v>0.46500000000000002</v>
      </c>
      <c r="I2376">
        <v>2.032</v>
      </c>
      <c r="J2376">
        <v>6</v>
      </c>
      <c r="K2376">
        <v>9</v>
      </c>
      <c r="L2376">
        <v>5</v>
      </c>
      <c r="M2376">
        <v>1.1990000000000001</v>
      </c>
    </row>
    <row r="2377" spans="1:13" ht="15" customHeight="1">
      <c r="A2377" t="s">
        <v>30</v>
      </c>
      <c r="B2377">
        <f t="shared" si="148"/>
        <v>33.719078000000003</v>
      </c>
      <c r="C2377">
        <f t="shared" si="149"/>
        <v>-117.852715</v>
      </c>
      <c r="D2377">
        <f t="shared" si="150"/>
        <v>69</v>
      </c>
      <c r="E2377">
        <v>80.498999999999995</v>
      </c>
      <c r="F2377">
        <f t="shared" si="151"/>
        <v>-11.498999999999995</v>
      </c>
      <c r="G2377">
        <v>29.882999999999999</v>
      </c>
      <c r="H2377">
        <v>1.0269999999999999</v>
      </c>
      <c r="I2377">
        <v>3.3980000000000001</v>
      </c>
      <c r="J2377">
        <v>5</v>
      </c>
      <c r="K2377">
        <v>14</v>
      </c>
      <c r="L2377">
        <v>7</v>
      </c>
      <c r="M2377">
        <v>1.6830000000000001</v>
      </c>
    </row>
    <row r="2378" spans="1:13" ht="15" customHeight="1">
      <c r="A2378" t="s">
        <v>30</v>
      </c>
      <c r="B2378">
        <f t="shared" si="148"/>
        <v>33.719078000000003</v>
      </c>
      <c r="C2378">
        <f t="shared" si="149"/>
        <v>-117.852715</v>
      </c>
      <c r="D2378">
        <f t="shared" si="150"/>
        <v>69</v>
      </c>
      <c r="E2378">
        <v>81.498999999999995</v>
      </c>
      <c r="F2378">
        <f t="shared" si="151"/>
        <v>-12.498999999999995</v>
      </c>
      <c r="G2378">
        <v>76.483000000000004</v>
      </c>
      <c r="H2378">
        <v>1.04</v>
      </c>
      <c r="I2378">
        <v>1.35</v>
      </c>
      <c r="J2378">
        <v>7</v>
      </c>
      <c r="K2378">
        <v>25</v>
      </c>
      <c r="L2378">
        <v>13</v>
      </c>
      <c r="M2378" s="1">
        <v>9000000000</v>
      </c>
    </row>
    <row r="2379" spans="1:13" ht="15" customHeight="1">
      <c r="A2379" t="s">
        <v>30</v>
      </c>
      <c r="B2379">
        <f t="shared" si="148"/>
        <v>33.719078000000003</v>
      </c>
      <c r="C2379">
        <f t="shared" si="149"/>
        <v>-117.852715</v>
      </c>
      <c r="D2379">
        <f t="shared" si="150"/>
        <v>69</v>
      </c>
      <c r="E2379">
        <v>82.498999999999995</v>
      </c>
      <c r="F2379">
        <f t="shared" si="151"/>
        <v>-13.498999999999995</v>
      </c>
      <c r="G2379">
        <v>102.1</v>
      </c>
      <c r="H2379">
        <v>2.508</v>
      </c>
      <c r="I2379">
        <v>2.46</v>
      </c>
      <c r="J2379">
        <v>7</v>
      </c>
      <c r="K2379">
        <v>33</v>
      </c>
      <c r="L2379">
        <v>17</v>
      </c>
      <c r="M2379" s="1">
        <v>9000000000</v>
      </c>
    </row>
    <row r="2380" spans="1:13" ht="15" customHeight="1">
      <c r="A2380" t="s">
        <v>30</v>
      </c>
      <c r="B2380">
        <f t="shared" si="148"/>
        <v>33.719078000000003</v>
      </c>
      <c r="C2380">
        <f t="shared" si="149"/>
        <v>-117.852715</v>
      </c>
      <c r="D2380">
        <f t="shared" si="150"/>
        <v>69</v>
      </c>
      <c r="E2380">
        <v>83.498999999999995</v>
      </c>
      <c r="F2380">
        <f t="shared" si="151"/>
        <v>-14.498999999999995</v>
      </c>
      <c r="G2380">
        <v>60.329000000000001</v>
      </c>
      <c r="H2380">
        <v>2.4239999999999999</v>
      </c>
      <c r="I2380">
        <v>4.0270000000000001</v>
      </c>
      <c r="J2380">
        <v>5</v>
      </c>
      <c r="K2380">
        <v>29</v>
      </c>
      <c r="L2380">
        <v>15</v>
      </c>
      <c r="M2380">
        <v>3.67</v>
      </c>
    </row>
    <row r="2381" spans="1:13" ht="15" customHeight="1">
      <c r="A2381" t="s">
        <v>30</v>
      </c>
      <c r="B2381">
        <f t="shared" si="148"/>
        <v>33.719078000000003</v>
      </c>
      <c r="C2381">
        <f t="shared" si="149"/>
        <v>-117.852715</v>
      </c>
      <c r="D2381">
        <f t="shared" si="150"/>
        <v>69</v>
      </c>
      <c r="E2381">
        <v>84.498999999999995</v>
      </c>
      <c r="F2381">
        <f t="shared" si="151"/>
        <v>-15.498999999999995</v>
      </c>
      <c r="G2381">
        <v>50.9</v>
      </c>
      <c r="H2381">
        <v>2.7629999999999999</v>
      </c>
      <c r="I2381">
        <v>5.4409999999999998</v>
      </c>
      <c r="J2381">
        <v>3</v>
      </c>
      <c r="K2381">
        <v>49</v>
      </c>
      <c r="L2381">
        <v>25</v>
      </c>
      <c r="M2381">
        <v>3.0379999999999998</v>
      </c>
    </row>
    <row r="2382" spans="1:13" ht="15" customHeight="1">
      <c r="A2382" t="s">
        <v>30</v>
      </c>
      <c r="B2382">
        <f t="shared" si="148"/>
        <v>33.719078000000003</v>
      </c>
      <c r="C2382">
        <f t="shared" si="149"/>
        <v>-117.852715</v>
      </c>
      <c r="D2382">
        <f t="shared" si="150"/>
        <v>69</v>
      </c>
      <c r="E2382">
        <v>85.498999999999995</v>
      </c>
      <c r="F2382">
        <f t="shared" si="151"/>
        <v>-16.498999999999995</v>
      </c>
      <c r="G2382">
        <v>163.667</v>
      </c>
      <c r="H2382">
        <v>2.2120000000000002</v>
      </c>
      <c r="I2382">
        <v>1.3520000000000001</v>
      </c>
      <c r="J2382">
        <v>8</v>
      </c>
      <c r="K2382">
        <v>39</v>
      </c>
      <c r="L2382">
        <v>20</v>
      </c>
      <c r="M2382" s="1">
        <v>9000000000</v>
      </c>
    </row>
    <row r="2383" spans="1:13" ht="15" customHeight="1">
      <c r="A2383" t="s">
        <v>30</v>
      </c>
      <c r="B2383">
        <f t="shared" si="148"/>
        <v>33.719078000000003</v>
      </c>
      <c r="C2383">
        <f t="shared" si="149"/>
        <v>-117.852715</v>
      </c>
      <c r="D2383">
        <f t="shared" si="150"/>
        <v>69</v>
      </c>
      <c r="E2383">
        <v>86.498999999999995</v>
      </c>
      <c r="F2383">
        <f t="shared" si="151"/>
        <v>-17.498999999999995</v>
      </c>
      <c r="G2383">
        <v>103.833</v>
      </c>
      <c r="H2383">
        <v>3.3130000000000002</v>
      </c>
      <c r="I2383">
        <v>3.1949999999999998</v>
      </c>
      <c r="J2383">
        <v>6</v>
      </c>
      <c r="K2383">
        <v>40</v>
      </c>
      <c r="L2383">
        <v>20</v>
      </c>
      <c r="M2383">
        <v>6.5570000000000004</v>
      </c>
    </row>
    <row r="2384" spans="1:13" ht="15" customHeight="1">
      <c r="A2384" t="s">
        <v>30</v>
      </c>
      <c r="B2384">
        <f t="shared" si="148"/>
        <v>33.719078000000003</v>
      </c>
      <c r="C2384">
        <f t="shared" si="149"/>
        <v>-117.852715</v>
      </c>
      <c r="D2384">
        <f t="shared" si="150"/>
        <v>69</v>
      </c>
      <c r="E2384">
        <v>87.498999999999995</v>
      </c>
      <c r="F2384">
        <f t="shared" si="151"/>
        <v>-18.498999999999995</v>
      </c>
      <c r="G2384">
        <v>62.05</v>
      </c>
      <c r="H2384">
        <v>2.7480000000000002</v>
      </c>
      <c r="I2384">
        <v>4.4390000000000001</v>
      </c>
      <c r="J2384">
        <v>5</v>
      </c>
      <c r="K2384">
        <v>30</v>
      </c>
      <c r="L2384">
        <v>15</v>
      </c>
      <c r="M2384">
        <v>3.7679999999999998</v>
      </c>
    </row>
    <row r="2385" spans="1:13" ht="15" customHeight="1">
      <c r="A2385" t="s">
        <v>30</v>
      </c>
      <c r="B2385">
        <f t="shared" si="148"/>
        <v>33.719078000000003</v>
      </c>
      <c r="C2385">
        <f t="shared" si="149"/>
        <v>-117.852715</v>
      </c>
      <c r="D2385">
        <f t="shared" si="150"/>
        <v>69</v>
      </c>
      <c r="E2385">
        <v>88.498999999999995</v>
      </c>
      <c r="F2385">
        <f t="shared" si="151"/>
        <v>-19.498999999999995</v>
      </c>
      <c r="G2385">
        <v>29.917000000000002</v>
      </c>
      <c r="H2385">
        <v>1.0049999999999999</v>
      </c>
      <c r="I2385">
        <v>3.371</v>
      </c>
      <c r="J2385">
        <v>5</v>
      </c>
      <c r="K2385">
        <v>14</v>
      </c>
      <c r="L2385">
        <v>7</v>
      </c>
      <c r="M2385">
        <v>1.6240000000000001</v>
      </c>
    </row>
    <row r="2386" spans="1:13" ht="15" customHeight="1">
      <c r="A2386" t="s">
        <v>30</v>
      </c>
      <c r="B2386">
        <f t="shared" si="148"/>
        <v>33.719078000000003</v>
      </c>
      <c r="C2386">
        <f t="shared" si="149"/>
        <v>-117.852715</v>
      </c>
      <c r="D2386">
        <f t="shared" si="150"/>
        <v>69</v>
      </c>
      <c r="E2386">
        <v>89.498999999999995</v>
      </c>
      <c r="F2386">
        <f t="shared" si="151"/>
        <v>-20.498999999999995</v>
      </c>
      <c r="G2386">
        <v>26.1</v>
      </c>
      <c r="H2386">
        <v>0.79200000000000004</v>
      </c>
      <c r="I2386">
        <v>3.0409999999999999</v>
      </c>
      <c r="J2386">
        <v>5</v>
      </c>
      <c r="K2386">
        <v>12</v>
      </c>
      <c r="L2386">
        <v>6</v>
      </c>
      <c r="M2386">
        <v>1.367</v>
      </c>
    </row>
    <row r="2387" spans="1:13" ht="15" customHeight="1">
      <c r="A2387" t="s">
        <v>30</v>
      </c>
      <c r="B2387">
        <f t="shared" si="148"/>
        <v>33.719078000000003</v>
      </c>
      <c r="C2387">
        <f t="shared" si="149"/>
        <v>-117.852715</v>
      </c>
      <c r="D2387">
        <f t="shared" si="150"/>
        <v>69</v>
      </c>
      <c r="E2387">
        <v>90.498999999999995</v>
      </c>
      <c r="F2387">
        <f t="shared" si="151"/>
        <v>-21.498999999999995</v>
      </c>
      <c r="G2387">
        <v>25.9</v>
      </c>
      <c r="H2387">
        <v>0.71299999999999997</v>
      </c>
      <c r="I2387">
        <v>2.76</v>
      </c>
      <c r="J2387">
        <v>5</v>
      </c>
      <c r="K2387">
        <v>12</v>
      </c>
      <c r="L2387">
        <v>6</v>
      </c>
      <c r="M2387">
        <v>1.351</v>
      </c>
    </row>
    <row r="2388" spans="1:13" ht="15" customHeight="1">
      <c r="A2388" t="s">
        <v>30</v>
      </c>
      <c r="B2388">
        <f t="shared" si="148"/>
        <v>33.719078000000003</v>
      </c>
      <c r="C2388">
        <f t="shared" si="149"/>
        <v>-117.852715</v>
      </c>
      <c r="D2388">
        <f t="shared" si="150"/>
        <v>69</v>
      </c>
      <c r="E2388">
        <v>91.498999999999995</v>
      </c>
      <c r="F2388">
        <f t="shared" si="151"/>
        <v>-22.498999999999995</v>
      </c>
      <c r="G2388">
        <v>25.266999999999999</v>
      </c>
      <c r="H2388">
        <v>0.627</v>
      </c>
      <c r="I2388">
        <v>2.48</v>
      </c>
      <c r="J2388">
        <v>6</v>
      </c>
      <c r="K2388">
        <v>10</v>
      </c>
      <c r="L2388">
        <v>5</v>
      </c>
      <c r="M2388">
        <v>1.3080000000000001</v>
      </c>
    </row>
    <row r="2389" spans="1:13" ht="15" customHeight="1">
      <c r="A2389" t="s">
        <v>30</v>
      </c>
      <c r="B2389">
        <f t="shared" si="148"/>
        <v>33.719078000000003</v>
      </c>
      <c r="C2389">
        <f t="shared" si="149"/>
        <v>-117.852715</v>
      </c>
      <c r="D2389">
        <f t="shared" si="150"/>
        <v>69</v>
      </c>
      <c r="E2389">
        <v>92.498999999999995</v>
      </c>
      <c r="F2389">
        <f t="shared" si="151"/>
        <v>-23.498999999999995</v>
      </c>
      <c r="G2389">
        <v>25.5</v>
      </c>
      <c r="H2389">
        <v>0.61499999999999999</v>
      </c>
      <c r="I2389">
        <v>2.4020000000000001</v>
      </c>
      <c r="J2389">
        <v>6</v>
      </c>
      <c r="K2389">
        <v>10</v>
      </c>
      <c r="L2389">
        <v>5</v>
      </c>
      <c r="M2389">
        <v>1.3260000000000001</v>
      </c>
    </row>
    <row r="2390" spans="1:13" ht="15" customHeight="1">
      <c r="A2390" t="s">
        <v>30</v>
      </c>
      <c r="B2390">
        <f t="shared" si="148"/>
        <v>33.719078000000003</v>
      </c>
      <c r="C2390">
        <f t="shared" si="149"/>
        <v>-117.852715</v>
      </c>
      <c r="D2390">
        <f t="shared" si="150"/>
        <v>69</v>
      </c>
      <c r="E2390">
        <v>93.498999999999995</v>
      </c>
      <c r="F2390">
        <f t="shared" si="151"/>
        <v>-24.498999999999995</v>
      </c>
      <c r="G2390">
        <v>51.442999999999998</v>
      </c>
      <c r="H2390">
        <v>2.0299999999999998</v>
      </c>
      <c r="I2390">
        <v>3.9380000000000002</v>
      </c>
      <c r="J2390">
        <v>5</v>
      </c>
      <c r="K2390">
        <v>25</v>
      </c>
      <c r="L2390">
        <v>13</v>
      </c>
      <c r="M2390">
        <v>3.0510000000000002</v>
      </c>
    </row>
    <row r="2391" spans="1:13" ht="15" customHeight="1">
      <c r="A2391" t="s">
        <v>30</v>
      </c>
      <c r="B2391">
        <f t="shared" si="148"/>
        <v>33.719078000000003</v>
      </c>
      <c r="C2391">
        <f t="shared" si="149"/>
        <v>-117.852715</v>
      </c>
      <c r="D2391">
        <f t="shared" si="150"/>
        <v>69</v>
      </c>
      <c r="E2391">
        <v>94.498999999999995</v>
      </c>
      <c r="F2391">
        <f t="shared" si="151"/>
        <v>-25.498999999999995</v>
      </c>
      <c r="G2391">
        <v>26.533000000000001</v>
      </c>
      <c r="H2391">
        <v>0.88800000000000001</v>
      </c>
      <c r="I2391">
        <v>3.35</v>
      </c>
      <c r="J2391">
        <v>5</v>
      </c>
      <c r="K2391">
        <v>13</v>
      </c>
      <c r="L2391">
        <v>7</v>
      </c>
      <c r="M2391">
        <v>1.379</v>
      </c>
    </row>
    <row r="2392" spans="1:13" ht="15" customHeight="1">
      <c r="A2392" t="s">
        <v>30</v>
      </c>
      <c r="B2392">
        <f t="shared" si="148"/>
        <v>33.719078000000003</v>
      </c>
      <c r="C2392">
        <f t="shared" si="149"/>
        <v>-117.852715</v>
      </c>
      <c r="D2392">
        <f t="shared" si="150"/>
        <v>69</v>
      </c>
      <c r="E2392">
        <v>95.498999999999995</v>
      </c>
      <c r="F2392">
        <f t="shared" si="151"/>
        <v>-26.498999999999995</v>
      </c>
      <c r="G2392">
        <v>25.966999999999999</v>
      </c>
      <c r="H2392">
        <v>0.81499999999999995</v>
      </c>
      <c r="I2392">
        <v>3.129</v>
      </c>
      <c r="J2392">
        <v>5</v>
      </c>
      <c r="K2392">
        <v>12</v>
      </c>
      <c r="L2392">
        <v>6</v>
      </c>
      <c r="M2392">
        <v>1.343</v>
      </c>
    </row>
    <row r="2393" spans="1:13" ht="15" customHeight="1">
      <c r="A2393" t="s">
        <v>30</v>
      </c>
      <c r="B2393">
        <f t="shared" si="148"/>
        <v>33.719078000000003</v>
      </c>
      <c r="C2393">
        <f t="shared" si="149"/>
        <v>-117.852715</v>
      </c>
      <c r="D2393">
        <f t="shared" si="150"/>
        <v>69</v>
      </c>
      <c r="E2393">
        <v>96.498999999999995</v>
      </c>
      <c r="F2393">
        <f t="shared" si="151"/>
        <v>-27.498999999999995</v>
      </c>
      <c r="G2393">
        <v>28.7</v>
      </c>
      <c r="H2393">
        <v>1.0369999999999999</v>
      </c>
      <c r="I2393">
        <v>3.5830000000000002</v>
      </c>
      <c r="J2393">
        <v>5</v>
      </c>
      <c r="K2393">
        <v>14</v>
      </c>
      <c r="L2393">
        <v>7</v>
      </c>
      <c r="M2393">
        <v>1.5309999999999999</v>
      </c>
    </row>
    <row r="2394" spans="1:13" ht="15" customHeight="1">
      <c r="A2394" t="s">
        <v>30</v>
      </c>
      <c r="B2394">
        <f t="shared" si="148"/>
        <v>33.719078000000003</v>
      </c>
      <c r="C2394">
        <f t="shared" si="149"/>
        <v>-117.852715</v>
      </c>
      <c r="D2394">
        <f t="shared" si="150"/>
        <v>69</v>
      </c>
      <c r="E2394">
        <v>97.498999999999995</v>
      </c>
      <c r="F2394">
        <f t="shared" si="151"/>
        <v>-28.498999999999995</v>
      </c>
      <c r="G2394">
        <v>31.3</v>
      </c>
      <c r="H2394">
        <v>1.1879999999999999</v>
      </c>
      <c r="I2394">
        <v>3.7210000000000001</v>
      </c>
      <c r="J2394">
        <v>5</v>
      </c>
      <c r="K2394">
        <v>15</v>
      </c>
      <c r="L2394">
        <v>8</v>
      </c>
      <c r="M2394">
        <v>1.7270000000000001</v>
      </c>
    </row>
    <row r="2395" spans="1:13" ht="15" customHeight="1">
      <c r="A2395" t="s">
        <v>30</v>
      </c>
      <c r="B2395">
        <f t="shared" si="148"/>
        <v>33.719078000000003</v>
      </c>
      <c r="C2395">
        <f t="shared" si="149"/>
        <v>-117.852715</v>
      </c>
      <c r="D2395">
        <f t="shared" si="150"/>
        <v>69</v>
      </c>
      <c r="E2395">
        <v>98.498999999999995</v>
      </c>
      <c r="F2395">
        <f t="shared" si="151"/>
        <v>-29.498999999999995</v>
      </c>
      <c r="G2395">
        <v>31.582999999999998</v>
      </c>
      <c r="H2395">
        <v>0.97499999999999998</v>
      </c>
      <c r="I2395">
        <v>2.976</v>
      </c>
      <c r="J2395">
        <v>5</v>
      </c>
      <c r="K2395">
        <v>16</v>
      </c>
      <c r="L2395">
        <v>8</v>
      </c>
      <c r="M2395">
        <v>1.7789999999999999</v>
      </c>
    </row>
    <row r="2396" spans="1:13" ht="15" customHeight="1">
      <c r="A2396" t="s">
        <v>30</v>
      </c>
      <c r="B2396">
        <f t="shared" si="148"/>
        <v>33.719078000000003</v>
      </c>
      <c r="C2396">
        <f t="shared" si="149"/>
        <v>-117.852715</v>
      </c>
      <c r="D2396">
        <f t="shared" si="150"/>
        <v>69</v>
      </c>
      <c r="E2396">
        <v>99.498999999999995</v>
      </c>
      <c r="F2396">
        <f t="shared" si="151"/>
        <v>-30.498999999999995</v>
      </c>
      <c r="G2396">
        <v>26.167000000000002</v>
      </c>
      <c r="H2396">
        <v>0.73</v>
      </c>
      <c r="I2396">
        <v>2.6120000000000001</v>
      </c>
      <c r="J2396">
        <v>6</v>
      </c>
      <c r="K2396">
        <v>11</v>
      </c>
      <c r="L2396">
        <v>6</v>
      </c>
      <c r="M2396">
        <v>1.4530000000000001</v>
      </c>
    </row>
    <row r="2397" spans="1:13" ht="15" customHeight="1">
      <c r="A2397" t="s">
        <v>30</v>
      </c>
      <c r="B2397">
        <f t="shared" si="148"/>
        <v>33.719078000000003</v>
      </c>
      <c r="C2397">
        <f t="shared" si="149"/>
        <v>-117.852715</v>
      </c>
      <c r="D2397">
        <f t="shared" si="150"/>
        <v>69</v>
      </c>
      <c r="E2397">
        <v>100.499</v>
      </c>
      <c r="F2397">
        <f t="shared" si="151"/>
        <v>-31.498999999999995</v>
      </c>
      <c r="G2397">
        <v>26.132999999999999</v>
      </c>
      <c r="H2397">
        <v>0.66700000000000004</v>
      </c>
      <c r="I2397">
        <v>2.3530000000000002</v>
      </c>
      <c r="J2397">
        <v>6</v>
      </c>
      <c r="K2397">
        <v>11</v>
      </c>
      <c r="L2397">
        <v>6</v>
      </c>
      <c r="M2397">
        <v>1.4750000000000001</v>
      </c>
    </row>
    <row r="2398" spans="1:13" ht="15" customHeight="1">
      <c r="A2398" t="s">
        <v>30</v>
      </c>
      <c r="B2398">
        <f t="shared" si="148"/>
        <v>33.719078000000003</v>
      </c>
      <c r="C2398">
        <f t="shared" si="149"/>
        <v>-117.852715</v>
      </c>
      <c r="D2398">
        <f t="shared" si="150"/>
        <v>69</v>
      </c>
      <c r="E2398">
        <v>101.499</v>
      </c>
      <c r="F2398">
        <f t="shared" si="151"/>
        <v>-32.498999999999995</v>
      </c>
      <c r="G2398">
        <v>147.28299999999999</v>
      </c>
      <c r="H2398">
        <v>2.8079999999999998</v>
      </c>
      <c r="I2398">
        <v>1.8979999999999999</v>
      </c>
      <c r="J2398">
        <v>7</v>
      </c>
      <c r="K2398">
        <v>47</v>
      </c>
      <c r="L2398">
        <v>24</v>
      </c>
      <c r="M2398" s="1">
        <v>9000000000</v>
      </c>
    </row>
    <row r="2399" spans="1:13" ht="15" customHeight="1">
      <c r="A2399" t="s">
        <v>30</v>
      </c>
      <c r="B2399">
        <f t="shared" si="148"/>
        <v>33.719078000000003</v>
      </c>
      <c r="C2399">
        <f t="shared" si="149"/>
        <v>-117.852715</v>
      </c>
      <c r="D2399">
        <f t="shared" si="150"/>
        <v>69</v>
      </c>
      <c r="E2399">
        <v>102.499</v>
      </c>
      <c r="F2399">
        <f t="shared" si="151"/>
        <v>-33.498999999999995</v>
      </c>
      <c r="G2399">
        <v>275.63299999999998</v>
      </c>
      <c r="H2399">
        <v>3.2930000000000001</v>
      </c>
      <c r="I2399">
        <v>1.196</v>
      </c>
      <c r="J2399">
        <v>9</v>
      </c>
      <c r="K2399">
        <v>53</v>
      </c>
      <c r="L2399">
        <v>27</v>
      </c>
      <c r="M2399" s="1">
        <v>9000000000</v>
      </c>
    </row>
    <row r="2400" spans="1:13" ht="15" customHeight="1">
      <c r="A2400" t="s">
        <v>30</v>
      </c>
      <c r="B2400">
        <f t="shared" si="148"/>
        <v>33.719078000000003</v>
      </c>
      <c r="C2400">
        <f t="shared" si="149"/>
        <v>-117.852715</v>
      </c>
      <c r="D2400">
        <f t="shared" si="150"/>
        <v>69</v>
      </c>
      <c r="E2400">
        <v>103.499</v>
      </c>
      <c r="F2400">
        <f t="shared" si="151"/>
        <v>-34.498999999999995</v>
      </c>
      <c r="G2400">
        <v>119.9</v>
      </c>
      <c r="H2400">
        <v>2.5219999999999998</v>
      </c>
      <c r="I2400">
        <v>2.1059999999999999</v>
      </c>
      <c r="J2400">
        <v>7</v>
      </c>
      <c r="K2400">
        <v>38</v>
      </c>
      <c r="L2400">
        <v>19</v>
      </c>
      <c r="M2400" s="1">
        <v>9000000000</v>
      </c>
    </row>
    <row r="2401" spans="1:13" ht="15" customHeight="1">
      <c r="A2401" t="s">
        <v>30</v>
      </c>
      <c r="B2401">
        <f t="shared" si="148"/>
        <v>33.719078000000003</v>
      </c>
      <c r="C2401">
        <f t="shared" si="149"/>
        <v>-117.852715</v>
      </c>
      <c r="D2401">
        <f t="shared" si="150"/>
        <v>69</v>
      </c>
      <c r="E2401">
        <v>104.499</v>
      </c>
      <c r="F2401">
        <f t="shared" si="151"/>
        <v>-35.498999999999995</v>
      </c>
      <c r="G2401">
        <v>38.570999999999998</v>
      </c>
      <c r="H2401">
        <v>1.177</v>
      </c>
      <c r="I2401">
        <v>3.0630000000000002</v>
      </c>
      <c r="J2401">
        <v>5</v>
      </c>
      <c r="K2401">
        <v>18</v>
      </c>
      <c r="L2401">
        <v>9</v>
      </c>
      <c r="M2401">
        <v>2.1309999999999998</v>
      </c>
    </row>
    <row r="2402" spans="1:13" ht="15" customHeight="1">
      <c r="A2402" t="s">
        <v>30</v>
      </c>
      <c r="B2402">
        <f t="shared" si="148"/>
        <v>33.719078000000003</v>
      </c>
      <c r="C2402">
        <f t="shared" si="149"/>
        <v>-117.852715</v>
      </c>
      <c r="D2402">
        <f t="shared" si="150"/>
        <v>69</v>
      </c>
      <c r="E2402">
        <v>105.499</v>
      </c>
      <c r="F2402">
        <f t="shared" si="151"/>
        <v>-36.498999999999995</v>
      </c>
      <c r="G2402">
        <v>28.55</v>
      </c>
      <c r="H2402">
        <v>0.73299999999999998</v>
      </c>
      <c r="I2402">
        <v>2.581</v>
      </c>
      <c r="J2402">
        <v>6</v>
      </c>
      <c r="K2402">
        <v>11</v>
      </c>
      <c r="L2402">
        <v>6</v>
      </c>
      <c r="M2402">
        <v>1.46</v>
      </c>
    </row>
    <row r="2403" spans="1:13" ht="15" customHeight="1">
      <c r="A2403" t="s">
        <v>30</v>
      </c>
      <c r="B2403">
        <f t="shared" si="148"/>
        <v>33.719078000000003</v>
      </c>
      <c r="C2403">
        <f t="shared" si="149"/>
        <v>-117.852715</v>
      </c>
      <c r="D2403">
        <f t="shared" si="150"/>
        <v>69</v>
      </c>
      <c r="E2403">
        <v>106.499</v>
      </c>
      <c r="F2403">
        <f t="shared" si="151"/>
        <v>-37.498999999999995</v>
      </c>
      <c r="G2403">
        <v>39.15</v>
      </c>
      <c r="H2403">
        <v>1.343</v>
      </c>
      <c r="I2403">
        <v>3.444</v>
      </c>
      <c r="J2403">
        <v>5</v>
      </c>
      <c r="K2403">
        <v>19</v>
      </c>
      <c r="L2403">
        <v>10</v>
      </c>
      <c r="M2403">
        <v>2.161</v>
      </c>
    </row>
    <row r="2404" spans="1:13" ht="15" customHeight="1">
      <c r="A2404" t="s">
        <v>30</v>
      </c>
      <c r="B2404">
        <f t="shared" si="148"/>
        <v>33.719078000000003</v>
      </c>
      <c r="C2404">
        <f t="shared" si="149"/>
        <v>-117.852715</v>
      </c>
      <c r="D2404">
        <f t="shared" si="150"/>
        <v>69</v>
      </c>
      <c r="E2404">
        <v>107.499</v>
      </c>
      <c r="F2404">
        <f t="shared" si="151"/>
        <v>-38.498999999999995</v>
      </c>
      <c r="G2404">
        <v>88.783000000000001</v>
      </c>
      <c r="H2404">
        <v>3.3170000000000002</v>
      </c>
      <c r="I2404">
        <v>3.74</v>
      </c>
      <c r="J2404">
        <v>5</v>
      </c>
      <c r="K2404">
        <v>42</v>
      </c>
      <c r="L2404">
        <v>21</v>
      </c>
      <c r="M2404">
        <v>5.4690000000000003</v>
      </c>
    </row>
    <row r="2405" spans="1:13" ht="15" customHeight="1">
      <c r="A2405" t="s">
        <v>30</v>
      </c>
      <c r="B2405">
        <f t="shared" si="148"/>
        <v>33.719078000000003</v>
      </c>
      <c r="C2405">
        <f t="shared" si="149"/>
        <v>-117.852715</v>
      </c>
      <c r="D2405">
        <f t="shared" si="150"/>
        <v>69</v>
      </c>
      <c r="E2405">
        <v>108.499</v>
      </c>
      <c r="F2405">
        <f t="shared" si="151"/>
        <v>-39.498999999999995</v>
      </c>
      <c r="G2405">
        <v>121.583</v>
      </c>
      <c r="H2405">
        <v>4.2300000000000004</v>
      </c>
      <c r="I2405">
        <v>3.484</v>
      </c>
      <c r="J2405">
        <v>6</v>
      </c>
      <c r="K2405">
        <v>47</v>
      </c>
      <c r="L2405">
        <v>24</v>
      </c>
      <c r="M2405">
        <v>7.6470000000000002</v>
      </c>
    </row>
    <row r="2406" spans="1:13" ht="15" customHeight="1">
      <c r="A2406" t="s">
        <v>30</v>
      </c>
      <c r="B2406">
        <f t="shared" si="148"/>
        <v>33.719078000000003</v>
      </c>
      <c r="C2406">
        <f t="shared" si="149"/>
        <v>-117.852715</v>
      </c>
      <c r="D2406">
        <f t="shared" si="150"/>
        <v>69</v>
      </c>
      <c r="E2406">
        <v>109.499</v>
      </c>
      <c r="F2406">
        <f t="shared" si="151"/>
        <v>-40.498999999999995</v>
      </c>
      <c r="G2406">
        <v>154.06700000000001</v>
      </c>
      <c r="H2406">
        <v>3.1669999999999998</v>
      </c>
      <c r="I2406">
        <v>2.0579999999999998</v>
      </c>
      <c r="J2406">
        <v>7</v>
      </c>
      <c r="K2406">
        <v>49</v>
      </c>
      <c r="L2406">
        <v>25</v>
      </c>
      <c r="M2406" s="1">
        <v>9000000000</v>
      </c>
    </row>
    <row r="2407" spans="1:13" ht="15" customHeight="1">
      <c r="A2407" t="s">
        <v>30</v>
      </c>
      <c r="B2407">
        <f t="shared" si="148"/>
        <v>33.719078000000003</v>
      </c>
      <c r="C2407">
        <f t="shared" si="149"/>
        <v>-117.852715</v>
      </c>
      <c r="D2407">
        <f t="shared" si="150"/>
        <v>69</v>
      </c>
      <c r="E2407">
        <v>110.499</v>
      </c>
      <c r="F2407">
        <f t="shared" si="151"/>
        <v>-41.498999999999995</v>
      </c>
      <c r="G2407">
        <v>44.466999999999999</v>
      </c>
      <c r="H2407">
        <v>1.645</v>
      </c>
      <c r="I2407">
        <v>3.7130000000000001</v>
      </c>
      <c r="J2407">
        <v>5</v>
      </c>
      <c r="K2407">
        <v>21</v>
      </c>
      <c r="L2407">
        <v>11</v>
      </c>
      <c r="M2407">
        <v>2.4980000000000002</v>
      </c>
    </row>
    <row r="2408" spans="1:13" ht="15" customHeight="1">
      <c r="A2408" t="s">
        <v>30</v>
      </c>
      <c r="B2408">
        <f t="shared" si="148"/>
        <v>33.719078000000003</v>
      </c>
      <c r="C2408">
        <f t="shared" si="149"/>
        <v>-117.852715</v>
      </c>
      <c r="D2408">
        <f t="shared" si="150"/>
        <v>69</v>
      </c>
      <c r="E2408">
        <v>111.499</v>
      </c>
      <c r="F2408">
        <f t="shared" si="151"/>
        <v>-42.498999999999995</v>
      </c>
      <c r="G2408">
        <v>28.25</v>
      </c>
      <c r="H2408">
        <v>0.745</v>
      </c>
      <c r="I2408">
        <v>2.65</v>
      </c>
      <c r="J2408">
        <v>6</v>
      </c>
      <c r="K2408">
        <v>11</v>
      </c>
      <c r="L2408">
        <v>6</v>
      </c>
      <c r="M2408">
        <v>1.415</v>
      </c>
    </row>
    <row r="2409" spans="1:13" ht="15" customHeight="1">
      <c r="A2409" t="s">
        <v>30</v>
      </c>
      <c r="B2409">
        <f t="shared" si="148"/>
        <v>33.719078000000003</v>
      </c>
      <c r="C2409">
        <f t="shared" si="149"/>
        <v>-117.852715</v>
      </c>
      <c r="D2409">
        <f t="shared" si="150"/>
        <v>69</v>
      </c>
      <c r="E2409">
        <v>112.499</v>
      </c>
      <c r="F2409">
        <f t="shared" si="151"/>
        <v>-43.498999999999995</v>
      </c>
      <c r="G2409">
        <v>36.866999999999997</v>
      </c>
      <c r="H2409">
        <v>1.105</v>
      </c>
      <c r="I2409">
        <v>3.008</v>
      </c>
      <c r="J2409">
        <v>5</v>
      </c>
      <c r="K2409">
        <v>18</v>
      </c>
      <c r="L2409">
        <v>9</v>
      </c>
      <c r="M2409">
        <v>1.9850000000000001</v>
      </c>
    </row>
    <row r="2410" spans="1:13" ht="15" customHeight="1">
      <c r="A2410" t="s">
        <v>30</v>
      </c>
      <c r="B2410">
        <f t="shared" si="148"/>
        <v>33.719078000000003</v>
      </c>
      <c r="C2410">
        <f t="shared" si="149"/>
        <v>-117.852715</v>
      </c>
      <c r="D2410">
        <f t="shared" si="150"/>
        <v>69</v>
      </c>
      <c r="E2410">
        <v>113.499</v>
      </c>
      <c r="F2410">
        <f t="shared" si="151"/>
        <v>-44.498999999999995</v>
      </c>
      <c r="G2410">
        <v>41.116999999999997</v>
      </c>
      <c r="H2410">
        <v>1.605</v>
      </c>
      <c r="I2410">
        <v>3.9129999999999998</v>
      </c>
      <c r="J2410">
        <v>5</v>
      </c>
      <c r="K2410">
        <v>20</v>
      </c>
      <c r="L2410">
        <v>10</v>
      </c>
      <c r="M2410">
        <v>2.2669999999999999</v>
      </c>
    </row>
    <row r="2411" spans="1:13" ht="15" customHeight="1">
      <c r="A2411" t="s">
        <v>30</v>
      </c>
      <c r="B2411">
        <f t="shared" si="148"/>
        <v>33.719078000000003</v>
      </c>
      <c r="C2411">
        <f t="shared" si="149"/>
        <v>-117.852715</v>
      </c>
      <c r="D2411">
        <f t="shared" si="150"/>
        <v>69</v>
      </c>
      <c r="E2411">
        <v>114.499</v>
      </c>
      <c r="F2411">
        <f t="shared" si="151"/>
        <v>-45.498999999999995</v>
      </c>
      <c r="G2411">
        <v>34.057000000000002</v>
      </c>
      <c r="H2411">
        <v>0.98399999999999999</v>
      </c>
      <c r="I2411">
        <v>2.8940000000000001</v>
      </c>
      <c r="J2411">
        <v>6</v>
      </c>
      <c r="K2411">
        <v>13</v>
      </c>
      <c r="L2411">
        <v>7</v>
      </c>
      <c r="M2411">
        <v>1.796</v>
      </c>
    </row>
    <row r="2412" spans="1:13" ht="15" customHeight="1">
      <c r="A2412" t="s">
        <v>30</v>
      </c>
      <c r="B2412">
        <f t="shared" si="148"/>
        <v>33.719078000000003</v>
      </c>
      <c r="C2412">
        <f t="shared" si="149"/>
        <v>-117.852715</v>
      </c>
      <c r="D2412">
        <f t="shared" si="150"/>
        <v>69</v>
      </c>
      <c r="E2412">
        <v>115.499</v>
      </c>
      <c r="F2412">
        <f t="shared" si="151"/>
        <v>-46.498999999999995</v>
      </c>
      <c r="G2412">
        <v>39.15</v>
      </c>
      <c r="H2412">
        <v>1.51</v>
      </c>
      <c r="I2412">
        <v>3.8570000000000002</v>
      </c>
      <c r="J2412">
        <v>5</v>
      </c>
      <c r="K2412">
        <v>19</v>
      </c>
      <c r="L2412">
        <v>10</v>
      </c>
      <c r="M2412">
        <v>2.1339999999999999</v>
      </c>
    </row>
    <row r="2413" spans="1:13" ht="15" customHeight="1">
      <c r="A2413" t="s">
        <v>30</v>
      </c>
      <c r="B2413">
        <f t="shared" si="148"/>
        <v>33.719078000000003</v>
      </c>
      <c r="C2413">
        <f t="shared" si="149"/>
        <v>-117.852715</v>
      </c>
      <c r="D2413">
        <f t="shared" si="150"/>
        <v>69</v>
      </c>
      <c r="E2413">
        <v>116.499</v>
      </c>
      <c r="F2413">
        <f t="shared" si="151"/>
        <v>-47.498999999999995</v>
      </c>
      <c r="G2413">
        <v>35.667000000000002</v>
      </c>
      <c r="H2413">
        <v>1.248</v>
      </c>
      <c r="I2413">
        <v>3.5</v>
      </c>
      <c r="J2413">
        <v>5</v>
      </c>
      <c r="K2413">
        <v>17</v>
      </c>
      <c r="L2413">
        <v>9</v>
      </c>
      <c r="M2413">
        <v>1.897</v>
      </c>
    </row>
    <row r="2414" spans="1:13" ht="15" customHeight="1">
      <c r="A2414" t="s">
        <v>30</v>
      </c>
      <c r="B2414">
        <f t="shared" si="148"/>
        <v>33.719078000000003</v>
      </c>
      <c r="C2414">
        <f t="shared" si="149"/>
        <v>-117.852715</v>
      </c>
      <c r="D2414">
        <f t="shared" si="150"/>
        <v>69</v>
      </c>
      <c r="E2414">
        <v>117.498</v>
      </c>
      <c r="F2414">
        <f t="shared" si="151"/>
        <v>-48.498000000000005</v>
      </c>
      <c r="G2414">
        <v>34.200000000000003</v>
      </c>
      <c r="H2414">
        <v>1.022</v>
      </c>
      <c r="I2414">
        <v>2.9830000000000001</v>
      </c>
      <c r="J2414">
        <v>5</v>
      </c>
      <c r="K2414">
        <v>16</v>
      </c>
      <c r="L2414">
        <v>8</v>
      </c>
      <c r="M2414">
        <v>1.7989999999999999</v>
      </c>
    </row>
    <row r="2415" spans="1:13" ht="15" customHeight="1">
      <c r="A2415" t="s">
        <v>30</v>
      </c>
      <c r="B2415">
        <f t="shared" si="148"/>
        <v>33.719078000000003</v>
      </c>
      <c r="C2415">
        <f t="shared" si="149"/>
        <v>-117.852715</v>
      </c>
      <c r="D2415">
        <f t="shared" si="150"/>
        <v>69</v>
      </c>
      <c r="E2415">
        <v>118.498</v>
      </c>
      <c r="F2415">
        <f t="shared" si="151"/>
        <v>-49.498000000000005</v>
      </c>
      <c r="G2415">
        <v>29.5</v>
      </c>
      <c r="H2415">
        <v>0.69199999999999995</v>
      </c>
      <c r="I2415">
        <v>2.3380000000000001</v>
      </c>
      <c r="J2415">
        <v>6</v>
      </c>
      <c r="K2415">
        <v>11</v>
      </c>
      <c r="L2415">
        <v>6</v>
      </c>
      <c r="M2415">
        <v>1.4830000000000001</v>
      </c>
    </row>
    <row r="2416" spans="1:13" ht="15" customHeight="1">
      <c r="A2416" t="s">
        <v>30</v>
      </c>
      <c r="B2416">
        <f t="shared" si="148"/>
        <v>33.719078000000003</v>
      </c>
      <c r="C2416">
        <f t="shared" si="149"/>
        <v>-117.852715</v>
      </c>
      <c r="D2416">
        <f t="shared" si="150"/>
        <v>69</v>
      </c>
      <c r="E2416">
        <v>119.498</v>
      </c>
      <c r="F2416">
        <f t="shared" si="151"/>
        <v>-50.498000000000005</v>
      </c>
      <c r="G2416">
        <v>90.533000000000001</v>
      </c>
      <c r="H2416">
        <v>3.6030000000000002</v>
      </c>
      <c r="I2416">
        <v>3.9790000000000001</v>
      </c>
      <c r="J2416">
        <v>5</v>
      </c>
      <c r="K2416">
        <v>43</v>
      </c>
      <c r="L2416">
        <v>22</v>
      </c>
      <c r="M2416">
        <v>5.5449999999999999</v>
      </c>
    </row>
    <row r="2417" spans="1:13" ht="15" customHeight="1">
      <c r="A2417" t="s">
        <v>30</v>
      </c>
      <c r="B2417">
        <f t="shared" si="148"/>
        <v>33.719078000000003</v>
      </c>
      <c r="C2417">
        <f t="shared" si="149"/>
        <v>-117.852715</v>
      </c>
      <c r="D2417">
        <f t="shared" si="150"/>
        <v>69</v>
      </c>
      <c r="E2417">
        <v>120.498</v>
      </c>
      <c r="F2417">
        <f t="shared" si="151"/>
        <v>-51.498000000000005</v>
      </c>
      <c r="G2417">
        <v>125.833</v>
      </c>
      <c r="H2417">
        <v>5.258</v>
      </c>
      <c r="I2417">
        <v>4.1829999999999998</v>
      </c>
      <c r="J2417">
        <v>11</v>
      </c>
      <c r="K2417">
        <v>120</v>
      </c>
      <c r="L2417">
        <v>60</v>
      </c>
      <c r="M2417" s="1">
        <v>9000000000</v>
      </c>
    </row>
    <row r="2418" spans="1:13" ht="15" customHeight="1">
      <c r="A2418" t="s">
        <v>30</v>
      </c>
      <c r="B2418">
        <f t="shared" si="148"/>
        <v>33.719078000000003</v>
      </c>
      <c r="C2418">
        <f t="shared" si="149"/>
        <v>-117.852715</v>
      </c>
      <c r="D2418">
        <f t="shared" si="150"/>
        <v>69</v>
      </c>
      <c r="E2418">
        <v>121.498</v>
      </c>
      <c r="F2418">
        <f t="shared" si="151"/>
        <v>-52.498000000000005</v>
      </c>
      <c r="G2418">
        <v>157.61699999999999</v>
      </c>
      <c r="H2418">
        <v>4.2080000000000002</v>
      </c>
      <c r="I2418">
        <v>2.6720000000000002</v>
      </c>
      <c r="J2418">
        <v>7</v>
      </c>
      <c r="K2418">
        <v>50</v>
      </c>
      <c r="L2418">
        <v>25</v>
      </c>
      <c r="M2418" s="1">
        <v>9000000000</v>
      </c>
    </row>
    <row r="2419" spans="1:13" ht="15" customHeight="1">
      <c r="A2419" t="s">
        <v>30</v>
      </c>
      <c r="B2419">
        <f t="shared" si="148"/>
        <v>33.719078000000003</v>
      </c>
      <c r="C2419">
        <f t="shared" si="149"/>
        <v>-117.852715</v>
      </c>
      <c r="D2419">
        <f t="shared" si="150"/>
        <v>69</v>
      </c>
      <c r="E2419">
        <v>122.498</v>
      </c>
      <c r="F2419">
        <f t="shared" si="151"/>
        <v>-53.498000000000005</v>
      </c>
      <c r="G2419">
        <v>146.28299999999999</v>
      </c>
      <c r="H2419">
        <v>4.8250000000000002</v>
      </c>
      <c r="I2419">
        <v>3.3010000000000002</v>
      </c>
      <c r="J2419">
        <v>6</v>
      </c>
      <c r="K2419">
        <v>56</v>
      </c>
      <c r="L2419">
        <v>28</v>
      </c>
      <c r="M2419">
        <v>9.24</v>
      </c>
    </row>
    <row r="2420" spans="1:13" ht="15" customHeight="1">
      <c r="A2420" t="s">
        <v>30</v>
      </c>
      <c r="B2420">
        <f t="shared" si="148"/>
        <v>33.719078000000003</v>
      </c>
      <c r="C2420">
        <f t="shared" si="149"/>
        <v>-117.852715</v>
      </c>
      <c r="D2420">
        <f t="shared" si="150"/>
        <v>69</v>
      </c>
      <c r="E2420">
        <v>123.498</v>
      </c>
      <c r="F2420">
        <f t="shared" si="151"/>
        <v>-54.498000000000005</v>
      </c>
      <c r="G2420">
        <v>49.133000000000003</v>
      </c>
      <c r="H2420">
        <v>2.1629999999999998</v>
      </c>
      <c r="I2420">
        <v>4.41</v>
      </c>
      <c r="J2420">
        <v>4</v>
      </c>
      <c r="K2420">
        <v>31</v>
      </c>
      <c r="L2420">
        <v>16</v>
      </c>
      <c r="M2420">
        <v>2.76</v>
      </c>
    </row>
    <row r="2421" spans="1:13" ht="15" customHeight="1">
      <c r="A2421" t="s">
        <v>30</v>
      </c>
      <c r="B2421">
        <f t="shared" si="148"/>
        <v>33.719078000000003</v>
      </c>
      <c r="C2421">
        <f t="shared" si="149"/>
        <v>-117.852715</v>
      </c>
      <c r="D2421">
        <f t="shared" si="150"/>
        <v>69</v>
      </c>
      <c r="E2421">
        <v>124.498</v>
      </c>
      <c r="F2421">
        <f t="shared" si="151"/>
        <v>-55.498000000000005</v>
      </c>
      <c r="G2421">
        <v>229.15</v>
      </c>
      <c r="H2421">
        <v>3.49</v>
      </c>
      <c r="I2421">
        <v>1.524</v>
      </c>
      <c r="J2421">
        <v>8</v>
      </c>
      <c r="K2421">
        <v>55</v>
      </c>
      <c r="L2421">
        <v>28</v>
      </c>
      <c r="M2421" s="1">
        <v>9000000000</v>
      </c>
    </row>
    <row r="2422" spans="1:13" ht="15" customHeight="1">
      <c r="A2422" t="s">
        <v>30</v>
      </c>
      <c r="B2422">
        <f t="shared" si="148"/>
        <v>33.719078000000003</v>
      </c>
      <c r="C2422">
        <f t="shared" si="149"/>
        <v>-117.852715</v>
      </c>
      <c r="D2422">
        <f t="shared" si="150"/>
        <v>69</v>
      </c>
      <c r="E2422">
        <v>125.498</v>
      </c>
      <c r="F2422">
        <f t="shared" si="151"/>
        <v>-56.498000000000005</v>
      </c>
      <c r="G2422">
        <v>316.45699999999999</v>
      </c>
      <c r="H2422">
        <v>2.2160000000000002</v>
      </c>
      <c r="I2422">
        <v>0.7</v>
      </c>
      <c r="J2422">
        <v>10</v>
      </c>
      <c r="K2422">
        <v>51</v>
      </c>
      <c r="L2422">
        <v>26</v>
      </c>
      <c r="M2422" s="1">
        <v>9000000000</v>
      </c>
    </row>
    <row r="2423" spans="1:13" ht="15" customHeight="1">
      <c r="A2423" t="s">
        <v>30</v>
      </c>
      <c r="B2423">
        <f t="shared" si="148"/>
        <v>33.719078000000003</v>
      </c>
      <c r="C2423">
        <f t="shared" si="149"/>
        <v>-117.852715</v>
      </c>
      <c r="D2423">
        <f t="shared" si="150"/>
        <v>69</v>
      </c>
      <c r="E2423">
        <v>126.498</v>
      </c>
      <c r="F2423">
        <f t="shared" si="151"/>
        <v>-57.498000000000005</v>
      </c>
      <c r="G2423">
        <v>245.517</v>
      </c>
      <c r="H2423">
        <v>3.3620000000000001</v>
      </c>
      <c r="I2423">
        <v>1.37</v>
      </c>
      <c r="J2423">
        <v>8</v>
      </c>
      <c r="K2423">
        <v>59</v>
      </c>
      <c r="L2423">
        <v>30</v>
      </c>
      <c r="M2423" s="1">
        <v>9000000000</v>
      </c>
    </row>
    <row r="2424" spans="1:13" ht="15" customHeight="1">
      <c r="A2424" t="s">
        <v>30</v>
      </c>
      <c r="B2424">
        <f t="shared" si="148"/>
        <v>33.719078000000003</v>
      </c>
      <c r="C2424">
        <f t="shared" si="149"/>
        <v>-117.852715</v>
      </c>
      <c r="D2424">
        <f t="shared" si="150"/>
        <v>69</v>
      </c>
      <c r="E2424">
        <v>127.498</v>
      </c>
      <c r="F2424">
        <f t="shared" si="151"/>
        <v>-58.498000000000005</v>
      </c>
      <c r="G2424">
        <v>115.15</v>
      </c>
      <c r="H2424">
        <v>3.1179999999999999</v>
      </c>
      <c r="I2424">
        <v>2.7109999999999999</v>
      </c>
      <c r="J2424">
        <v>6</v>
      </c>
      <c r="K2424">
        <v>44</v>
      </c>
      <c r="L2424">
        <v>22</v>
      </c>
      <c r="M2424">
        <v>7.1420000000000003</v>
      </c>
    </row>
    <row r="2425" spans="1:13" ht="15" customHeight="1">
      <c r="A2425" t="s">
        <v>30</v>
      </c>
      <c r="B2425">
        <f t="shared" si="148"/>
        <v>33.719078000000003</v>
      </c>
      <c r="C2425">
        <f t="shared" si="149"/>
        <v>-117.852715</v>
      </c>
      <c r="D2425">
        <f t="shared" si="150"/>
        <v>69</v>
      </c>
      <c r="E2425">
        <v>128.49799999999999</v>
      </c>
      <c r="F2425">
        <f t="shared" si="151"/>
        <v>-59.49799999999999</v>
      </c>
      <c r="G2425">
        <v>71</v>
      </c>
      <c r="H2425">
        <v>3.7629999999999999</v>
      </c>
      <c r="I2425">
        <v>5.3070000000000004</v>
      </c>
      <c r="J2425">
        <v>11</v>
      </c>
      <c r="K2425">
        <v>68</v>
      </c>
      <c r="L2425">
        <v>34</v>
      </c>
      <c r="M2425" s="1">
        <v>9000000000</v>
      </c>
    </row>
    <row r="2426" spans="1:13" ht="15" customHeight="1">
      <c r="A2426" t="s">
        <v>30</v>
      </c>
      <c r="B2426">
        <f t="shared" si="148"/>
        <v>33.719078000000003</v>
      </c>
      <c r="C2426">
        <f t="shared" si="149"/>
        <v>-117.852715</v>
      </c>
      <c r="D2426">
        <f t="shared" si="150"/>
        <v>69</v>
      </c>
      <c r="E2426">
        <v>129.49799999999999</v>
      </c>
      <c r="F2426">
        <f t="shared" si="151"/>
        <v>-60.49799999999999</v>
      </c>
      <c r="G2426">
        <v>113.917</v>
      </c>
      <c r="H2426">
        <v>6.1079999999999997</v>
      </c>
      <c r="I2426">
        <v>5.3680000000000003</v>
      </c>
      <c r="J2426">
        <v>11</v>
      </c>
      <c r="K2426">
        <v>109</v>
      </c>
      <c r="L2426">
        <v>55</v>
      </c>
      <c r="M2426" s="1">
        <v>9000000000</v>
      </c>
    </row>
    <row r="2427" spans="1:13" ht="15" customHeight="1">
      <c r="A2427" t="s">
        <v>30</v>
      </c>
      <c r="B2427">
        <f t="shared" si="148"/>
        <v>33.719078000000003</v>
      </c>
      <c r="C2427">
        <f t="shared" si="149"/>
        <v>-117.852715</v>
      </c>
      <c r="D2427">
        <f t="shared" si="150"/>
        <v>69</v>
      </c>
      <c r="E2427">
        <v>130.49799999999999</v>
      </c>
      <c r="F2427">
        <f t="shared" si="151"/>
        <v>-61.49799999999999</v>
      </c>
      <c r="G2427">
        <v>136.19999999999999</v>
      </c>
      <c r="H2427">
        <v>0</v>
      </c>
      <c r="I2427">
        <v>0</v>
      </c>
      <c r="J2427">
        <v>9</v>
      </c>
      <c r="K2427" s="1">
        <v>9000000000</v>
      </c>
      <c r="L2427" s="1">
        <v>9000000000</v>
      </c>
      <c r="M2427" s="1">
        <v>9000000000</v>
      </c>
    </row>
    <row r="2428" spans="1:13" ht="15" customHeight="1">
      <c r="A2428" t="s">
        <v>31</v>
      </c>
      <c r="B2428" t="e">
        <f t="shared" si="148"/>
        <v>#N/A</v>
      </c>
      <c r="C2428" t="e">
        <f t="shared" si="149"/>
        <v>#N/A</v>
      </c>
      <c r="D2428" t="e">
        <f t="shared" si="150"/>
        <v>#N/A</v>
      </c>
      <c r="E2428">
        <v>0.5</v>
      </c>
      <c r="F2428" t="e">
        <f t="shared" si="151"/>
        <v>#N/A</v>
      </c>
      <c r="G2428">
        <v>3.4670000000000001</v>
      </c>
      <c r="H2428">
        <v>1.2E-2</v>
      </c>
      <c r="I2428">
        <v>0.33700000000000002</v>
      </c>
      <c r="J2428">
        <v>1</v>
      </c>
      <c r="K2428">
        <v>2</v>
      </c>
      <c r="L2428">
        <v>3</v>
      </c>
      <c r="M2428">
        <v>0.22900000000000001</v>
      </c>
    </row>
    <row r="2429" spans="1:13" ht="15" customHeight="1">
      <c r="A2429" t="s">
        <v>31</v>
      </c>
      <c r="B2429" t="e">
        <f t="shared" si="148"/>
        <v>#N/A</v>
      </c>
      <c r="C2429" t="e">
        <f t="shared" si="149"/>
        <v>#N/A</v>
      </c>
      <c r="D2429" t="e">
        <f t="shared" si="150"/>
        <v>#N/A</v>
      </c>
      <c r="E2429">
        <v>1.5</v>
      </c>
      <c r="F2429" t="e">
        <f t="shared" si="151"/>
        <v>#N/A</v>
      </c>
      <c r="G2429">
        <v>10.4</v>
      </c>
      <c r="H2429">
        <v>0.223</v>
      </c>
      <c r="I2429">
        <v>2.1440000000000001</v>
      </c>
      <c r="J2429">
        <v>5</v>
      </c>
      <c r="K2429">
        <v>5</v>
      </c>
      <c r="L2429">
        <v>8</v>
      </c>
      <c r="M2429">
        <v>0.68899999999999995</v>
      </c>
    </row>
    <row r="2430" spans="1:13" ht="15" customHeight="1">
      <c r="A2430" t="s">
        <v>31</v>
      </c>
      <c r="B2430" t="e">
        <f t="shared" si="148"/>
        <v>#N/A</v>
      </c>
      <c r="C2430" t="e">
        <f t="shared" si="149"/>
        <v>#N/A</v>
      </c>
      <c r="D2430" t="e">
        <f t="shared" si="150"/>
        <v>#N/A</v>
      </c>
      <c r="E2430">
        <v>2.5</v>
      </c>
      <c r="F2430" t="e">
        <f t="shared" si="151"/>
        <v>#N/A</v>
      </c>
      <c r="G2430">
        <v>11.583</v>
      </c>
      <c r="H2430">
        <v>0.40699999999999997</v>
      </c>
      <c r="I2430">
        <v>3.5110000000000001</v>
      </c>
      <c r="J2430">
        <v>4</v>
      </c>
      <c r="K2430">
        <v>7</v>
      </c>
      <c r="L2430">
        <v>11</v>
      </c>
      <c r="M2430">
        <v>0.76300000000000001</v>
      </c>
    </row>
    <row r="2431" spans="1:13" ht="15" customHeight="1">
      <c r="A2431" t="s">
        <v>31</v>
      </c>
      <c r="B2431" t="e">
        <f t="shared" si="148"/>
        <v>#N/A</v>
      </c>
      <c r="C2431" t="e">
        <f t="shared" si="149"/>
        <v>#N/A</v>
      </c>
      <c r="D2431" t="e">
        <f t="shared" si="150"/>
        <v>#N/A</v>
      </c>
      <c r="E2431">
        <v>3.5</v>
      </c>
      <c r="F2431" t="e">
        <f t="shared" si="151"/>
        <v>#N/A</v>
      </c>
      <c r="G2431">
        <v>12.083</v>
      </c>
      <c r="H2431">
        <v>0.47499999999999998</v>
      </c>
      <c r="I2431">
        <v>3.964</v>
      </c>
      <c r="J2431">
        <v>3</v>
      </c>
      <c r="K2431">
        <v>11</v>
      </c>
      <c r="L2431">
        <v>17</v>
      </c>
      <c r="M2431">
        <v>0.78500000000000003</v>
      </c>
    </row>
    <row r="2432" spans="1:13" ht="15" customHeight="1">
      <c r="A2432" t="s">
        <v>31</v>
      </c>
      <c r="B2432" t="e">
        <f t="shared" si="148"/>
        <v>#N/A</v>
      </c>
      <c r="C2432" t="e">
        <f t="shared" si="149"/>
        <v>#N/A</v>
      </c>
      <c r="D2432" t="e">
        <f t="shared" si="150"/>
        <v>#N/A</v>
      </c>
      <c r="E2432">
        <v>4.5</v>
      </c>
      <c r="F2432" t="e">
        <f t="shared" si="151"/>
        <v>#N/A</v>
      </c>
      <c r="G2432">
        <v>11.25</v>
      </c>
      <c r="H2432">
        <v>0.375</v>
      </c>
      <c r="I2432">
        <v>3.3380000000000001</v>
      </c>
      <c r="J2432">
        <v>4</v>
      </c>
      <c r="K2432">
        <v>7</v>
      </c>
      <c r="L2432">
        <v>11</v>
      </c>
      <c r="M2432">
        <v>0.73099999999999998</v>
      </c>
    </row>
    <row r="2433" spans="1:13" ht="15" customHeight="1">
      <c r="A2433" t="s">
        <v>31</v>
      </c>
      <c r="B2433" t="e">
        <f t="shared" si="148"/>
        <v>#N/A</v>
      </c>
      <c r="C2433" t="e">
        <f t="shared" si="149"/>
        <v>#N/A</v>
      </c>
      <c r="D2433" t="e">
        <f t="shared" si="150"/>
        <v>#N/A</v>
      </c>
      <c r="E2433">
        <v>5.5</v>
      </c>
      <c r="F2433" t="e">
        <f t="shared" si="151"/>
        <v>#N/A</v>
      </c>
      <c r="G2433">
        <v>11.266999999999999</v>
      </c>
      <c r="H2433">
        <v>0.33300000000000002</v>
      </c>
      <c r="I2433">
        <v>2.9540000000000002</v>
      </c>
      <c r="J2433">
        <v>4</v>
      </c>
      <c r="K2433">
        <v>7</v>
      </c>
      <c r="L2433">
        <v>11</v>
      </c>
      <c r="M2433">
        <v>0.73099999999999998</v>
      </c>
    </row>
    <row r="2434" spans="1:13" ht="15" customHeight="1">
      <c r="A2434" t="s">
        <v>31</v>
      </c>
      <c r="B2434" t="e">
        <f t="shared" ref="B2434:B2497" si="152">VLOOKUP(A2434,XYdata,3,FALSE)</f>
        <v>#N/A</v>
      </c>
      <c r="C2434" t="e">
        <f t="shared" ref="C2434:C2497" si="153">VLOOKUP(A2434,XYdata,2,FALSE)</f>
        <v>#N/A</v>
      </c>
      <c r="D2434" t="e">
        <f t="shared" ref="D2434:D2497" si="154">VLOOKUP(A2434,Elevation,2,FALSE)</f>
        <v>#N/A</v>
      </c>
      <c r="E2434">
        <v>6.5</v>
      </c>
      <c r="F2434" t="e">
        <f t="shared" si="151"/>
        <v>#N/A</v>
      </c>
      <c r="G2434">
        <v>17.350000000000001</v>
      </c>
      <c r="H2434">
        <v>0.46200000000000002</v>
      </c>
      <c r="I2434">
        <v>2.661</v>
      </c>
      <c r="J2434">
        <v>5</v>
      </c>
      <c r="K2434">
        <v>8</v>
      </c>
      <c r="L2434">
        <v>12</v>
      </c>
      <c r="M2434">
        <v>1.131</v>
      </c>
    </row>
    <row r="2435" spans="1:13" ht="15" customHeight="1">
      <c r="A2435" t="s">
        <v>31</v>
      </c>
      <c r="B2435" t="e">
        <f t="shared" si="152"/>
        <v>#N/A</v>
      </c>
      <c r="C2435" t="e">
        <f t="shared" si="153"/>
        <v>#N/A</v>
      </c>
      <c r="D2435" t="e">
        <f t="shared" si="154"/>
        <v>#N/A</v>
      </c>
      <c r="E2435">
        <v>7.5</v>
      </c>
      <c r="F2435" t="e">
        <f t="shared" ref="F2435:F2498" si="155">D2435-E2435</f>
        <v>#N/A</v>
      </c>
      <c r="G2435">
        <v>26.1</v>
      </c>
      <c r="H2435">
        <v>0.64800000000000002</v>
      </c>
      <c r="I2435">
        <v>2.4670000000000001</v>
      </c>
      <c r="J2435">
        <v>6</v>
      </c>
      <c r="K2435">
        <v>10</v>
      </c>
      <c r="L2435">
        <v>15</v>
      </c>
      <c r="M2435">
        <v>1.7230000000000001</v>
      </c>
    </row>
    <row r="2436" spans="1:13" ht="15" customHeight="1">
      <c r="A2436" t="s">
        <v>31</v>
      </c>
      <c r="B2436" t="e">
        <f t="shared" si="152"/>
        <v>#N/A</v>
      </c>
      <c r="C2436" t="e">
        <f t="shared" si="153"/>
        <v>#N/A</v>
      </c>
      <c r="D2436" t="e">
        <f t="shared" si="154"/>
        <v>#N/A</v>
      </c>
      <c r="E2436">
        <v>8.5</v>
      </c>
      <c r="F2436" t="e">
        <f t="shared" si="155"/>
        <v>#N/A</v>
      </c>
      <c r="G2436">
        <v>33.85</v>
      </c>
      <c r="H2436">
        <v>1.145</v>
      </c>
      <c r="I2436">
        <v>3.3690000000000002</v>
      </c>
      <c r="J2436">
        <v>5</v>
      </c>
      <c r="K2436">
        <v>16</v>
      </c>
      <c r="L2436">
        <v>24</v>
      </c>
      <c r="M2436">
        <v>2.2320000000000002</v>
      </c>
    </row>
    <row r="2437" spans="1:13" ht="15" customHeight="1">
      <c r="A2437" t="s">
        <v>31</v>
      </c>
      <c r="B2437" t="e">
        <f t="shared" si="152"/>
        <v>#N/A</v>
      </c>
      <c r="C2437" t="e">
        <f t="shared" si="153"/>
        <v>#N/A</v>
      </c>
      <c r="D2437" t="e">
        <f t="shared" si="154"/>
        <v>#N/A</v>
      </c>
      <c r="E2437">
        <v>9.5</v>
      </c>
      <c r="F2437" t="e">
        <f t="shared" si="155"/>
        <v>#N/A</v>
      </c>
      <c r="G2437">
        <v>7.05</v>
      </c>
      <c r="H2437">
        <v>0.32700000000000001</v>
      </c>
      <c r="I2437">
        <v>4.6779999999999999</v>
      </c>
      <c r="J2437">
        <v>3</v>
      </c>
      <c r="K2437">
        <v>7</v>
      </c>
      <c r="L2437">
        <v>11</v>
      </c>
      <c r="M2437">
        <v>0.42799999999999999</v>
      </c>
    </row>
    <row r="2438" spans="1:13" ht="15" customHeight="1">
      <c r="A2438" t="s">
        <v>31</v>
      </c>
      <c r="B2438" t="e">
        <f t="shared" si="152"/>
        <v>#N/A</v>
      </c>
      <c r="C2438" t="e">
        <f t="shared" si="153"/>
        <v>#N/A</v>
      </c>
      <c r="D2438" t="e">
        <f t="shared" si="154"/>
        <v>#N/A</v>
      </c>
      <c r="E2438">
        <v>10.5</v>
      </c>
      <c r="F2438" t="e">
        <f t="shared" si="155"/>
        <v>#N/A</v>
      </c>
      <c r="G2438">
        <v>5.5140000000000002</v>
      </c>
      <c r="H2438">
        <v>0.156</v>
      </c>
      <c r="I2438">
        <v>2.839</v>
      </c>
      <c r="J2438">
        <v>3</v>
      </c>
      <c r="K2438">
        <v>5</v>
      </c>
      <c r="L2438">
        <v>7</v>
      </c>
      <c r="M2438">
        <v>0.32400000000000001</v>
      </c>
    </row>
    <row r="2439" spans="1:13" ht="15" customHeight="1">
      <c r="A2439" t="s">
        <v>31</v>
      </c>
      <c r="B2439" t="e">
        <f t="shared" si="152"/>
        <v>#N/A</v>
      </c>
      <c r="C2439" t="e">
        <f t="shared" si="153"/>
        <v>#N/A</v>
      </c>
      <c r="D2439" t="e">
        <f t="shared" si="154"/>
        <v>#N/A</v>
      </c>
      <c r="E2439">
        <v>11.5</v>
      </c>
      <c r="F2439" t="e">
        <f t="shared" si="155"/>
        <v>#N/A</v>
      </c>
      <c r="G2439">
        <v>5.4</v>
      </c>
      <c r="H2439">
        <v>9.5000000000000001E-2</v>
      </c>
      <c r="I2439">
        <v>1.7589999999999999</v>
      </c>
      <c r="J2439">
        <v>4</v>
      </c>
      <c r="K2439">
        <v>3</v>
      </c>
      <c r="L2439">
        <v>4</v>
      </c>
      <c r="M2439">
        <v>0.314</v>
      </c>
    </row>
    <row r="2440" spans="1:13" ht="15" customHeight="1">
      <c r="A2440" t="s">
        <v>31</v>
      </c>
      <c r="B2440" t="e">
        <f t="shared" si="152"/>
        <v>#N/A</v>
      </c>
      <c r="C2440" t="e">
        <f t="shared" si="153"/>
        <v>#N/A</v>
      </c>
      <c r="D2440" t="e">
        <f t="shared" si="154"/>
        <v>#N/A</v>
      </c>
      <c r="E2440">
        <v>12.5</v>
      </c>
      <c r="F2440" t="e">
        <f t="shared" si="155"/>
        <v>#N/A</v>
      </c>
      <c r="G2440">
        <v>5.6669999999999998</v>
      </c>
      <c r="H2440">
        <v>5.7000000000000002E-2</v>
      </c>
      <c r="I2440">
        <v>0.99399999999999999</v>
      </c>
      <c r="J2440">
        <v>1</v>
      </c>
      <c r="K2440">
        <v>3</v>
      </c>
      <c r="L2440">
        <v>4</v>
      </c>
      <c r="M2440">
        <v>0.33</v>
      </c>
    </row>
    <row r="2441" spans="1:13" ht="15" customHeight="1">
      <c r="A2441" t="s">
        <v>31</v>
      </c>
      <c r="B2441" t="e">
        <f t="shared" si="152"/>
        <v>#N/A</v>
      </c>
      <c r="C2441" t="e">
        <f t="shared" si="153"/>
        <v>#N/A</v>
      </c>
      <c r="D2441" t="e">
        <f t="shared" si="154"/>
        <v>#N/A</v>
      </c>
      <c r="E2441">
        <v>13.5</v>
      </c>
      <c r="F2441" t="e">
        <f t="shared" si="155"/>
        <v>#N/A</v>
      </c>
      <c r="G2441">
        <v>7.5330000000000004</v>
      </c>
      <c r="H2441">
        <v>0.21</v>
      </c>
      <c r="I2441">
        <v>2.7509999999999999</v>
      </c>
      <c r="J2441">
        <v>4</v>
      </c>
      <c r="K2441">
        <v>5</v>
      </c>
      <c r="L2441">
        <v>6</v>
      </c>
      <c r="M2441">
        <v>0.45500000000000002</v>
      </c>
    </row>
    <row r="2442" spans="1:13" ht="15" customHeight="1">
      <c r="A2442" t="s">
        <v>31</v>
      </c>
      <c r="B2442" t="e">
        <f t="shared" si="152"/>
        <v>#N/A</v>
      </c>
      <c r="C2442" t="e">
        <f t="shared" si="153"/>
        <v>#N/A</v>
      </c>
      <c r="D2442" t="e">
        <f t="shared" si="154"/>
        <v>#N/A</v>
      </c>
      <c r="E2442">
        <v>14.5</v>
      </c>
      <c r="F2442" t="e">
        <f t="shared" si="155"/>
        <v>#N/A</v>
      </c>
      <c r="G2442">
        <v>10.5</v>
      </c>
      <c r="H2442">
        <v>0.36299999999999999</v>
      </c>
      <c r="I2442">
        <v>3.4380000000000002</v>
      </c>
      <c r="J2442">
        <v>4</v>
      </c>
      <c r="K2442">
        <v>7</v>
      </c>
      <c r="L2442">
        <v>8</v>
      </c>
      <c r="M2442">
        <v>0.64700000000000002</v>
      </c>
    </row>
    <row r="2443" spans="1:13" ht="15" customHeight="1">
      <c r="A2443" t="s">
        <v>31</v>
      </c>
      <c r="B2443" t="e">
        <f t="shared" si="152"/>
        <v>#N/A</v>
      </c>
      <c r="C2443" t="e">
        <f t="shared" si="153"/>
        <v>#N/A</v>
      </c>
      <c r="D2443" t="e">
        <f t="shared" si="154"/>
        <v>#N/A</v>
      </c>
      <c r="E2443">
        <v>15.5</v>
      </c>
      <c r="F2443" t="e">
        <f t="shared" si="155"/>
        <v>#N/A</v>
      </c>
      <c r="G2443">
        <v>11.233000000000001</v>
      </c>
      <c r="H2443">
        <v>0.39200000000000002</v>
      </c>
      <c r="I2443">
        <v>3.4660000000000002</v>
      </c>
      <c r="J2443">
        <v>4</v>
      </c>
      <c r="K2443">
        <v>7</v>
      </c>
      <c r="L2443">
        <v>7</v>
      </c>
      <c r="M2443">
        <v>0.69199999999999995</v>
      </c>
    </row>
    <row r="2444" spans="1:13" ht="15" customHeight="1">
      <c r="A2444" t="s">
        <v>31</v>
      </c>
      <c r="B2444" t="e">
        <f t="shared" si="152"/>
        <v>#N/A</v>
      </c>
      <c r="C2444" t="e">
        <f t="shared" si="153"/>
        <v>#N/A</v>
      </c>
      <c r="D2444" t="e">
        <f t="shared" si="154"/>
        <v>#N/A</v>
      </c>
      <c r="E2444">
        <v>16.5</v>
      </c>
      <c r="F2444" t="e">
        <f t="shared" si="155"/>
        <v>#N/A</v>
      </c>
      <c r="G2444">
        <v>9.6829999999999998</v>
      </c>
      <c r="H2444">
        <v>0.24199999999999999</v>
      </c>
      <c r="I2444">
        <v>2.4660000000000002</v>
      </c>
      <c r="J2444">
        <v>4</v>
      </c>
      <c r="K2444">
        <v>6</v>
      </c>
      <c r="L2444">
        <v>6</v>
      </c>
      <c r="M2444">
        <v>0.58799999999999997</v>
      </c>
    </row>
    <row r="2445" spans="1:13" ht="15" customHeight="1">
      <c r="A2445" t="s">
        <v>31</v>
      </c>
      <c r="B2445" t="e">
        <f t="shared" si="152"/>
        <v>#N/A</v>
      </c>
      <c r="C2445" t="e">
        <f t="shared" si="153"/>
        <v>#N/A</v>
      </c>
      <c r="D2445" t="e">
        <f t="shared" si="154"/>
        <v>#N/A</v>
      </c>
      <c r="E2445">
        <v>17.5</v>
      </c>
      <c r="F2445" t="e">
        <f t="shared" si="155"/>
        <v>#N/A</v>
      </c>
      <c r="G2445">
        <v>11.85</v>
      </c>
      <c r="H2445">
        <v>0.38800000000000001</v>
      </c>
      <c r="I2445">
        <v>3.2410000000000001</v>
      </c>
      <c r="J2445">
        <v>4</v>
      </c>
      <c r="K2445">
        <v>8</v>
      </c>
      <c r="L2445">
        <v>8</v>
      </c>
      <c r="M2445">
        <v>0.72899999999999998</v>
      </c>
    </row>
    <row r="2446" spans="1:13" ht="15" customHeight="1">
      <c r="A2446" t="s">
        <v>31</v>
      </c>
      <c r="B2446" t="e">
        <f t="shared" si="152"/>
        <v>#N/A</v>
      </c>
      <c r="C2446" t="e">
        <f t="shared" si="153"/>
        <v>#N/A</v>
      </c>
      <c r="D2446" t="e">
        <f t="shared" si="154"/>
        <v>#N/A</v>
      </c>
      <c r="E2446">
        <v>18.5</v>
      </c>
      <c r="F2446" t="e">
        <f t="shared" si="155"/>
        <v>#N/A</v>
      </c>
      <c r="G2446">
        <v>11.733000000000001</v>
      </c>
      <c r="H2446">
        <v>0.40699999999999997</v>
      </c>
      <c r="I2446">
        <v>3.4319999999999999</v>
      </c>
      <c r="J2446">
        <v>4</v>
      </c>
      <c r="K2446">
        <v>8</v>
      </c>
      <c r="L2446">
        <v>7</v>
      </c>
      <c r="M2446">
        <v>0.71599999999999997</v>
      </c>
    </row>
    <row r="2447" spans="1:13" ht="15" customHeight="1">
      <c r="A2447" t="s">
        <v>31</v>
      </c>
      <c r="B2447" t="e">
        <f t="shared" si="152"/>
        <v>#N/A</v>
      </c>
      <c r="C2447" t="e">
        <f t="shared" si="153"/>
        <v>#N/A</v>
      </c>
      <c r="D2447" t="e">
        <f t="shared" si="154"/>
        <v>#N/A</v>
      </c>
      <c r="E2447">
        <v>19.5</v>
      </c>
      <c r="F2447" t="e">
        <f t="shared" si="155"/>
        <v>#N/A</v>
      </c>
      <c r="G2447">
        <v>11.016999999999999</v>
      </c>
      <c r="H2447">
        <v>0.36</v>
      </c>
      <c r="I2447">
        <v>3.2240000000000002</v>
      </c>
      <c r="J2447">
        <v>4</v>
      </c>
      <c r="K2447">
        <v>7</v>
      </c>
      <c r="L2447">
        <v>6</v>
      </c>
      <c r="M2447">
        <v>0.66700000000000004</v>
      </c>
    </row>
    <row r="2448" spans="1:13" ht="15" customHeight="1">
      <c r="A2448" t="s">
        <v>31</v>
      </c>
      <c r="B2448" t="e">
        <f t="shared" si="152"/>
        <v>#N/A</v>
      </c>
      <c r="C2448" t="e">
        <f t="shared" si="153"/>
        <v>#N/A</v>
      </c>
      <c r="D2448" t="e">
        <f t="shared" si="154"/>
        <v>#N/A</v>
      </c>
      <c r="E2448">
        <v>20.5</v>
      </c>
      <c r="F2448" t="e">
        <f t="shared" si="155"/>
        <v>#N/A</v>
      </c>
      <c r="G2448">
        <v>9.0139999999999993</v>
      </c>
      <c r="H2448">
        <v>0.22600000000000001</v>
      </c>
      <c r="I2448">
        <v>2.4609999999999999</v>
      </c>
      <c r="J2448">
        <v>4</v>
      </c>
      <c r="K2448">
        <v>6</v>
      </c>
      <c r="L2448">
        <v>5</v>
      </c>
      <c r="M2448">
        <v>0.53</v>
      </c>
    </row>
    <row r="2449" spans="1:13" ht="15" customHeight="1">
      <c r="A2449" t="s">
        <v>31</v>
      </c>
      <c r="B2449" t="e">
        <f t="shared" si="152"/>
        <v>#N/A</v>
      </c>
      <c r="C2449" t="e">
        <f t="shared" si="153"/>
        <v>#N/A</v>
      </c>
      <c r="D2449" t="e">
        <f t="shared" si="154"/>
        <v>#N/A</v>
      </c>
      <c r="E2449">
        <v>21.5</v>
      </c>
      <c r="F2449" t="e">
        <f t="shared" si="155"/>
        <v>#N/A</v>
      </c>
      <c r="G2449">
        <v>26.082999999999998</v>
      </c>
      <c r="H2449">
        <v>0.42699999999999999</v>
      </c>
      <c r="I2449">
        <v>1.6279999999999999</v>
      </c>
      <c r="J2449">
        <v>6</v>
      </c>
      <c r="K2449">
        <v>10</v>
      </c>
      <c r="L2449">
        <v>8</v>
      </c>
      <c r="M2449">
        <v>1.661</v>
      </c>
    </row>
    <row r="2450" spans="1:13" ht="15" customHeight="1">
      <c r="A2450" t="s">
        <v>31</v>
      </c>
      <c r="B2450" t="e">
        <f t="shared" si="152"/>
        <v>#N/A</v>
      </c>
      <c r="C2450" t="e">
        <f t="shared" si="153"/>
        <v>#N/A</v>
      </c>
      <c r="D2450" t="e">
        <f t="shared" si="154"/>
        <v>#N/A</v>
      </c>
      <c r="E2450">
        <v>22.5</v>
      </c>
      <c r="F2450" t="e">
        <f t="shared" si="155"/>
        <v>#N/A</v>
      </c>
      <c r="G2450">
        <v>72.2</v>
      </c>
      <c r="H2450">
        <v>0.64200000000000002</v>
      </c>
      <c r="I2450">
        <v>0.89</v>
      </c>
      <c r="J2450">
        <v>8</v>
      </c>
      <c r="K2450">
        <v>17</v>
      </c>
      <c r="L2450">
        <v>14</v>
      </c>
      <c r="M2450" s="1">
        <v>9000000000</v>
      </c>
    </row>
    <row r="2451" spans="1:13" ht="15" customHeight="1">
      <c r="A2451" t="s">
        <v>31</v>
      </c>
      <c r="B2451" t="e">
        <f t="shared" si="152"/>
        <v>#N/A</v>
      </c>
      <c r="C2451" t="e">
        <f t="shared" si="153"/>
        <v>#N/A</v>
      </c>
      <c r="D2451" t="e">
        <f t="shared" si="154"/>
        <v>#N/A</v>
      </c>
      <c r="E2451">
        <v>23.5</v>
      </c>
      <c r="F2451" t="e">
        <f t="shared" si="155"/>
        <v>#N/A</v>
      </c>
      <c r="G2451">
        <v>33.317</v>
      </c>
      <c r="H2451">
        <v>0.90700000000000003</v>
      </c>
      <c r="I2451">
        <v>2.738</v>
      </c>
      <c r="J2451">
        <v>6</v>
      </c>
      <c r="K2451">
        <v>13</v>
      </c>
      <c r="L2451">
        <v>10</v>
      </c>
      <c r="M2451">
        <v>2.1139999999999999</v>
      </c>
    </row>
    <row r="2452" spans="1:13" ht="15" customHeight="1">
      <c r="A2452" t="s">
        <v>31</v>
      </c>
      <c r="B2452" t="e">
        <f t="shared" si="152"/>
        <v>#N/A</v>
      </c>
      <c r="C2452" t="e">
        <f t="shared" si="153"/>
        <v>#N/A</v>
      </c>
      <c r="D2452" t="e">
        <f t="shared" si="154"/>
        <v>#N/A</v>
      </c>
      <c r="E2452">
        <v>24.5</v>
      </c>
      <c r="F2452" t="e">
        <f t="shared" si="155"/>
        <v>#N/A</v>
      </c>
      <c r="G2452">
        <v>10.282999999999999</v>
      </c>
      <c r="H2452">
        <v>0.33300000000000002</v>
      </c>
      <c r="I2452">
        <v>3.306</v>
      </c>
      <c r="J2452">
        <v>4</v>
      </c>
      <c r="K2452">
        <v>6</v>
      </c>
      <c r="L2452">
        <v>4</v>
      </c>
      <c r="M2452">
        <v>0.57399999999999995</v>
      </c>
    </row>
    <row r="2453" spans="1:13" ht="15" customHeight="1">
      <c r="A2453" t="s">
        <v>31</v>
      </c>
      <c r="B2453" t="e">
        <f t="shared" si="152"/>
        <v>#N/A</v>
      </c>
      <c r="C2453" t="e">
        <f t="shared" si="153"/>
        <v>#N/A</v>
      </c>
      <c r="D2453" t="e">
        <f t="shared" si="154"/>
        <v>#N/A</v>
      </c>
      <c r="E2453">
        <v>25.5</v>
      </c>
      <c r="F2453" t="e">
        <f t="shared" si="155"/>
        <v>#N/A</v>
      </c>
      <c r="G2453">
        <v>11.95</v>
      </c>
      <c r="H2453">
        <v>0.34200000000000003</v>
      </c>
      <c r="I2453">
        <v>2.895</v>
      </c>
      <c r="J2453">
        <v>4</v>
      </c>
      <c r="K2453">
        <v>8</v>
      </c>
      <c r="L2453">
        <v>6</v>
      </c>
      <c r="M2453">
        <v>0.68500000000000005</v>
      </c>
    </row>
    <row r="2454" spans="1:13" ht="15" customHeight="1">
      <c r="A2454" t="s">
        <v>31</v>
      </c>
      <c r="B2454" t="e">
        <f t="shared" si="152"/>
        <v>#N/A</v>
      </c>
      <c r="C2454" t="e">
        <f t="shared" si="153"/>
        <v>#N/A</v>
      </c>
      <c r="D2454" t="e">
        <f t="shared" si="154"/>
        <v>#N/A</v>
      </c>
      <c r="E2454">
        <v>26.5</v>
      </c>
      <c r="F2454" t="e">
        <f t="shared" si="155"/>
        <v>#N/A</v>
      </c>
      <c r="G2454">
        <v>12.417</v>
      </c>
      <c r="H2454">
        <v>0.36199999999999999</v>
      </c>
      <c r="I2454">
        <v>2.952</v>
      </c>
      <c r="J2454">
        <v>4</v>
      </c>
      <c r="K2454">
        <v>8</v>
      </c>
      <c r="L2454">
        <v>6</v>
      </c>
      <c r="M2454">
        <v>0.71099999999999997</v>
      </c>
    </row>
    <row r="2455" spans="1:13" ht="15" customHeight="1">
      <c r="A2455" t="s">
        <v>31</v>
      </c>
      <c r="B2455" t="e">
        <f t="shared" si="152"/>
        <v>#N/A</v>
      </c>
      <c r="C2455" t="e">
        <f t="shared" si="153"/>
        <v>#N/A</v>
      </c>
      <c r="D2455" t="e">
        <f t="shared" si="154"/>
        <v>#N/A</v>
      </c>
      <c r="E2455">
        <v>27.5</v>
      </c>
      <c r="F2455" t="e">
        <f t="shared" si="155"/>
        <v>#N/A</v>
      </c>
      <c r="G2455">
        <v>12.132999999999999</v>
      </c>
      <c r="H2455">
        <v>0.36299999999999999</v>
      </c>
      <c r="I2455">
        <v>3.024</v>
      </c>
      <c r="J2455">
        <v>4</v>
      </c>
      <c r="K2455">
        <v>8</v>
      </c>
      <c r="L2455">
        <v>6</v>
      </c>
      <c r="M2455">
        <v>0.69099999999999995</v>
      </c>
    </row>
    <row r="2456" spans="1:13" ht="15" customHeight="1">
      <c r="A2456" t="s">
        <v>31</v>
      </c>
      <c r="B2456" t="e">
        <f t="shared" si="152"/>
        <v>#N/A</v>
      </c>
      <c r="C2456" t="e">
        <f t="shared" si="153"/>
        <v>#N/A</v>
      </c>
      <c r="D2456" t="e">
        <f t="shared" si="154"/>
        <v>#N/A</v>
      </c>
      <c r="E2456">
        <v>28.5</v>
      </c>
      <c r="F2456" t="e">
        <f t="shared" si="155"/>
        <v>#N/A</v>
      </c>
      <c r="G2456">
        <v>12.1</v>
      </c>
      <c r="H2456">
        <v>0.39500000000000002</v>
      </c>
      <c r="I2456">
        <v>3.2959999999999998</v>
      </c>
      <c r="J2456">
        <v>4</v>
      </c>
      <c r="K2456">
        <v>8</v>
      </c>
      <c r="L2456">
        <v>6</v>
      </c>
      <c r="M2456">
        <v>0.68500000000000005</v>
      </c>
    </row>
    <row r="2457" spans="1:13" ht="15" customHeight="1">
      <c r="A2457" t="s">
        <v>31</v>
      </c>
      <c r="B2457" t="e">
        <f t="shared" si="152"/>
        <v>#N/A</v>
      </c>
      <c r="C2457" t="e">
        <f t="shared" si="153"/>
        <v>#N/A</v>
      </c>
      <c r="D2457" t="e">
        <f t="shared" si="154"/>
        <v>#N/A</v>
      </c>
      <c r="E2457">
        <v>29.5</v>
      </c>
      <c r="F2457" t="e">
        <f t="shared" si="155"/>
        <v>#N/A</v>
      </c>
      <c r="G2457">
        <v>12.683</v>
      </c>
      <c r="H2457">
        <v>0.29499999999999998</v>
      </c>
      <c r="I2457">
        <v>2.3380000000000001</v>
      </c>
      <c r="J2457">
        <v>5</v>
      </c>
      <c r="K2457">
        <v>6</v>
      </c>
      <c r="L2457">
        <v>4</v>
      </c>
      <c r="M2457">
        <v>0.72299999999999998</v>
      </c>
    </row>
    <row r="2458" spans="1:13" ht="15" customHeight="1">
      <c r="A2458" t="s">
        <v>31</v>
      </c>
      <c r="B2458" t="e">
        <f t="shared" si="152"/>
        <v>#N/A</v>
      </c>
      <c r="C2458" t="e">
        <f t="shared" si="153"/>
        <v>#N/A</v>
      </c>
      <c r="D2458" t="e">
        <f t="shared" si="154"/>
        <v>#N/A</v>
      </c>
      <c r="E2458">
        <v>30.5</v>
      </c>
      <c r="F2458" t="e">
        <f t="shared" si="155"/>
        <v>#N/A</v>
      </c>
      <c r="G2458">
        <v>14.417</v>
      </c>
      <c r="H2458">
        <v>0.34300000000000003</v>
      </c>
      <c r="I2458">
        <v>2.3839999999999999</v>
      </c>
      <c r="J2458">
        <v>5</v>
      </c>
      <c r="K2458">
        <v>7</v>
      </c>
      <c r="L2458">
        <v>5</v>
      </c>
      <c r="M2458">
        <v>0.83799999999999997</v>
      </c>
    </row>
    <row r="2459" spans="1:13" ht="15" customHeight="1">
      <c r="A2459" t="s">
        <v>31</v>
      </c>
      <c r="B2459" t="e">
        <f t="shared" si="152"/>
        <v>#N/A</v>
      </c>
      <c r="C2459" t="e">
        <f t="shared" si="153"/>
        <v>#N/A</v>
      </c>
      <c r="D2459" t="e">
        <f t="shared" si="154"/>
        <v>#N/A</v>
      </c>
      <c r="E2459">
        <v>31.5</v>
      </c>
      <c r="F2459" t="e">
        <f t="shared" si="155"/>
        <v>#N/A</v>
      </c>
      <c r="G2459">
        <v>40.029000000000003</v>
      </c>
      <c r="H2459">
        <v>1.81</v>
      </c>
      <c r="I2459">
        <v>4.53</v>
      </c>
      <c r="J2459">
        <v>4</v>
      </c>
      <c r="K2459">
        <v>26</v>
      </c>
      <c r="L2459">
        <v>17</v>
      </c>
      <c r="M2459">
        <v>2.5379999999999998</v>
      </c>
    </row>
    <row r="2460" spans="1:13" ht="15" customHeight="1">
      <c r="A2460" t="s">
        <v>31</v>
      </c>
      <c r="B2460" t="e">
        <f t="shared" si="152"/>
        <v>#N/A</v>
      </c>
      <c r="C2460" t="e">
        <f t="shared" si="153"/>
        <v>#N/A</v>
      </c>
      <c r="D2460" t="e">
        <f t="shared" si="154"/>
        <v>#N/A</v>
      </c>
      <c r="E2460">
        <v>32.5</v>
      </c>
      <c r="F2460" t="e">
        <f t="shared" si="155"/>
        <v>#N/A</v>
      </c>
      <c r="G2460">
        <v>26.216999999999999</v>
      </c>
      <c r="H2460">
        <v>1.2569999999999999</v>
      </c>
      <c r="I2460">
        <v>4.806</v>
      </c>
      <c r="J2460">
        <v>3</v>
      </c>
      <c r="K2460">
        <v>25</v>
      </c>
      <c r="L2460">
        <v>16</v>
      </c>
      <c r="M2460">
        <v>1.613</v>
      </c>
    </row>
    <row r="2461" spans="1:13" ht="15" customHeight="1">
      <c r="A2461" t="s">
        <v>31</v>
      </c>
      <c r="B2461" t="e">
        <f t="shared" si="152"/>
        <v>#N/A</v>
      </c>
      <c r="C2461" t="e">
        <f t="shared" si="153"/>
        <v>#N/A</v>
      </c>
      <c r="D2461" t="e">
        <f t="shared" si="154"/>
        <v>#N/A</v>
      </c>
      <c r="E2461">
        <v>33.5</v>
      </c>
      <c r="F2461" t="e">
        <f t="shared" si="155"/>
        <v>#N/A</v>
      </c>
      <c r="G2461">
        <v>28.317</v>
      </c>
      <c r="H2461">
        <v>1.385</v>
      </c>
      <c r="I2461">
        <v>4.9029999999999996</v>
      </c>
      <c r="J2461">
        <v>3</v>
      </c>
      <c r="K2461">
        <v>27</v>
      </c>
      <c r="L2461">
        <v>18</v>
      </c>
      <c r="M2461">
        <v>1.7490000000000001</v>
      </c>
    </row>
    <row r="2462" spans="1:13" ht="15" customHeight="1">
      <c r="A2462" t="s">
        <v>31</v>
      </c>
      <c r="B2462" t="e">
        <f t="shared" si="152"/>
        <v>#N/A</v>
      </c>
      <c r="C2462" t="e">
        <f t="shared" si="153"/>
        <v>#N/A</v>
      </c>
      <c r="D2462" t="e">
        <f t="shared" si="154"/>
        <v>#N/A</v>
      </c>
      <c r="E2462">
        <v>34.5</v>
      </c>
      <c r="F2462" t="e">
        <f t="shared" si="155"/>
        <v>#N/A</v>
      </c>
      <c r="G2462">
        <v>19.55</v>
      </c>
      <c r="H2462">
        <v>0.877</v>
      </c>
      <c r="I2462">
        <v>4.5069999999999997</v>
      </c>
      <c r="J2462">
        <v>3</v>
      </c>
      <c r="K2462">
        <v>19</v>
      </c>
      <c r="L2462">
        <v>12</v>
      </c>
      <c r="M2462">
        <v>1.1579999999999999</v>
      </c>
    </row>
    <row r="2463" spans="1:13" ht="15" customHeight="1">
      <c r="A2463" t="s">
        <v>31</v>
      </c>
      <c r="B2463" t="e">
        <f t="shared" si="152"/>
        <v>#N/A</v>
      </c>
      <c r="C2463" t="e">
        <f t="shared" si="153"/>
        <v>#N/A</v>
      </c>
      <c r="D2463" t="e">
        <f t="shared" si="154"/>
        <v>#N/A</v>
      </c>
      <c r="E2463">
        <v>35.5</v>
      </c>
      <c r="F2463" t="e">
        <f t="shared" si="155"/>
        <v>#N/A</v>
      </c>
      <c r="G2463">
        <v>11.782999999999999</v>
      </c>
      <c r="H2463">
        <v>0.27700000000000002</v>
      </c>
      <c r="I2463">
        <v>2.3650000000000002</v>
      </c>
      <c r="J2463">
        <v>5</v>
      </c>
      <c r="K2463">
        <v>6</v>
      </c>
      <c r="L2463">
        <v>4</v>
      </c>
      <c r="M2463">
        <v>0.63700000000000001</v>
      </c>
    </row>
    <row r="2464" spans="1:13" ht="15" customHeight="1">
      <c r="A2464" t="s">
        <v>31</v>
      </c>
      <c r="B2464" t="e">
        <f t="shared" si="152"/>
        <v>#N/A</v>
      </c>
      <c r="C2464" t="e">
        <f t="shared" si="153"/>
        <v>#N/A</v>
      </c>
      <c r="D2464" t="e">
        <f t="shared" si="154"/>
        <v>#N/A</v>
      </c>
      <c r="E2464">
        <v>36.5</v>
      </c>
      <c r="F2464" t="e">
        <f t="shared" si="155"/>
        <v>#N/A</v>
      </c>
      <c r="G2464">
        <v>11.317</v>
      </c>
      <c r="H2464">
        <v>0.29299999999999998</v>
      </c>
      <c r="I2464">
        <v>2.6150000000000002</v>
      </c>
      <c r="J2464">
        <v>4</v>
      </c>
      <c r="K2464">
        <v>7</v>
      </c>
      <c r="L2464">
        <v>4</v>
      </c>
      <c r="M2464">
        <v>0.60099999999999998</v>
      </c>
    </row>
    <row r="2465" spans="1:13" ht="15" customHeight="1">
      <c r="A2465" t="s">
        <v>31</v>
      </c>
      <c r="B2465" t="e">
        <f t="shared" si="152"/>
        <v>#N/A</v>
      </c>
      <c r="C2465" t="e">
        <f t="shared" si="153"/>
        <v>#N/A</v>
      </c>
      <c r="D2465" t="e">
        <f t="shared" si="154"/>
        <v>#N/A</v>
      </c>
      <c r="E2465">
        <v>37.5</v>
      </c>
      <c r="F2465" t="e">
        <f t="shared" si="155"/>
        <v>#N/A</v>
      </c>
      <c r="G2465">
        <v>12.532999999999999</v>
      </c>
      <c r="H2465">
        <v>0.32300000000000001</v>
      </c>
      <c r="I2465">
        <v>2.5939999999999999</v>
      </c>
      <c r="J2465">
        <v>5</v>
      </c>
      <c r="K2465">
        <v>6</v>
      </c>
      <c r="L2465">
        <v>4</v>
      </c>
      <c r="M2465">
        <v>0.68</v>
      </c>
    </row>
    <row r="2466" spans="1:13" ht="15" customHeight="1">
      <c r="A2466" t="s">
        <v>31</v>
      </c>
      <c r="B2466" t="e">
        <f t="shared" si="152"/>
        <v>#N/A</v>
      </c>
      <c r="C2466" t="e">
        <f t="shared" si="153"/>
        <v>#N/A</v>
      </c>
      <c r="D2466" t="e">
        <f t="shared" si="154"/>
        <v>#N/A</v>
      </c>
      <c r="E2466">
        <v>38.5</v>
      </c>
      <c r="F2466" t="e">
        <f t="shared" si="155"/>
        <v>#N/A</v>
      </c>
      <c r="G2466">
        <v>10.55</v>
      </c>
      <c r="H2466">
        <v>0.19</v>
      </c>
      <c r="I2466">
        <v>1.804</v>
      </c>
      <c r="J2466">
        <v>5</v>
      </c>
      <c r="K2466">
        <v>5</v>
      </c>
      <c r="L2466">
        <v>3</v>
      </c>
      <c r="M2466">
        <v>0.54800000000000004</v>
      </c>
    </row>
    <row r="2467" spans="1:13" ht="15" customHeight="1">
      <c r="A2467" t="s">
        <v>31</v>
      </c>
      <c r="B2467" t="e">
        <f t="shared" si="152"/>
        <v>#N/A</v>
      </c>
      <c r="C2467" t="e">
        <f t="shared" si="153"/>
        <v>#N/A</v>
      </c>
      <c r="D2467" t="e">
        <f t="shared" si="154"/>
        <v>#N/A</v>
      </c>
      <c r="E2467">
        <v>39.5</v>
      </c>
      <c r="F2467" t="e">
        <f t="shared" si="155"/>
        <v>#N/A</v>
      </c>
      <c r="G2467">
        <v>30</v>
      </c>
      <c r="H2467">
        <v>0.93200000000000005</v>
      </c>
      <c r="I2467">
        <v>3.097</v>
      </c>
      <c r="J2467">
        <v>5</v>
      </c>
      <c r="K2467">
        <v>14</v>
      </c>
      <c r="L2467">
        <v>8</v>
      </c>
      <c r="M2467">
        <v>1.847</v>
      </c>
    </row>
    <row r="2468" spans="1:13" ht="15" customHeight="1">
      <c r="A2468" t="s">
        <v>31</v>
      </c>
      <c r="B2468" t="e">
        <f t="shared" si="152"/>
        <v>#N/A</v>
      </c>
      <c r="C2468" t="e">
        <f t="shared" si="153"/>
        <v>#N/A</v>
      </c>
      <c r="D2468" t="e">
        <f t="shared" si="154"/>
        <v>#N/A</v>
      </c>
      <c r="E2468">
        <v>40.5</v>
      </c>
      <c r="F2468" t="e">
        <f t="shared" si="155"/>
        <v>#N/A</v>
      </c>
      <c r="G2468">
        <v>65.683000000000007</v>
      </c>
      <c r="H2468">
        <v>2.4820000000000002</v>
      </c>
      <c r="I2468">
        <v>3.7050000000000001</v>
      </c>
      <c r="J2468">
        <v>5</v>
      </c>
      <c r="K2468">
        <v>32</v>
      </c>
      <c r="L2468">
        <v>19</v>
      </c>
      <c r="M2468">
        <v>4.3029999999999999</v>
      </c>
    </row>
    <row r="2469" spans="1:13" ht="15" customHeight="1">
      <c r="A2469" t="s">
        <v>31</v>
      </c>
      <c r="B2469" t="e">
        <f t="shared" si="152"/>
        <v>#N/A</v>
      </c>
      <c r="C2469" t="e">
        <f t="shared" si="153"/>
        <v>#N/A</v>
      </c>
      <c r="D2469" t="e">
        <f t="shared" si="154"/>
        <v>#N/A</v>
      </c>
      <c r="E2469">
        <v>41.499000000000002</v>
      </c>
      <c r="F2469" t="e">
        <f t="shared" si="155"/>
        <v>#N/A</v>
      </c>
      <c r="G2469">
        <v>59.343000000000004</v>
      </c>
      <c r="H2469">
        <v>2.359</v>
      </c>
      <c r="I2469">
        <v>3.8660000000000001</v>
      </c>
      <c r="J2469">
        <v>5</v>
      </c>
      <c r="K2469">
        <v>29</v>
      </c>
      <c r="L2469">
        <v>17</v>
      </c>
      <c r="M2469">
        <v>3.9</v>
      </c>
    </row>
    <row r="2470" spans="1:13" ht="15" customHeight="1">
      <c r="A2470" t="s">
        <v>31</v>
      </c>
      <c r="B2470" t="e">
        <f t="shared" si="152"/>
        <v>#N/A</v>
      </c>
      <c r="C2470" t="e">
        <f t="shared" si="153"/>
        <v>#N/A</v>
      </c>
      <c r="D2470" t="e">
        <f t="shared" si="154"/>
        <v>#N/A</v>
      </c>
      <c r="E2470">
        <v>42.499000000000002</v>
      </c>
      <c r="F2470" t="e">
        <f t="shared" si="155"/>
        <v>#N/A</v>
      </c>
      <c r="G2470">
        <v>47.732999999999997</v>
      </c>
      <c r="H2470">
        <v>2.0219999999999998</v>
      </c>
      <c r="I2470">
        <v>4.109</v>
      </c>
      <c r="J2470">
        <v>5</v>
      </c>
      <c r="K2470">
        <v>24</v>
      </c>
      <c r="L2470">
        <v>14</v>
      </c>
      <c r="M2470">
        <v>3.109</v>
      </c>
    </row>
    <row r="2471" spans="1:13" ht="15" customHeight="1">
      <c r="A2471" t="s">
        <v>31</v>
      </c>
      <c r="B2471" t="e">
        <f t="shared" si="152"/>
        <v>#N/A</v>
      </c>
      <c r="C2471" t="e">
        <f t="shared" si="153"/>
        <v>#N/A</v>
      </c>
      <c r="D2471" t="e">
        <f t="shared" si="154"/>
        <v>#N/A</v>
      </c>
      <c r="E2471">
        <v>43.499000000000002</v>
      </c>
      <c r="F2471" t="e">
        <f t="shared" si="155"/>
        <v>#N/A</v>
      </c>
      <c r="G2471">
        <v>26.417000000000002</v>
      </c>
      <c r="H2471">
        <v>0.77</v>
      </c>
      <c r="I2471">
        <v>2.7549999999999999</v>
      </c>
      <c r="J2471">
        <v>6</v>
      </c>
      <c r="K2471">
        <v>11</v>
      </c>
      <c r="L2471">
        <v>6</v>
      </c>
      <c r="M2471">
        <v>1.6879999999999999</v>
      </c>
    </row>
    <row r="2472" spans="1:13" ht="15" customHeight="1">
      <c r="A2472" t="s">
        <v>31</v>
      </c>
      <c r="B2472" t="e">
        <f t="shared" si="152"/>
        <v>#N/A</v>
      </c>
      <c r="C2472" t="e">
        <f t="shared" si="153"/>
        <v>#N/A</v>
      </c>
      <c r="D2472" t="e">
        <f t="shared" si="154"/>
        <v>#N/A</v>
      </c>
      <c r="E2472">
        <v>44.499000000000002</v>
      </c>
      <c r="F2472" t="e">
        <f t="shared" si="155"/>
        <v>#N/A</v>
      </c>
      <c r="G2472">
        <v>26.683</v>
      </c>
      <c r="H2472">
        <v>1.0229999999999999</v>
      </c>
      <c r="I2472">
        <v>3.7120000000000002</v>
      </c>
      <c r="J2472">
        <v>5</v>
      </c>
      <c r="K2472">
        <v>13</v>
      </c>
      <c r="L2472">
        <v>7</v>
      </c>
      <c r="M2472">
        <v>1.6579999999999999</v>
      </c>
    </row>
    <row r="2473" spans="1:13" ht="15" customHeight="1">
      <c r="A2473" t="s">
        <v>31</v>
      </c>
      <c r="B2473" t="e">
        <f t="shared" si="152"/>
        <v>#N/A</v>
      </c>
      <c r="C2473" t="e">
        <f t="shared" si="153"/>
        <v>#N/A</v>
      </c>
      <c r="D2473" t="e">
        <f t="shared" si="154"/>
        <v>#N/A</v>
      </c>
      <c r="E2473">
        <v>45.499000000000002</v>
      </c>
      <c r="F2473" t="e">
        <f t="shared" si="155"/>
        <v>#N/A</v>
      </c>
      <c r="G2473">
        <v>17.100000000000001</v>
      </c>
      <c r="H2473">
        <v>0.67800000000000005</v>
      </c>
      <c r="I2473">
        <v>3.9359999999999999</v>
      </c>
      <c r="J2473">
        <v>4</v>
      </c>
      <c r="K2473">
        <v>11</v>
      </c>
      <c r="L2473">
        <v>6</v>
      </c>
      <c r="M2473">
        <v>0.96499999999999997</v>
      </c>
    </row>
    <row r="2474" spans="1:13" ht="15" customHeight="1">
      <c r="A2474" t="s">
        <v>31</v>
      </c>
      <c r="B2474" t="e">
        <f t="shared" si="152"/>
        <v>#N/A</v>
      </c>
      <c r="C2474" t="e">
        <f t="shared" si="153"/>
        <v>#N/A</v>
      </c>
      <c r="D2474" t="e">
        <f t="shared" si="154"/>
        <v>#N/A</v>
      </c>
      <c r="E2474">
        <v>46.499000000000002</v>
      </c>
      <c r="F2474" t="e">
        <f t="shared" si="155"/>
        <v>#N/A</v>
      </c>
      <c r="G2474">
        <v>17.617000000000001</v>
      </c>
      <c r="H2474">
        <v>0.67</v>
      </c>
      <c r="I2474">
        <v>3.7429999999999999</v>
      </c>
      <c r="J2474">
        <v>4</v>
      </c>
      <c r="K2474">
        <v>11</v>
      </c>
      <c r="L2474">
        <v>6</v>
      </c>
      <c r="M2474">
        <v>1.006</v>
      </c>
    </row>
    <row r="2475" spans="1:13" ht="15" customHeight="1">
      <c r="A2475" t="s">
        <v>31</v>
      </c>
      <c r="B2475" t="e">
        <f t="shared" si="152"/>
        <v>#N/A</v>
      </c>
      <c r="C2475" t="e">
        <f t="shared" si="153"/>
        <v>#N/A</v>
      </c>
      <c r="D2475" t="e">
        <f t="shared" si="154"/>
        <v>#N/A</v>
      </c>
      <c r="E2475">
        <v>47.499000000000002</v>
      </c>
      <c r="F2475" t="e">
        <f t="shared" si="155"/>
        <v>#N/A</v>
      </c>
      <c r="G2475">
        <v>171.1</v>
      </c>
      <c r="H2475">
        <v>5.0199999999999996</v>
      </c>
      <c r="I2475">
        <v>2.93</v>
      </c>
      <c r="J2475">
        <v>7</v>
      </c>
      <c r="K2475">
        <v>55</v>
      </c>
      <c r="L2475">
        <v>30</v>
      </c>
      <c r="M2475" s="1">
        <v>9000000000</v>
      </c>
    </row>
    <row r="2476" spans="1:13" ht="15" customHeight="1">
      <c r="A2476" t="s">
        <v>31</v>
      </c>
      <c r="B2476" t="e">
        <f t="shared" si="152"/>
        <v>#N/A</v>
      </c>
      <c r="C2476" t="e">
        <f t="shared" si="153"/>
        <v>#N/A</v>
      </c>
      <c r="D2476" t="e">
        <f t="shared" si="154"/>
        <v>#N/A</v>
      </c>
      <c r="E2476">
        <v>48.499000000000002</v>
      </c>
      <c r="F2476" t="e">
        <f t="shared" si="155"/>
        <v>#N/A</v>
      </c>
      <c r="G2476">
        <v>380.4</v>
      </c>
      <c r="H2476">
        <v>0</v>
      </c>
      <c r="I2476">
        <v>0</v>
      </c>
      <c r="J2476">
        <v>10</v>
      </c>
      <c r="K2476" s="1">
        <v>9000000000</v>
      </c>
      <c r="L2476" s="1">
        <v>9000000000</v>
      </c>
      <c r="M2476" s="1">
        <v>9000000000</v>
      </c>
    </row>
    <row r="2477" spans="1:13" ht="15" customHeight="1">
      <c r="A2477" t="s">
        <v>32</v>
      </c>
      <c r="B2477">
        <f t="shared" si="152"/>
        <v>33.718404999999997</v>
      </c>
      <c r="C2477">
        <f t="shared" si="153"/>
        <v>-117.851675</v>
      </c>
      <c r="D2477">
        <f t="shared" si="154"/>
        <v>68</v>
      </c>
      <c r="E2477">
        <v>0.5</v>
      </c>
      <c r="F2477">
        <f t="shared" si="155"/>
        <v>67.5</v>
      </c>
      <c r="G2477">
        <v>1.583</v>
      </c>
      <c r="H2477">
        <v>1.2E-2</v>
      </c>
      <c r="I2477">
        <v>0.73699999999999999</v>
      </c>
      <c r="J2477">
        <v>1</v>
      </c>
      <c r="K2477">
        <v>1</v>
      </c>
      <c r="L2477">
        <v>2</v>
      </c>
      <c r="M2477">
        <v>0.104</v>
      </c>
    </row>
    <row r="2478" spans="1:13" ht="15" customHeight="1">
      <c r="A2478" t="s">
        <v>32</v>
      </c>
      <c r="B2478">
        <f t="shared" si="152"/>
        <v>33.718404999999997</v>
      </c>
      <c r="C2478">
        <f t="shared" si="153"/>
        <v>-117.851675</v>
      </c>
      <c r="D2478">
        <f t="shared" si="154"/>
        <v>68</v>
      </c>
      <c r="E2478">
        <v>1.5</v>
      </c>
      <c r="F2478">
        <f t="shared" si="155"/>
        <v>66.5</v>
      </c>
      <c r="G2478">
        <v>15.567</v>
      </c>
      <c r="H2478">
        <v>0.51700000000000002</v>
      </c>
      <c r="I2478">
        <v>3.3079999999999998</v>
      </c>
      <c r="J2478">
        <v>4</v>
      </c>
      <c r="K2478">
        <v>10</v>
      </c>
      <c r="L2478">
        <v>15</v>
      </c>
      <c r="M2478">
        <v>1.036</v>
      </c>
    </row>
    <row r="2479" spans="1:13" ht="15" customHeight="1">
      <c r="A2479" t="s">
        <v>32</v>
      </c>
      <c r="B2479">
        <f t="shared" si="152"/>
        <v>33.718404999999997</v>
      </c>
      <c r="C2479">
        <f t="shared" si="153"/>
        <v>-117.851675</v>
      </c>
      <c r="D2479">
        <f t="shared" si="154"/>
        <v>68</v>
      </c>
      <c r="E2479">
        <v>2.5</v>
      </c>
      <c r="F2479">
        <f t="shared" si="155"/>
        <v>65.5</v>
      </c>
      <c r="G2479">
        <v>8.1669999999999998</v>
      </c>
      <c r="H2479">
        <v>0.28000000000000003</v>
      </c>
      <c r="I2479">
        <v>3.4220000000000002</v>
      </c>
      <c r="J2479">
        <v>3</v>
      </c>
      <c r="K2479">
        <v>8</v>
      </c>
      <c r="L2479">
        <v>12</v>
      </c>
      <c r="M2479">
        <v>0.53600000000000003</v>
      </c>
    </row>
    <row r="2480" spans="1:13" ht="15" customHeight="1">
      <c r="A2480" t="s">
        <v>32</v>
      </c>
      <c r="B2480">
        <f t="shared" si="152"/>
        <v>33.718404999999997</v>
      </c>
      <c r="C2480">
        <f t="shared" si="153"/>
        <v>-117.851675</v>
      </c>
      <c r="D2480">
        <f t="shared" si="154"/>
        <v>68</v>
      </c>
      <c r="E2480">
        <v>3.5</v>
      </c>
      <c r="F2480">
        <f t="shared" si="155"/>
        <v>64.5</v>
      </c>
      <c r="G2480">
        <v>4.7329999999999997</v>
      </c>
      <c r="H2480">
        <v>0.14299999999999999</v>
      </c>
      <c r="I2480">
        <v>3.0390000000000001</v>
      </c>
      <c r="J2480">
        <v>3</v>
      </c>
      <c r="K2480">
        <v>5</v>
      </c>
      <c r="L2480">
        <v>8</v>
      </c>
      <c r="M2480">
        <v>0.30099999999999999</v>
      </c>
    </row>
    <row r="2481" spans="1:13" ht="15" customHeight="1">
      <c r="A2481" t="s">
        <v>32</v>
      </c>
      <c r="B2481">
        <f t="shared" si="152"/>
        <v>33.718404999999997</v>
      </c>
      <c r="C2481">
        <f t="shared" si="153"/>
        <v>-117.851675</v>
      </c>
      <c r="D2481">
        <f t="shared" si="154"/>
        <v>68</v>
      </c>
      <c r="E2481">
        <v>4.5</v>
      </c>
      <c r="F2481">
        <f t="shared" si="155"/>
        <v>63.5</v>
      </c>
      <c r="G2481">
        <v>5.35</v>
      </c>
      <c r="H2481">
        <v>0.182</v>
      </c>
      <c r="I2481">
        <v>3.3959999999999999</v>
      </c>
      <c r="J2481">
        <v>3</v>
      </c>
      <c r="K2481">
        <v>5</v>
      </c>
      <c r="L2481">
        <v>8</v>
      </c>
      <c r="M2481">
        <v>0.33900000000000002</v>
      </c>
    </row>
    <row r="2482" spans="1:13" ht="15" customHeight="1">
      <c r="A2482" t="s">
        <v>32</v>
      </c>
      <c r="B2482">
        <f t="shared" si="152"/>
        <v>33.718404999999997</v>
      </c>
      <c r="C2482">
        <f t="shared" si="153"/>
        <v>-117.851675</v>
      </c>
      <c r="D2482">
        <f t="shared" si="154"/>
        <v>68</v>
      </c>
      <c r="E2482">
        <v>5.5</v>
      </c>
      <c r="F2482">
        <f t="shared" si="155"/>
        <v>62.5</v>
      </c>
      <c r="G2482">
        <v>10.467000000000001</v>
      </c>
      <c r="H2482">
        <v>0.43</v>
      </c>
      <c r="I2482">
        <v>4.0949999999999998</v>
      </c>
      <c r="J2482">
        <v>3</v>
      </c>
      <c r="K2482">
        <v>10</v>
      </c>
      <c r="L2482">
        <v>15</v>
      </c>
      <c r="M2482">
        <v>0.67900000000000005</v>
      </c>
    </row>
    <row r="2483" spans="1:13" ht="15" customHeight="1">
      <c r="A2483" t="s">
        <v>32</v>
      </c>
      <c r="B2483">
        <f t="shared" si="152"/>
        <v>33.718404999999997</v>
      </c>
      <c r="C2483">
        <f t="shared" si="153"/>
        <v>-117.851675</v>
      </c>
      <c r="D2483">
        <f t="shared" si="154"/>
        <v>68</v>
      </c>
      <c r="E2483">
        <v>6.5</v>
      </c>
      <c r="F2483">
        <f t="shared" si="155"/>
        <v>61.5</v>
      </c>
      <c r="G2483">
        <v>7.7670000000000003</v>
      </c>
      <c r="H2483">
        <v>0.28799999999999998</v>
      </c>
      <c r="I2483">
        <v>3.72</v>
      </c>
      <c r="J2483">
        <v>3</v>
      </c>
      <c r="K2483">
        <v>7</v>
      </c>
      <c r="L2483">
        <v>11</v>
      </c>
      <c r="M2483">
        <v>0.49099999999999999</v>
      </c>
    </row>
    <row r="2484" spans="1:13" ht="15" customHeight="1">
      <c r="A2484" t="s">
        <v>32</v>
      </c>
      <c r="B2484">
        <f t="shared" si="152"/>
        <v>33.718404999999997</v>
      </c>
      <c r="C2484">
        <f t="shared" si="153"/>
        <v>-117.851675</v>
      </c>
      <c r="D2484">
        <f t="shared" si="154"/>
        <v>68</v>
      </c>
      <c r="E2484">
        <v>7.5</v>
      </c>
      <c r="F2484">
        <f t="shared" si="155"/>
        <v>60.5</v>
      </c>
      <c r="G2484">
        <v>10.5</v>
      </c>
      <c r="H2484">
        <v>0.42299999999999999</v>
      </c>
      <c r="I2484">
        <v>4.032</v>
      </c>
      <c r="J2484">
        <v>3</v>
      </c>
      <c r="K2484">
        <v>10</v>
      </c>
      <c r="L2484">
        <v>15</v>
      </c>
      <c r="M2484">
        <v>0.67</v>
      </c>
    </row>
    <row r="2485" spans="1:13" ht="15" customHeight="1">
      <c r="A2485" t="s">
        <v>32</v>
      </c>
      <c r="B2485">
        <f t="shared" si="152"/>
        <v>33.718404999999997</v>
      </c>
      <c r="C2485">
        <f t="shared" si="153"/>
        <v>-117.851675</v>
      </c>
      <c r="D2485">
        <f t="shared" si="154"/>
        <v>68</v>
      </c>
      <c r="E2485">
        <v>8.5</v>
      </c>
      <c r="F2485">
        <f t="shared" si="155"/>
        <v>59.5</v>
      </c>
      <c r="G2485">
        <v>23.167000000000002</v>
      </c>
      <c r="H2485">
        <v>0.55700000000000005</v>
      </c>
      <c r="I2485">
        <v>2.3959999999999999</v>
      </c>
      <c r="J2485">
        <v>6</v>
      </c>
      <c r="K2485">
        <v>9</v>
      </c>
      <c r="L2485">
        <v>14</v>
      </c>
      <c r="M2485">
        <v>1.5149999999999999</v>
      </c>
    </row>
    <row r="2486" spans="1:13" ht="15" customHeight="1">
      <c r="A2486" t="s">
        <v>32</v>
      </c>
      <c r="B2486">
        <f t="shared" si="152"/>
        <v>33.718404999999997</v>
      </c>
      <c r="C2486">
        <f t="shared" si="153"/>
        <v>-117.851675</v>
      </c>
      <c r="D2486">
        <f t="shared" si="154"/>
        <v>68</v>
      </c>
      <c r="E2486">
        <v>9.5</v>
      </c>
      <c r="F2486">
        <f t="shared" si="155"/>
        <v>58.5</v>
      </c>
      <c r="G2486">
        <v>10.266999999999999</v>
      </c>
      <c r="H2486">
        <v>0.33300000000000002</v>
      </c>
      <c r="I2486">
        <v>3.2519999999999998</v>
      </c>
      <c r="J2486">
        <v>4</v>
      </c>
      <c r="K2486">
        <v>7</v>
      </c>
      <c r="L2486">
        <v>11</v>
      </c>
      <c r="M2486">
        <v>0.64500000000000002</v>
      </c>
    </row>
    <row r="2487" spans="1:13" ht="15" customHeight="1">
      <c r="A2487" t="s">
        <v>32</v>
      </c>
      <c r="B2487">
        <f t="shared" si="152"/>
        <v>33.718404999999997</v>
      </c>
      <c r="C2487">
        <f t="shared" si="153"/>
        <v>-117.851675</v>
      </c>
      <c r="D2487">
        <f t="shared" si="154"/>
        <v>68</v>
      </c>
      <c r="E2487">
        <v>10.5</v>
      </c>
      <c r="F2487">
        <f t="shared" si="155"/>
        <v>57.5</v>
      </c>
      <c r="G2487">
        <v>9.8140000000000001</v>
      </c>
      <c r="H2487">
        <v>0.32900000000000001</v>
      </c>
      <c r="I2487">
        <v>3.3330000000000002</v>
      </c>
      <c r="J2487">
        <v>4</v>
      </c>
      <c r="K2487">
        <v>6</v>
      </c>
      <c r="L2487">
        <v>9</v>
      </c>
      <c r="M2487">
        <v>0.61499999999999999</v>
      </c>
    </row>
    <row r="2488" spans="1:13" ht="15" customHeight="1">
      <c r="A2488" t="s">
        <v>32</v>
      </c>
      <c r="B2488">
        <f t="shared" si="152"/>
        <v>33.718404999999997</v>
      </c>
      <c r="C2488">
        <f t="shared" si="153"/>
        <v>-117.851675</v>
      </c>
      <c r="D2488">
        <f t="shared" si="154"/>
        <v>68</v>
      </c>
      <c r="E2488">
        <v>11.5</v>
      </c>
      <c r="F2488">
        <f t="shared" si="155"/>
        <v>56.5</v>
      </c>
      <c r="G2488">
        <v>9.0500000000000007</v>
      </c>
      <c r="H2488">
        <v>0.36499999999999999</v>
      </c>
      <c r="I2488">
        <v>4.0259999999999998</v>
      </c>
      <c r="J2488">
        <v>3</v>
      </c>
      <c r="K2488">
        <v>9</v>
      </c>
      <c r="L2488">
        <v>12</v>
      </c>
      <c r="M2488">
        <v>0.55900000000000005</v>
      </c>
    </row>
    <row r="2489" spans="1:13" ht="15" customHeight="1">
      <c r="A2489" t="s">
        <v>32</v>
      </c>
      <c r="B2489">
        <f t="shared" si="152"/>
        <v>33.718404999999997</v>
      </c>
      <c r="C2489">
        <f t="shared" si="153"/>
        <v>-117.851675</v>
      </c>
      <c r="D2489">
        <f t="shared" si="154"/>
        <v>68</v>
      </c>
      <c r="E2489">
        <v>12.5</v>
      </c>
      <c r="F2489">
        <f t="shared" si="155"/>
        <v>55.5</v>
      </c>
      <c r="G2489">
        <v>7.85</v>
      </c>
      <c r="H2489">
        <v>0.318</v>
      </c>
      <c r="I2489">
        <v>4.0720000000000001</v>
      </c>
      <c r="J2489">
        <v>3</v>
      </c>
      <c r="K2489">
        <v>7</v>
      </c>
      <c r="L2489">
        <v>9</v>
      </c>
      <c r="M2489">
        <v>0.47099999999999997</v>
      </c>
    </row>
    <row r="2490" spans="1:13" ht="15" customHeight="1">
      <c r="A2490" t="s">
        <v>32</v>
      </c>
      <c r="B2490">
        <f t="shared" si="152"/>
        <v>33.718404999999997</v>
      </c>
      <c r="C2490">
        <f t="shared" si="153"/>
        <v>-117.851675</v>
      </c>
      <c r="D2490">
        <f t="shared" si="154"/>
        <v>68</v>
      </c>
      <c r="E2490">
        <v>13.5</v>
      </c>
      <c r="F2490">
        <f t="shared" si="155"/>
        <v>54.5</v>
      </c>
      <c r="G2490">
        <v>7.9169999999999998</v>
      </c>
      <c r="H2490">
        <v>0.317</v>
      </c>
      <c r="I2490">
        <v>4.008</v>
      </c>
      <c r="J2490">
        <v>3</v>
      </c>
      <c r="K2490">
        <v>8</v>
      </c>
      <c r="L2490">
        <v>9</v>
      </c>
      <c r="M2490">
        <v>0.47299999999999998</v>
      </c>
    </row>
    <row r="2491" spans="1:13" ht="15" customHeight="1">
      <c r="A2491" t="s">
        <v>32</v>
      </c>
      <c r="B2491">
        <f t="shared" si="152"/>
        <v>33.718404999999997</v>
      </c>
      <c r="C2491">
        <f t="shared" si="153"/>
        <v>-117.851675</v>
      </c>
      <c r="D2491">
        <f t="shared" si="154"/>
        <v>68</v>
      </c>
      <c r="E2491">
        <v>14.5</v>
      </c>
      <c r="F2491">
        <f t="shared" si="155"/>
        <v>53.5</v>
      </c>
      <c r="G2491">
        <v>8.2829999999999995</v>
      </c>
      <c r="H2491">
        <v>0.27500000000000002</v>
      </c>
      <c r="I2491">
        <v>3.3130000000000002</v>
      </c>
      <c r="J2491">
        <v>3</v>
      </c>
      <c r="K2491">
        <v>8</v>
      </c>
      <c r="L2491">
        <v>9</v>
      </c>
      <c r="M2491">
        <v>0.495</v>
      </c>
    </row>
    <row r="2492" spans="1:13" ht="15" customHeight="1">
      <c r="A2492" t="s">
        <v>32</v>
      </c>
      <c r="B2492">
        <f t="shared" si="152"/>
        <v>33.718404999999997</v>
      </c>
      <c r="C2492">
        <f t="shared" si="153"/>
        <v>-117.851675</v>
      </c>
      <c r="D2492">
        <f t="shared" si="154"/>
        <v>68</v>
      </c>
      <c r="E2492">
        <v>15.5</v>
      </c>
      <c r="F2492">
        <f t="shared" si="155"/>
        <v>52.5</v>
      </c>
      <c r="G2492">
        <v>8.5329999999999995</v>
      </c>
      <c r="H2492">
        <v>0.28499999999999998</v>
      </c>
      <c r="I2492">
        <v>3.34</v>
      </c>
      <c r="J2492">
        <v>3</v>
      </c>
      <c r="K2492">
        <v>8</v>
      </c>
      <c r="L2492">
        <v>8</v>
      </c>
      <c r="M2492">
        <v>0.50700000000000001</v>
      </c>
    </row>
    <row r="2493" spans="1:13" ht="15" customHeight="1">
      <c r="A2493" t="s">
        <v>32</v>
      </c>
      <c r="B2493">
        <f t="shared" si="152"/>
        <v>33.718404999999997</v>
      </c>
      <c r="C2493">
        <f t="shared" si="153"/>
        <v>-117.851675</v>
      </c>
      <c r="D2493">
        <f t="shared" si="154"/>
        <v>68</v>
      </c>
      <c r="E2493">
        <v>16.5</v>
      </c>
      <c r="F2493">
        <f t="shared" si="155"/>
        <v>51.5</v>
      </c>
      <c r="G2493">
        <v>9.8670000000000009</v>
      </c>
      <c r="H2493">
        <v>0.33300000000000002</v>
      </c>
      <c r="I2493">
        <v>3.3780000000000001</v>
      </c>
      <c r="J2493">
        <v>3</v>
      </c>
      <c r="K2493">
        <v>9</v>
      </c>
      <c r="L2493">
        <v>9</v>
      </c>
      <c r="M2493">
        <v>0.59199999999999997</v>
      </c>
    </row>
    <row r="2494" spans="1:13" ht="15" customHeight="1">
      <c r="A2494" t="s">
        <v>32</v>
      </c>
      <c r="B2494">
        <f t="shared" si="152"/>
        <v>33.718404999999997</v>
      </c>
      <c r="C2494">
        <f t="shared" si="153"/>
        <v>-117.851675</v>
      </c>
      <c r="D2494">
        <f t="shared" si="154"/>
        <v>68</v>
      </c>
      <c r="E2494">
        <v>17.5</v>
      </c>
      <c r="F2494">
        <f t="shared" si="155"/>
        <v>50.5</v>
      </c>
      <c r="G2494">
        <v>8.85</v>
      </c>
      <c r="H2494">
        <v>0.26700000000000002</v>
      </c>
      <c r="I2494">
        <v>3.0129999999999999</v>
      </c>
      <c r="J2494">
        <v>4</v>
      </c>
      <c r="K2494">
        <v>6</v>
      </c>
      <c r="L2494">
        <v>6</v>
      </c>
      <c r="M2494">
        <v>0.52</v>
      </c>
    </row>
    <row r="2495" spans="1:13" ht="15" customHeight="1">
      <c r="A2495" t="s">
        <v>32</v>
      </c>
      <c r="B2495">
        <f t="shared" si="152"/>
        <v>33.718404999999997</v>
      </c>
      <c r="C2495">
        <f t="shared" si="153"/>
        <v>-117.851675</v>
      </c>
      <c r="D2495">
        <f t="shared" si="154"/>
        <v>68</v>
      </c>
      <c r="E2495">
        <v>18.5</v>
      </c>
      <c r="F2495">
        <f t="shared" si="155"/>
        <v>49.5</v>
      </c>
      <c r="G2495">
        <v>9.0169999999999995</v>
      </c>
      <c r="H2495">
        <v>0.255</v>
      </c>
      <c r="I2495">
        <v>2.802</v>
      </c>
      <c r="J2495">
        <v>4</v>
      </c>
      <c r="K2495">
        <v>6</v>
      </c>
      <c r="L2495">
        <v>6</v>
      </c>
      <c r="M2495">
        <v>0.53300000000000003</v>
      </c>
    </row>
    <row r="2496" spans="1:13" ht="15" customHeight="1">
      <c r="A2496" t="s">
        <v>32</v>
      </c>
      <c r="B2496">
        <f t="shared" si="152"/>
        <v>33.718404999999997</v>
      </c>
      <c r="C2496">
        <f t="shared" si="153"/>
        <v>-117.851675</v>
      </c>
      <c r="D2496">
        <f t="shared" si="154"/>
        <v>68</v>
      </c>
      <c r="E2496">
        <v>19.5</v>
      </c>
      <c r="F2496">
        <f t="shared" si="155"/>
        <v>48.5</v>
      </c>
      <c r="G2496">
        <v>12.183</v>
      </c>
      <c r="H2496">
        <v>0.35199999999999998</v>
      </c>
      <c r="I2496">
        <v>2.851</v>
      </c>
      <c r="J2496">
        <v>4</v>
      </c>
      <c r="K2496">
        <v>8</v>
      </c>
      <c r="L2496">
        <v>7</v>
      </c>
      <c r="M2496">
        <v>0.74399999999999999</v>
      </c>
    </row>
    <row r="2497" spans="1:13" ht="15" customHeight="1">
      <c r="A2497" t="s">
        <v>32</v>
      </c>
      <c r="B2497">
        <f t="shared" si="152"/>
        <v>33.718404999999997</v>
      </c>
      <c r="C2497">
        <f t="shared" si="153"/>
        <v>-117.851675</v>
      </c>
      <c r="D2497">
        <f t="shared" si="154"/>
        <v>68</v>
      </c>
      <c r="E2497">
        <v>20.5</v>
      </c>
      <c r="F2497">
        <f t="shared" si="155"/>
        <v>47.5</v>
      </c>
      <c r="G2497">
        <v>12.814</v>
      </c>
      <c r="H2497">
        <v>0.34899999999999998</v>
      </c>
      <c r="I2497">
        <v>2.6779999999999999</v>
      </c>
      <c r="J2497">
        <v>5</v>
      </c>
      <c r="K2497">
        <v>6</v>
      </c>
      <c r="L2497">
        <v>5</v>
      </c>
      <c r="M2497">
        <v>0.78600000000000003</v>
      </c>
    </row>
    <row r="2498" spans="1:13" ht="15" customHeight="1">
      <c r="A2498" t="s">
        <v>32</v>
      </c>
      <c r="B2498">
        <f t="shared" ref="B2498:B2561" si="156">VLOOKUP(A2498,XYdata,3,FALSE)</f>
        <v>33.718404999999997</v>
      </c>
      <c r="C2498">
        <f t="shared" ref="C2498:C2561" si="157">VLOOKUP(A2498,XYdata,2,FALSE)</f>
        <v>-117.851675</v>
      </c>
      <c r="D2498">
        <f t="shared" ref="D2498:D2561" si="158">VLOOKUP(A2498,Elevation,2,FALSE)</f>
        <v>68</v>
      </c>
      <c r="E2498">
        <v>21.5</v>
      </c>
      <c r="F2498">
        <f t="shared" si="155"/>
        <v>46.5</v>
      </c>
      <c r="G2498">
        <v>13.282999999999999</v>
      </c>
      <c r="H2498">
        <v>0.36699999999999999</v>
      </c>
      <c r="I2498">
        <v>2.7090000000000001</v>
      </c>
      <c r="J2498">
        <v>5</v>
      </c>
      <c r="K2498">
        <v>6</v>
      </c>
      <c r="L2498">
        <v>5</v>
      </c>
      <c r="M2498">
        <v>0.81599999999999995</v>
      </c>
    </row>
    <row r="2499" spans="1:13" ht="15" customHeight="1">
      <c r="A2499" t="s">
        <v>32</v>
      </c>
      <c r="B2499">
        <f t="shared" si="156"/>
        <v>33.718404999999997</v>
      </c>
      <c r="C2499">
        <f t="shared" si="157"/>
        <v>-117.851675</v>
      </c>
      <c r="D2499">
        <f t="shared" si="158"/>
        <v>68</v>
      </c>
      <c r="E2499">
        <v>22.5</v>
      </c>
      <c r="F2499">
        <f t="shared" ref="F2499:F2562" si="159">D2499-E2499</f>
        <v>45.5</v>
      </c>
      <c r="G2499">
        <v>17.216999999999999</v>
      </c>
      <c r="H2499">
        <v>0.56699999999999995</v>
      </c>
      <c r="I2499">
        <v>3.25</v>
      </c>
      <c r="J2499">
        <v>5</v>
      </c>
      <c r="K2499">
        <v>8</v>
      </c>
      <c r="L2499">
        <v>6</v>
      </c>
      <c r="M2499">
        <v>1.0720000000000001</v>
      </c>
    </row>
    <row r="2500" spans="1:13" ht="15" customHeight="1">
      <c r="A2500" t="s">
        <v>32</v>
      </c>
      <c r="B2500">
        <f t="shared" si="156"/>
        <v>33.718404999999997</v>
      </c>
      <c r="C2500">
        <f t="shared" si="157"/>
        <v>-117.851675</v>
      </c>
      <c r="D2500">
        <f t="shared" si="158"/>
        <v>68</v>
      </c>
      <c r="E2500">
        <v>23.5</v>
      </c>
      <c r="F2500">
        <f t="shared" si="159"/>
        <v>44.5</v>
      </c>
      <c r="G2500">
        <v>23.567</v>
      </c>
      <c r="H2500">
        <v>0.49199999999999999</v>
      </c>
      <c r="I2500">
        <v>2.0699999999999998</v>
      </c>
      <c r="J2500">
        <v>6</v>
      </c>
      <c r="K2500">
        <v>9</v>
      </c>
      <c r="L2500">
        <v>7</v>
      </c>
      <c r="M2500">
        <v>1.4890000000000001</v>
      </c>
    </row>
    <row r="2501" spans="1:13" ht="15" customHeight="1">
      <c r="A2501" t="s">
        <v>32</v>
      </c>
      <c r="B2501">
        <f t="shared" si="156"/>
        <v>33.718404999999997</v>
      </c>
      <c r="C2501">
        <f t="shared" si="157"/>
        <v>-117.851675</v>
      </c>
      <c r="D2501">
        <f t="shared" si="158"/>
        <v>68</v>
      </c>
      <c r="E2501">
        <v>24.5</v>
      </c>
      <c r="F2501">
        <f t="shared" si="159"/>
        <v>43.5</v>
      </c>
      <c r="G2501">
        <v>35.116999999999997</v>
      </c>
      <c r="H2501">
        <v>0.71799999999999997</v>
      </c>
      <c r="I2501">
        <v>2.0539999999999998</v>
      </c>
      <c r="J2501">
        <v>6</v>
      </c>
      <c r="K2501">
        <v>13</v>
      </c>
      <c r="L2501">
        <v>10</v>
      </c>
      <c r="M2501">
        <v>2.2330000000000001</v>
      </c>
    </row>
    <row r="2502" spans="1:13" ht="15" customHeight="1">
      <c r="A2502" t="s">
        <v>32</v>
      </c>
      <c r="B2502">
        <f t="shared" si="156"/>
        <v>33.718404999999997</v>
      </c>
      <c r="C2502">
        <f t="shared" si="157"/>
        <v>-117.851675</v>
      </c>
      <c r="D2502">
        <f t="shared" si="158"/>
        <v>68</v>
      </c>
      <c r="E2502">
        <v>25.5</v>
      </c>
      <c r="F2502">
        <f t="shared" si="159"/>
        <v>42.5</v>
      </c>
      <c r="G2502">
        <v>10.333</v>
      </c>
      <c r="H2502">
        <v>0.29699999999999999</v>
      </c>
      <c r="I2502">
        <v>2.9129999999999998</v>
      </c>
      <c r="J2502">
        <v>4</v>
      </c>
      <c r="K2502">
        <v>7</v>
      </c>
      <c r="L2502">
        <v>5</v>
      </c>
      <c r="M2502">
        <v>0.57699999999999996</v>
      </c>
    </row>
    <row r="2503" spans="1:13" ht="15" customHeight="1">
      <c r="A2503" t="s">
        <v>32</v>
      </c>
      <c r="B2503">
        <f t="shared" si="156"/>
        <v>33.718404999999997</v>
      </c>
      <c r="C2503">
        <f t="shared" si="157"/>
        <v>-117.851675</v>
      </c>
      <c r="D2503">
        <f t="shared" si="158"/>
        <v>68</v>
      </c>
      <c r="E2503">
        <v>26.5</v>
      </c>
      <c r="F2503">
        <f t="shared" si="159"/>
        <v>41.5</v>
      </c>
      <c r="G2503">
        <v>27.483000000000001</v>
      </c>
      <c r="H2503">
        <v>0.69799999999999995</v>
      </c>
      <c r="I2503">
        <v>2.5529999999999999</v>
      </c>
      <c r="J2503">
        <v>6</v>
      </c>
      <c r="K2503">
        <v>10</v>
      </c>
      <c r="L2503">
        <v>7</v>
      </c>
      <c r="M2503">
        <v>1.7170000000000001</v>
      </c>
    </row>
    <row r="2504" spans="1:13" ht="15" customHeight="1">
      <c r="A2504" t="s">
        <v>32</v>
      </c>
      <c r="B2504">
        <f t="shared" si="156"/>
        <v>33.718404999999997</v>
      </c>
      <c r="C2504">
        <f t="shared" si="157"/>
        <v>-117.851675</v>
      </c>
      <c r="D2504">
        <f t="shared" si="158"/>
        <v>68</v>
      </c>
      <c r="E2504">
        <v>27.5</v>
      </c>
      <c r="F2504">
        <f t="shared" si="159"/>
        <v>40.5</v>
      </c>
      <c r="G2504">
        <v>15.1</v>
      </c>
      <c r="H2504">
        <v>0.45800000000000002</v>
      </c>
      <c r="I2504">
        <v>3.0590000000000002</v>
      </c>
      <c r="J2504">
        <v>5</v>
      </c>
      <c r="K2504">
        <v>7</v>
      </c>
      <c r="L2504">
        <v>5</v>
      </c>
      <c r="M2504">
        <v>0.88900000000000001</v>
      </c>
    </row>
    <row r="2505" spans="1:13" ht="15" customHeight="1">
      <c r="A2505" t="s">
        <v>32</v>
      </c>
      <c r="B2505">
        <f t="shared" si="156"/>
        <v>33.718404999999997</v>
      </c>
      <c r="C2505">
        <f t="shared" si="157"/>
        <v>-117.851675</v>
      </c>
      <c r="D2505">
        <f t="shared" si="158"/>
        <v>68</v>
      </c>
      <c r="E2505">
        <v>28.5</v>
      </c>
      <c r="F2505">
        <f t="shared" si="159"/>
        <v>39.5</v>
      </c>
      <c r="G2505">
        <v>15.833</v>
      </c>
      <c r="H2505">
        <v>0.46300000000000002</v>
      </c>
      <c r="I2505">
        <v>2.9510000000000001</v>
      </c>
      <c r="J2505">
        <v>5</v>
      </c>
      <c r="K2505">
        <v>8</v>
      </c>
      <c r="L2505">
        <v>6</v>
      </c>
      <c r="M2505">
        <v>0.93200000000000005</v>
      </c>
    </row>
    <row r="2506" spans="1:13" ht="15" customHeight="1">
      <c r="A2506" t="s">
        <v>32</v>
      </c>
      <c r="B2506">
        <f t="shared" si="156"/>
        <v>33.718404999999997</v>
      </c>
      <c r="C2506">
        <f t="shared" si="157"/>
        <v>-117.851675</v>
      </c>
      <c r="D2506">
        <f t="shared" si="158"/>
        <v>68</v>
      </c>
      <c r="E2506">
        <v>29.5</v>
      </c>
      <c r="F2506">
        <f t="shared" si="159"/>
        <v>38.5</v>
      </c>
      <c r="G2506">
        <v>13.6</v>
      </c>
      <c r="H2506">
        <v>0.27</v>
      </c>
      <c r="I2506">
        <v>2.0049999999999999</v>
      </c>
      <c r="J2506">
        <v>5</v>
      </c>
      <c r="K2506">
        <v>6</v>
      </c>
      <c r="L2506">
        <v>4</v>
      </c>
      <c r="M2506">
        <v>0.77900000000000003</v>
      </c>
    </row>
    <row r="2507" spans="1:13" ht="15" customHeight="1">
      <c r="A2507" t="s">
        <v>32</v>
      </c>
      <c r="B2507">
        <f t="shared" si="156"/>
        <v>33.718404999999997</v>
      </c>
      <c r="C2507">
        <f t="shared" si="157"/>
        <v>-117.851675</v>
      </c>
      <c r="D2507">
        <f t="shared" si="158"/>
        <v>68</v>
      </c>
      <c r="E2507">
        <v>30.5</v>
      </c>
      <c r="F2507">
        <f t="shared" si="159"/>
        <v>37.5</v>
      </c>
      <c r="G2507">
        <v>14.967000000000001</v>
      </c>
      <c r="H2507">
        <v>0.38200000000000001</v>
      </c>
      <c r="I2507">
        <v>2.57</v>
      </c>
      <c r="J2507">
        <v>5</v>
      </c>
      <c r="K2507">
        <v>7</v>
      </c>
      <c r="L2507">
        <v>5</v>
      </c>
      <c r="M2507">
        <v>0.86799999999999999</v>
      </c>
    </row>
    <row r="2508" spans="1:13" ht="15" customHeight="1">
      <c r="A2508" t="s">
        <v>32</v>
      </c>
      <c r="B2508">
        <f t="shared" si="156"/>
        <v>33.718404999999997</v>
      </c>
      <c r="C2508">
        <f t="shared" si="157"/>
        <v>-117.851675</v>
      </c>
      <c r="D2508">
        <f t="shared" si="158"/>
        <v>68</v>
      </c>
      <c r="E2508">
        <v>31.5</v>
      </c>
      <c r="F2508">
        <f t="shared" si="159"/>
        <v>36.5</v>
      </c>
      <c r="G2508">
        <v>66.343000000000004</v>
      </c>
      <c r="H2508">
        <v>2.1989999999999998</v>
      </c>
      <c r="I2508">
        <v>3.319</v>
      </c>
      <c r="J2508">
        <v>6</v>
      </c>
      <c r="K2508">
        <v>25</v>
      </c>
      <c r="L2508">
        <v>17</v>
      </c>
      <c r="M2508">
        <v>4.29</v>
      </c>
    </row>
    <row r="2509" spans="1:13" ht="15" customHeight="1">
      <c r="A2509" t="s">
        <v>32</v>
      </c>
      <c r="B2509">
        <f t="shared" si="156"/>
        <v>33.718404999999997</v>
      </c>
      <c r="C2509">
        <f t="shared" si="157"/>
        <v>-117.851675</v>
      </c>
      <c r="D2509">
        <f t="shared" si="158"/>
        <v>68</v>
      </c>
      <c r="E2509">
        <v>32.5</v>
      </c>
      <c r="F2509">
        <f t="shared" si="159"/>
        <v>35.5</v>
      </c>
      <c r="G2509">
        <v>67.082999999999998</v>
      </c>
      <c r="H2509">
        <v>1.423</v>
      </c>
      <c r="I2509">
        <v>2.1219999999999999</v>
      </c>
      <c r="J2509">
        <v>7</v>
      </c>
      <c r="K2509">
        <v>21</v>
      </c>
      <c r="L2509">
        <v>14</v>
      </c>
      <c r="M2509" s="1">
        <v>9000000000</v>
      </c>
    </row>
    <row r="2510" spans="1:13" ht="15" customHeight="1">
      <c r="A2510" t="s">
        <v>32</v>
      </c>
      <c r="B2510">
        <f t="shared" si="156"/>
        <v>33.718404999999997</v>
      </c>
      <c r="C2510">
        <f t="shared" si="157"/>
        <v>-117.851675</v>
      </c>
      <c r="D2510">
        <f t="shared" si="158"/>
        <v>68</v>
      </c>
      <c r="E2510">
        <v>33.5</v>
      </c>
      <c r="F2510">
        <f t="shared" si="159"/>
        <v>34.5</v>
      </c>
      <c r="G2510">
        <v>28.2</v>
      </c>
      <c r="H2510">
        <v>0.99199999999999999</v>
      </c>
      <c r="I2510">
        <v>3.51</v>
      </c>
      <c r="J2510">
        <v>5</v>
      </c>
      <c r="K2510">
        <v>14</v>
      </c>
      <c r="L2510">
        <v>9</v>
      </c>
      <c r="M2510">
        <v>1.7490000000000001</v>
      </c>
    </row>
    <row r="2511" spans="1:13" ht="15" customHeight="1">
      <c r="A2511" t="s">
        <v>32</v>
      </c>
      <c r="B2511">
        <f t="shared" si="156"/>
        <v>33.718404999999997</v>
      </c>
      <c r="C2511">
        <f t="shared" si="157"/>
        <v>-117.851675</v>
      </c>
      <c r="D2511">
        <f t="shared" si="158"/>
        <v>68</v>
      </c>
      <c r="E2511">
        <v>34.5</v>
      </c>
      <c r="F2511">
        <f t="shared" si="159"/>
        <v>33.5</v>
      </c>
      <c r="G2511">
        <v>30.317</v>
      </c>
      <c r="H2511">
        <v>1.49</v>
      </c>
      <c r="I2511">
        <v>4.9119999999999999</v>
      </c>
      <c r="J2511">
        <v>3</v>
      </c>
      <c r="K2511">
        <v>29</v>
      </c>
      <c r="L2511">
        <v>19</v>
      </c>
      <c r="M2511">
        <v>1.883</v>
      </c>
    </row>
    <row r="2512" spans="1:13" ht="15" customHeight="1">
      <c r="A2512" t="s">
        <v>32</v>
      </c>
      <c r="B2512">
        <f t="shared" si="156"/>
        <v>33.718404999999997</v>
      </c>
      <c r="C2512">
        <f t="shared" si="157"/>
        <v>-117.851675</v>
      </c>
      <c r="D2512">
        <f t="shared" si="158"/>
        <v>68</v>
      </c>
      <c r="E2512">
        <v>35.5</v>
      </c>
      <c r="F2512">
        <f t="shared" si="159"/>
        <v>32.5</v>
      </c>
      <c r="G2512">
        <v>18.167000000000002</v>
      </c>
      <c r="H2512">
        <v>0.79800000000000004</v>
      </c>
      <c r="I2512">
        <v>4.399</v>
      </c>
      <c r="J2512">
        <v>3</v>
      </c>
      <c r="K2512">
        <v>17</v>
      </c>
      <c r="L2512">
        <v>11</v>
      </c>
      <c r="M2512">
        <v>1.0669999999999999</v>
      </c>
    </row>
    <row r="2513" spans="1:13" ht="15" customHeight="1">
      <c r="A2513" t="s">
        <v>32</v>
      </c>
      <c r="B2513">
        <f t="shared" si="156"/>
        <v>33.718404999999997</v>
      </c>
      <c r="C2513">
        <f t="shared" si="157"/>
        <v>-117.851675</v>
      </c>
      <c r="D2513">
        <f t="shared" si="158"/>
        <v>68</v>
      </c>
      <c r="E2513">
        <v>36.5</v>
      </c>
      <c r="F2513">
        <f t="shared" si="159"/>
        <v>31.5</v>
      </c>
      <c r="G2513">
        <v>12.1</v>
      </c>
      <c r="H2513">
        <v>0.36699999999999999</v>
      </c>
      <c r="I2513">
        <v>3.03</v>
      </c>
      <c r="J2513">
        <v>4</v>
      </c>
      <c r="K2513">
        <v>8</v>
      </c>
      <c r="L2513">
        <v>5</v>
      </c>
      <c r="M2513">
        <v>0.66</v>
      </c>
    </row>
    <row r="2514" spans="1:13" ht="15" customHeight="1">
      <c r="A2514" t="s">
        <v>32</v>
      </c>
      <c r="B2514">
        <f t="shared" si="156"/>
        <v>33.718404999999997</v>
      </c>
      <c r="C2514">
        <f t="shared" si="157"/>
        <v>-117.851675</v>
      </c>
      <c r="D2514">
        <f t="shared" si="158"/>
        <v>68</v>
      </c>
      <c r="E2514">
        <v>37.5</v>
      </c>
      <c r="F2514">
        <f t="shared" si="159"/>
        <v>30.5</v>
      </c>
      <c r="G2514">
        <v>11.667</v>
      </c>
      <c r="H2514">
        <v>0.36</v>
      </c>
      <c r="I2514">
        <v>3.0950000000000002</v>
      </c>
      <c r="J2514">
        <v>4</v>
      </c>
      <c r="K2514">
        <v>7</v>
      </c>
      <c r="L2514">
        <v>4</v>
      </c>
      <c r="M2514">
        <v>0.625</v>
      </c>
    </row>
    <row r="2515" spans="1:13" ht="15" customHeight="1">
      <c r="A2515" t="s">
        <v>32</v>
      </c>
      <c r="B2515">
        <f t="shared" si="156"/>
        <v>33.718404999999997</v>
      </c>
      <c r="C2515">
        <f t="shared" si="157"/>
        <v>-117.851675</v>
      </c>
      <c r="D2515">
        <f t="shared" si="158"/>
        <v>68</v>
      </c>
      <c r="E2515">
        <v>38.5</v>
      </c>
      <c r="F2515">
        <f t="shared" si="159"/>
        <v>29.5</v>
      </c>
      <c r="G2515">
        <v>17.45</v>
      </c>
      <c r="H2515">
        <v>0.377</v>
      </c>
      <c r="I2515">
        <v>2.1560000000000001</v>
      </c>
      <c r="J2515">
        <v>5</v>
      </c>
      <c r="K2515">
        <v>8</v>
      </c>
      <c r="L2515">
        <v>5</v>
      </c>
      <c r="M2515">
        <v>1.0089999999999999</v>
      </c>
    </row>
    <row r="2516" spans="1:13" ht="15" customHeight="1">
      <c r="A2516" t="s">
        <v>32</v>
      </c>
      <c r="B2516">
        <f t="shared" si="156"/>
        <v>33.718404999999997</v>
      </c>
      <c r="C2516">
        <f t="shared" si="157"/>
        <v>-117.851675</v>
      </c>
      <c r="D2516">
        <f t="shared" si="158"/>
        <v>68</v>
      </c>
      <c r="E2516">
        <v>39.5</v>
      </c>
      <c r="F2516">
        <f t="shared" si="159"/>
        <v>28.5</v>
      </c>
      <c r="G2516">
        <v>38.017000000000003</v>
      </c>
      <c r="H2516">
        <v>1.4870000000000001</v>
      </c>
      <c r="I2516">
        <v>3.9039999999999999</v>
      </c>
      <c r="J2516">
        <v>5</v>
      </c>
      <c r="K2516">
        <v>18</v>
      </c>
      <c r="L2516">
        <v>11</v>
      </c>
      <c r="M2516">
        <v>2.38</v>
      </c>
    </row>
    <row r="2517" spans="1:13" ht="15" customHeight="1">
      <c r="A2517" t="s">
        <v>32</v>
      </c>
      <c r="B2517">
        <f t="shared" si="156"/>
        <v>33.718404999999997</v>
      </c>
      <c r="C2517">
        <f t="shared" si="157"/>
        <v>-117.851675</v>
      </c>
      <c r="D2517">
        <f t="shared" si="158"/>
        <v>68</v>
      </c>
      <c r="E2517">
        <v>40.5</v>
      </c>
      <c r="F2517">
        <f t="shared" si="159"/>
        <v>27.5</v>
      </c>
      <c r="G2517">
        <v>41.1</v>
      </c>
      <c r="H2517">
        <v>1.573</v>
      </c>
      <c r="I2517">
        <v>3.819</v>
      </c>
      <c r="J2517">
        <v>5</v>
      </c>
      <c r="K2517">
        <v>20</v>
      </c>
      <c r="L2517">
        <v>12</v>
      </c>
      <c r="M2517">
        <v>2.5830000000000002</v>
      </c>
    </row>
    <row r="2518" spans="1:13" ht="15" customHeight="1">
      <c r="A2518" t="s">
        <v>32</v>
      </c>
      <c r="B2518">
        <f t="shared" si="156"/>
        <v>33.718404999999997</v>
      </c>
      <c r="C2518">
        <f t="shared" si="157"/>
        <v>-117.851675</v>
      </c>
      <c r="D2518">
        <f t="shared" si="158"/>
        <v>68</v>
      </c>
      <c r="E2518">
        <v>41.499000000000002</v>
      </c>
      <c r="F2518">
        <f t="shared" si="159"/>
        <v>26.500999999999998</v>
      </c>
      <c r="G2518">
        <v>46.5</v>
      </c>
      <c r="H2518">
        <v>1.64</v>
      </c>
      <c r="I2518">
        <v>3.5190000000000001</v>
      </c>
      <c r="J2518">
        <v>5</v>
      </c>
      <c r="K2518">
        <v>22</v>
      </c>
      <c r="L2518">
        <v>13</v>
      </c>
      <c r="M2518">
        <v>2.9390000000000001</v>
      </c>
    </row>
    <row r="2519" spans="1:13" ht="15" customHeight="1">
      <c r="A2519" t="s">
        <v>32</v>
      </c>
      <c r="B2519">
        <f t="shared" si="156"/>
        <v>33.718404999999997</v>
      </c>
      <c r="C2519">
        <f t="shared" si="157"/>
        <v>-117.851675</v>
      </c>
      <c r="D2519">
        <f t="shared" si="158"/>
        <v>68</v>
      </c>
      <c r="E2519">
        <v>42.499000000000002</v>
      </c>
      <c r="F2519">
        <f t="shared" si="159"/>
        <v>25.500999999999998</v>
      </c>
      <c r="G2519">
        <v>73.966999999999999</v>
      </c>
      <c r="H2519">
        <v>3.363</v>
      </c>
      <c r="I2519">
        <v>4.54</v>
      </c>
      <c r="J2519">
        <v>5</v>
      </c>
      <c r="K2519">
        <v>35</v>
      </c>
      <c r="L2519">
        <v>20</v>
      </c>
      <c r="M2519">
        <v>4.7670000000000003</v>
      </c>
    </row>
    <row r="2520" spans="1:13" ht="15" customHeight="1">
      <c r="A2520" t="s">
        <v>32</v>
      </c>
      <c r="B2520">
        <f t="shared" si="156"/>
        <v>33.718404999999997</v>
      </c>
      <c r="C2520">
        <f t="shared" si="157"/>
        <v>-117.851675</v>
      </c>
      <c r="D2520">
        <f t="shared" si="158"/>
        <v>68</v>
      </c>
      <c r="E2520">
        <v>43.499000000000002</v>
      </c>
      <c r="F2520">
        <f t="shared" si="159"/>
        <v>24.500999999999998</v>
      </c>
      <c r="G2520">
        <v>43.767000000000003</v>
      </c>
      <c r="H2520">
        <v>1.923</v>
      </c>
      <c r="I2520">
        <v>4.3899999999999997</v>
      </c>
      <c r="J2520">
        <v>4</v>
      </c>
      <c r="K2520">
        <v>28</v>
      </c>
      <c r="L2520">
        <v>16</v>
      </c>
      <c r="M2520">
        <v>2.7450000000000001</v>
      </c>
    </row>
    <row r="2521" spans="1:13" ht="15" customHeight="1">
      <c r="A2521" t="s">
        <v>32</v>
      </c>
      <c r="B2521">
        <f t="shared" si="156"/>
        <v>33.718404999999997</v>
      </c>
      <c r="C2521">
        <f t="shared" si="157"/>
        <v>-117.851675</v>
      </c>
      <c r="D2521">
        <f t="shared" si="158"/>
        <v>68</v>
      </c>
      <c r="E2521">
        <v>44.499000000000002</v>
      </c>
      <c r="F2521">
        <f t="shared" si="159"/>
        <v>23.500999999999998</v>
      </c>
      <c r="G2521">
        <v>24.867000000000001</v>
      </c>
      <c r="H2521">
        <v>0.64300000000000002</v>
      </c>
      <c r="I2521">
        <v>2.585</v>
      </c>
      <c r="J2521">
        <v>6</v>
      </c>
      <c r="K2521">
        <v>10</v>
      </c>
      <c r="L2521">
        <v>6</v>
      </c>
      <c r="M2521">
        <v>1.4790000000000001</v>
      </c>
    </row>
    <row r="2522" spans="1:13" ht="15" customHeight="1">
      <c r="A2522" t="s">
        <v>32</v>
      </c>
      <c r="B2522">
        <f t="shared" si="156"/>
        <v>33.718404999999997</v>
      </c>
      <c r="C2522">
        <f t="shared" si="157"/>
        <v>-117.851675</v>
      </c>
      <c r="D2522">
        <f t="shared" si="158"/>
        <v>68</v>
      </c>
      <c r="E2522">
        <v>45.499000000000002</v>
      </c>
      <c r="F2522">
        <f t="shared" si="159"/>
        <v>22.500999999999998</v>
      </c>
      <c r="G2522">
        <v>26.95</v>
      </c>
      <c r="H2522">
        <v>0.71299999999999997</v>
      </c>
      <c r="I2522">
        <v>2.6419999999999999</v>
      </c>
      <c r="J2522">
        <v>6</v>
      </c>
      <c r="K2522">
        <v>10</v>
      </c>
      <c r="L2522">
        <v>6</v>
      </c>
      <c r="M2522">
        <v>1.6160000000000001</v>
      </c>
    </row>
    <row r="2523" spans="1:13" ht="15" customHeight="1">
      <c r="A2523" t="s">
        <v>32</v>
      </c>
      <c r="B2523">
        <f t="shared" si="156"/>
        <v>33.718404999999997</v>
      </c>
      <c r="C2523">
        <f t="shared" si="157"/>
        <v>-117.851675</v>
      </c>
      <c r="D2523">
        <f t="shared" si="158"/>
        <v>68</v>
      </c>
      <c r="E2523">
        <v>46.499000000000002</v>
      </c>
      <c r="F2523">
        <f t="shared" si="159"/>
        <v>21.500999999999998</v>
      </c>
      <c r="G2523">
        <v>31.567</v>
      </c>
      <c r="H2523">
        <v>1.1879999999999999</v>
      </c>
      <c r="I2523">
        <v>3.7570000000000001</v>
      </c>
      <c r="J2523">
        <v>5</v>
      </c>
      <c r="K2523">
        <v>15</v>
      </c>
      <c r="L2523">
        <v>8</v>
      </c>
      <c r="M2523">
        <v>1.921</v>
      </c>
    </row>
    <row r="2524" spans="1:13" ht="15" customHeight="1">
      <c r="A2524" t="s">
        <v>32</v>
      </c>
      <c r="B2524">
        <f t="shared" si="156"/>
        <v>33.718404999999997</v>
      </c>
      <c r="C2524">
        <f t="shared" si="157"/>
        <v>-117.851675</v>
      </c>
      <c r="D2524">
        <f t="shared" si="158"/>
        <v>68</v>
      </c>
      <c r="E2524">
        <v>47.499000000000002</v>
      </c>
      <c r="F2524">
        <f t="shared" si="159"/>
        <v>20.500999999999998</v>
      </c>
      <c r="G2524">
        <v>47.517000000000003</v>
      </c>
      <c r="H2524">
        <v>2.6379999999999999</v>
      </c>
      <c r="I2524">
        <v>5.5449999999999999</v>
      </c>
      <c r="J2524">
        <v>3</v>
      </c>
      <c r="K2524">
        <v>46</v>
      </c>
      <c r="L2524">
        <v>25</v>
      </c>
      <c r="M2524">
        <v>2.98</v>
      </c>
    </row>
    <row r="2525" spans="1:13" ht="15" customHeight="1">
      <c r="A2525" t="s">
        <v>32</v>
      </c>
      <c r="B2525">
        <f t="shared" si="156"/>
        <v>33.718404999999997</v>
      </c>
      <c r="C2525">
        <f t="shared" si="157"/>
        <v>-117.851675</v>
      </c>
      <c r="D2525">
        <f t="shared" si="158"/>
        <v>68</v>
      </c>
      <c r="E2525">
        <v>48.499000000000002</v>
      </c>
      <c r="F2525">
        <f t="shared" si="159"/>
        <v>19.500999999999998</v>
      </c>
      <c r="G2525">
        <v>60.05</v>
      </c>
      <c r="H2525">
        <v>3.47</v>
      </c>
      <c r="I2525">
        <v>5.7850000000000001</v>
      </c>
      <c r="J2525">
        <v>11</v>
      </c>
      <c r="K2525">
        <v>57</v>
      </c>
      <c r="L2525">
        <v>31</v>
      </c>
      <c r="M2525" s="1">
        <v>9000000000</v>
      </c>
    </row>
    <row r="2526" spans="1:13" ht="15" customHeight="1">
      <c r="A2526" t="s">
        <v>32</v>
      </c>
      <c r="B2526">
        <f t="shared" si="156"/>
        <v>33.718404999999997</v>
      </c>
      <c r="C2526">
        <f t="shared" si="157"/>
        <v>-117.851675</v>
      </c>
      <c r="D2526">
        <f t="shared" si="158"/>
        <v>68</v>
      </c>
      <c r="E2526">
        <v>49.499000000000002</v>
      </c>
      <c r="F2526">
        <f t="shared" si="159"/>
        <v>18.500999999999998</v>
      </c>
      <c r="G2526">
        <v>71.832999999999998</v>
      </c>
      <c r="H2526">
        <v>4.9349999999999996</v>
      </c>
      <c r="I2526">
        <v>6.875</v>
      </c>
      <c r="J2526">
        <v>11</v>
      </c>
      <c r="K2526">
        <v>69</v>
      </c>
      <c r="L2526">
        <v>37</v>
      </c>
      <c r="M2526" s="1">
        <v>9000000000</v>
      </c>
    </row>
    <row r="2527" spans="1:13" ht="15" customHeight="1">
      <c r="A2527" t="s">
        <v>32</v>
      </c>
      <c r="B2527">
        <f t="shared" si="156"/>
        <v>33.718404999999997</v>
      </c>
      <c r="C2527">
        <f t="shared" si="157"/>
        <v>-117.851675</v>
      </c>
      <c r="D2527">
        <f t="shared" si="158"/>
        <v>68</v>
      </c>
      <c r="E2527">
        <v>50.499000000000002</v>
      </c>
      <c r="F2527">
        <f t="shared" si="159"/>
        <v>17.500999999999998</v>
      </c>
      <c r="G2527">
        <v>74.316999999999993</v>
      </c>
      <c r="H2527">
        <v>4.2279999999999998</v>
      </c>
      <c r="I2527">
        <v>5.6989999999999998</v>
      </c>
      <c r="J2527">
        <v>11</v>
      </c>
      <c r="K2527">
        <v>71</v>
      </c>
      <c r="L2527">
        <v>37</v>
      </c>
      <c r="M2527" s="1">
        <v>9000000000</v>
      </c>
    </row>
    <row r="2528" spans="1:13" ht="15" customHeight="1">
      <c r="A2528" t="s">
        <v>32</v>
      </c>
      <c r="B2528">
        <f t="shared" si="156"/>
        <v>33.718404999999997</v>
      </c>
      <c r="C2528">
        <f t="shared" si="157"/>
        <v>-117.851675</v>
      </c>
      <c r="D2528">
        <f t="shared" si="158"/>
        <v>68</v>
      </c>
      <c r="E2528">
        <v>51.499000000000002</v>
      </c>
      <c r="F2528">
        <f t="shared" si="159"/>
        <v>16.500999999999998</v>
      </c>
      <c r="G2528">
        <v>93.632999999999996</v>
      </c>
      <c r="H2528">
        <v>5.2670000000000003</v>
      </c>
      <c r="I2528">
        <v>5.6340000000000003</v>
      </c>
      <c r="J2528">
        <v>11</v>
      </c>
      <c r="K2528">
        <v>90</v>
      </c>
      <c r="L2528">
        <v>47</v>
      </c>
      <c r="M2528" s="1">
        <v>9000000000</v>
      </c>
    </row>
    <row r="2529" spans="1:13" ht="15" customHeight="1">
      <c r="A2529" t="s">
        <v>32</v>
      </c>
      <c r="B2529">
        <f t="shared" si="156"/>
        <v>33.718404999999997</v>
      </c>
      <c r="C2529">
        <f t="shared" si="157"/>
        <v>-117.851675</v>
      </c>
      <c r="D2529">
        <f t="shared" si="158"/>
        <v>68</v>
      </c>
      <c r="E2529">
        <v>52.499000000000002</v>
      </c>
      <c r="F2529">
        <f t="shared" si="159"/>
        <v>15.500999999999998</v>
      </c>
      <c r="G2529">
        <v>43.156999999999996</v>
      </c>
      <c r="H2529">
        <v>2.7309999999999999</v>
      </c>
      <c r="I2529">
        <v>6.35</v>
      </c>
      <c r="J2529">
        <v>3</v>
      </c>
      <c r="K2529">
        <v>41</v>
      </c>
      <c r="L2529">
        <v>21</v>
      </c>
      <c r="M2529">
        <v>2.653</v>
      </c>
    </row>
    <row r="2530" spans="1:13" ht="15" customHeight="1">
      <c r="A2530" t="s">
        <v>32</v>
      </c>
      <c r="B2530">
        <f t="shared" si="156"/>
        <v>33.718404999999997</v>
      </c>
      <c r="C2530">
        <f t="shared" si="157"/>
        <v>-117.851675</v>
      </c>
      <c r="D2530">
        <f t="shared" si="158"/>
        <v>68</v>
      </c>
      <c r="E2530">
        <v>53.499000000000002</v>
      </c>
      <c r="F2530">
        <f t="shared" si="159"/>
        <v>14.500999999999998</v>
      </c>
      <c r="G2530">
        <v>37.450000000000003</v>
      </c>
      <c r="H2530">
        <v>1.6930000000000001</v>
      </c>
      <c r="I2530">
        <v>4.5380000000000003</v>
      </c>
      <c r="J2530">
        <v>4</v>
      </c>
      <c r="K2530">
        <v>24</v>
      </c>
      <c r="L2530">
        <v>12</v>
      </c>
      <c r="M2530">
        <v>2.2690000000000001</v>
      </c>
    </row>
    <row r="2531" spans="1:13" ht="15" customHeight="1">
      <c r="A2531" t="s">
        <v>32</v>
      </c>
      <c r="B2531">
        <f t="shared" si="156"/>
        <v>33.718404999999997</v>
      </c>
      <c r="C2531">
        <f t="shared" si="157"/>
        <v>-117.851675</v>
      </c>
      <c r="D2531">
        <f t="shared" si="158"/>
        <v>68</v>
      </c>
      <c r="E2531">
        <v>54.499000000000002</v>
      </c>
      <c r="F2531">
        <f t="shared" si="159"/>
        <v>13.500999999999998</v>
      </c>
      <c r="G2531">
        <v>109.3</v>
      </c>
      <c r="H2531">
        <v>3.1030000000000002</v>
      </c>
      <c r="I2531">
        <v>2.8420000000000001</v>
      </c>
      <c r="J2531">
        <v>6</v>
      </c>
      <c r="K2531">
        <v>42</v>
      </c>
      <c r="L2531">
        <v>21</v>
      </c>
      <c r="M2531">
        <v>7.0570000000000004</v>
      </c>
    </row>
    <row r="2532" spans="1:13" ht="15" customHeight="1">
      <c r="A2532" t="s">
        <v>32</v>
      </c>
      <c r="B2532">
        <f t="shared" si="156"/>
        <v>33.718404999999997</v>
      </c>
      <c r="C2532">
        <f t="shared" si="157"/>
        <v>-117.851675</v>
      </c>
      <c r="D2532">
        <f t="shared" si="158"/>
        <v>68</v>
      </c>
      <c r="E2532">
        <v>55.499000000000002</v>
      </c>
      <c r="F2532">
        <f t="shared" si="159"/>
        <v>12.500999999999998</v>
      </c>
      <c r="G2532">
        <v>92.95</v>
      </c>
      <c r="H2532">
        <v>3.8769999999999998</v>
      </c>
      <c r="I2532">
        <v>4.1769999999999996</v>
      </c>
      <c r="J2532">
        <v>5</v>
      </c>
      <c r="K2532">
        <v>44</v>
      </c>
      <c r="L2532">
        <v>22</v>
      </c>
      <c r="M2532">
        <v>5.9610000000000003</v>
      </c>
    </row>
    <row r="2533" spans="1:13" ht="15" customHeight="1">
      <c r="A2533" t="s">
        <v>32</v>
      </c>
      <c r="B2533">
        <f t="shared" si="156"/>
        <v>33.718404999999997</v>
      </c>
      <c r="C2533">
        <f t="shared" si="157"/>
        <v>-117.851675</v>
      </c>
      <c r="D2533">
        <f t="shared" si="158"/>
        <v>68</v>
      </c>
      <c r="E2533">
        <v>56.499000000000002</v>
      </c>
      <c r="F2533">
        <f t="shared" si="159"/>
        <v>11.500999999999998</v>
      </c>
      <c r="G2533">
        <v>26.067</v>
      </c>
      <c r="H2533">
        <v>1.0129999999999999</v>
      </c>
      <c r="I2533">
        <v>3.9049999999999998</v>
      </c>
      <c r="J2533">
        <v>4</v>
      </c>
      <c r="K2533">
        <v>17</v>
      </c>
      <c r="L2533">
        <v>9</v>
      </c>
      <c r="M2533">
        <v>1.4990000000000001</v>
      </c>
    </row>
    <row r="2534" spans="1:13" ht="15" customHeight="1">
      <c r="A2534" t="s">
        <v>32</v>
      </c>
      <c r="B2534">
        <f t="shared" si="156"/>
        <v>33.718404999999997</v>
      </c>
      <c r="C2534">
        <f t="shared" si="157"/>
        <v>-117.851675</v>
      </c>
      <c r="D2534">
        <f t="shared" si="158"/>
        <v>68</v>
      </c>
      <c r="E2534">
        <v>57.499000000000002</v>
      </c>
      <c r="F2534">
        <f t="shared" si="159"/>
        <v>10.500999999999998</v>
      </c>
      <c r="G2534">
        <v>28.5</v>
      </c>
      <c r="H2534">
        <v>1.173</v>
      </c>
      <c r="I2534">
        <v>4.1310000000000002</v>
      </c>
      <c r="J2534">
        <v>4</v>
      </c>
      <c r="K2534">
        <v>18</v>
      </c>
      <c r="L2534">
        <v>9</v>
      </c>
      <c r="M2534">
        <v>1.6579999999999999</v>
      </c>
    </row>
    <row r="2535" spans="1:13" ht="15" customHeight="1">
      <c r="A2535" t="s">
        <v>32</v>
      </c>
      <c r="B2535">
        <f t="shared" si="156"/>
        <v>33.718404999999997</v>
      </c>
      <c r="C2535">
        <f t="shared" si="157"/>
        <v>-117.851675</v>
      </c>
      <c r="D2535">
        <f t="shared" si="158"/>
        <v>68</v>
      </c>
      <c r="E2535">
        <v>58.499000000000002</v>
      </c>
      <c r="F2535">
        <f t="shared" si="159"/>
        <v>9.5009999999999977</v>
      </c>
      <c r="G2535">
        <v>21.5</v>
      </c>
      <c r="H2535">
        <v>0.71199999999999997</v>
      </c>
      <c r="I2535">
        <v>3.3130000000000002</v>
      </c>
      <c r="J2535">
        <v>5</v>
      </c>
      <c r="K2535">
        <v>10</v>
      </c>
      <c r="L2535">
        <v>5</v>
      </c>
      <c r="M2535">
        <v>1.1930000000000001</v>
      </c>
    </row>
    <row r="2536" spans="1:13" ht="15" customHeight="1">
      <c r="A2536" t="s">
        <v>32</v>
      </c>
      <c r="B2536">
        <f t="shared" si="156"/>
        <v>33.718404999999997</v>
      </c>
      <c r="C2536">
        <f t="shared" si="157"/>
        <v>-117.851675</v>
      </c>
      <c r="D2536">
        <f t="shared" si="158"/>
        <v>68</v>
      </c>
      <c r="E2536">
        <v>59.499000000000002</v>
      </c>
      <c r="F2536">
        <f t="shared" si="159"/>
        <v>8.5009999999999977</v>
      </c>
      <c r="G2536">
        <v>59.232999999999997</v>
      </c>
      <c r="H2536">
        <v>3.3570000000000002</v>
      </c>
      <c r="I2536">
        <v>5.673</v>
      </c>
      <c r="J2536">
        <v>11</v>
      </c>
      <c r="K2536">
        <v>57</v>
      </c>
      <c r="L2536">
        <v>29</v>
      </c>
      <c r="M2536" s="1">
        <v>9000000000</v>
      </c>
    </row>
    <row r="2537" spans="1:13" ht="15" customHeight="1">
      <c r="A2537" t="s">
        <v>32</v>
      </c>
      <c r="B2537">
        <f t="shared" si="156"/>
        <v>33.718404999999997</v>
      </c>
      <c r="C2537">
        <f t="shared" si="157"/>
        <v>-117.851675</v>
      </c>
      <c r="D2537">
        <f t="shared" si="158"/>
        <v>68</v>
      </c>
      <c r="E2537">
        <v>60.499000000000002</v>
      </c>
      <c r="F2537">
        <f t="shared" si="159"/>
        <v>7.5009999999999977</v>
      </c>
      <c r="G2537">
        <v>145.28299999999999</v>
      </c>
      <c r="H2537">
        <v>3.81</v>
      </c>
      <c r="I2537">
        <v>2.625</v>
      </c>
      <c r="J2537">
        <v>7</v>
      </c>
      <c r="K2537">
        <v>46</v>
      </c>
      <c r="L2537">
        <v>23</v>
      </c>
      <c r="M2537" s="1">
        <v>9000000000</v>
      </c>
    </row>
    <row r="2538" spans="1:13" ht="15" customHeight="1">
      <c r="A2538" t="s">
        <v>32</v>
      </c>
      <c r="B2538">
        <f t="shared" si="156"/>
        <v>33.718404999999997</v>
      </c>
      <c r="C2538">
        <f t="shared" si="157"/>
        <v>-117.851675</v>
      </c>
      <c r="D2538">
        <f t="shared" si="158"/>
        <v>68</v>
      </c>
      <c r="E2538">
        <v>61.499000000000002</v>
      </c>
      <c r="F2538">
        <f t="shared" si="159"/>
        <v>6.5009999999999977</v>
      </c>
      <c r="G2538">
        <v>177.333</v>
      </c>
      <c r="H2538">
        <v>3.835</v>
      </c>
      <c r="I2538">
        <v>2.165</v>
      </c>
      <c r="J2538">
        <v>7</v>
      </c>
      <c r="K2538">
        <v>57</v>
      </c>
      <c r="L2538">
        <v>29</v>
      </c>
      <c r="M2538" s="1">
        <v>9000000000</v>
      </c>
    </row>
    <row r="2539" spans="1:13" ht="15" customHeight="1">
      <c r="A2539" t="s">
        <v>32</v>
      </c>
      <c r="B2539">
        <f t="shared" si="156"/>
        <v>33.718404999999997</v>
      </c>
      <c r="C2539">
        <f t="shared" si="157"/>
        <v>-117.851675</v>
      </c>
      <c r="D2539">
        <f t="shared" si="158"/>
        <v>68</v>
      </c>
      <c r="E2539">
        <v>62.499000000000002</v>
      </c>
      <c r="F2539">
        <f t="shared" si="159"/>
        <v>5.5009999999999977</v>
      </c>
      <c r="G2539">
        <v>162.286</v>
      </c>
      <c r="H2539">
        <v>3.5739999999999998</v>
      </c>
      <c r="I2539">
        <v>2.2050000000000001</v>
      </c>
      <c r="J2539">
        <v>7</v>
      </c>
      <c r="K2539">
        <v>52</v>
      </c>
      <c r="L2539">
        <v>26</v>
      </c>
      <c r="M2539" s="1">
        <v>9000000000</v>
      </c>
    </row>
    <row r="2540" spans="1:13" ht="15" customHeight="1">
      <c r="A2540" t="s">
        <v>32</v>
      </c>
      <c r="B2540">
        <f t="shared" si="156"/>
        <v>33.718404999999997</v>
      </c>
      <c r="C2540">
        <f t="shared" si="157"/>
        <v>-117.851675</v>
      </c>
      <c r="D2540">
        <f t="shared" si="158"/>
        <v>68</v>
      </c>
      <c r="E2540">
        <v>63.499000000000002</v>
      </c>
      <c r="F2540">
        <f t="shared" si="159"/>
        <v>4.5009999999999977</v>
      </c>
      <c r="G2540">
        <v>233.417</v>
      </c>
      <c r="H2540">
        <v>2.4830000000000001</v>
      </c>
      <c r="I2540">
        <v>1.0649999999999999</v>
      </c>
      <c r="J2540">
        <v>9</v>
      </c>
      <c r="K2540">
        <v>45</v>
      </c>
      <c r="L2540">
        <v>23</v>
      </c>
      <c r="M2540" s="1">
        <v>9000000000</v>
      </c>
    </row>
    <row r="2541" spans="1:13" ht="15" customHeight="1">
      <c r="A2541" t="s">
        <v>32</v>
      </c>
      <c r="B2541">
        <f t="shared" si="156"/>
        <v>33.718404999999997</v>
      </c>
      <c r="C2541">
        <f t="shared" si="157"/>
        <v>-117.851675</v>
      </c>
      <c r="D2541">
        <f t="shared" si="158"/>
        <v>68</v>
      </c>
      <c r="E2541">
        <v>64.498999999999995</v>
      </c>
      <c r="F2541">
        <f t="shared" si="159"/>
        <v>3.5010000000000048</v>
      </c>
      <c r="G2541">
        <v>220.95</v>
      </c>
      <c r="H2541">
        <v>2.0750000000000002</v>
      </c>
      <c r="I2541">
        <v>0.94</v>
      </c>
      <c r="J2541">
        <v>9</v>
      </c>
      <c r="K2541">
        <v>42</v>
      </c>
      <c r="L2541">
        <v>21</v>
      </c>
      <c r="M2541" s="1">
        <v>9000000000</v>
      </c>
    </row>
    <row r="2542" spans="1:13" ht="15" customHeight="1">
      <c r="A2542" t="s">
        <v>32</v>
      </c>
      <c r="B2542">
        <f t="shared" si="156"/>
        <v>33.718404999999997</v>
      </c>
      <c r="C2542">
        <f t="shared" si="157"/>
        <v>-117.851675</v>
      </c>
      <c r="D2542">
        <f t="shared" si="158"/>
        <v>68</v>
      </c>
      <c r="E2542">
        <v>65.498999999999995</v>
      </c>
      <c r="F2542">
        <f t="shared" si="159"/>
        <v>2.5010000000000048</v>
      </c>
      <c r="G2542">
        <v>313.28300000000002</v>
      </c>
      <c r="H2542">
        <v>2.1019999999999999</v>
      </c>
      <c r="I2542">
        <v>0.67100000000000004</v>
      </c>
      <c r="J2542">
        <v>10</v>
      </c>
      <c r="K2542">
        <v>50</v>
      </c>
      <c r="L2542">
        <v>25</v>
      </c>
      <c r="M2542" s="1">
        <v>9000000000</v>
      </c>
    </row>
    <row r="2543" spans="1:13" ht="15" customHeight="1">
      <c r="A2543" t="s">
        <v>32</v>
      </c>
      <c r="B2543">
        <f t="shared" si="156"/>
        <v>33.718404999999997</v>
      </c>
      <c r="C2543">
        <f t="shared" si="157"/>
        <v>-117.851675</v>
      </c>
      <c r="D2543">
        <f t="shared" si="158"/>
        <v>68</v>
      </c>
      <c r="E2543">
        <v>66.498999999999995</v>
      </c>
      <c r="F2543">
        <f t="shared" si="159"/>
        <v>1.5010000000000048</v>
      </c>
      <c r="G2543">
        <v>225.083</v>
      </c>
      <c r="H2543">
        <v>2.0099999999999998</v>
      </c>
      <c r="I2543">
        <v>0.89400000000000002</v>
      </c>
      <c r="J2543">
        <v>9</v>
      </c>
      <c r="K2543">
        <v>43</v>
      </c>
      <c r="L2543">
        <v>22</v>
      </c>
      <c r="M2543" s="1">
        <v>9000000000</v>
      </c>
    </row>
    <row r="2544" spans="1:13" ht="15" customHeight="1">
      <c r="A2544" t="s">
        <v>32</v>
      </c>
      <c r="B2544">
        <f t="shared" si="156"/>
        <v>33.718404999999997</v>
      </c>
      <c r="C2544">
        <f t="shared" si="157"/>
        <v>-117.851675</v>
      </c>
      <c r="D2544">
        <f t="shared" si="158"/>
        <v>68</v>
      </c>
      <c r="E2544">
        <v>67.498999999999995</v>
      </c>
      <c r="F2544">
        <f t="shared" si="159"/>
        <v>0.50100000000000477</v>
      </c>
      <c r="G2544">
        <v>198.65</v>
      </c>
      <c r="H2544">
        <v>1.758</v>
      </c>
      <c r="I2544">
        <v>0.88600000000000001</v>
      </c>
      <c r="J2544">
        <v>9</v>
      </c>
      <c r="K2544">
        <v>38</v>
      </c>
      <c r="L2544">
        <v>19</v>
      </c>
      <c r="M2544" s="1">
        <v>9000000000</v>
      </c>
    </row>
    <row r="2545" spans="1:13" ht="15" customHeight="1">
      <c r="A2545" t="s">
        <v>32</v>
      </c>
      <c r="B2545">
        <f t="shared" si="156"/>
        <v>33.718404999999997</v>
      </c>
      <c r="C2545">
        <f t="shared" si="157"/>
        <v>-117.851675</v>
      </c>
      <c r="D2545">
        <f t="shared" si="158"/>
        <v>68</v>
      </c>
      <c r="E2545">
        <v>68.498999999999995</v>
      </c>
      <c r="F2545">
        <f t="shared" si="159"/>
        <v>-0.49899999999999523</v>
      </c>
      <c r="G2545">
        <v>264.46699999999998</v>
      </c>
      <c r="H2545">
        <v>1.788</v>
      </c>
      <c r="I2545">
        <v>0.67700000000000005</v>
      </c>
      <c r="J2545">
        <v>9</v>
      </c>
      <c r="K2545">
        <v>51</v>
      </c>
      <c r="L2545">
        <v>26</v>
      </c>
      <c r="M2545" s="1">
        <v>9000000000</v>
      </c>
    </row>
    <row r="2546" spans="1:13" ht="15" customHeight="1">
      <c r="A2546" t="s">
        <v>32</v>
      </c>
      <c r="B2546">
        <f t="shared" si="156"/>
        <v>33.718404999999997</v>
      </c>
      <c r="C2546">
        <f t="shared" si="157"/>
        <v>-117.851675</v>
      </c>
      <c r="D2546">
        <f t="shared" si="158"/>
        <v>68</v>
      </c>
      <c r="E2546">
        <v>69.498999999999995</v>
      </c>
      <c r="F2546">
        <f t="shared" si="159"/>
        <v>-1.4989999999999952</v>
      </c>
      <c r="G2546">
        <v>326.7</v>
      </c>
      <c r="H2546">
        <v>1.8819999999999999</v>
      </c>
      <c r="I2546">
        <v>0.57599999999999996</v>
      </c>
      <c r="J2546">
        <v>10</v>
      </c>
      <c r="K2546">
        <v>52</v>
      </c>
      <c r="L2546">
        <v>26</v>
      </c>
      <c r="M2546" s="1">
        <v>9000000000</v>
      </c>
    </row>
    <row r="2547" spans="1:13" ht="15" customHeight="1">
      <c r="A2547" t="s">
        <v>32</v>
      </c>
      <c r="B2547">
        <f t="shared" si="156"/>
        <v>33.718404999999997</v>
      </c>
      <c r="C2547">
        <f t="shared" si="157"/>
        <v>-117.851675</v>
      </c>
      <c r="D2547">
        <f t="shared" si="158"/>
        <v>68</v>
      </c>
      <c r="E2547">
        <v>70.498999999999995</v>
      </c>
      <c r="F2547">
        <f t="shared" si="159"/>
        <v>-2.4989999999999952</v>
      </c>
      <c r="G2547">
        <v>307.267</v>
      </c>
      <c r="H2547">
        <v>1.96</v>
      </c>
      <c r="I2547">
        <v>0.63800000000000001</v>
      </c>
      <c r="J2547">
        <v>10</v>
      </c>
      <c r="K2547">
        <v>49</v>
      </c>
      <c r="L2547">
        <v>25</v>
      </c>
      <c r="M2547" s="1">
        <v>9000000000</v>
      </c>
    </row>
    <row r="2548" spans="1:13" ht="15" customHeight="1">
      <c r="A2548" t="s">
        <v>32</v>
      </c>
      <c r="B2548">
        <f t="shared" si="156"/>
        <v>33.718404999999997</v>
      </c>
      <c r="C2548">
        <f t="shared" si="157"/>
        <v>-117.851675</v>
      </c>
      <c r="D2548">
        <f t="shared" si="158"/>
        <v>68</v>
      </c>
      <c r="E2548">
        <v>71.498999999999995</v>
      </c>
      <c r="F2548">
        <f t="shared" si="159"/>
        <v>-3.4989999999999952</v>
      </c>
      <c r="G2548">
        <v>425.6</v>
      </c>
      <c r="H2548">
        <v>2.3050000000000002</v>
      </c>
      <c r="I2548">
        <v>0.54200000000000004</v>
      </c>
      <c r="J2548">
        <v>10</v>
      </c>
      <c r="K2548">
        <v>68</v>
      </c>
      <c r="L2548">
        <v>34</v>
      </c>
      <c r="M2548" s="1">
        <v>9000000000</v>
      </c>
    </row>
    <row r="2549" spans="1:13" ht="15" customHeight="1">
      <c r="A2549" t="s">
        <v>32</v>
      </c>
      <c r="B2549">
        <f t="shared" si="156"/>
        <v>33.718404999999997</v>
      </c>
      <c r="C2549">
        <f t="shared" si="157"/>
        <v>-117.851675</v>
      </c>
      <c r="D2549">
        <f t="shared" si="158"/>
        <v>68</v>
      </c>
      <c r="E2549">
        <v>72.498999999999995</v>
      </c>
      <c r="F2549">
        <f t="shared" si="159"/>
        <v>-4.4989999999999952</v>
      </c>
      <c r="G2549">
        <v>552.78599999999994</v>
      </c>
      <c r="H2549">
        <v>5.3090000000000002</v>
      </c>
      <c r="I2549">
        <v>0.96</v>
      </c>
      <c r="J2549">
        <v>10</v>
      </c>
      <c r="K2549">
        <v>88</v>
      </c>
      <c r="L2549">
        <v>44</v>
      </c>
      <c r="M2549" s="1">
        <v>9000000000</v>
      </c>
    </row>
    <row r="2550" spans="1:13" ht="15" customHeight="1">
      <c r="A2550" t="s">
        <v>32</v>
      </c>
      <c r="B2550">
        <f t="shared" si="156"/>
        <v>33.718404999999997</v>
      </c>
      <c r="C2550">
        <f t="shared" si="157"/>
        <v>-117.851675</v>
      </c>
      <c r="D2550">
        <f t="shared" si="158"/>
        <v>68</v>
      </c>
      <c r="E2550">
        <v>73.498999999999995</v>
      </c>
      <c r="F2550">
        <f t="shared" si="159"/>
        <v>-5.4989999999999952</v>
      </c>
      <c r="G2550">
        <v>83.617000000000004</v>
      </c>
      <c r="H2550">
        <v>2.298</v>
      </c>
      <c r="I2550">
        <v>2.7229999999999999</v>
      </c>
      <c r="J2550">
        <v>6</v>
      </c>
      <c r="K2550">
        <v>32</v>
      </c>
      <c r="L2550">
        <v>16</v>
      </c>
      <c r="M2550">
        <v>5.3250000000000002</v>
      </c>
    </row>
    <row r="2551" spans="1:13" ht="15" customHeight="1">
      <c r="A2551" t="s">
        <v>32</v>
      </c>
      <c r="B2551">
        <f t="shared" si="156"/>
        <v>33.718404999999997</v>
      </c>
      <c r="C2551">
        <f t="shared" si="157"/>
        <v>-117.851675</v>
      </c>
      <c r="D2551">
        <f t="shared" si="158"/>
        <v>68</v>
      </c>
      <c r="E2551">
        <v>74.498999999999995</v>
      </c>
      <c r="F2551">
        <f t="shared" si="159"/>
        <v>-6.4989999999999952</v>
      </c>
      <c r="G2551">
        <v>20.399999999999999</v>
      </c>
      <c r="H2551">
        <v>0.36299999999999999</v>
      </c>
      <c r="I2551">
        <v>1.649</v>
      </c>
      <c r="J2551">
        <v>6</v>
      </c>
      <c r="K2551">
        <v>8</v>
      </c>
      <c r="L2551">
        <v>4</v>
      </c>
      <c r="M2551">
        <v>1.1619999999999999</v>
      </c>
    </row>
    <row r="2552" spans="1:13" ht="15" customHeight="1">
      <c r="A2552" t="s">
        <v>32</v>
      </c>
      <c r="B2552">
        <f t="shared" si="156"/>
        <v>33.718404999999997</v>
      </c>
      <c r="C2552">
        <f t="shared" si="157"/>
        <v>-117.851675</v>
      </c>
      <c r="D2552">
        <f t="shared" si="158"/>
        <v>68</v>
      </c>
      <c r="E2552">
        <v>75.498999999999995</v>
      </c>
      <c r="F2552">
        <f t="shared" si="159"/>
        <v>-7.4989999999999952</v>
      </c>
      <c r="G2552">
        <v>21.382999999999999</v>
      </c>
      <c r="H2552">
        <v>0.52300000000000002</v>
      </c>
      <c r="I2552">
        <v>2.2559999999999998</v>
      </c>
      <c r="J2552">
        <v>6</v>
      </c>
      <c r="K2552">
        <v>9</v>
      </c>
      <c r="L2552">
        <v>5</v>
      </c>
      <c r="M2552">
        <v>1.2350000000000001</v>
      </c>
    </row>
    <row r="2553" spans="1:13" ht="15" customHeight="1">
      <c r="A2553" t="s">
        <v>32</v>
      </c>
      <c r="B2553">
        <f t="shared" si="156"/>
        <v>33.718404999999997</v>
      </c>
      <c r="C2553">
        <f t="shared" si="157"/>
        <v>-117.851675</v>
      </c>
      <c r="D2553">
        <f t="shared" si="158"/>
        <v>68</v>
      </c>
      <c r="E2553">
        <v>76.498999999999995</v>
      </c>
      <c r="F2553">
        <f t="shared" si="159"/>
        <v>-8.4989999999999952</v>
      </c>
      <c r="G2553">
        <v>41.6</v>
      </c>
      <c r="H2553">
        <v>1.252</v>
      </c>
      <c r="I2553">
        <v>2.9119999999999999</v>
      </c>
      <c r="J2553">
        <v>6</v>
      </c>
      <c r="K2553">
        <v>16</v>
      </c>
      <c r="L2553">
        <v>8</v>
      </c>
      <c r="M2553">
        <v>2.5499999999999998</v>
      </c>
    </row>
    <row r="2554" spans="1:13" ht="15" customHeight="1">
      <c r="A2554" t="s">
        <v>32</v>
      </c>
      <c r="B2554">
        <f t="shared" si="156"/>
        <v>33.718404999999997</v>
      </c>
      <c r="C2554">
        <f t="shared" si="157"/>
        <v>-117.851675</v>
      </c>
      <c r="D2554">
        <f t="shared" si="158"/>
        <v>68</v>
      </c>
      <c r="E2554">
        <v>77.498999999999995</v>
      </c>
      <c r="F2554">
        <f t="shared" si="159"/>
        <v>-9.4989999999999952</v>
      </c>
      <c r="G2554">
        <v>35.982999999999997</v>
      </c>
      <c r="H2554">
        <v>1.405</v>
      </c>
      <c r="I2554">
        <v>3.91</v>
      </c>
      <c r="J2554">
        <v>5</v>
      </c>
      <c r="K2554">
        <v>17</v>
      </c>
      <c r="L2554">
        <v>9</v>
      </c>
      <c r="M2554">
        <v>2.0760000000000001</v>
      </c>
    </row>
    <row r="2555" spans="1:13" ht="15" customHeight="1">
      <c r="A2555" t="s">
        <v>32</v>
      </c>
      <c r="B2555">
        <f t="shared" si="156"/>
        <v>33.718404999999997</v>
      </c>
      <c r="C2555">
        <f t="shared" si="157"/>
        <v>-117.851675</v>
      </c>
      <c r="D2555">
        <f t="shared" si="158"/>
        <v>68</v>
      </c>
      <c r="E2555">
        <v>78.498999999999995</v>
      </c>
      <c r="F2555">
        <f t="shared" si="159"/>
        <v>-10.498999999999995</v>
      </c>
      <c r="G2555">
        <v>33.049999999999997</v>
      </c>
      <c r="H2555">
        <v>1.1850000000000001</v>
      </c>
      <c r="I2555">
        <v>3.5619999999999998</v>
      </c>
      <c r="J2555">
        <v>5</v>
      </c>
      <c r="K2555">
        <v>16</v>
      </c>
      <c r="L2555">
        <v>8</v>
      </c>
      <c r="M2555">
        <v>1.8939999999999999</v>
      </c>
    </row>
    <row r="2556" spans="1:13" ht="15" customHeight="1">
      <c r="A2556" t="s">
        <v>32</v>
      </c>
      <c r="B2556">
        <f t="shared" si="156"/>
        <v>33.718404999999997</v>
      </c>
      <c r="C2556">
        <f t="shared" si="157"/>
        <v>-117.851675</v>
      </c>
      <c r="D2556">
        <f t="shared" si="158"/>
        <v>68</v>
      </c>
      <c r="E2556">
        <v>79.498999999999995</v>
      </c>
      <c r="F2556">
        <f t="shared" si="159"/>
        <v>-11.498999999999995</v>
      </c>
      <c r="G2556">
        <v>30.117000000000001</v>
      </c>
      <c r="H2556">
        <v>0.85699999999999998</v>
      </c>
      <c r="I2556">
        <v>2.6760000000000002</v>
      </c>
      <c r="J2556">
        <v>6</v>
      </c>
      <c r="K2556">
        <v>12</v>
      </c>
      <c r="L2556">
        <v>6</v>
      </c>
      <c r="M2556">
        <v>1.8069999999999999</v>
      </c>
    </row>
    <row r="2557" spans="1:13" ht="15" customHeight="1">
      <c r="A2557" t="s">
        <v>32</v>
      </c>
      <c r="B2557">
        <f t="shared" si="156"/>
        <v>33.718404999999997</v>
      </c>
      <c r="C2557">
        <f t="shared" si="157"/>
        <v>-117.851675</v>
      </c>
      <c r="D2557">
        <f t="shared" si="158"/>
        <v>68</v>
      </c>
      <c r="E2557">
        <v>80.498999999999995</v>
      </c>
      <c r="F2557">
        <f t="shared" si="159"/>
        <v>-12.498999999999995</v>
      </c>
      <c r="G2557">
        <v>32.817</v>
      </c>
      <c r="H2557">
        <v>1.1579999999999999</v>
      </c>
      <c r="I2557">
        <v>3.3610000000000002</v>
      </c>
      <c r="J2557">
        <v>5</v>
      </c>
      <c r="K2557">
        <v>17</v>
      </c>
      <c r="L2557">
        <v>9</v>
      </c>
      <c r="M2557">
        <v>1.966</v>
      </c>
    </row>
    <row r="2558" spans="1:13" ht="15" customHeight="1">
      <c r="A2558" t="s">
        <v>32</v>
      </c>
      <c r="B2558">
        <f t="shared" si="156"/>
        <v>33.718404999999997</v>
      </c>
      <c r="C2558">
        <f t="shared" si="157"/>
        <v>-117.851675</v>
      </c>
      <c r="D2558">
        <f t="shared" si="158"/>
        <v>68</v>
      </c>
      <c r="E2558">
        <v>81.498999999999995</v>
      </c>
      <c r="F2558">
        <f t="shared" si="159"/>
        <v>-13.498999999999995</v>
      </c>
      <c r="G2558">
        <v>90.566999999999993</v>
      </c>
      <c r="H2558">
        <v>2.3029999999999999</v>
      </c>
      <c r="I2558">
        <v>2.5230000000000001</v>
      </c>
      <c r="J2558">
        <v>6</v>
      </c>
      <c r="K2558">
        <v>35</v>
      </c>
      <c r="L2558">
        <v>18</v>
      </c>
      <c r="M2558">
        <v>5.7489999999999997</v>
      </c>
    </row>
    <row r="2559" spans="1:13" ht="15" customHeight="1">
      <c r="A2559" t="s">
        <v>32</v>
      </c>
      <c r="B2559">
        <f t="shared" si="156"/>
        <v>33.718404999999997</v>
      </c>
      <c r="C2559">
        <f t="shared" si="157"/>
        <v>-117.851675</v>
      </c>
      <c r="D2559">
        <f t="shared" si="158"/>
        <v>68</v>
      </c>
      <c r="E2559">
        <v>82.498999999999995</v>
      </c>
      <c r="F2559">
        <f t="shared" si="159"/>
        <v>-14.498999999999995</v>
      </c>
      <c r="G2559">
        <v>201.7</v>
      </c>
      <c r="H2559">
        <v>2.6179999999999999</v>
      </c>
      <c r="I2559">
        <v>1.2989999999999999</v>
      </c>
      <c r="J2559">
        <v>8</v>
      </c>
      <c r="K2559">
        <v>48</v>
      </c>
      <c r="L2559">
        <v>24</v>
      </c>
      <c r="M2559" s="1">
        <v>9000000000</v>
      </c>
    </row>
    <row r="2560" spans="1:13" ht="15" customHeight="1">
      <c r="A2560" t="s">
        <v>32</v>
      </c>
      <c r="B2560">
        <f t="shared" si="156"/>
        <v>33.718404999999997</v>
      </c>
      <c r="C2560">
        <f t="shared" si="157"/>
        <v>-117.851675</v>
      </c>
      <c r="D2560">
        <f t="shared" si="158"/>
        <v>68</v>
      </c>
      <c r="E2560">
        <v>83.498999999999995</v>
      </c>
      <c r="F2560">
        <f t="shared" si="159"/>
        <v>-15.498999999999995</v>
      </c>
      <c r="G2560">
        <v>252.5</v>
      </c>
      <c r="H2560">
        <v>1.7829999999999999</v>
      </c>
      <c r="I2560">
        <v>0.70599999999999996</v>
      </c>
      <c r="J2560">
        <v>9</v>
      </c>
      <c r="K2560">
        <v>48</v>
      </c>
      <c r="L2560">
        <v>24</v>
      </c>
      <c r="M2560" s="1">
        <v>9000000000</v>
      </c>
    </row>
    <row r="2561" spans="1:13" ht="15" customHeight="1">
      <c r="A2561" t="s">
        <v>32</v>
      </c>
      <c r="B2561">
        <f t="shared" si="156"/>
        <v>33.718404999999997</v>
      </c>
      <c r="C2561">
        <f t="shared" si="157"/>
        <v>-117.851675</v>
      </c>
      <c r="D2561">
        <f t="shared" si="158"/>
        <v>68</v>
      </c>
      <c r="E2561">
        <v>84.498999999999995</v>
      </c>
      <c r="F2561">
        <f t="shared" si="159"/>
        <v>-16.498999999999995</v>
      </c>
      <c r="G2561">
        <v>92.2</v>
      </c>
      <c r="H2561">
        <v>1.32</v>
      </c>
      <c r="I2561">
        <v>1.4330000000000001</v>
      </c>
      <c r="J2561">
        <v>8</v>
      </c>
      <c r="K2561">
        <v>22</v>
      </c>
      <c r="L2561">
        <v>11</v>
      </c>
      <c r="M2561" s="1">
        <v>9000000000</v>
      </c>
    </row>
    <row r="2562" spans="1:13" ht="15" customHeight="1">
      <c r="A2562" t="s">
        <v>32</v>
      </c>
      <c r="B2562">
        <f t="shared" ref="B2562:B2625" si="160">VLOOKUP(A2562,XYdata,3,FALSE)</f>
        <v>33.718404999999997</v>
      </c>
      <c r="C2562">
        <f t="shared" ref="C2562:C2625" si="161">VLOOKUP(A2562,XYdata,2,FALSE)</f>
        <v>-117.851675</v>
      </c>
      <c r="D2562">
        <f t="shared" ref="D2562:D2625" si="162">VLOOKUP(A2562,Elevation,2,FALSE)</f>
        <v>68</v>
      </c>
      <c r="E2562">
        <v>85.498999999999995</v>
      </c>
      <c r="F2562">
        <f t="shared" si="159"/>
        <v>-17.498999999999995</v>
      </c>
      <c r="G2562">
        <v>36.866999999999997</v>
      </c>
      <c r="H2562">
        <v>1.4670000000000001</v>
      </c>
      <c r="I2562">
        <v>3.9780000000000002</v>
      </c>
      <c r="J2562">
        <v>5</v>
      </c>
      <c r="K2562">
        <v>18</v>
      </c>
      <c r="L2562">
        <v>9</v>
      </c>
      <c r="M2562">
        <v>2.105</v>
      </c>
    </row>
    <row r="2563" spans="1:13" ht="15" customHeight="1">
      <c r="A2563" t="s">
        <v>32</v>
      </c>
      <c r="B2563">
        <f t="shared" si="160"/>
        <v>33.718404999999997</v>
      </c>
      <c r="C2563">
        <f t="shared" si="161"/>
        <v>-117.851675</v>
      </c>
      <c r="D2563">
        <f t="shared" si="162"/>
        <v>68</v>
      </c>
      <c r="E2563">
        <v>86.498999999999995</v>
      </c>
      <c r="F2563">
        <f t="shared" ref="F2563:F2626" si="163">D2563-E2563</f>
        <v>-18.498999999999995</v>
      </c>
      <c r="G2563">
        <v>65.867000000000004</v>
      </c>
      <c r="H2563">
        <v>2.673</v>
      </c>
      <c r="I2563">
        <v>4.0590000000000002</v>
      </c>
      <c r="J2563">
        <v>5</v>
      </c>
      <c r="K2563">
        <v>32</v>
      </c>
      <c r="L2563">
        <v>16</v>
      </c>
      <c r="M2563">
        <v>4.0339999999999998</v>
      </c>
    </row>
    <row r="2564" spans="1:13" ht="15" customHeight="1">
      <c r="A2564" t="s">
        <v>32</v>
      </c>
      <c r="B2564">
        <f t="shared" si="160"/>
        <v>33.718404999999997</v>
      </c>
      <c r="C2564">
        <f t="shared" si="161"/>
        <v>-117.851675</v>
      </c>
      <c r="D2564">
        <f t="shared" si="162"/>
        <v>68</v>
      </c>
      <c r="E2564">
        <v>87.498999999999995</v>
      </c>
      <c r="F2564">
        <f t="shared" si="163"/>
        <v>-19.498999999999995</v>
      </c>
      <c r="G2564">
        <v>79.216999999999999</v>
      </c>
      <c r="H2564">
        <v>3.2480000000000002</v>
      </c>
      <c r="I2564">
        <v>4.1070000000000002</v>
      </c>
      <c r="J2564">
        <v>5</v>
      </c>
      <c r="K2564">
        <v>38</v>
      </c>
      <c r="L2564">
        <v>19</v>
      </c>
      <c r="M2564">
        <v>4.9119999999999999</v>
      </c>
    </row>
    <row r="2565" spans="1:13" ht="15" customHeight="1">
      <c r="A2565" t="s">
        <v>32</v>
      </c>
      <c r="B2565">
        <f t="shared" si="160"/>
        <v>33.718404999999997</v>
      </c>
      <c r="C2565">
        <f t="shared" si="161"/>
        <v>-117.851675</v>
      </c>
      <c r="D2565">
        <f t="shared" si="162"/>
        <v>68</v>
      </c>
      <c r="E2565">
        <v>88.498999999999995</v>
      </c>
      <c r="F2565">
        <f t="shared" si="163"/>
        <v>-20.498999999999995</v>
      </c>
      <c r="G2565">
        <v>33.017000000000003</v>
      </c>
      <c r="H2565">
        <v>1.3</v>
      </c>
      <c r="I2565">
        <v>3.9529999999999998</v>
      </c>
      <c r="J2565">
        <v>4</v>
      </c>
      <c r="K2565">
        <v>21</v>
      </c>
      <c r="L2565">
        <v>11</v>
      </c>
      <c r="M2565">
        <v>1.827</v>
      </c>
    </row>
    <row r="2566" spans="1:13" ht="15" customHeight="1">
      <c r="A2566" t="s">
        <v>32</v>
      </c>
      <c r="B2566">
        <f t="shared" si="160"/>
        <v>33.718404999999997</v>
      </c>
      <c r="C2566">
        <f t="shared" si="161"/>
        <v>-117.851675</v>
      </c>
      <c r="D2566">
        <f t="shared" si="162"/>
        <v>68</v>
      </c>
      <c r="E2566">
        <v>89.498999999999995</v>
      </c>
      <c r="F2566">
        <f t="shared" si="163"/>
        <v>-21.498999999999995</v>
      </c>
      <c r="G2566">
        <v>29</v>
      </c>
      <c r="H2566">
        <v>0.96499999999999997</v>
      </c>
      <c r="I2566">
        <v>3.3410000000000002</v>
      </c>
      <c r="J2566">
        <v>5</v>
      </c>
      <c r="K2566">
        <v>14</v>
      </c>
      <c r="L2566">
        <v>7</v>
      </c>
      <c r="M2566">
        <v>1.556</v>
      </c>
    </row>
    <row r="2567" spans="1:13" ht="15" customHeight="1">
      <c r="A2567" t="s">
        <v>32</v>
      </c>
      <c r="B2567">
        <f t="shared" si="160"/>
        <v>33.718404999999997</v>
      </c>
      <c r="C2567">
        <f t="shared" si="161"/>
        <v>-117.851675</v>
      </c>
      <c r="D2567">
        <f t="shared" si="162"/>
        <v>68</v>
      </c>
      <c r="E2567">
        <v>90.498999999999995</v>
      </c>
      <c r="F2567">
        <f t="shared" si="163"/>
        <v>-22.498999999999995</v>
      </c>
      <c r="G2567">
        <v>27.683</v>
      </c>
      <c r="H2567">
        <v>0.81</v>
      </c>
      <c r="I2567">
        <v>2.94</v>
      </c>
      <c r="J2567">
        <v>5</v>
      </c>
      <c r="K2567">
        <v>13</v>
      </c>
      <c r="L2567">
        <v>7</v>
      </c>
      <c r="M2567">
        <v>1.4630000000000001</v>
      </c>
    </row>
    <row r="2568" spans="1:13" ht="15" customHeight="1">
      <c r="A2568" t="s">
        <v>32</v>
      </c>
      <c r="B2568">
        <f t="shared" si="160"/>
        <v>33.718404999999997</v>
      </c>
      <c r="C2568">
        <f t="shared" si="161"/>
        <v>-117.851675</v>
      </c>
      <c r="D2568">
        <f t="shared" si="162"/>
        <v>68</v>
      </c>
      <c r="E2568">
        <v>91.498999999999995</v>
      </c>
      <c r="F2568">
        <f t="shared" si="163"/>
        <v>-23.498999999999995</v>
      </c>
      <c r="G2568">
        <v>27.266999999999999</v>
      </c>
      <c r="H2568">
        <v>0.73199999999999998</v>
      </c>
      <c r="I2568">
        <v>2.6930000000000001</v>
      </c>
      <c r="J2568">
        <v>6</v>
      </c>
      <c r="K2568">
        <v>10</v>
      </c>
      <c r="L2568">
        <v>5</v>
      </c>
      <c r="M2568">
        <v>1.4330000000000001</v>
      </c>
    </row>
    <row r="2569" spans="1:13" ht="15" customHeight="1">
      <c r="A2569" t="s">
        <v>32</v>
      </c>
      <c r="B2569">
        <f t="shared" si="160"/>
        <v>33.718404999999997</v>
      </c>
      <c r="C2569">
        <f t="shared" si="161"/>
        <v>-117.851675</v>
      </c>
      <c r="D2569">
        <f t="shared" si="162"/>
        <v>68</v>
      </c>
      <c r="E2569">
        <v>92.498999999999995</v>
      </c>
      <c r="F2569">
        <f t="shared" si="163"/>
        <v>-24.498999999999995</v>
      </c>
      <c r="G2569">
        <v>35.450000000000003</v>
      </c>
      <c r="H2569">
        <v>1.1930000000000001</v>
      </c>
      <c r="I2569">
        <v>3.3759999999999999</v>
      </c>
      <c r="J2569">
        <v>5</v>
      </c>
      <c r="K2569">
        <v>17</v>
      </c>
      <c r="L2569">
        <v>9</v>
      </c>
      <c r="M2569">
        <v>1.9750000000000001</v>
      </c>
    </row>
    <row r="2570" spans="1:13" ht="15" customHeight="1">
      <c r="A2570" t="s">
        <v>32</v>
      </c>
      <c r="B2570">
        <f t="shared" si="160"/>
        <v>33.718404999999997</v>
      </c>
      <c r="C2570">
        <f t="shared" si="161"/>
        <v>-117.851675</v>
      </c>
      <c r="D2570">
        <f t="shared" si="162"/>
        <v>68</v>
      </c>
      <c r="E2570">
        <v>93.498999999999995</v>
      </c>
      <c r="F2570">
        <f t="shared" si="163"/>
        <v>-25.498999999999995</v>
      </c>
      <c r="G2570">
        <v>31.314</v>
      </c>
      <c r="H2570">
        <v>1.129</v>
      </c>
      <c r="I2570">
        <v>3.6110000000000002</v>
      </c>
      <c r="J2570">
        <v>5</v>
      </c>
      <c r="K2570">
        <v>15</v>
      </c>
      <c r="L2570">
        <v>8</v>
      </c>
      <c r="M2570">
        <v>1.698</v>
      </c>
    </row>
    <row r="2571" spans="1:13" ht="15" customHeight="1">
      <c r="A2571" t="s">
        <v>32</v>
      </c>
      <c r="B2571">
        <f t="shared" si="160"/>
        <v>33.718404999999997</v>
      </c>
      <c r="C2571">
        <f t="shared" si="161"/>
        <v>-117.851675</v>
      </c>
      <c r="D2571">
        <f t="shared" si="162"/>
        <v>68</v>
      </c>
      <c r="E2571">
        <v>94.498999999999995</v>
      </c>
      <c r="F2571">
        <f t="shared" si="163"/>
        <v>-26.498999999999995</v>
      </c>
      <c r="G2571">
        <v>41.283000000000001</v>
      </c>
      <c r="H2571">
        <v>1.9470000000000001</v>
      </c>
      <c r="I2571">
        <v>4.7119999999999997</v>
      </c>
      <c r="J2571">
        <v>4</v>
      </c>
      <c r="K2571">
        <v>26</v>
      </c>
      <c r="L2571">
        <v>13</v>
      </c>
      <c r="M2571">
        <v>2.3639999999999999</v>
      </c>
    </row>
    <row r="2572" spans="1:13" ht="15" customHeight="1">
      <c r="A2572" t="s">
        <v>32</v>
      </c>
      <c r="B2572">
        <f t="shared" si="160"/>
        <v>33.718404999999997</v>
      </c>
      <c r="C2572">
        <f t="shared" si="161"/>
        <v>-117.851675</v>
      </c>
      <c r="D2572">
        <f t="shared" si="162"/>
        <v>68</v>
      </c>
      <c r="E2572">
        <v>95.498999999999995</v>
      </c>
      <c r="F2572">
        <f t="shared" si="163"/>
        <v>-27.498999999999995</v>
      </c>
      <c r="G2572">
        <v>28.45</v>
      </c>
      <c r="H2572">
        <v>0.99199999999999999</v>
      </c>
      <c r="I2572">
        <v>3.4729999999999999</v>
      </c>
      <c r="J2572">
        <v>5</v>
      </c>
      <c r="K2572">
        <v>14</v>
      </c>
      <c r="L2572">
        <v>7</v>
      </c>
      <c r="M2572">
        <v>1.5089999999999999</v>
      </c>
    </row>
    <row r="2573" spans="1:13" ht="15" customHeight="1">
      <c r="A2573" t="s">
        <v>32</v>
      </c>
      <c r="B2573">
        <f t="shared" si="160"/>
        <v>33.718404999999997</v>
      </c>
      <c r="C2573">
        <f t="shared" si="161"/>
        <v>-117.851675</v>
      </c>
      <c r="D2573">
        <f t="shared" si="162"/>
        <v>68</v>
      </c>
      <c r="E2573">
        <v>96.498999999999995</v>
      </c>
      <c r="F2573">
        <f t="shared" si="163"/>
        <v>-28.498999999999995</v>
      </c>
      <c r="G2573">
        <v>27.983000000000001</v>
      </c>
      <c r="H2573">
        <v>0.88200000000000001</v>
      </c>
      <c r="I2573">
        <v>3.1280000000000001</v>
      </c>
      <c r="J2573">
        <v>5</v>
      </c>
      <c r="K2573">
        <v>13</v>
      </c>
      <c r="L2573">
        <v>7</v>
      </c>
      <c r="M2573">
        <v>1.48</v>
      </c>
    </row>
    <row r="2574" spans="1:13" ht="15" customHeight="1">
      <c r="A2574" t="s">
        <v>32</v>
      </c>
      <c r="B2574">
        <f t="shared" si="160"/>
        <v>33.718404999999997</v>
      </c>
      <c r="C2574">
        <f t="shared" si="161"/>
        <v>-117.851675</v>
      </c>
      <c r="D2574">
        <f t="shared" si="162"/>
        <v>68</v>
      </c>
      <c r="E2574">
        <v>97.498999999999995</v>
      </c>
      <c r="F2574">
        <f t="shared" si="163"/>
        <v>-29.498999999999995</v>
      </c>
      <c r="G2574">
        <v>26.533000000000001</v>
      </c>
      <c r="H2574">
        <v>0.71699999999999997</v>
      </c>
      <c r="I2574">
        <v>2.669</v>
      </c>
      <c r="J2574">
        <v>6</v>
      </c>
      <c r="K2574">
        <v>10</v>
      </c>
      <c r="L2574">
        <v>5</v>
      </c>
      <c r="M2574">
        <v>1.387</v>
      </c>
    </row>
    <row r="2575" spans="1:13" ht="15" customHeight="1">
      <c r="A2575" t="s">
        <v>32</v>
      </c>
      <c r="B2575">
        <f t="shared" si="160"/>
        <v>33.718404999999997</v>
      </c>
      <c r="C2575">
        <f t="shared" si="161"/>
        <v>-117.851675</v>
      </c>
      <c r="D2575">
        <f t="shared" si="162"/>
        <v>68</v>
      </c>
      <c r="E2575">
        <v>98.498999999999995</v>
      </c>
      <c r="F2575">
        <f t="shared" si="163"/>
        <v>-30.498999999999995</v>
      </c>
      <c r="G2575">
        <v>26.832999999999998</v>
      </c>
      <c r="H2575">
        <v>0.76800000000000002</v>
      </c>
      <c r="I2575">
        <v>2.8010000000000002</v>
      </c>
      <c r="J2575">
        <v>5</v>
      </c>
      <c r="K2575">
        <v>13</v>
      </c>
      <c r="L2575">
        <v>7</v>
      </c>
      <c r="M2575">
        <v>1.4219999999999999</v>
      </c>
    </row>
    <row r="2576" spans="1:13" ht="15" customHeight="1">
      <c r="A2576" t="s">
        <v>32</v>
      </c>
      <c r="B2576">
        <f t="shared" si="160"/>
        <v>33.718404999999997</v>
      </c>
      <c r="C2576">
        <f t="shared" si="161"/>
        <v>-117.851675</v>
      </c>
      <c r="D2576">
        <f t="shared" si="162"/>
        <v>68</v>
      </c>
      <c r="E2576">
        <v>99.498999999999995</v>
      </c>
      <c r="F2576">
        <f t="shared" si="163"/>
        <v>-31.498999999999995</v>
      </c>
      <c r="G2576">
        <v>30.567</v>
      </c>
      <c r="H2576">
        <v>0.92700000000000005</v>
      </c>
      <c r="I2576">
        <v>2.9060000000000001</v>
      </c>
      <c r="J2576">
        <v>5</v>
      </c>
      <c r="K2576">
        <v>15</v>
      </c>
      <c r="L2576">
        <v>8</v>
      </c>
      <c r="M2576">
        <v>1.714</v>
      </c>
    </row>
    <row r="2577" spans="1:13" ht="15" customHeight="1">
      <c r="A2577" t="s">
        <v>32</v>
      </c>
      <c r="B2577">
        <f t="shared" si="160"/>
        <v>33.718404999999997</v>
      </c>
      <c r="C2577">
        <f t="shared" si="161"/>
        <v>-117.851675</v>
      </c>
      <c r="D2577">
        <f t="shared" si="162"/>
        <v>68</v>
      </c>
      <c r="E2577">
        <v>100.499</v>
      </c>
      <c r="F2577">
        <f t="shared" si="163"/>
        <v>-32.498999999999995</v>
      </c>
      <c r="G2577">
        <v>30.05</v>
      </c>
      <c r="H2577">
        <v>0.90700000000000003</v>
      </c>
      <c r="I2577">
        <v>2.883</v>
      </c>
      <c r="J2577">
        <v>5</v>
      </c>
      <c r="K2577">
        <v>15</v>
      </c>
      <c r="L2577">
        <v>8</v>
      </c>
      <c r="M2577">
        <v>1.681</v>
      </c>
    </row>
    <row r="2578" spans="1:13" ht="15" customHeight="1">
      <c r="A2578" t="s">
        <v>32</v>
      </c>
      <c r="B2578">
        <f t="shared" si="160"/>
        <v>33.718404999999997</v>
      </c>
      <c r="C2578">
        <f t="shared" si="161"/>
        <v>-117.851675</v>
      </c>
      <c r="D2578">
        <f t="shared" si="162"/>
        <v>68</v>
      </c>
      <c r="E2578">
        <v>101.499</v>
      </c>
      <c r="F2578">
        <f t="shared" si="163"/>
        <v>-33.498999999999995</v>
      </c>
      <c r="G2578">
        <v>28.867000000000001</v>
      </c>
      <c r="H2578">
        <v>0.74</v>
      </c>
      <c r="I2578">
        <v>2.4239999999999999</v>
      </c>
      <c r="J2578">
        <v>6</v>
      </c>
      <c r="K2578">
        <v>12</v>
      </c>
      <c r="L2578">
        <v>6</v>
      </c>
      <c r="M2578">
        <v>1.6160000000000001</v>
      </c>
    </row>
    <row r="2579" spans="1:13" ht="15" customHeight="1">
      <c r="A2579" t="s">
        <v>32</v>
      </c>
      <c r="B2579">
        <f t="shared" si="160"/>
        <v>33.718404999999997</v>
      </c>
      <c r="C2579">
        <f t="shared" si="161"/>
        <v>-117.851675</v>
      </c>
      <c r="D2579">
        <f t="shared" si="162"/>
        <v>68</v>
      </c>
      <c r="E2579">
        <v>102.499</v>
      </c>
      <c r="F2579">
        <f t="shared" si="163"/>
        <v>-34.498999999999995</v>
      </c>
      <c r="G2579">
        <v>44.667000000000002</v>
      </c>
      <c r="H2579">
        <v>1.798</v>
      </c>
      <c r="I2579">
        <v>3.9049999999999998</v>
      </c>
      <c r="J2579">
        <v>5</v>
      </c>
      <c r="K2579">
        <v>22</v>
      </c>
      <c r="L2579">
        <v>11</v>
      </c>
      <c r="M2579">
        <v>2.6459999999999999</v>
      </c>
    </row>
    <row r="2580" spans="1:13" ht="15" customHeight="1">
      <c r="A2580" t="s">
        <v>32</v>
      </c>
      <c r="B2580">
        <f t="shared" si="160"/>
        <v>33.718404999999997</v>
      </c>
      <c r="C2580">
        <f t="shared" si="161"/>
        <v>-117.851675</v>
      </c>
      <c r="D2580">
        <f t="shared" si="162"/>
        <v>68</v>
      </c>
      <c r="E2580">
        <v>103.499</v>
      </c>
      <c r="F2580">
        <f t="shared" si="163"/>
        <v>-35.498999999999995</v>
      </c>
      <c r="G2580">
        <v>37.033000000000001</v>
      </c>
      <c r="H2580">
        <v>1.3979999999999999</v>
      </c>
      <c r="I2580">
        <v>3.762</v>
      </c>
      <c r="J2580">
        <v>5</v>
      </c>
      <c r="K2580">
        <v>18</v>
      </c>
      <c r="L2580">
        <v>9</v>
      </c>
      <c r="M2580">
        <v>2.0499999999999998</v>
      </c>
    </row>
    <row r="2581" spans="1:13" ht="15" customHeight="1">
      <c r="A2581" t="s">
        <v>32</v>
      </c>
      <c r="B2581">
        <f t="shared" si="160"/>
        <v>33.718404999999997</v>
      </c>
      <c r="C2581">
        <f t="shared" si="161"/>
        <v>-117.851675</v>
      </c>
      <c r="D2581">
        <f t="shared" si="162"/>
        <v>68</v>
      </c>
      <c r="E2581">
        <v>104.499</v>
      </c>
      <c r="F2581">
        <f t="shared" si="163"/>
        <v>-36.498999999999995</v>
      </c>
      <c r="G2581">
        <v>32</v>
      </c>
      <c r="H2581">
        <v>0.94099999999999995</v>
      </c>
      <c r="I2581">
        <v>2.8319999999999999</v>
      </c>
      <c r="J2581">
        <v>6</v>
      </c>
      <c r="K2581">
        <v>13</v>
      </c>
      <c r="L2581">
        <v>7</v>
      </c>
      <c r="M2581">
        <v>1.784</v>
      </c>
    </row>
    <row r="2582" spans="1:13" ht="15" customHeight="1">
      <c r="A2582" t="s">
        <v>32</v>
      </c>
      <c r="B2582">
        <f t="shared" si="160"/>
        <v>33.718404999999997</v>
      </c>
      <c r="C2582">
        <f t="shared" si="161"/>
        <v>-117.851675</v>
      </c>
      <c r="D2582">
        <f t="shared" si="162"/>
        <v>68</v>
      </c>
      <c r="E2582">
        <v>105.499</v>
      </c>
      <c r="F2582">
        <f t="shared" si="163"/>
        <v>-37.498999999999995</v>
      </c>
      <c r="G2582">
        <v>31.5</v>
      </c>
      <c r="H2582">
        <v>1.0249999999999999</v>
      </c>
      <c r="I2582">
        <v>3.0830000000000002</v>
      </c>
      <c r="J2582">
        <v>5</v>
      </c>
      <c r="K2582">
        <v>16</v>
      </c>
      <c r="L2582">
        <v>8</v>
      </c>
      <c r="M2582">
        <v>1.78</v>
      </c>
    </row>
    <row r="2583" spans="1:13" ht="15" customHeight="1">
      <c r="A2583" t="s">
        <v>32</v>
      </c>
      <c r="B2583">
        <f t="shared" si="160"/>
        <v>33.718404999999997</v>
      </c>
      <c r="C2583">
        <f t="shared" si="161"/>
        <v>-117.851675</v>
      </c>
      <c r="D2583">
        <f t="shared" si="162"/>
        <v>68</v>
      </c>
      <c r="E2583">
        <v>106.499</v>
      </c>
      <c r="F2583">
        <f t="shared" si="163"/>
        <v>-38.498999999999995</v>
      </c>
      <c r="G2583">
        <v>30.966999999999999</v>
      </c>
      <c r="H2583">
        <v>0.93300000000000005</v>
      </c>
      <c r="I2583">
        <v>2.8380000000000001</v>
      </c>
      <c r="J2583">
        <v>6</v>
      </c>
      <c r="K2583">
        <v>13</v>
      </c>
      <c r="L2583">
        <v>7</v>
      </c>
      <c r="M2583">
        <v>1.752</v>
      </c>
    </row>
    <row r="2584" spans="1:13" ht="15" customHeight="1">
      <c r="A2584" t="s">
        <v>32</v>
      </c>
      <c r="B2584">
        <f t="shared" si="160"/>
        <v>33.718404999999997</v>
      </c>
      <c r="C2584">
        <f t="shared" si="161"/>
        <v>-117.851675</v>
      </c>
      <c r="D2584">
        <f t="shared" si="162"/>
        <v>68</v>
      </c>
      <c r="E2584">
        <v>107.499</v>
      </c>
      <c r="F2584">
        <f t="shared" si="163"/>
        <v>-39.498999999999995</v>
      </c>
      <c r="G2584">
        <v>52.6</v>
      </c>
      <c r="H2584">
        <v>2.395</v>
      </c>
      <c r="I2584">
        <v>4.43</v>
      </c>
      <c r="J2584">
        <v>4</v>
      </c>
      <c r="K2584">
        <v>35</v>
      </c>
      <c r="L2584">
        <v>18</v>
      </c>
      <c r="M2584">
        <v>3.16</v>
      </c>
    </row>
    <row r="2585" spans="1:13" ht="15" customHeight="1">
      <c r="A2585" t="s">
        <v>32</v>
      </c>
      <c r="B2585">
        <f t="shared" si="160"/>
        <v>33.718404999999997</v>
      </c>
      <c r="C2585">
        <f t="shared" si="161"/>
        <v>-117.851675</v>
      </c>
      <c r="D2585">
        <f t="shared" si="162"/>
        <v>68</v>
      </c>
      <c r="E2585">
        <v>108.499</v>
      </c>
      <c r="F2585">
        <f t="shared" si="163"/>
        <v>-40.498999999999995</v>
      </c>
      <c r="G2585">
        <v>64.983000000000004</v>
      </c>
      <c r="H2585">
        <v>3.2530000000000001</v>
      </c>
      <c r="I2585">
        <v>4.9729999999999999</v>
      </c>
      <c r="J2585">
        <v>11</v>
      </c>
      <c r="K2585">
        <v>63</v>
      </c>
      <c r="L2585">
        <v>32</v>
      </c>
      <c r="M2585" s="1">
        <v>9000000000</v>
      </c>
    </row>
    <row r="2586" spans="1:13" ht="15" customHeight="1">
      <c r="A2586" t="s">
        <v>32</v>
      </c>
      <c r="B2586">
        <f t="shared" si="160"/>
        <v>33.718404999999997</v>
      </c>
      <c r="C2586">
        <f t="shared" si="161"/>
        <v>-117.851675</v>
      </c>
      <c r="D2586">
        <f t="shared" si="162"/>
        <v>68</v>
      </c>
      <c r="E2586">
        <v>109.499</v>
      </c>
      <c r="F2586">
        <f t="shared" si="163"/>
        <v>-41.498999999999995</v>
      </c>
      <c r="G2586">
        <v>38.799999999999997</v>
      </c>
      <c r="H2586">
        <v>1.6930000000000001</v>
      </c>
      <c r="I2586">
        <v>4.37</v>
      </c>
      <c r="J2586">
        <v>4</v>
      </c>
      <c r="K2586">
        <v>25</v>
      </c>
      <c r="L2586">
        <v>13</v>
      </c>
      <c r="M2586">
        <v>2.13</v>
      </c>
    </row>
    <row r="2587" spans="1:13" ht="15" customHeight="1">
      <c r="A2587" t="s">
        <v>32</v>
      </c>
      <c r="B2587">
        <f t="shared" si="160"/>
        <v>33.718404999999997</v>
      </c>
      <c r="C2587">
        <f t="shared" si="161"/>
        <v>-117.851675</v>
      </c>
      <c r="D2587">
        <f t="shared" si="162"/>
        <v>68</v>
      </c>
      <c r="E2587">
        <v>110.499</v>
      </c>
      <c r="F2587">
        <f t="shared" si="163"/>
        <v>-42.498999999999995</v>
      </c>
      <c r="G2587">
        <v>39.1</v>
      </c>
      <c r="H2587">
        <v>1.4430000000000001</v>
      </c>
      <c r="I2587">
        <v>3.69</v>
      </c>
      <c r="J2587">
        <v>5</v>
      </c>
      <c r="K2587">
        <v>19</v>
      </c>
      <c r="L2587">
        <v>10</v>
      </c>
      <c r="M2587">
        <v>2.15</v>
      </c>
    </row>
    <row r="2588" spans="1:13" ht="15" customHeight="1">
      <c r="A2588" t="s">
        <v>32</v>
      </c>
      <c r="B2588">
        <f t="shared" si="160"/>
        <v>33.718404999999997</v>
      </c>
      <c r="C2588">
        <f t="shared" si="161"/>
        <v>-117.851675</v>
      </c>
      <c r="D2588">
        <f t="shared" si="162"/>
        <v>68</v>
      </c>
      <c r="E2588">
        <v>111.499</v>
      </c>
      <c r="F2588">
        <f t="shared" si="163"/>
        <v>-43.498999999999995</v>
      </c>
      <c r="G2588">
        <v>31.966999999999999</v>
      </c>
      <c r="H2588">
        <v>1.1419999999999999</v>
      </c>
      <c r="I2588">
        <v>3.56</v>
      </c>
      <c r="J2588">
        <v>5</v>
      </c>
      <c r="K2588">
        <v>15</v>
      </c>
      <c r="L2588">
        <v>8</v>
      </c>
      <c r="M2588">
        <v>1.6759999999999999</v>
      </c>
    </row>
    <row r="2589" spans="1:13" ht="15" customHeight="1">
      <c r="A2589" t="s">
        <v>32</v>
      </c>
      <c r="B2589">
        <f t="shared" si="160"/>
        <v>33.718404999999997</v>
      </c>
      <c r="C2589">
        <f t="shared" si="161"/>
        <v>-117.851675</v>
      </c>
      <c r="D2589">
        <f t="shared" si="162"/>
        <v>68</v>
      </c>
      <c r="E2589">
        <v>112.499</v>
      </c>
      <c r="F2589">
        <f t="shared" si="163"/>
        <v>-44.498999999999995</v>
      </c>
      <c r="G2589">
        <v>79.150000000000006</v>
      </c>
      <c r="H2589">
        <v>3.8220000000000001</v>
      </c>
      <c r="I2589">
        <v>4.8029999999999999</v>
      </c>
      <c r="J2589">
        <v>11</v>
      </c>
      <c r="K2589">
        <v>76</v>
      </c>
      <c r="L2589">
        <v>38</v>
      </c>
      <c r="M2589" s="1">
        <v>9000000000</v>
      </c>
    </row>
    <row r="2590" spans="1:13" ht="15" customHeight="1">
      <c r="A2590" t="s">
        <v>32</v>
      </c>
      <c r="B2590">
        <f t="shared" si="160"/>
        <v>33.718404999999997</v>
      </c>
      <c r="C2590">
        <f t="shared" si="161"/>
        <v>-117.851675</v>
      </c>
      <c r="D2590">
        <f t="shared" si="162"/>
        <v>68</v>
      </c>
      <c r="E2590">
        <v>113.499</v>
      </c>
      <c r="F2590">
        <f t="shared" si="163"/>
        <v>-45.498999999999995</v>
      </c>
      <c r="G2590">
        <v>74.75</v>
      </c>
      <c r="H2590">
        <v>3.62</v>
      </c>
      <c r="I2590">
        <v>4.851</v>
      </c>
      <c r="J2590">
        <v>11</v>
      </c>
      <c r="K2590">
        <v>71</v>
      </c>
      <c r="L2590">
        <v>36</v>
      </c>
      <c r="M2590" s="1">
        <v>9000000000</v>
      </c>
    </row>
    <row r="2591" spans="1:13" ht="15" customHeight="1">
      <c r="A2591" t="s">
        <v>32</v>
      </c>
      <c r="B2591">
        <f t="shared" si="160"/>
        <v>33.718404999999997</v>
      </c>
      <c r="C2591">
        <f t="shared" si="161"/>
        <v>-117.851675</v>
      </c>
      <c r="D2591">
        <f t="shared" si="162"/>
        <v>68</v>
      </c>
      <c r="E2591">
        <v>114.499</v>
      </c>
      <c r="F2591">
        <f t="shared" si="163"/>
        <v>-46.498999999999995</v>
      </c>
      <c r="G2591">
        <v>34.856999999999999</v>
      </c>
      <c r="H2591">
        <v>1.073</v>
      </c>
      <c r="I2591">
        <v>3.089</v>
      </c>
      <c r="J2591">
        <v>5</v>
      </c>
      <c r="K2591">
        <v>17</v>
      </c>
      <c r="L2591">
        <v>9</v>
      </c>
      <c r="M2591">
        <v>1.84</v>
      </c>
    </row>
    <row r="2592" spans="1:13" ht="15" customHeight="1">
      <c r="A2592" t="s">
        <v>32</v>
      </c>
      <c r="B2592">
        <f t="shared" si="160"/>
        <v>33.718404999999997</v>
      </c>
      <c r="C2592">
        <f t="shared" si="161"/>
        <v>-117.851675</v>
      </c>
      <c r="D2592">
        <f t="shared" si="162"/>
        <v>68</v>
      </c>
      <c r="E2592">
        <v>115.499</v>
      </c>
      <c r="F2592">
        <f t="shared" si="163"/>
        <v>-47.498999999999995</v>
      </c>
      <c r="G2592">
        <v>38.917000000000002</v>
      </c>
      <c r="H2592">
        <v>1.363</v>
      </c>
      <c r="I2592">
        <v>3.512</v>
      </c>
      <c r="J2592">
        <v>5</v>
      </c>
      <c r="K2592">
        <v>19</v>
      </c>
      <c r="L2592">
        <v>10</v>
      </c>
      <c r="M2592">
        <v>2.109</v>
      </c>
    </row>
    <row r="2593" spans="1:13" ht="15" customHeight="1">
      <c r="A2593" t="s">
        <v>32</v>
      </c>
      <c r="B2593">
        <f t="shared" si="160"/>
        <v>33.718404999999997</v>
      </c>
      <c r="C2593">
        <f t="shared" si="161"/>
        <v>-117.851675</v>
      </c>
      <c r="D2593">
        <f t="shared" si="162"/>
        <v>68</v>
      </c>
      <c r="E2593">
        <v>116.499</v>
      </c>
      <c r="F2593">
        <f t="shared" si="163"/>
        <v>-48.498999999999995</v>
      </c>
      <c r="G2593">
        <v>32.216999999999999</v>
      </c>
      <c r="H2593">
        <v>0.93700000000000006</v>
      </c>
      <c r="I2593">
        <v>2.9159999999999999</v>
      </c>
      <c r="J2593">
        <v>5</v>
      </c>
      <c r="K2593">
        <v>15</v>
      </c>
      <c r="L2593">
        <v>8</v>
      </c>
      <c r="M2593">
        <v>1.6579999999999999</v>
      </c>
    </row>
    <row r="2594" spans="1:13" ht="15" customHeight="1">
      <c r="A2594" t="s">
        <v>32</v>
      </c>
      <c r="B2594">
        <f t="shared" si="160"/>
        <v>33.718404999999997</v>
      </c>
      <c r="C2594">
        <f t="shared" si="161"/>
        <v>-117.851675</v>
      </c>
      <c r="D2594">
        <f t="shared" si="162"/>
        <v>68</v>
      </c>
      <c r="E2594">
        <v>117.498</v>
      </c>
      <c r="F2594">
        <f t="shared" si="163"/>
        <v>-49.498000000000005</v>
      </c>
      <c r="G2594">
        <v>30.85</v>
      </c>
      <c r="H2594">
        <v>0.91500000000000004</v>
      </c>
      <c r="I2594">
        <v>2.972</v>
      </c>
      <c r="J2594">
        <v>5</v>
      </c>
      <c r="K2594">
        <v>15</v>
      </c>
      <c r="L2594">
        <v>8</v>
      </c>
      <c r="M2594">
        <v>1.5649999999999999</v>
      </c>
    </row>
    <row r="2595" spans="1:13" ht="15" customHeight="1">
      <c r="A2595" t="s">
        <v>32</v>
      </c>
      <c r="B2595">
        <f t="shared" si="160"/>
        <v>33.718404999999997</v>
      </c>
      <c r="C2595">
        <f t="shared" si="161"/>
        <v>-117.851675</v>
      </c>
      <c r="D2595">
        <f t="shared" si="162"/>
        <v>68</v>
      </c>
      <c r="E2595">
        <v>118.498</v>
      </c>
      <c r="F2595">
        <f t="shared" si="163"/>
        <v>-50.498000000000005</v>
      </c>
      <c r="G2595">
        <v>108.93300000000001</v>
      </c>
      <c r="H2595">
        <v>4.0970000000000004</v>
      </c>
      <c r="I2595">
        <v>3.762</v>
      </c>
      <c r="J2595">
        <v>6</v>
      </c>
      <c r="K2595">
        <v>42</v>
      </c>
      <c r="L2595">
        <v>21</v>
      </c>
      <c r="M2595">
        <v>6.7670000000000003</v>
      </c>
    </row>
    <row r="2596" spans="1:13" ht="15" customHeight="1">
      <c r="A2596" t="s">
        <v>32</v>
      </c>
      <c r="B2596">
        <f t="shared" si="160"/>
        <v>33.718404999999997</v>
      </c>
      <c r="C2596">
        <f t="shared" si="161"/>
        <v>-117.851675</v>
      </c>
      <c r="D2596">
        <f t="shared" si="162"/>
        <v>68</v>
      </c>
      <c r="E2596">
        <v>119.498</v>
      </c>
      <c r="F2596">
        <f t="shared" si="163"/>
        <v>-51.498000000000005</v>
      </c>
      <c r="G2596">
        <v>187.63300000000001</v>
      </c>
      <c r="H2596">
        <v>4.9029999999999996</v>
      </c>
      <c r="I2596">
        <v>2.6150000000000002</v>
      </c>
      <c r="J2596">
        <v>7</v>
      </c>
      <c r="K2596">
        <v>60</v>
      </c>
      <c r="L2596">
        <v>30</v>
      </c>
      <c r="M2596" s="1">
        <v>9000000000</v>
      </c>
    </row>
    <row r="2597" spans="1:13" ht="15" customHeight="1">
      <c r="A2597" t="s">
        <v>32</v>
      </c>
      <c r="B2597">
        <f t="shared" si="160"/>
        <v>33.718404999999997</v>
      </c>
      <c r="C2597">
        <f t="shared" si="161"/>
        <v>-117.851675</v>
      </c>
      <c r="D2597">
        <f t="shared" si="162"/>
        <v>68</v>
      </c>
      <c r="E2597">
        <v>120.498</v>
      </c>
      <c r="F2597">
        <f t="shared" si="163"/>
        <v>-52.498000000000005</v>
      </c>
      <c r="G2597">
        <v>379.517</v>
      </c>
      <c r="H2597">
        <v>3.9569999999999999</v>
      </c>
      <c r="I2597">
        <v>1.0429999999999999</v>
      </c>
      <c r="J2597">
        <v>9</v>
      </c>
      <c r="K2597">
        <v>73</v>
      </c>
      <c r="L2597">
        <v>37</v>
      </c>
      <c r="M2597" s="1">
        <v>9000000000</v>
      </c>
    </row>
    <row r="2598" spans="1:13" ht="15" customHeight="1">
      <c r="A2598" t="s">
        <v>32</v>
      </c>
      <c r="B2598">
        <f t="shared" si="160"/>
        <v>33.718404999999997</v>
      </c>
      <c r="C2598">
        <f t="shared" si="161"/>
        <v>-117.851675</v>
      </c>
      <c r="D2598">
        <f t="shared" si="162"/>
        <v>68</v>
      </c>
      <c r="E2598">
        <v>121.498</v>
      </c>
      <c r="F2598">
        <f t="shared" si="163"/>
        <v>-53.498000000000005</v>
      </c>
      <c r="G2598">
        <v>371.8</v>
      </c>
      <c r="H2598">
        <v>3.95</v>
      </c>
      <c r="I2598">
        <v>1.0629999999999999</v>
      </c>
      <c r="J2598">
        <v>9</v>
      </c>
      <c r="K2598">
        <v>71</v>
      </c>
      <c r="L2598">
        <v>36</v>
      </c>
      <c r="M2598" s="1">
        <v>9000000000</v>
      </c>
    </row>
    <row r="2599" spans="1:13" ht="15" customHeight="1">
      <c r="A2599" t="s">
        <v>33</v>
      </c>
      <c r="B2599">
        <f t="shared" si="160"/>
        <v>33.715702999999998</v>
      </c>
      <c r="C2599">
        <f t="shared" si="161"/>
        <v>-117.85176199999999</v>
      </c>
      <c r="D2599">
        <f t="shared" si="162"/>
        <v>64</v>
      </c>
      <c r="E2599">
        <v>0.5</v>
      </c>
      <c r="F2599">
        <f t="shared" si="163"/>
        <v>63.5</v>
      </c>
      <c r="G2599">
        <v>4.0830000000000002</v>
      </c>
      <c r="H2599">
        <v>2.5000000000000001E-2</v>
      </c>
      <c r="I2599">
        <v>0.61199999999999999</v>
      </c>
      <c r="J2599">
        <v>1</v>
      </c>
      <c r="K2599">
        <v>2</v>
      </c>
      <c r="L2599">
        <v>3</v>
      </c>
      <c r="M2599">
        <v>0.27100000000000002</v>
      </c>
    </row>
    <row r="2600" spans="1:13" ht="15" customHeight="1">
      <c r="A2600" t="s">
        <v>33</v>
      </c>
      <c r="B2600">
        <f t="shared" si="160"/>
        <v>33.715702999999998</v>
      </c>
      <c r="C2600">
        <f t="shared" si="161"/>
        <v>-117.85176199999999</v>
      </c>
      <c r="D2600">
        <f t="shared" si="162"/>
        <v>64</v>
      </c>
      <c r="E2600">
        <v>1.5</v>
      </c>
      <c r="F2600">
        <f t="shared" si="163"/>
        <v>62.5</v>
      </c>
      <c r="G2600">
        <v>14.433</v>
      </c>
      <c r="H2600">
        <v>0.52</v>
      </c>
      <c r="I2600">
        <v>3.6070000000000002</v>
      </c>
      <c r="J2600">
        <v>4</v>
      </c>
      <c r="K2600">
        <v>9</v>
      </c>
      <c r="L2600">
        <v>14</v>
      </c>
      <c r="M2600">
        <v>0.95599999999999996</v>
      </c>
    </row>
    <row r="2601" spans="1:13" ht="15" customHeight="1">
      <c r="A2601" t="s">
        <v>33</v>
      </c>
      <c r="B2601">
        <f t="shared" si="160"/>
        <v>33.715702999999998</v>
      </c>
      <c r="C2601">
        <f t="shared" si="161"/>
        <v>-117.85176199999999</v>
      </c>
      <c r="D2601">
        <f t="shared" si="162"/>
        <v>64</v>
      </c>
      <c r="E2601">
        <v>2.5</v>
      </c>
      <c r="F2601">
        <f t="shared" si="163"/>
        <v>61.5</v>
      </c>
      <c r="G2601">
        <v>11.75</v>
      </c>
      <c r="H2601">
        <v>0.498</v>
      </c>
      <c r="I2601">
        <v>4.2409999999999997</v>
      </c>
      <c r="J2601">
        <v>3</v>
      </c>
      <c r="K2601">
        <v>11</v>
      </c>
      <c r="L2601">
        <v>17</v>
      </c>
      <c r="M2601">
        <v>0.77400000000000002</v>
      </c>
    </row>
    <row r="2602" spans="1:13" ht="15" customHeight="1">
      <c r="A2602" t="s">
        <v>33</v>
      </c>
      <c r="B2602">
        <f t="shared" si="160"/>
        <v>33.715702999999998</v>
      </c>
      <c r="C2602">
        <f t="shared" si="161"/>
        <v>-117.85176199999999</v>
      </c>
      <c r="D2602">
        <f t="shared" si="162"/>
        <v>64</v>
      </c>
      <c r="E2602">
        <v>3.5</v>
      </c>
      <c r="F2602">
        <f t="shared" si="163"/>
        <v>60.5</v>
      </c>
      <c r="G2602">
        <v>9.9169999999999998</v>
      </c>
      <c r="H2602">
        <v>0.53</v>
      </c>
      <c r="I2602">
        <v>5.3540000000000001</v>
      </c>
      <c r="J2602">
        <v>3</v>
      </c>
      <c r="K2602">
        <v>9</v>
      </c>
      <c r="L2602">
        <v>14</v>
      </c>
      <c r="M2602">
        <v>0.64600000000000002</v>
      </c>
    </row>
    <row r="2603" spans="1:13" ht="15" customHeight="1">
      <c r="A2603" t="s">
        <v>33</v>
      </c>
      <c r="B2603">
        <f t="shared" si="160"/>
        <v>33.715702999999998</v>
      </c>
      <c r="C2603">
        <f t="shared" si="161"/>
        <v>-117.85176199999999</v>
      </c>
      <c r="D2603">
        <f t="shared" si="162"/>
        <v>64</v>
      </c>
      <c r="E2603">
        <v>4.5</v>
      </c>
      <c r="F2603">
        <f t="shared" si="163"/>
        <v>59.5</v>
      </c>
      <c r="G2603">
        <v>8</v>
      </c>
      <c r="H2603">
        <v>0.39200000000000002</v>
      </c>
      <c r="I2603">
        <v>4.8959999999999999</v>
      </c>
      <c r="J2603">
        <v>3</v>
      </c>
      <c r="K2603">
        <v>8</v>
      </c>
      <c r="L2603">
        <v>12</v>
      </c>
      <c r="M2603">
        <v>0.51600000000000001</v>
      </c>
    </row>
    <row r="2604" spans="1:13" ht="15" customHeight="1">
      <c r="A2604" t="s">
        <v>33</v>
      </c>
      <c r="B2604">
        <f t="shared" si="160"/>
        <v>33.715702999999998</v>
      </c>
      <c r="C2604">
        <f t="shared" si="161"/>
        <v>-117.85176199999999</v>
      </c>
      <c r="D2604">
        <f t="shared" si="162"/>
        <v>64</v>
      </c>
      <c r="E2604">
        <v>5.5</v>
      </c>
      <c r="F2604">
        <f t="shared" si="163"/>
        <v>58.5</v>
      </c>
      <c r="G2604">
        <v>5.6</v>
      </c>
      <c r="H2604">
        <v>0.28699999999999998</v>
      </c>
      <c r="I2604">
        <v>5.1189999999999998</v>
      </c>
      <c r="J2604">
        <v>3</v>
      </c>
      <c r="K2604">
        <v>5</v>
      </c>
      <c r="L2604">
        <v>8</v>
      </c>
      <c r="M2604">
        <v>0.35199999999999998</v>
      </c>
    </row>
    <row r="2605" spans="1:13" ht="15" customHeight="1">
      <c r="A2605" t="s">
        <v>33</v>
      </c>
      <c r="B2605">
        <f t="shared" si="160"/>
        <v>33.715702999999998</v>
      </c>
      <c r="C2605">
        <f t="shared" si="161"/>
        <v>-117.85176199999999</v>
      </c>
      <c r="D2605">
        <f t="shared" si="162"/>
        <v>64</v>
      </c>
      <c r="E2605">
        <v>6.5</v>
      </c>
      <c r="F2605">
        <f t="shared" si="163"/>
        <v>57.5</v>
      </c>
      <c r="G2605">
        <v>5.15</v>
      </c>
      <c r="H2605">
        <v>0.253</v>
      </c>
      <c r="I2605">
        <v>4.9349999999999996</v>
      </c>
      <c r="J2605">
        <v>3</v>
      </c>
      <c r="K2605">
        <v>5</v>
      </c>
      <c r="L2605">
        <v>8</v>
      </c>
      <c r="M2605">
        <v>0.317</v>
      </c>
    </row>
    <row r="2606" spans="1:13" ht="15" customHeight="1">
      <c r="A2606" t="s">
        <v>33</v>
      </c>
      <c r="B2606">
        <f t="shared" si="160"/>
        <v>33.715702999999998</v>
      </c>
      <c r="C2606">
        <f t="shared" si="161"/>
        <v>-117.85176199999999</v>
      </c>
      <c r="D2606">
        <f t="shared" si="162"/>
        <v>64</v>
      </c>
      <c r="E2606">
        <v>7.5</v>
      </c>
      <c r="F2606">
        <f t="shared" si="163"/>
        <v>56.5</v>
      </c>
      <c r="G2606">
        <v>7.7329999999999997</v>
      </c>
      <c r="H2606">
        <v>0.34499999999999997</v>
      </c>
      <c r="I2606">
        <v>4.4610000000000003</v>
      </c>
      <c r="J2606">
        <v>3</v>
      </c>
      <c r="K2606">
        <v>7</v>
      </c>
      <c r="L2606">
        <v>11</v>
      </c>
      <c r="M2606">
        <v>0.48599999999999999</v>
      </c>
    </row>
    <row r="2607" spans="1:13" ht="15" customHeight="1">
      <c r="A2607" t="s">
        <v>33</v>
      </c>
      <c r="B2607">
        <f t="shared" si="160"/>
        <v>33.715702999999998</v>
      </c>
      <c r="C2607">
        <f t="shared" si="161"/>
        <v>-117.85176199999999</v>
      </c>
      <c r="D2607">
        <f t="shared" si="162"/>
        <v>64</v>
      </c>
      <c r="E2607">
        <v>8.5</v>
      </c>
      <c r="F2607">
        <f t="shared" si="163"/>
        <v>55.5</v>
      </c>
      <c r="G2607">
        <v>7.3330000000000002</v>
      </c>
      <c r="H2607">
        <v>0.28199999999999997</v>
      </c>
      <c r="I2607">
        <v>3.8410000000000002</v>
      </c>
      <c r="J2607">
        <v>3</v>
      </c>
      <c r="K2607">
        <v>7</v>
      </c>
      <c r="L2607">
        <v>11</v>
      </c>
      <c r="M2607">
        <v>0.45500000000000002</v>
      </c>
    </row>
    <row r="2608" spans="1:13" ht="15" customHeight="1">
      <c r="A2608" t="s">
        <v>33</v>
      </c>
      <c r="B2608">
        <f t="shared" si="160"/>
        <v>33.715702999999998</v>
      </c>
      <c r="C2608">
        <f t="shared" si="161"/>
        <v>-117.85176199999999</v>
      </c>
      <c r="D2608">
        <f t="shared" si="162"/>
        <v>64</v>
      </c>
      <c r="E2608">
        <v>9.5</v>
      </c>
      <c r="F2608">
        <f t="shared" si="163"/>
        <v>54.5</v>
      </c>
      <c r="G2608">
        <v>12.617000000000001</v>
      </c>
      <c r="H2608">
        <v>0.46800000000000003</v>
      </c>
      <c r="I2608">
        <v>3.7069999999999999</v>
      </c>
      <c r="J2608">
        <v>4</v>
      </c>
      <c r="K2608">
        <v>8</v>
      </c>
      <c r="L2608">
        <v>12</v>
      </c>
      <c r="M2608">
        <v>0.80500000000000005</v>
      </c>
    </row>
    <row r="2609" spans="1:13" ht="15" customHeight="1">
      <c r="A2609" t="s">
        <v>33</v>
      </c>
      <c r="B2609">
        <f t="shared" si="160"/>
        <v>33.715702999999998</v>
      </c>
      <c r="C2609">
        <f t="shared" si="161"/>
        <v>-117.85176199999999</v>
      </c>
      <c r="D2609">
        <f t="shared" si="162"/>
        <v>64</v>
      </c>
      <c r="E2609">
        <v>10.5</v>
      </c>
      <c r="F2609">
        <f t="shared" si="163"/>
        <v>53.5</v>
      </c>
      <c r="G2609">
        <v>12.086</v>
      </c>
      <c r="H2609">
        <v>0.51</v>
      </c>
      <c r="I2609">
        <v>4.21</v>
      </c>
      <c r="J2609">
        <v>3</v>
      </c>
      <c r="K2609">
        <v>12</v>
      </c>
      <c r="L2609">
        <v>17</v>
      </c>
      <c r="M2609">
        <v>0.76600000000000001</v>
      </c>
    </row>
    <row r="2610" spans="1:13" ht="15" customHeight="1">
      <c r="A2610" t="s">
        <v>33</v>
      </c>
      <c r="B2610">
        <f t="shared" si="160"/>
        <v>33.715702999999998</v>
      </c>
      <c r="C2610">
        <f t="shared" si="161"/>
        <v>-117.85176199999999</v>
      </c>
      <c r="D2610">
        <f t="shared" si="162"/>
        <v>64</v>
      </c>
      <c r="E2610">
        <v>11.5</v>
      </c>
      <c r="F2610">
        <f t="shared" si="163"/>
        <v>52.5</v>
      </c>
      <c r="G2610">
        <v>10.532999999999999</v>
      </c>
      <c r="H2610">
        <v>0.41</v>
      </c>
      <c r="I2610">
        <v>3.88</v>
      </c>
      <c r="J2610">
        <v>3</v>
      </c>
      <c r="K2610">
        <v>10</v>
      </c>
      <c r="L2610">
        <v>13</v>
      </c>
      <c r="M2610">
        <v>0.65900000000000003</v>
      </c>
    </row>
    <row r="2611" spans="1:13" ht="15" customHeight="1">
      <c r="A2611" t="s">
        <v>33</v>
      </c>
      <c r="B2611">
        <f t="shared" si="160"/>
        <v>33.715702999999998</v>
      </c>
      <c r="C2611">
        <f t="shared" si="161"/>
        <v>-117.85176199999999</v>
      </c>
      <c r="D2611">
        <f t="shared" si="162"/>
        <v>64</v>
      </c>
      <c r="E2611">
        <v>12.5</v>
      </c>
      <c r="F2611">
        <f t="shared" si="163"/>
        <v>51.5</v>
      </c>
      <c r="G2611">
        <v>11.083</v>
      </c>
      <c r="H2611">
        <v>0.44</v>
      </c>
      <c r="I2611">
        <v>3.9580000000000002</v>
      </c>
      <c r="J2611">
        <v>3</v>
      </c>
      <c r="K2611">
        <v>11</v>
      </c>
      <c r="L2611">
        <v>14</v>
      </c>
      <c r="M2611">
        <v>0.69099999999999995</v>
      </c>
    </row>
    <row r="2612" spans="1:13" ht="15" customHeight="1">
      <c r="A2612" t="s">
        <v>33</v>
      </c>
      <c r="B2612">
        <f t="shared" si="160"/>
        <v>33.715702999999998</v>
      </c>
      <c r="C2612">
        <f t="shared" si="161"/>
        <v>-117.85176199999999</v>
      </c>
      <c r="D2612">
        <f t="shared" si="162"/>
        <v>64</v>
      </c>
      <c r="E2612">
        <v>13.5</v>
      </c>
      <c r="F2612">
        <f t="shared" si="163"/>
        <v>50.5</v>
      </c>
      <c r="G2612">
        <v>11.483000000000001</v>
      </c>
      <c r="H2612">
        <v>0.46200000000000002</v>
      </c>
      <c r="I2612">
        <v>4.0030000000000001</v>
      </c>
      <c r="J2612">
        <v>3</v>
      </c>
      <c r="K2612">
        <v>11</v>
      </c>
      <c r="L2612">
        <v>13</v>
      </c>
      <c r="M2612">
        <v>0.71499999999999997</v>
      </c>
    </row>
    <row r="2613" spans="1:13" ht="15" customHeight="1">
      <c r="A2613" t="s">
        <v>33</v>
      </c>
      <c r="B2613">
        <f t="shared" si="160"/>
        <v>33.715702999999998</v>
      </c>
      <c r="C2613">
        <f t="shared" si="161"/>
        <v>-117.85176199999999</v>
      </c>
      <c r="D2613">
        <f t="shared" si="162"/>
        <v>64</v>
      </c>
      <c r="E2613">
        <v>14.5</v>
      </c>
      <c r="F2613">
        <f t="shared" si="163"/>
        <v>49.5</v>
      </c>
      <c r="G2613">
        <v>8.3670000000000009</v>
      </c>
      <c r="H2613">
        <v>0.317</v>
      </c>
      <c r="I2613">
        <v>3.7770000000000001</v>
      </c>
      <c r="J2613">
        <v>3</v>
      </c>
      <c r="K2613">
        <v>8</v>
      </c>
      <c r="L2613">
        <v>9</v>
      </c>
      <c r="M2613">
        <v>0.501</v>
      </c>
    </row>
    <row r="2614" spans="1:13" ht="15" customHeight="1">
      <c r="A2614" t="s">
        <v>33</v>
      </c>
      <c r="B2614">
        <f t="shared" si="160"/>
        <v>33.715702999999998</v>
      </c>
      <c r="C2614">
        <f t="shared" si="161"/>
        <v>-117.85176199999999</v>
      </c>
      <c r="D2614">
        <f t="shared" si="162"/>
        <v>64</v>
      </c>
      <c r="E2614">
        <v>15.5</v>
      </c>
      <c r="F2614">
        <f t="shared" si="163"/>
        <v>48.5</v>
      </c>
      <c r="G2614">
        <v>9.1170000000000009</v>
      </c>
      <c r="H2614">
        <v>0.192</v>
      </c>
      <c r="I2614">
        <v>2.0830000000000002</v>
      </c>
      <c r="J2614">
        <v>5</v>
      </c>
      <c r="K2614">
        <v>4</v>
      </c>
      <c r="L2614">
        <v>4</v>
      </c>
      <c r="M2614">
        <v>0.55100000000000005</v>
      </c>
    </row>
    <row r="2615" spans="1:13" ht="15" customHeight="1">
      <c r="A2615" t="s">
        <v>33</v>
      </c>
      <c r="B2615">
        <f t="shared" si="160"/>
        <v>33.715702999999998</v>
      </c>
      <c r="C2615">
        <f t="shared" si="161"/>
        <v>-117.85176199999999</v>
      </c>
      <c r="D2615">
        <f t="shared" si="162"/>
        <v>64</v>
      </c>
      <c r="E2615">
        <v>16.5</v>
      </c>
      <c r="F2615">
        <f t="shared" si="163"/>
        <v>47.5</v>
      </c>
      <c r="G2615">
        <v>34.517000000000003</v>
      </c>
      <c r="H2615">
        <v>0.66800000000000004</v>
      </c>
      <c r="I2615">
        <v>1.9419999999999999</v>
      </c>
      <c r="J2615">
        <v>6</v>
      </c>
      <c r="K2615">
        <v>13</v>
      </c>
      <c r="L2615">
        <v>13</v>
      </c>
      <c r="M2615">
        <v>2.2280000000000002</v>
      </c>
    </row>
    <row r="2616" spans="1:13" ht="15" customHeight="1">
      <c r="A2616" t="s">
        <v>33</v>
      </c>
      <c r="B2616">
        <f t="shared" si="160"/>
        <v>33.715702999999998</v>
      </c>
      <c r="C2616">
        <f t="shared" si="161"/>
        <v>-117.85176199999999</v>
      </c>
      <c r="D2616">
        <f t="shared" si="162"/>
        <v>64</v>
      </c>
      <c r="E2616">
        <v>17.5</v>
      </c>
      <c r="F2616">
        <f t="shared" si="163"/>
        <v>46.5</v>
      </c>
      <c r="G2616">
        <v>102.783</v>
      </c>
      <c r="H2616">
        <v>0.78700000000000003</v>
      </c>
      <c r="I2616">
        <v>0.76700000000000002</v>
      </c>
      <c r="J2616">
        <v>8</v>
      </c>
      <c r="K2616">
        <v>25</v>
      </c>
      <c r="L2616">
        <v>24</v>
      </c>
      <c r="M2616" s="1">
        <v>9000000000</v>
      </c>
    </row>
    <row r="2617" spans="1:13" ht="15" customHeight="1">
      <c r="A2617" t="s">
        <v>33</v>
      </c>
      <c r="B2617">
        <f t="shared" si="160"/>
        <v>33.715702999999998</v>
      </c>
      <c r="C2617">
        <f t="shared" si="161"/>
        <v>-117.85176199999999</v>
      </c>
      <c r="D2617">
        <f t="shared" si="162"/>
        <v>64</v>
      </c>
      <c r="E2617">
        <v>18.5</v>
      </c>
      <c r="F2617">
        <f t="shared" si="163"/>
        <v>45.5</v>
      </c>
      <c r="G2617">
        <v>68.483000000000004</v>
      </c>
      <c r="H2617">
        <v>0.7</v>
      </c>
      <c r="I2617">
        <v>1.024</v>
      </c>
      <c r="J2617">
        <v>8</v>
      </c>
      <c r="K2617">
        <v>16</v>
      </c>
      <c r="L2617">
        <v>15</v>
      </c>
      <c r="M2617" s="1">
        <v>9000000000</v>
      </c>
    </row>
    <row r="2618" spans="1:13" ht="15" customHeight="1">
      <c r="A2618" t="s">
        <v>33</v>
      </c>
      <c r="B2618">
        <f t="shared" si="160"/>
        <v>33.715702999999998</v>
      </c>
      <c r="C2618">
        <f t="shared" si="161"/>
        <v>-117.85176199999999</v>
      </c>
      <c r="D2618">
        <f t="shared" si="162"/>
        <v>64</v>
      </c>
      <c r="E2618">
        <v>19.5</v>
      </c>
      <c r="F2618">
        <f t="shared" si="163"/>
        <v>44.5</v>
      </c>
      <c r="G2618">
        <v>29.283000000000001</v>
      </c>
      <c r="H2618">
        <v>0.74199999999999999</v>
      </c>
      <c r="I2618">
        <v>2.544</v>
      </c>
      <c r="J2618">
        <v>6</v>
      </c>
      <c r="K2618">
        <v>11</v>
      </c>
      <c r="L2618">
        <v>10</v>
      </c>
      <c r="M2618">
        <v>1.865</v>
      </c>
    </row>
    <row r="2619" spans="1:13" ht="15" customHeight="1">
      <c r="A2619" t="s">
        <v>33</v>
      </c>
      <c r="B2619">
        <f t="shared" si="160"/>
        <v>33.715702999999998</v>
      </c>
      <c r="C2619">
        <f t="shared" si="161"/>
        <v>-117.85176199999999</v>
      </c>
      <c r="D2619">
        <f t="shared" si="162"/>
        <v>64</v>
      </c>
      <c r="E2619">
        <v>20.5</v>
      </c>
      <c r="F2619">
        <f t="shared" si="163"/>
        <v>43.5</v>
      </c>
      <c r="G2619">
        <v>26.428999999999998</v>
      </c>
      <c r="H2619">
        <v>1.151</v>
      </c>
      <c r="I2619">
        <v>4.383</v>
      </c>
      <c r="J2619">
        <v>4</v>
      </c>
      <c r="K2619">
        <v>17</v>
      </c>
      <c r="L2619">
        <v>14</v>
      </c>
      <c r="M2619">
        <v>1.6679999999999999</v>
      </c>
    </row>
    <row r="2620" spans="1:13" ht="15" customHeight="1">
      <c r="A2620" t="s">
        <v>33</v>
      </c>
      <c r="B2620">
        <f t="shared" si="160"/>
        <v>33.715702999999998</v>
      </c>
      <c r="C2620">
        <f t="shared" si="161"/>
        <v>-117.85176199999999</v>
      </c>
      <c r="D2620">
        <f t="shared" si="162"/>
        <v>64</v>
      </c>
      <c r="E2620">
        <v>21.5</v>
      </c>
      <c r="F2620">
        <f t="shared" si="163"/>
        <v>42.5</v>
      </c>
      <c r="G2620">
        <v>36.017000000000003</v>
      </c>
      <c r="H2620">
        <v>1.2829999999999999</v>
      </c>
      <c r="I2620">
        <v>3.58</v>
      </c>
      <c r="J2620">
        <v>5</v>
      </c>
      <c r="K2620">
        <v>17</v>
      </c>
      <c r="L2620">
        <v>14</v>
      </c>
      <c r="M2620">
        <v>2.3029999999999999</v>
      </c>
    </row>
    <row r="2621" spans="1:13" ht="15" customHeight="1">
      <c r="A2621" t="s">
        <v>33</v>
      </c>
      <c r="B2621">
        <f t="shared" si="160"/>
        <v>33.715702999999998</v>
      </c>
      <c r="C2621">
        <f t="shared" si="161"/>
        <v>-117.85176199999999</v>
      </c>
      <c r="D2621">
        <f t="shared" si="162"/>
        <v>64</v>
      </c>
      <c r="E2621">
        <v>22.5</v>
      </c>
      <c r="F2621">
        <f t="shared" si="163"/>
        <v>41.5</v>
      </c>
      <c r="G2621">
        <v>13.1</v>
      </c>
      <c r="H2621">
        <v>0.49</v>
      </c>
      <c r="I2621">
        <v>3.794</v>
      </c>
      <c r="J2621">
        <v>4</v>
      </c>
      <c r="K2621">
        <v>8</v>
      </c>
      <c r="L2621">
        <v>6</v>
      </c>
      <c r="M2621">
        <v>0.77</v>
      </c>
    </row>
    <row r="2622" spans="1:13" ht="15" customHeight="1">
      <c r="A2622" t="s">
        <v>33</v>
      </c>
      <c r="B2622">
        <f t="shared" si="160"/>
        <v>33.715702999999998</v>
      </c>
      <c r="C2622">
        <f t="shared" si="161"/>
        <v>-117.85176199999999</v>
      </c>
      <c r="D2622">
        <f t="shared" si="162"/>
        <v>64</v>
      </c>
      <c r="E2622">
        <v>23.5</v>
      </c>
      <c r="F2622">
        <f t="shared" si="163"/>
        <v>40.5</v>
      </c>
      <c r="G2622">
        <v>14.4</v>
      </c>
      <c r="H2622">
        <v>0.61299999999999999</v>
      </c>
      <c r="I2622">
        <v>4.2990000000000004</v>
      </c>
      <c r="J2622">
        <v>3</v>
      </c>
      <c r="K2622">
        <v>14</v>
      </c>
      <c r="L2622">
        <v>11</v>
      </c>
      <c r="M2622">
        <v>0.85599999999999998</v>
      </c>
    </row>
    <row r="2623" spans="1:13" ht="15" customHeight="1">
      <c r="A2623" t="s">
        <v>33</v>
      </c>
      <c r="B2623">
        <f t="shared" si="160"/>
        <v>33.715702999999998</v>
      </c>
      <c r="C2623">
        <f t="shared" si="161"/>
        <v>-117.85176199999999</v>
      </c>
      <c r="D2623">
        <f t="shared" si="162"/>
        <v>64</v>
      </c>
      <c r="E2623">
        <v>24.5</v>
      </c>
      <c r="F2623">
        <f t="shared" si="163"/>
        <v>39.5</v>
      </c>
      <c r="G2623">
        <v>11.217000000000001</v>
      </c>
      <c r="H2623">
        <v>0.33800000000000002</v>
      </c>
      <c r="I2623">
        <v>3.0619999999999998</v>
      </c>
      <c r="J2623">
        <v>4</v>
      </c>
      <c r="K2623">
        <v>7</v>
      </c>
      <c r="L2623">
        <v>5</v>
      </c>
      <c r="M2623">
        <v>0.63700000000000001</v>
      </c>
    </row>
    <row r="2624" spans="1:13" ht="15" customHeight="1">
      <c r="A2624" t="s">
        <v>33</v>
      </c>
      <c r="B2624">
        <f t="shared" si="160"/>
        <v>33.715702999999998</v>
      </c>
      <c r="C2624">
        <f t="shared" si="161"/>
        <v>-117.85176199999999</v>
      </c>
      <c r="D2624">
        <f t="shared" si="162"/>
        <v>64</v>
      </c>
      <c r="E2624">
        <v>25.5</v>
      </c>
      <c r="F2624">
        <f t="shared" si="163"/>
        <v>38.5</v>
      </c>
      <c r="G2624">
        <v>16.95</v>
      </c>
      <c r="H2624">
        <v>0.66800000000000004</v>
      </c>
      <c r="I2624">
        <v>3.9780000000000002</v>
      </c>
      <c r="J2624">
        <v>4</v>
      </c>
      <c r="K2624">
        <v>11</v>
      </c>
      <c r="L2624">
        <v>8</v>
      </c>
      <c r="M2624">
        <v>1.0169999999999999</v>
      </c>
    </row>
    <row r="2625" spans="1:13" ht="15" customHeight="1">
      <c r="A2625" t="s">
        <v>33</v>
      </c>
      <c r="B2625">
        <f t="shared" si="160"/>
        <v>33.715702999999998</v>
      </c>
      <c r="C2625">
        <f t="shared" si="161"/>
        <v>-117.85176199999999</v>
      </c>
      <c r="D2625">
        <f t="shared" si="162"/>
        <v>64</v>
      </c>
      <c r="E2625">
        <v>26.5</v>
      </c>
      <c r="F2625">
        <f t="shared" si="163"/>
        <v>37.5</v>
      </c>
      <c r="G2625">
        <v>14.016999999999999</v>
      </c>
      <c r="H2625">
        <v>0.56699999999999995</v>
      </c>
      <c r="I2625">
        <v>4.0869999999999997</v>
      </c>
      <c r="J2625">
        <v>3</v>
      </c>
      <c r="K2625">
        <v>13</v>
      </c>
      <c r="L2625">
        <v>9</v>
      </c>
      <c r="M2625">
        <v>0.81699999999999995</v>
      </c>
    </row>
    <row r="2626" spans="1:13" ht="15" customHeight="1">
      <c r="A2626" t="s">
        <v>33</v>
      </c>
      <c r="B2626">
        <f t="shared" ref="B2626:B2689" si="164">VLOOKUP(A2626,XYdata,3,FALSE)</f>
        <v>33.715702999999998</v>
      </c>
      <c r="C2626">
        <f t="shared" ref="C2626:C2689" si="165">VLOOKUP(A2626,XYdata,2,FALSE)</f>
        <v>-117.85176199999999</v>
      </c>
      <c r="D2626">
        <f t="shared" ref="D2626:D2689" si="166">VLOOKUP(A2626,Elevation,2,FALSE)</f>
        <v>64</v>
      </c>
      <c r="E2626">
        <v>27.5</v>
      </c>
      <c r="F2626">
        <f t="shared" si="163"/>
        <v>36.5</v>
      </c>
      <c r="G2626">
        <v>33.533000000000001</v>
      </c>
      <c r="H2626">
        <v>1.6719999999999999</v>
      </c>
      <c r="I2626">
        <v>5.01</v>
      </c>
      <c r="J2626">
        <v>3</v>
      </c>
      <c r="K2626">
        <v>32</v>
      </c>
      <c r="L2626">
        <v>22</v>
      </c>
      <c r="M2626">
        <v>2.113</v>
      </c>
    </row>
    <row r="2627" spans="1:13" ht="15" customHeight="1">
      <c r="A2627" t="s">
        <v>33</v>
      </c>
      <c r="B2627">
        <f t="shared" si="164"/>
        <v>33.715702999999998</v>
      </c>
      <c r="C2627">
        <f t="shared" si="165"/>
        <v>-117.85176199999999</v>
      </c>
      <c r="D2627">
        <f t="shared" si="166"/>
        <v>64</v>
      </c>
      <c r="E2627">
        <v>28.5</v>
      </c>
      <c r="F2627">
        <f t="shared" ref="F2627:F2690" si="167">D2627-E2627</f>
        <v>35.5</v>
      </c>
      <c r="G2627">
        <v>27.033000000000001</v>
      </c>
      <c r="H2627">
        <v>1.573</v>
      </c>
      <c r="I2627">
        <v>5.8520000000000003</v>
      </c>
      <c r="J2627">
        <v>3</v>
      </c>
      <c r="K2627">
        <v>26</v>
      </c>
      <c r="L2627">
        <v>18</v>
      </c>
      <c r="M2627">
        <v>1.6759999999999999</v>
      </c>
    </row>
    <row r="2628" spans="1:13" ht="15" customHeight="1">
      <c r="A2628" t="s">
        <v>33</v>
      </c>
      <c r="B2628">
        <f t="shared" si="164"/>
        <v>33.715702999999998</v>
      </c>
      <c r="C2628">
        <f t="shared" si="165"/>
        <v>-117.85176199999999</v>
      </c>
      <c r="D2628">
        <f t="shared" si="166"/>
        <v>64</v>
      </c>
      <c r="E2628">
        <v>29.5</v>
      </c>
      <c r="F2628">
        <f t="shared" si="167"/>
        <v>34.5</v>
      </c>
      <c r="G2628">
        <v>11.782999999999999</v>
      </c>
      <c r="H2628">
        <v>0.36199999999999999</v>
      </c>
      <c r="I2628">
        <v>3.113</v>
      </c>
      <c r="J2628">
        <v>4</v>
      </c>
      <c r="K2628">
        <v>7</v>
      </c>
      <c r="L2628">
        <v>5</v>
      </c>
      <c r="M2628">
        <v>0.65500000000000003</v>
      </c>
    </row>
    <row r="2629" spans="1:13" ht="15" customHeight="1">
      <c r="A2629" t="s">
        <v>33</v>
      </c>
      <c r="B2629">
        <f t="shared" si="164"/>
        <v>33.715702999999998</v>
      </c>
      <c r="C2629">
        <f t="shared" si="165"/>
        <v>-117.85176199999999</v>
      </c>
      <c r="D2629">
        <f t="shared" si="166"/>
        <v>64</v>
      </c>
      <c r="E2629">
        <v>30.5</v>
      </c>
      <c r="F2629">
        <f t="shared" si="167"/>
        <v>33.5</v>
      </c>
      <c r="G2629">
        <v>13.867000000000001</v>
      </c>
      <c r="H2629">
        <v>0.377</v>
      </c>
      <c r="I2629">
        <v>2.746</v>
      </c>
      <c r="J2629">
        <v>5</v>
      </c>
      <c r="K2629">
        <v>7</v>
      </c>
      <c r="L2629">
        <v>5</v>
      </c>
      <c r="M2629">
        <v>0.79100000000000004</v>
      </c>
    </row>
    <row r="2630" spans="1:13" ht="15" customHeight="1">
      <c r="A2630" t="s">
        <v>33</v>
      </c>
      <c r="B2630">
        <f t="shared" si="164"/>
        <v>33.715702999999998</v>
      </c>
      <c r="C2630">
        <f t="shared" si="165"/>
        <v>-117.85176199999999</v>
      </c>
      <c r="D2630">
        <f t="shared" si="166"/>
        <v>64</v>
      </c>
      <c r="E2630">
        <v>31.5</v>
      </c>
      <c r="F2630">
        <f t="shared" si="167"/>
        <v>32.5</v>
      </c>
      <c r="G2630">
        <v>36.799999999999997</v>
      </c>
      <c r="H2630">
        <v>2.1030000000000002</v>
      </c>
      <c r="I2630">
        <v>5.7370000000000001</v>
      </c>
      <c r="J2630">
        <v>3</v>
      </c>
      <c r="K2630">
        <v>35</v>
      </c>
      <c r="L2630">
        <v>23</v>
      </c>
      <c r="M2630">
        <v>2.3159999999999998</v>
      </c>
    </row>
    <row r="2631" spans="1:13" ht="15" customHeight="1">
      <c r="A2631" t="s">
        <v>33</v>
      </c>
      <c r="B2631">
        <f t="shared" si="164"/>
        <v>33.715702999999998</v>
      </c>
      <c r="C2631">
        <f t="shared" si="165"/>
        <v>-117.85176199999999</v>
      </c>
      <c r="D2631">
        <f t="shared" si="166"/>
        <v>64</v>
      </c>
      <c r="E2631">
        <v>32.5</v>
      </c>
      <c r="F2631">
        <f t="shared" si="167"/>
        <v>31.5</v>
      </c>
      <c r="G2631">
        <v>30.516999999999999</v>
      </c>
      <c r="H2631">
        <v>1.768</v>
      </c>
      <c r="I2631">
        <v>5.8230000000000004</v>
      </c>
      <c r="J2631">
        <v>3</v>
      </c>
      <c r="K2631">
        <v>29</v>
      </c>
      <c r="L2631">
        <v>19</v>
      </c>
      <c r="M2631">
        <v>1.8919999999999999</v>
      </c>
    </row>
    <row r="2632" spans="1:13" ht="15" customHeight="1">
      <c r="A2632" t="s">
        <v>33</v>
      </c>
      <c r="B2632">
        <f t="shared" si="164"/>
        <v>33.715702999999998</v>
      </c>
      <c r="C2632">
        <f t="shared" si="165"/>
        <v>-117.85176199999999</v>
      </c>
      <c r="D2632">
        <f t="shared" si="166"/>
        <v>64</v>
      </c>
      <c r="E2632">
        <v>33.5</v>
      </c>
      <c r="F2632">
        <f t="shared" si="167"/>
        <v>30.5</v>
      </c>
      <c r="G2632">
        <v>29.55</v>
      </c>
      <c r="H2632">
        <v>1.373</v>
      </c>
      <c r="I2632">
        <v>4.6769999999999996</v>
      </c>
      <c r="J2632">
        <v>3</v>
      </c>
      <c r="K2632">
        <v>28</v>
      </c>
      <c r="L2632">
        <v>18</v>
      </c>
      <c r="M2632">
        <v>1.821</v>
      </c>
    </row>
    <row r="2633" spans="1:13" ht="15" customHeight="1">
      <c r="A2633" t="s">
        <v>33</v>
      </c>
      <c r="B2633">
        <f t="shared" si="164"/>
        <v>33.715702999999998</v>
      </c>
      <c r="C2633">
        <f t="shared" si="165"/>
        <v>-117.85176199999999</v>
      </c>
      <c r="D2633">
        <f t="shared" si="166"/>
        <v>64</v>
      </c>
      <c r="E2633">
        <v>34.5</v>
      </c>
      <c r="F2633">
        <f t="shared" si="167"/>
        <v>29.5</v>
      </c>
      <c r="G2633">
        <v>26.3</v>
      </c>
      <c r="H2633">
        <v>1.325</v>
      </c>
      <c r="I2633">
        <v>5.0640000000000001</v>
      </c>
      <c r="J2633">
        <v>3</v>
      </c>
      <c r="K2633">
        <v>25</v>
      </c>
      <c r="L2633">
        <v>16</v>
      </c>
      <c r="M2633">
        <v>1.6040000000000001</v>
      </c>
    </row>
    <row r="2634" spans="1:13" ht="15" customHeight="1">
      <c r="A2634" t="s">
        <v>33</v>
      </c>
      <c r="B2634">
        <f t="shared" si="164"/>
        <v>33.715702999999998</v>
      </c>
      <c r="C2634">
        <f t="shared" si="165"/>
        <v>-117.85176199999999</v>
      </c>
      <c r="D2634">
        <f t="shared" si="166"/>
        <v>64</v>
      </c>
      <c r="E2634">
        <v>35.5</v>
      </c>
      <c r="F2634">
        <f t="shared" si="167"/>
        <v>28.5</v>
      </c>
      <c r="G2634">
        <v>14.266999999999999</v>
      </c>
      <c r="H2634">
        <v>0.56299999999999994</v>
      </c>
      <c r="I2634">
        <v>3.9860000000000002</v>
      </c>
      <c r="J2634">
        <v>3</v>
      </c>
      <c r="K2634">
        <v>14</v>
      </c>
      <c r="L2634">
        <v>9</v>
      </c>
      <c r="M2634">
        <v>0.79800000000000004</v>
      </c>
    </row>
    <row r="2635" spans="1:13" ht="15" customHeight="1">
      <c r="A2635" t="s">
        <v>33</v>
      </c>
      <c r="B2635">
        <f t="shared" si="164"/>
        <v>33.715702999999998</v>
      </c>
      <c r="C2635">
        <f t="shared" si="165"/>
        <v>-117.85176199999999</v>
      </c>
      <c r="D2635">
        <f t="shared" si="166"/>
        <v>64</v>
      </c>
      <c r="E2635">
        <v>36.5</v>
      </c>
      <c r="F2635">
        <f t="shared" si="167"/>
        <v>27.5</v>
      </c>
      <c r="G2635">
        <v>15.132999999999999</v>
      </c>
      <c r="H2635">
        <v>0.55800000000000005</v>
      </c>
      <c r="I2635">
        <v>3.718</v>
      </c>
      <c r="J2635">
        <v>4</v>
      </c>
      <c r="K2635">
        <v>10</v>
      </c>
      <c r="L2635">
        <v>6</v>
      </c>
      <c r="M2635">
        <v>0.85199999999999998</v>
      </c>
    </row>
    <row r="2636" spans="1:13" ht="15" customHeight="1">
      <c r="A2636" t="s">
        <v>33</v>
      </c>
      <c r="B2636">
        <f t="shared" si="164"/>
        <v>33.715702999999998</v>
      </c>
      <c r="C2636">
        <f t="shared" si="165"/>
        <v>-117.85176199999999</v>
      </c>
      <c r="D2636">
        <f t="shared" si="166"/>
        <v>64</v>
      </c>
      <c r="E2636">
        <v>37.5</v>
      </c>
      <c r="F2636">
        <f t="shared" si="167"/>
        <v>26.5</v>
      </c>
      <c r="G2636">
        <v>18.667000000000002</v>
      </c>
      <c r="H2636">
        <v>0.82499999999999996</v>
      </c>
      <c r="I2636">
        <v>4.4509999999999996</v>
      </c>
      <c r="J2636">
        <v>3</v>
      </c>
      <c r="K2636">
        <v>18</v>
      </c>
      <c r="L2636">
        <v>11</v>
      </c>
      <c r="M2636">
        <v>1.083</v>
      </c>
    </row>
    <row r="2637" spans="1:13" ht="15" customHeight="1">
      <c r="A2637" t="s">
        <v>33</v>
      </c>
      <c r="B2637">
        <f t="shared" si="164"/>
        <v>33.715702999999998</v>
      </c>
      <c r="C2637">
        <f t="shared" si="165"/>
        <v>-117.85176199999999</v>
      </c>
      <c r="D2637">
        <f t="shared" si="166"/>
        <v>64</v>
      </c>
      <c r="E2637">
        <v>38.5</v>
      </c>
      <c r="F2637">
        <f t="shared" si="167"/>
        <v>25.5</v>
      </c>
      <c r="G2637">
        <v>21.117000000000001</v>
      </c>
      <c r="H2637">
        <v>0.86</v>
      </c>
      <c r="I2637">
        <v>4.0949999999999998</v>
      </c>
      <c r="J2637">
        <v>4</v>
      </c>
      <c r="K2637">
        <v>13</v>
      </c>
      <c r="L2637">
        <v>8</v>
      </c>
      <c r="M2637">
        <v>1.2430000000000001</v>
      </c>
    </row>
    <row r="2638" spans="1:13" ht="15" customHeight="1">
      <c r="A2638" t="s">
        <v>33</v>
      </c>
      <c r="B2638">
        <f t="shared" si="164"/>
        <v>33.715702999999998</v>
      </c>
      <c r="C2638">
        <f t="shared" si="165"/>
        <v>-117.85176199999999</v>
      </c>
      <c r="D2638">
        <f t="shared" si="166"/>
        <v>64</v>
      </c>
      <c r="E2638">
        <v>39.5</v>
      </c>
      <c r="F2638">
        <f t="shared" si="167"/>
        <v>24.5</v>
      </c>
      <c r="G2638">
        <v>45.317</v>
      </c>
      <c r="H2638">
        <v>2</v>
      </c>
      <c r="I2638">
        <v>4.423</v>
      </c>
      <c r="J2638">
        <v>4</v>
      </c>
      <c r="K2638">
        <v>29</v>
      </c>
      <c r="L2638">
        <v>17</v>
      </c>
      <c r="M2638">
        <v>2.8530000000000002</v>
      </c>
    </row>
    <row r="2639" spans="1:13" ht="15" customHeight="1">
      <c r="A2639" t="s">
        <v>33</v>
      </c>
      <c r="B2639">
        <f t="shared" si="164"/>
        <v>33.715702999999998</v>
      </c>
      <c r="C2639">
        <f t="shared" si="165"/>
        <v>-117.85176199999999</v>
      </c>
      <c r="D2639">
        <f t="shared" si="166"/>
        <v>64</v>
      </c>
      <c r="E2639">
        <v>40.5</v>
      </c>
      <c r="F2639">
        <f t="shared" si="167"/>
        <v>23.5</v>
      </c>
      <c r="G2639">
        <v>37.1</v>
      </c>
      <c r="H2639">
        <v>1.605</v>
      </c>
      <c r="I2639">
        <v>4.3460000000000001</v>
      </c>
      <c r="J2639">
        <v>4</v>
      </c>
      <c r="K2639">
        <v>24</v>
      </c>
      <c r="L2639">
        <v>14</v>
      </c>
      <c r="M2639">
        <v>2.2970000000000002</v>
      </c>
    </row>
    <row r="2640" spans="1:13" ht="15" customHeight="1">
      <c r="A2640" t="s">
        <v>33</v>
      </c>
      <c r="B2640">
        <f t="shared" si="164"/>
        <v>33.715702999999998</v>
      </c>
      <c r="C2640">
        <f t="shared" si="165"/>
        <v>-117.85176199999999</v>
      </c>
      <c r="D2640">
        <f t="shared" si="166"/>
        <v>64</v>
      </c>
      <c r="E2640">
        <v>41.499000000000002</v>
      </c>
      <c r="F2640">
        <f t="shared" si="167"/>
        <v>22.500999999999998</v>
      </c>
      <c r="G2640">
        <v>39.371000000000002</v>
      </c>
      <c r="H2640">
        <v>1.7210000000000001</v>
      </c>
      <c r="I2640">
        <v>4.3879999999999999</v>
      </c>
      <c r="J2640">
        <v>4</v>
      </c>
      <c r="K2640">
        <v>25</v>
      </c>
      <c r="L2640">
        <v>15</v>
      </c>
      <c r="M2640">
        <v>2.4460000000000002</v>
      </c>
    </row>
    <row r="2641" spans="1:13" ht="15" customHeight="1">
      <c r="A2641" t="s">
        <v>33</v>
      </c>
      <c r="B2641">
        <f t="shared" si="164"/>
        <v>33.715702999999998</v>
      </c>
      <c r="C2641">
        <f t="shared" si="165"/>
        <v>-117.85176199999999</v>
      </c>
      <c r="D2641">
        <f t="shared" si="166"/>
        <v>64</v>
      </c>
      <c r="E2641">
        <v>42.499000000000002</v>
      </c>
      <c r="F2641">
        <f t="shared" si="167"/>
        <v>21.500999999999998</v>
      </c>
      <c r="G2641">
        <v>29.9</v>
      </c>
      <c r="H2641">
        <v>1.1399999999999999</v>
      </c>
      <c r="I2641">
        <v>3.8319999999999999</v>
      </c>
      <c r="J2641">
        <v>4</v>
      </c>
      <c r="K2641">
        <v>19</v>
      </c>
      <c r="L2641">
        <v>11</v>
      </c>
      <c r="M2641">
        <v>1.81</v>
      </c>
    </row>
    <row r="2642" spans="1:13" ht="15" customHeight="1">
      <c r="A2642" t="s">
        <v>33</v>
      </c>
      <c r="B2642">
        <f t="shared" si="164"/>
        <v>33.715702999999998</v>
      </c>
      <c r="C2642">
        <f t="shared" si="165"/>
        <v>-117.85176199999999</v>
      </c>
      <c r="D2642">
        <f t="shared" si="166"/>
        <v>64</v>
      </c>
      <c r="E2642">
        <v>43.499000000000002</v>
      </c>
      <c r="F2642">
        <f t="shared" si="167"/>
        <v>20.500999999999998</v>
      </c>
      <c r="G2642">
        <v>24.867000000000001</v>
      </c>
      <c r="H2642">
        <v>1.2070000000000001</v>
      </c>
      <c r="I2642">
        <v>4.8819999999999997</v>
      </c>
      <c r="J2642">
        <v>3</v>
      </c>
      <c r="K2642">
        <v>24</v>
      </c>
      <c r="L2642">
        <v>14</v>
      </c>
      <c r="M2642">
        <v>1.47</v>
      </c>
    </row>
    <row r="2643" spans="1:13" ht="15" customHeight="1">
      <c r="A2643" t="s">
        <v>33</v>
      </c>
      <c r="B2643">
        <f t="shared" si="164"/>
        <v>33.715702999999998</v>
      </c>
      <c r="C2643">
        <f t="shared" si="165"/>
        <v>-117.85176199999999</v>
      </c>
      <c r="D2643">
        <f t="shared" si="166"/>
        <v>64</v>
      </c>
      <c r="E2643">
        <v>44.499000000000002</v>
      </c>
      <c r="F2643">
        <f t="shared" si="167"/>
        <v>19.500999999999998</v>
      </c>
      <c r="G2643">
        <v>96.983000000000004</v>
      </c>
      <c r="H2643">
        <v>3.78</v>
      </c>
      <c r="I2643">
        <v>3.9039999999999999</v>
      </c>
      <c r="J2643">
        <v>5</v>
      </c>
      <c r="K2643">
        <v>46</v>
      </c>
      <c r="L2643">
        <v>26</v>
      </c>
      <c r="M2643">
        <v>6.274</v>
      </c>
    </row>
    <row r="2644" spans="1:13" ht="15" customHeight="1">
      <c r="A2644" t="s">
        <v>33</v>
      </c>
      <c r="B2644">
        <f t="shared" si="164"/>
        <v>33.715702999999998</v>
      </c>
      <c r="C2644">
        <f t="shared" si="165"/>
        <v>-117.85176199999999</v>
      </c>
      <c r="D2644">
        <f t="shared" si="166"/>
        <v>64</v>
      </c>
      <c r="E2644">
        <v>45.499000000000002</v>
      </c>
      <c r="F2644">
        <f t="shared" si="167"/>
        <v>18.500999999999998</v>
      </c>
      <c r="G2644">
        <v>115.883</v>
      </c>
      <c r="H2644">
        <v>5.09</v>
      </c>
      <c r="I2644">
        <v>4.399</v>
      </c>
      <c r="J2644">
        <v>11</v>
      </c>
      <c r="K2644">
        <v>111</v>
      </c>
      <c r="L2644">
        <v>61</v>
      </c>
      <c r="M2644" s="1">
        <v>9000000000</v>
      </c>
    </row>
    <row r="2645" spans="1:13" ht="15" customHeight="1">
      <c r="A2645" t="s">
        <v>33</v>
      </c>
      <c r="B2645">
        <f t="shared" si="164"/>
        <v>33.715702999999998</v>
      </c>
      <c r="C2645">
        <f t="shared" si="165"/>
        <v>-117.85176199999999</v>
      </c>
      <c r="D2645">
        <f t="shared" si="166"/>
        <v>64</v>
      </c>
      <c r="E2645">
        <v>46.499000000000002</v>
      </c>
      <c r="F2645">
        <f t="shared" si="167"/>
        <v>17.500999999999998</v>
      </c>
      <c r="G2645">
        <v>125.017</v>
      </c>
      <c r="H2645">
        <v>4.8079999999999998</v>
      </c>
      <c r="I2645">
        <v>3.851</v>
      </c>
      <c r="J2645">
        <v>6</v>
      </c>
      <c r="K2645">
        <v>48</v>
      </c>
      <c r="L2645">
        <v>26</v>
      </c>
      <c r="M2645">
        <v>8.1329999999999991</v>
      </c>
    </row>
    <row r="2646" spans="1:13" ht="15" customHeight="1">
      <c r="A2646" t="s">
        <v>33</v>
      </c>
      <c r="B2646">
        <f t="shared" si="164"/>
        <v>33.715702999999998</v>
      </c>
      <c r="C2646">
        <f t="shared" si="165"/>
        <v>-117.85176199999999</v>
      </c>
      <c r="D2646">
        <f t="shared" si="166"/>
        <v>64</v>
      </c>
      <c r="E2646">
        <v>47.499000000000002</v>
      </c>
      <c r="F2646">
        <f t="shared" si="167"/>
        <v>16.500999999999998</v>
      </c>
      <c r="G2646">
        <v>262.7</v>
      </c>
      <c r="H2646">
        <v>5.8920000000000003</v>
      </c>
      <c r="I2646">
        <v>2.2440000000000002</v>
      </c>
      <c r="J2646">
        <v>7</v>
      </c>
      <c r="K2646">
        <v>84</v>
      </c>
      <c r="L2646">
        <v>45</v>
      </c>
      <c r="M2646" s="1">
        <v>9000000000</v>
      </c>
    </row>
    <row r="2647" spans="1:13" ht="15" customHeight="1">
      <c r="A2647" t="s">
        <v>33</v>
      </c>
      <c r="B2647">
        <f t="shared" si="164"/>
        <v>33.715702999999998</v>
      </c>
      <c r="C2647">
        <f t="shared" si="165"/>
        <v>-117.85176199999999</v>
      </c>
      <c r="D2647">
        <f t="shared" si="166"/>
        <v>64</v>
      </c>
      <c r="E2647">
        <v>48.499000000000002</v>
      </c>
      <c r="F2647">
        <f t="shared" si="167"/>
        <v>15.500999999999998</v>
      </c>
      <c r="G2647">
        <v>218.917</v>
      </c>
      <c r="H2647">
        <v>4.2919999999999998</v>
      </c>
      <c r="I2647">
        <v>1.962</v>
      </c>
      <c r="J2647">
        <v>8</v>
      </c>
      <c r="K2647">
        <v>52</v>
      </c>
      <c r="L2647">
        <v>28</v>
      </c>
      <c r="M2647" s="1">
        <v>9000000000</v>
      </c>
    </row>
    <row r="2648" spans="1:13" ht="15" customHeight="1">
      <c r="A2648" t="s">
        <v>33</v>
      </c>
      <c r="B2648">
        <f t="shared" si="164"/>
        <v>33.715702999999998</v>
      </c>
      <c r="C2648">
        <f t="shared" si="165"/>
        <v>-117.85176199999999</v>
      </c>
      <c r="D2648">
        <f t="shared" si="166"/>
        <v>64</v>
      </c>
      <c r="E2648">
        <v>49.499000000000002</v>
      </c>
      <c r="F2648">
        <f t="shared" si="167"/>
        <v>14.500999999999998</v>
      </c>
      <c r="G2648">
        <v>315.7</v>
      </c>
      <c r="H2648">
        <v>2.843</v>
      </c>
      <c r="I2648">
        <v>0.90100000000000002</v>
      </c>
      <c r="J2648">
        <v>9</v>
      </c>
      <c r="K2648">
        <v>60</v>
      </c>
      <c r="L2648">
        <v>32</v>
      </c>
      <c r="M2648" s="1">
        <v>9000000000</v>
      </c>
    </row>
    <row r="2649" spans="1:13" ht="15" customHeight="1">
      <c r="A2649" t="s">
        <v>33</v>
      </c>
      <c r="B2649">
        <f t="shared" si="164"/>
        <v>33.715702999999998</v>
      </c>
      <c r="C2649">
        <f t="shared" si="165"/>
        <v>-117.85176199999999</v>
      </c>
      <c r="D2649">
        <f t="shared" si="166"/>
        <v>64</v>
      </c>
      <c r="E2649">
        <v>50.499000000000002</v>
      </c>
      <c r="F2649">
        <f t="shared" si="167"/>
        <v>13.500999999999998</v>
      </c>
      <c r="G2649">
        <v>342.45</v>
      </c>
      <c r="H2649">
        <v>1.7330000000000001</v>
      </c>
      <c r="I2649">
        <v>0.50600000000000001</v>
      </c>
      <c r="J2649">
        <v>10</v>
      </c>
      <c r="K2649">
        <v>55</v>
      </c>
      <c r="L2649">
        <v>29</v>
      </c>
      <c r="M2649" s="1">
        <v>9000000000</v>
      </c>
    </row>
    <row r="2650" spans="1:13" ht="15" customHeight="1">
      <c r="A2650" t="s">
        <v>33</v>
      </c>
      <c r="B2650">
        <f t="shared" si="164"/>
        <v>33.715702999999998</v>
      </c>
      <c r="C2650">
        <f t="shared" si="165"/>
        <v>-117.85176199999999</v>
      </c>
      <c r="D2650">
        <f t="shared" si="166"/>
        <v>64</v>
      </c>
      <c r="E2650">
        <v>51.499000000000002</v>
      </c>
      <c r="F2650">
        <f t="shared" si="167"/>
        <v>12.500999999999998</v>
      </c>
      <c r="G2650">
        <v>313</v>
      </c>
      <c r="H2650">
        <v>2.2599999999999998</v>
      </c>
      <c r="I2650">
        <v>0.72199999999999998</v>
      </c>
      <c r="J2650">
        <v>9</v>
      </c>
      <c r="K2650">
        <v>60</v>
      </c>
      <c r="L2650">
        <v>31</v>
      </c>
      <c r="M2650" s="1">
        <v>9000000000</v>
      </c>
    </row>
    <row r="2651" spans="1:13" ht="15" customHeight="1">
      <c r="A2651" t="s">
        <v>33</v>
      </c>
      <c r="B2651">
        <f t="shared" si="164"/>
        <v>33.715702999999998</v>
      </c>
      <c r="C2651">
        <f t="shared" si="165"/>
        <v>-117.85176199999999</v>
      </c>
      <c r="D2651">
        <f t="shared" si="166"/>
        <v>64</v>
      </c>
      <c r="E2651">
        <v>52.499000000000002</v>
      </c>
      <c r="F2651">
        <f t="shared" si="167"/>
        <v>11.500999999999998</v>
      </c>
      <c r="G2651">
        <v>330.529</v>
      </c>
      <c r="H2651">
        <v>2.5859999999999999</v>
      </c>
      <c r="I2651">
        <v>0.78200000000000003</v>
      </c>
      <c r="J2651">
        <v>9</v>
      </c>
      <c r="K2651">
        <v>63</v>
      </c>
      <c r="L2651">
        <v>32</v>
      </c>
      <c r="M2651" s="1">
        <v>9000000000</v>
      </c>
    </row>
    <row r="2652" spans="1:13" ht="15" customHeight="1">
      <c r="A2652" t="s">
        <v>33</v>
      </c>
      <c r="B2652">
        <f t="shared" si="164"/>
        <v>33.715702999999998</v>
      </c>
      <c r="C2652">
        <f t="shared" si="165"/>
        <v>-117.85176199999999</v>
      </c>
      <c r="D2652">
        <f t="shared" si="166"/>
        <v>64</v>
      </c>
      <c r="E2652">
        <v>53.499000000000002</v>
      </c>
      <c r="F2652">
        <f t="shared" si="167"/>
        <v>10.500999999999998</v>
      </c>
      <c r="G2652">
        <v>242.68299999999999</v>
      </c>
      <c r="H2652">
        <v>1.738</v>
      </c>
      <c r="I2652">
        <v>0.71599999999999997</v>
      </c>
      <c r="J2652">
        <v>9</v>
      </c>
      <c r="K2652">
        <v>47</v>
      </c>
      <c r="L2652">
        <v>24</v>
      </c>
      <c r="M2652" s="1">
        <v>9000000000</v>
      </c>
    </row>
    <row r="2653" spans="1:13" ht="15" customHeight="1">
      <c r="A2653" t="s">
        <v>33</v>
      </c>
      <c r="B2653">
        <f t="shared" si="164"/>
        <v>33.715702999999998</v>
      </c>
      <c r="C2653">
        <f t="shared" si="165"/>
        <v>-117.85176199999999</v>
      </c>
      <c r="D2653">
        <f t="shared" si="166"/>
        <v>64</v>
      </c>
      <c r="E2653">
        <v>54.499000000000002</v>
      </c>
      <c r="F2653">
        <f t="shared" si="167"/>
        <v>9.5009999999999977</v>
      </c>
      <c r="G2653">
        <v>282.31700000000001</v>
      </c>
      <c r="H2653">
        <v>1.542</v>
      </c>
      <c r="I2653">
        <v>0.54600000000000004</v>
      </c>
      <c r="J2653">
        <v>10</v>
      </c>
      <c r="K2653">
        <v>45</v>
      </c>
      <c r="L2653">
        <v>23</v>
      </c>
      <c r="M2653" s="1">
        <v>9000000000</v>
      </c>
    </row>
    <row r="2654" spans="1:13" ht="15" customHeight="1">
      <c r="A2654" t="s">
        <v>33</v>
      </c>
      <c r="B2654">
        <f t="shared" si="164"/>
        <v>33.715702999999998</v>
      </c>
      <c r="C2654">
        <f t="shared" si="165"/>
        <v>-117.85176199999999</v>
      </c>
      <c r="D2654">
        <f t="shared" si="166"/>
        <v>64</v>
      </c>
      <c r="E2654">
        <v>55.499000000000002</v>
      </c>
      <c r="F2654">
        <f t="shared" si="167"/>
        <v>8.5009999999999977</v>
      </c>
      <c r="G2654">
        <v>326.56700000000001</v>
      </c>
      <c r="H2654">
        <v>4.1749999999999998</v>
      </c>
      <c r="I2654">
        <v>1.278</v>
      </c>
      <c r="J2654">
        <v>9</v>
      </c>
      <c r="K2654">
        <v>63</v>
      </c>
      <c r="L2654">
        <v>32</v>
      </c>
      <c r="M2654" s="1">
        <v>9000000000</v>
      </c>
    </row>
    <row r="2655" spans="1:13" ht="15" customHeight="1">
      <c r="A2655" t="s">
        <v>33</v>
      </c>
      <c r="B2655">
        <f t="shared" si="164"/>
        <v>33.715702999999998</v>
      </c>
      <c r="C2655">
        <f t="shared" si="165"/>
        <v>-117.85176199999999</v>
      </c>
      <c r="D2655">
        <f t="shared" si="166"/>
        <v>64</v>
      </c>
      <c r="E2655">
        <v>56.499000000000002</v>
      </c>
      <c r="F2655">
        <f t="shared" si="167"/>
        <v>7.5009999999999977</v>
      </c>
      <c r="G2655">
        <v>126.95</v>
      </c>
      <c r="H2655">
        <v>2.3620000000000001</v>
      </c>
      <c r="I2655">
        <v>1.857</v>
      </c>
      <c r="J2655">
        <v>7</v>
      </c>
      <c r="K2655">
        <v>41</v>
      </c>
      <c r="L2655">
        <v>21</v>
      </c>
      <c r="M2655" s="1">
        <v>9000000000</v>
      </c>
    </row>
    <row r="2656" spans="1:13" ht="15" customHeight="1">
      <c r="A2656" t="s">
        <v>33</v>
      </c>
      <c r="B2656">
        <f t="shared" si="164"/>
        <v>33.715702999999998</v>
      </c>
      <c r="C2656">
        <f t="shared" si="165"/>
        <v>-117.85176199999999</v>
      </c>
      <c r="D2656">
        <f t="shared" si="166"/>
        <v>64</v>
      </c>
      <c r="E2656">
        <v>57.499000000000002</v>
      </c>
      <c r="F2656">
        <f t="shared" si="167"/>
        <v>6.5009999999999977</v>
      </c>
      <c r="G2656">
        <v>26.433</v>
      </c>
      <c r="H2656">
        <v>0.627</v>
      </c>
      <c r="I2656">
        <v>2.3079999999999998</v>
      </c>
      <c r="J2656">
        <v>6</v>
      </c>
      <c r="K2656">
        <v>10</v>
      </c>
      <c r="L2656">
        <v>5</v>
      </c>
      <c r="M2656">
        <v>1.573</v>
      </c>
    </row>
    <row r="2657" spans="1:13" ht="15" customHeight="1">
      <c r="A2657" t="s">
        <v>33</v>
      </c>
      <c r="B2657">
        <f t="shared" si="164"/>
        <v>33.715702999999998</v>
      </c>
      <c r="C2657">
        <f t="shared" si="165"/>
        <v>-117.85176199999999</v>
      </c>
      <c r="D2657">
        <f t="shared" si="166"/>
        <v>64</v>
      </c>
      <c r="E2657">
        <v>58.499000000000002</v>
      </c>
      <c r="F2657">
        <f t="shared" si="167"/>
        <v>5.5009999999999977</v>
      </c>
      <c r="G2657">
        <v>24.65</v>
      </c>
      <c r="H2657">
        <v>0.72799999999999998</v>
      </c>
      <c r="I2657">
        <v>2.8180000000000001</v>
      </c>
      <c r="J2657">
        <v>5</v>
      </c>
      <c r="K2657">
        <v>12</v>
      </c>
      <c r="L2657">
        <v>6</v>
      </c>
      <c r="M2657">
        <v>1.4830000000000001</v>
      </c>
    </row>
    <row r="2658" spans="1:13" ht="15" customHeight="1">
      <c r="A2658" t="s">
        <v>33</v>
      </c>
      <c r="B2658">
        <f t="shared" si="164"/>
        <v>33.715702999999998</v>
      </c>
      <c r="C2658">
        <f t="shared" si="165"/>
        <v>-117.85176199999999</v>
      </c>
      <c r="D2658">
        <f t="shared" si="166"/>
        <v>64</v>
      </c>
      <c r="E2658">
        <v>59.499000000000002</v>
      </c>
      <c r="F2658">
        <f t="shared" si="167"/>
        <v>4.5009999999999977</v>
      </c>
      <c r="G2658">
        <v>123.483</v>
      </c>
      <c r="H2658">
        <v>2.33</v>
      </c>
      <c r="I2658">
        <v>1.887</v>
      </c>
      <c r="J2658">
        <v>7</v>
      </c>
      <c r="K2658">
        <v>39</v>
      </c>
      <c r="L2658">
        <v>20</v>
      </c>
      <c r="M2658" s="1">
        <v>9000000000</v>
      </c>
    </row>
    <row r="2659" spans="1:13" ht="15" customHeight="1">
      <c r="A2659" t="s">
        <v>33</v>
      </c>
      <c r="B2659">
        <f t="shared" si="164"/>
        <v>33.715702999999998</v>
      </c>
      <c r="C2659">
        <f t="shared" si="165"/>
        <v>-117.85176199999999</v>
      </c>
      <c r="D2659">
        <f t="shared" si="166"/>
        <v>64</v>
      </c>
      <c r="E2659">
        <v>60.499000000000002</v>
      </c>
      <c r="F2659">
        <f t="shared" si="167"/>
        <v>3.5009999999999977</v>
      </c>
      <c r="G2659">
        <v>234.983</v>
      </c>
      <c r="H2659">
        <v>2.7069999999999999</v>
      </c>
      <c r="I2659">
        <v>1.1519999999999999</v>
      </c>
      <c r="J2659">
        <v>9</v>
      </c>
      <c r="K2659">
        <v>45</v>
      </c>
      <c r="L2659">
        <v>23</v>
      </c>
      <c r="M2659" s="1">
        <v>9000000000</v>
      </c>
    </row>
    <row r="2660" spans="1:13" ht="15" customHeight="1">
      <c r="A2660" t="s">
        <v>33</v>
      </c>
      <c r="B2660">
        <f t="shared" si="164"/>
        <v>33.715702999999998</v>
      </c>
      <c r="C2660">
        <f t="shared" si="165"/>
        <v>-117.85176199999999</v>
      </c>
      <c r="D2660">
        <f t="shared" si="166"/>
        <v>64</v>
      </c>
      <c r="E2660">
        <v>61.499000000000002</v>
      </c>
      <c r="F2660">
        <f t="shared" si="167"/>
        <v>2.5009999999999977</v>
      </c>
      <c r="G2660">
        <v>30.2</v>
      </c>
      <c r="H2660">
        <v>1.0549999999999999</v>
      </c>
      <c r="I2660">
        <v>3.488</v>
      </c>
      <c r="J2660">
        <v>5</v>
      </c>
      <c r="K2660">
        <v>14</v>
      </c>
      <c r="L2660">
        <v>7</v>
      </c>
      <c r="M2660">
        <v>1.764</v>
      </c>
    </row>
    <row r="2661" spans="1:13" ht="15" customHeight="1">
      <c r="A2661" t="s">
        <v>33</v>
      </c>
      <c r="B2661">
        <f t="shared" si="164"/>
        <v>33.715702999999998</v>
      </c>
      <c r="C2661">
        <f t="shared" si="165"/>
        <v>-117.85176199999999</v>
      </c>
      <c r="D2661">
        <f t="shared" si="166"/>
        <v>64</v>
      </c>
      <c r="E2661">
        <v>62.499000000000002</v>
      </c>
      <c r="F2661">
        <f t="shared" si="167"/>
        <v>1.5009999999999977</v>
      </c>
      <c r="G2661">
        <v>21.556999999999999</v>
      </c>
      <c r="H2661">
        <v>0.57099999999999995</v>
      </c>
      <c r="I2661">
        <v>2.6539999999999999</v>
      </c>
      <c r="J2661">
        <v>5</v>
      </c>
      <c r="K2661">
        <v>10</v>
      </c>
      <c r="L2661">
        <v>5</v>
      </c>
      <c r="M2661">
        <v>1.1779999999999999</v>
      </c>
    </row>
    <row r="2662" spans="1:13" ht="15" customHeight="1">
      <c r="A2662" t="s">
        <v>33</v>
      </c>
      <c r="B2662">
        <f t="shared" si="164"/>
        <v>33.715702999999998</v>
      </c>
      <c r="C2662">
        <f t="shared" si="165"/>
        <v>-117.85176199999999</v>
      </c>
      <c r="D2662">
        <f t="shared" si="166"/>
        <v>64</v>
      </c>
      <c r="E2662">
        <v>63.499000000000002</v>
      </c>
      <c r="F2662">
        <f t="shared" si="167"/>
        <v>0.50099999999999767</v>
      </c>
      <c r="G2662">
        <v>16.983000000000001</v>
      </c>
      <c r="H2662">
        <v>0.34699999999999998</v>
      </c>
      <c r="I2662">
        <v>2.0169999999999999</v>
      </c>
      <c r="J2662">
        <v>5</v>
      </c>
      <c r="K2662">
        <v>8</v>
      </c>
      <c r="L2662">
        <v>4</v>
      </c>
      <c r="M2662">
        <v>0.88400000000000001</v>
      </c>
    </row>
    <row r="2663" spans="1:13" ht="15" customHeight="1">
      <c r="A2663" t="s">
        <v>33</v>
      </c>
      <c r="B2663">
        <f t="shared" si="164"/>
        <v>33.715702999999998</v>
      </c>
      <c r="C2663">
        <f t="shared" si="165"/>
        <v>-117.85176199999999</v>
      </c>
      <c r="D2663">
        <f t="shared" si="166"/>
        <v>64</v>
      </c>
      <c r="E2663">
        <v>64.498999999999995</v>
      </c>
      <c r="F2663">
        <f t="shared" si="167"/>
        <v>-0.49899999999999523</v>
      </c>
      <c r="G2663">
        <v>24.15</v>
      </c>
      <c r="H2663">
        <v>0.52200000000000002</v>
      </c>
      <c r="I2663">
        <v>2.073</v>
      </c>
      <c r="J2663">
        <v>6</v>
      </c>
      <c r="K2663">
        <v>10</v>
      </c>
      <c r="L2663">
        <v>5</v>
      </c>
      <c r="M2663">
        <v>1.4119999999999999</v>
      </c>
    </row>
    <row r="2664" spans="1:13" ht="15" customHeight="1">
      <c r="A2664" t="s">
        <v>33</v>
      </c>
      <c r="B2664">
        <f t="shared" si="164"/>
        <v>33.715702999999998</v>
      </c>
      <c r="C2664">
        <f t="shared" si="165"/>
        <v>-117.85176199999999</v>
      </c>
      <c r="D2664">
        <f t="shared" si="166"/>
        <v>64</v>
      </c>
      <c r="E2664">
        <v>65.498999999999995</v>
      </c>
      <c r="F2664">
        <f t="shared" si="167"/>
        <v>-1.4989999999999952</v>
      </c>
      <c r="G2664">
        <v>60.85</v>
      </c>
      <c r="H2664">
        <v>2.7149999999999999</v>
      </c>
      <c r="I2664">
        <v>4.4059999999999997</v>
      </c>
      <c r="J2664">
        <v>5</v>
      </c>
      <c r="K2664">
        <v>30</v>
      </c>
      <c r="L2664">
        <v>15</v>
      </c>
      <c r="M2664">
        <v>3.8380000000000001</v>
      </c>
    </row>
    <row r="2665" spans="1:13" ht="15" customHeight="1">
      <c r="A2665" t="s">
        <v>33</v>
      </c>
      <c r="B2665">
        <f t="shared" si="164"/>
        <v>33.715702999999998</v>
      </c>
      <c r="C2665">
        <f t="shared" si="165"/>
        <v>-117.85176199999999</v>
      </c>
      <c r="D2665">
        <f t="shared" si="166"/>
        <v>64</v>
      </c>
      <c r="E2665">
        <v>66.498999999999995</v>
      </c>
      <c r="F2665">
        <f t="shared" si="167"/>
        <v>-2.4989999999999952</v>
      </c>
      <c r="G2665">
        <v>70.066999999999993</v>
      </c>
      <c r="H2665">
        <v>3.698</v>
      </c>
      <c r="I2665">
        <v>5.2869999999999999</v>
      </c>
      <c r="J2665">
        <v>11</v>
      </c>
      <c r="K2665">
        <v>67</v>
      </c>
      <c r="L2665">
        <v>34</v>
      </c>
      <c r="M2665" s="1">
        <v>9000000000</v>
      </c>
    </row>
    <row r="2666" spans="1:13" ht="15" customHeight="1">
      <c r="A2666" t="s">
        <v>33</v>
      </c>
      <c r="B2666">
        <f t="shared" si="164"/>
        <v>33.715702999999998</v>
      </c>
      <c r="C2666">
        <f t="shared" si="165"/>
        <v>-117.85176199999999</v>
      </c>
      <c r="D2666">
        <f t="shared" si="166"/>
        <v>64</v>
      </c>
      <c r="E2666">
        <v>67.498999999999995</v>
      </c>
      <c r="F2666">
        <f t="shared" si="167"/>
        <v>-3.4989999999999952</v>
      </c>
      <c r="G2666">
        <v>30.7</v>
      </c>
      <c r="H2666">
        <v>1.2729999999999999</v>
      </c>
      <c r="I2666">
        <v>4.157</v>
      </c>
      <c r="J2666">
        <v>4</v>
      </c>
      <c r="K2666">
        <v>20</v>
      </c>
      <c r="L2666">
        <v>10</v>
      </c>
      <c r="M2666">
        <v>1.764</v>
      </c>
    </row>
    <row r="2667" spans="1:13" ht="15" customHeight="1">
      <c r="A2667" t="s">
        <v>33</v>
      </c>
      <c r="B2667">
        <f t="shared" si="164"/>
        <v>33.715702999999998</v>
      </c>
      <c r="C2667">
        <f t="shared" si="165"/>
        <v>-117.85176199999999</v>
      </c>
      <c r="D2667">
        <f t="shared" si="166"/>
        <v>64</v>
      </c>
      <c r="E2667">
        <v>68.498999999999995</v>
      </c>
      <c r="F2667">
        <f t="shared" si="167"/>
        <v>-4.4989999999999952</v>
      </c>
      <c r="G2667">
        <v>28.25</v>
      </c>
      <c r="H2667">
        <v>1.1100000000000001</v>
      </c>
      <c r="I2667">
        <v>3.9340000000000002</v>
      </c>
      <c r="J2667">
        <v>4</v>
      </c>
      <c r="K2667">
        <v>18</v>
      </c>
      <c r="L2667">
        <v>9</v>
      </c>
      <c r="M2667">
        <v>1.599</v>
      </c>
    </row>
    <row r="2668" spans="1:13" ht="15" customHeight="1">
      <c r="A2668" t="s">
        <v>33</v>
      </c>
      <c r="B2668">
        <f t="shared" si="164"/>
        <v>33.715702999999998</v>
      </c>
      <c r="C2668">
        <f t="shared" si="165"/>
        <v>-117.85176199999999</v>
      </c>
      <c r="D2668">
        <f t="shared" si="166"/>
        <v>64</v>
      </c>
      <c r="E2668">
        <v>69.498999999999995</v>
      </c>
      <c r="F2668">
        <f t="shared" si="167"/>
        <v>-5.4989999999999952</v>
      </c>
      <c r="G2668">
        <v>23.7</v>
      </c>
      <c r="H2668">
        <v>0.69499999999999995</v>
      </c>
      <c r="I2668">
        <v>2.9319999999999999</v>
      </c>
      <c r="J2668">
        <v>5</v>
      </c>
      <c r="K2668">
        <v>11</v>
      </c>
      <c r="L2668">
        <v>6</v>
      </c>
      <c r="M2668">
        <v>1.2929999999999999</v>
      </c>
    </row>
    <row r="2669" spans="1:13" ht="15" customHeight="1">
      <c r="A2669" t="s">
        <v>33</v>
      </c>
      <c r="B2669">
        <f t="shared" si="164"/>
        <v>33.715702999999998</v>
      </c>
      <c r="C2669">
        <f t="shared" si="165"/>
        <v>-117.85176199999999</v>
      </c>
      <c r="D2669">
        <f t="shared" si="166"/>
        <v>64</v>
      </c>
      <c r="E2669">
        <v>70.498999999999995</v>
      </c>
      <c r="F2669">
        <f t="shared" si="167"/>
        <v>-6.4989999999999952</v>
      </c>
      <c r="G2669">
        <v>25.132999999999999</v>
      </c>
      <c r="H2669">
        <v>0.70699999999999996</v>
      </c>
      <c r="I2669">
        <v>2.806</v>
      </c>
      <c r="J2669">
        <v>5</v>
      </c>
      <c r="K2669">
        <v>12</v>
      </c>
      <c r="L2669">
        <v>6</v>
      </c>
      <c r="M2669">
        <v>1.3879999999999999</v>
      </c>
    </row>
    <row r="2670" spans="1:13" ht="15" customHeight="1">
      <c r="A2670" t="s">
        <v>33</v>
      </c>
      <c r="B2670">
        <f t="shared" si="164"/>
        <v>33.715702999999998</v>
      </c>
      <c r="C2670">
        <f t="shared" si="165"/>
        <v>-117.85176199999999</v>
      </c>
      <c r="D2670">
        <f t="shared" si="166"/>
        <v>64</v>
      </c>
      <c r="E2670">
        <v>71.498999999999995</v>
      </c>
      <c r="F2670">
        <f t="shared" si="167"/>
        <v>-7.4989999999999952</v>
      </c>
      <c r="G2670">
        <v>38.167000000000002</v>
      </c>
      <c r="H2670">
        <v>1.8819999999999999</v>
      </c>
      <c r="I2670">
        <v>4.9109999999999996</v>
      </c>
      <c r="J2670">
        <v>3</v>
      </c>
      <c r="K2670">
        <v>37</v>
      </c>
      <c r="L2670">
        <v>19</v>
      </c>
      <c r="M2670">
        <v>2.2599999999999998</v>
      </c>
    </row>
    <row r="2671" spans="1:13" ht="15" customHeight="1">
      <c r="A2671" t="s">
        <v>33</v>
      </c>
      <c r="B2671">
        <f t="shared" si="164"/>
        <v>33.715702999999998</v>
      </c>
      <c r="C2671">
        <f t="shared" si="165"/>
        <v>-117.85176199999999</v>
      </c>
      <c r="D2671">
        <f t="shared" si="166"/>
        <v>64</v>
      </c>
      <c r="E2671">
        <v>72.498999999999995</v>
      </c>
      <c r="F2671">
        <f t="shared" si="167"/>
        <v>-8.4989999999999952</v>
      </c>
      <c r="G2671">
        <v>35.700000000000003</v>
      </c>
      <c r="H2671">
        <v>1.3069999999999999</v>
      </c>
      <c r="I2671">
        <v>3.6640000000000001</v>
      </c>
      <c r="J2671">
        <v>5</v>
      </c>
      <c r="K2671">
        <v>17</v>
      </c>
      <c r="L2671">
        <v>9</v>
      </c>
      <c r="M2671">
        <v>2.0790000000000002</v>
      </c>
    </row>
    <row r="2672" spans="1:13" ht="15" customHeight="1">
      <c r="A2672" t="s">
        <v>33</v>
      </c>
      <c r="B2672">
        <f t="shared" si="164"/>
        <v>33.715702999999998</v>
      </c>
      <c r="C2672">
        <f t="shared" si="165"/>
        <v>-117.85176199999999</v>
      </c>
      <c r="D2672">
        <f t="shared" si="166"/>
        <v>64</v>
      </c>
      <c r="E2672">
        <v>73.498999999999995</v>
      </c>
      <c r="F2672">
        <f t="shared" si="167"/>
        <v>-9.4989999999999952</v>
      </c>
      <c r="G2672">
        <v>47.933</v>
      </c>
      <c r="H2672">
        <v>2.4430000000000001</v>
      </c>
      <c r="I2672">
        <v>5.0970000000000004</v>
      </c>
      <c r="J2672">
        <v>3</v>
      </c>
      <c r="K2672">
        <v>46</v>
      </c>
      <c r="L2672">
        <v>23</v>
      </c>
      <c r="M2672">
        <v>2.8919999999999999</v>
      </c>
    </row>
    <row r="2673" spans="1:13" ht="15" customHeight="1">
      <c r="A2673" t="s">
        <v>33</v>
      </c>
      <c r="B2673">
        <f t="shared" si="164"/>
        <v>33.715702999999998</v>
      </c>
      <c r="C2673">
        <f t="shared" si="165"/>
        <v>-117.85176199999999</v>
      </c>
      <c r="D2673">
        <f t="shared" si="166"/>
        <v>64</v>
      </c>
      <c r="E2673">
        <v>74.498999999999995</v>
      </c>
      <c r="F2673">
        <f t="shared" si="167"/>
        <v>-10.498999999999995</v>
      </c>
      <c r="G2673">
        <v>69.283000000000001</v>
      </c>
      <c r="H2673">
        <v>3.5670000000000002</v>
      </c>
      <c r="I2673">
        <v>5.1520000000000001</v>
      </c>
      <c r="J2673">
        <v>11</v>
      </c>
      <c r="K2673">
        <v>66</v>
      </c>
      <c r="L2673">
        <v>33</v>
      </c>
      <c r="M2673" s="1">
        <v>9000000000</v>
      </c>
    </row>
    <row r="2674" spans="1:13" ht="15" customHeight="1">
      <c r="A2674" t="s">
        <v>33</v>
      </c>
      <c r="B2674">
        <f t="shared" si="164"/>
        <v>33.715702999999998</v>
      </c>
      <c r="C2674">
        <f t="shared" si="165"/>
        <v>-117.85176199999999</v>
      </c>
      <c r="D2674">
        <f t="shared" si="166"/>
        <v>64</v>
      </c>
      <c r="E2674">
        <v>75.498999999999995</v>
      </c>
      <c r="F2674">
        <f t="shared" si="167"/>
        <v>-11.498999999999995</v>
      </c>
      <c r="G2674">
        <v>207.55</v>
      </c>
      <c r="H2674">
        <v>3.052</v>
      </c>
      <c r="I2674">
        <v>1.4710000000000001</v>
      </c>
      <c r="J2674">
        <v>8</v>
      </c>
      <c r="K2674">
        <v>50</v>
      </c>
      <c r="L2674">
        <v>25</v>
      </c>
      <c r="M2674" s="1">
        <v>9000000000</v>
      </c>
    </row>
    <row r="2675" spans="1:13" ht="15" customHeight="1">
      <c r="A2675" t="s">
        <v>33</v>
      </c>
      <c r="B2675">
        <f t="shared" si="164"/>
        <v>33.715702999999998</v>
      </c>
      <c r="C2675">
        <f t="shared" si="165"/>
        <v>-117.85176199999999</v>
      </c>
      <c r="D2675">
        <f t="shared" si="166"/>
        <v>64</v>
      </c>
      <c r="E2675">
        <v>76.498999999999995</v>
      </c>
      <c r="F2675">
        <f t="shared" si="167"/>
        <v>-12.498999999999995</v>
      </c>
      <c r="G2675">
        <v>308.2</v>
      </c>
      <c r="H2675">
        <v>1.407</v>
      </c>
      <c r="I2675">
        <v>0.45700000000000002</v>
      </c>
      <c r="J2675">
        <v>10</v>
      </c>
      <c r="K2675">
        <v>49</v>
      </c>
      <c r="L2675">
        <v>25</v>
      </c>
      <c r="M2675" s="1">
        <v>9000000000</v>
      </c>
    </row>
    <row r="2676" spans="1:13" ht="15" customHeight="1">
      <c r="A2676" t="s">
        <v>33</v>
      </c>
      <c r="B2676">
        <f t="shared" si="164"/>
        <v>33.715702999999998</v>
      </c>
      <c r="C2676">
        <f t="shared" si="165"/>
        <v>-117.85176199999999</v>
      </c>
      <c r="D2676">
        <f t="shared" si="166"/>
        <v>64</v>
      </c>
      <c r="E2676">
        <v>77.498999999999995</v>
      </c>
      <c r="F2676">
        <f t="shared" si="167"/>
        <v>-13.498999999999995</v>
      </c>
      <c r="G2676">
        <v>333.517</v>
      </c>
      <c r="H2676">
        <v>1.9019999999999999</v>
      </c>
      <c r="I2676">
        <v>0.56999999999999995</v>
      </c>
      <c r="J2676">
        <v>10</v>
      </c>
      <c r="K2676">
        <v>53</v>
      </c>
      <c r="L2676">
        <v>27</v>
      </c>
      <c r="M2676" s="1">
        <v>9000000000</v>
      </c>
    </row>
    <row r="2677" spans="1:13" ht="15" customHeight="1">
      <c r="A2677" t="s">
        <v>33</v>
      </c>
      <c r="B2677">
        <f t="shared" si="164"/>
        <v>33.715702999999998</v>
      </c>
      <c r="C2677">
        <f t="shared" si="165"/>
        <v>-117.85176199999999</v>
      </c>
      <c r="D2677">
        <f t="shared" si="166"/>
        <v>64</v>
      </c>
      <c r="E2677">
        <v>78.498999999999995</v>
      </c>
      <c r="F2677">
        <f t="shared" si="167"/>
        <v>-14.498999999999995</v>
      </c>
      <c r="G2677">
        <v>349.75</v>
      </c>
      <c r="H2677">
        <v>1.8220000000000001</v>
      </c>
      <c r="I2677">
        <v>0.52100000000000002</v>
      </c>
      <c r="J2677">
        <v>10</v>
      </c>
      <c r="K2677">
        <v>56</v>
      </c>
      <c r="L2677">
        <v>28</v>
      </c>
      <c r="M2677" s="1">
        <v>9000000000</v>
      </c>
    </row>
    <row r="2678" spans="1:13" ht="15" customHeight="1">
      <c r="A2678" t="s">
        <v>33</v>
      </c>
      <c r="B2678">
        <f t="shared" si="164"/>
        <v>33.715702999999998</v>
      </c>
      <c r="C2678">
        <f t="shared" si="165"/>
        <v>-117.85176199999999</v>
      </c>
      <c r="D2678">
        <f t="shared" si="166"/>
        <v>64</v>
      </c>
      <c r="E2678">
        <v>79.498999999999995</v>
      </c>
      <c r="F2678">
        <f t="shared" si="167"/>
        <v>-15.498999999999995</v>
      </c>
      <c r="G2678">
        <v>387.733</v>
      </c>
      <c r="H2678">
        <v>2.347</v>
      </c>
      <c r="I2678">
        <v>0.60499999999999998</v>
      </c>
      <c r="J2678">
        <v>10</v>
      </c>
      <c r="K2678">
        <v>62</v>
      </c>
      <c r="L2678">
        <v>31</v>
      </c>
      <c r="M2678" s="1">
        <v>9000000000</v>
      </c>
    </row>
    <row r="2679" spans="1:13" ht="15" customHeight="1">
      <c r="A2679" t="s">
        <v>33</v>
      </c>
      <c r="B2679">
        <f t="shared" si="164"/>
        <v>33.715702999999998</v>
      </c>
      <c r="C2679">
        <f t="shared" si="165"/>
        <v>-117.85176199999999</v>
      </c>
      <c r="D2679">
        <f t="shared" si="166"/>
        <v>64</v>
      </c>
      <c r="E2679">
        <v>80.498999999999995</v>
      </c>
      <c r="F2679">
        <f t="shared" si="167"/>
        <v>-16.498999999999995</v>
      </c>
      <c r="G2679">
        <v>62.082999999999998</v>
      </c>
      <c r="H2679">
        <v>1.413</v>
      </c>
      <c r="I2679">
        <v>2.2829999999999999</v>
      </c>
      <c r="J2679">
        <v>6</v>
      </c>
      <c r="K2679">
        <v>24</v>
      </c>
      <c r="L2679">
        <v>12</v>
      </c>
      <c r="M2679">
        <v>3.794</v>
      </c>
    </row>
    <row r="2680" spans="1:13" ht="15" customHeight="1">
      <c r="A2680" t="s">
        <v>33</v>
      </c>
      <c r="B2680">
        <f t="shared" si="164"/>
        <v>33.715702999999998</v>
      </c>
      <c r="C2680">
        <f t="shared" si="165"/>
        <v>-117.85176199999999</v>
      </c>
      <c r="D2680">
        <f t="shared" si="166"/>
        <v>64</v>
      </c>
      <c r="E2680">
        <v>81.498999999999995</v>
      </c>
      <c r="F2680">
        <f t="shared" si="167"/>
        <v>-17.498999999999995</v>
      </c>
      <c r="G2680">
        <v>28.533000000000001</v>
      </c>
      <c r="H2680">
        <v>0.94799999999999995</v>
      </c>
      <c r="I2680">
        <v>3.3450000000000002</v>
      </c>
      <c r="J2680">
        <v>5</v>
      </c>
      <c r="K2680">
        <v>14</v>
      </c>
      <c r="L2680">
        <v>7</v>
      </c>
      <c r="M2680">
        <v>1.552</v>
      </c>
    </row>
    <row r="2681" spans="1:13" ht="15" customHeight="1">
      <c r="A2681" t="s">
        <v>33</v>
      </c>
      <c r="B2681">
        <f t="shared" si="164"/>
        <v>33.715702999999998</v>
      </c>
      <c r="C2681">
        <f t="shared" si="165"/>
        <v>-117.85176199999999</v>
      </c>
      <c r="D2681">
        <f t="shared" si="166"/>
        <v>64</v>
      </c>
      <c r="E2681">
        <v>82.498999999999995</v>
      </c>
      <c r="F2681">
        <f t="shared" si="167"/>
        <v>-18.498999999999995</v>
      </c>
      <c r="G2681">
        <v>34.417000000000002</v>
      </c>
      <c r="H2681">
        <v>1.075</v>
      </c>
      <c r="I2681">
        <v>3.137</v>
      </c>
      <c r="J2681">
        <v>5</v>
      </c>
      <c r="K2681">
        <v>16</v>
      </c>
      <c r="L2681">
        <v>8</v>
      </c>
      <c r="M2681">
        <v>1.9430000000000001</v>
      </c>
    </row>
    <row r="2682" spans="1:13" ht="15" customHeight="1">
      <c r="A2682" t="s">
        <v>33</v>
      </c>
      <c r="B2682">
        <f t="shared" si="164"/>
        <v>33.715702999999998</v>
      </c>
      <c r="C2682">
        <f t="shared" si="165"/>
        <v>-117.85176199999999</v>
      </c>
      <c r="D2682">
        <f t="shared" si="166"/>
        <v>64</v>
      </c>
      <c r="E2682">
        <v>83.498999999999995</v>
      </c>
      <c r="F2682">
        <f t="shared" si="167"/>
        <v>-19.498999999999995</v>
      </c>
      <c r="G2682">
        <v>37.957000000000001</v>
      </c>
      <c r="H2682">
        <v>1.841</v>
      </c>
      <c r="I2682">
        <v>4.8639999999999999</v>
      </c>
      <c r="J2682">
        <v>3</v>
      </c>
      <c r="K2682">
        <v>36</v>
      </c>
      <c r="L2682">
        <v>18</v>
      </c>
      <c r="M2682">
        <v>2.1779999999999999</v>
      </c>
    </row>
    <row r="2683" spans="1:13" ht="15" customHeight="1">
      <c r="A2683" t="s">
        <v>33</v>
      </c>
      <c r="B2683">
        <f t="shared" si="164"/>
        <v>33.715702999999998</v>
      </c>
      <c r="C2683">
        <f t="shared" si="165"/>
        <v>-117.85176199999999</v>
      </c>
      <c r="D2683">
        <f t="shared" si="166"/>
        <v>64</v>
      </c>
      <c r="E2683">
        <v>84.498999999999995</v>
      </c>
      <c r="F2683">
        <f t="shared" si="167"/>
        <v>-20.498999999999995</v>
      </c>
      <c r="G2683">
        <v>63.45</v>
      </c>
      <c r="H2683">
        <v>2.883</v>
      </c>
      <c r="I2683">
        <v>4.5510000000000002</v>
      </c>
      <c r="J2683">
        <v>4</v>
      </c>
      <c r="K2683">
        <v>40</v>
      </c>
      <c r="L2683">
        <v>20</v>
      </c>
      <c r="M2683">
        <v>3.8730000000000002</v>
      </c>
    </row>
    <row r="2684" spans="1:13" ht="15" customHeight="1">
      <c r="A2684" t="s">
        <v>33</v>
      </c>
      <c r="B2684">
        <f t="shared" si="164"/>
        <v>33.715702999999998</v>
      </c>
      <c r="C2684">
        <f t="shared" si="165"/>
        <v>-117.85176199999999</v>
      </c>
      <c r="D2684">
        <f t="shared" si="166"/>
        <v>64</v>
      </c>
      <c r="E2684">
        <v>85.498999999999995</v>
      </c>
      <c r="F2684">
        <f t="shared" si="167"/>
        <v>-21.498999999999995</v>
      </c>
      <c r="G2684">
        <v>35.616999999999997</v>
      </c>
      <c r="H2684">
        <v>1.698</v>
      </c>
      <c r="I2684">
        <v>4.782</v>
      </c>
      <c r="J2684">
        <v>3</v>
      </c>
      <c r="K2684">
        <v>34</v>
      </c>
      <c r="L2684">
        <v>17</v>
      </c>
      <c r="M2684">
        <v>2.0139999999999998</v>
      </c>
    </row>
    <row r="2685" spans="1:13" ht="15" customHeight="1">
      <c r="A2685" t="s">
        <v>33</v>
      </c>
      <c r="B2685">
        <f t="shared" si="164"/>
        <v>33.715702999999998</v>
      </c>
      <c r="C2685">
        <f t="shared" si="165"/>
        <v>-117.85176199999999</v>
      </c>
      <c r="D2685">
        <f t="shared" si="166"/>
        <v>64</v>
      </c>
      <c r="E2685">
        <v>86.498999999999995</v>
      </c>
      <c r="F2685">
        <f t="shared" si="167"/>
        <v>-22.498999999999995</v>
      </c>
      <c r="G2685">
        <v>28.167000000000002</v>
      </c>
      <c r="H2685">
        <v>0.94499999999999995</v>
      </c>
      <c r="I2685">
        <v>3.363</v>
      </c>
      <c r="J2685">
        <v>5</v>
      </c>
      <c r="K2685">
        <v>13</v>
      </c>
      <c r="L2685">
        <v>7</v>
      </c>
      <c r="M2685">
        <v>1.5149999999999999</v>
      </c>
    </row>
    <row r="2686" spans="1:13" ht="15" customHeight="1">
      <c r="A2686" t="s">
        <v>33</v>
      </c>
      <c r="B2686">
        <f t="shared" si="164"/>
        <v>33.715702999999998</v>
      </c>
      <c r="C2686">
        <f t="shared" si="165"/>
        <v>-117.85176199999999</v>
      </c>
      <c r="D2686">
        <f t="shared" si="166"/>
        <v>64</v>
      </c>
      <c r="E2686">
        <v>87.498999999999995</v>
      </c>
      <c r="F2686">
        <f t="shared" si="167"/>
        <v>-23.498999999999995</v>
      </c>
      <c r="G2686">
        <v>26.216999999999999</v>
      </c>
      <c r="H2686">
        <v>0.82199999999999995</v>
      </c>
      <c r="I2686">
        <v>3.1360000000000001</v>
      </c>
      <c r="J2686">
        <v>5</v>
      </c>
      <c r="K2686">
        <v>13</v>
      </c>
      <c r="L2686">
        <v>7</v>
      </c>
      <c r="M2686">
        <v>1.3839999999999999</v>
      </c>
    </row>
    <row r="2687" spans="1:13" ht="15" customHeight="1">
      <c r="A2687" t="s">
        <v>33</v>
      </c>
      <c r="B2687">
        <f t="shared" si="164"/>
        <v>33.715702999999998</v>
      </c>
      <c r="C2687">
        <f t="shared" si="165"/>
        <v>-117.85176199999999</v>
      </c>
      <c r="D2687">
        <f t="shared" si="166"/>
        <v>64</v>
      </c>
      <c r="E2687">
        <v>88.498999999999995</v>
      </c>
      <c r="F2687">
        <f t="shared" si="167"/>
        <v>-24.498999999999995</v>
      </c>
      <c r="G2687">
        <v>26.3</v>
      </c>
      <c r="H2687">
        <v>0.83799999999999997</v>
      </c>
      <c r="I2687">
        <v>3.1819999999999999</v>
      </c>
      <c r="J2687">
        <v>5</v>
      </c>
      <c r="K2687">
        <v>13</v>
      </c>
      <c r="L2687">
        <v>7</v>
      </c>
      <c r="M2687">
        <v>1.39</v>
      </c>
    </row>
    <row r="2688" spans="1:13" ht="15" customHeight="1">
      <c r="A2688" t="s">
        <v>33</v>
      </c>
      <c r="B2688">
        <f t="shared" si="164"/>
        <v>33.715702999999998</v>
      </c>
      <c r="C2688">
        <f t="shared" si="165"/>
        <v>-117.85176199999999</v>
      </c>
      <c r="D2688">
        <f t="shared" si="166"/>
        <v>64</v>
      </c>
      <c r="E2688">
        <v>89.498999999999995</v>
      </c>
      <c r="F2688">
        <f t="shared" si="167"/>
        <v>-25.498999999999995</v>
      </c>
      <c r="G2688">
        <v>26.7</v>
      </c>
      <c r="H2688">
        <v>0.8</v>
      </c>
      <c r="I2688">
        <v>2.9889999999999999</v>
      </c>
      <c r="J2688">
        <v>5</v>
      </c>
      <c r="K2688">
        <v>13</v>
      </c>
      <c r="L2688">
        <v>7</v>
      </c>
      <c r="M2688">
        <v>1.4139999999999999</v>
      </c>
    </row>
    <row r="2689" spans="1:13" ht="15" customHeight="1">
      <c r="A2689" t="s">
        <v>33</v>
      </c>
      <c r="B2689">
        <f t="shared" si="164"/>
        <v>33.715702999999998</v>
      </c>
      <c r="C2689">
        <f t="shared" si="165"/>
        <v>-117.85176199999999</v>
      </c>
      <c r="D2689">
        <f t="shared" si="166"/>
        <v>64</v>
      </c>
      <c r="E2689">
        <v>90.498999999999995</v>
      </c>
      <c r="F2689">
        <f t="shared" si="167"/>
        <v>-26.498999999999995</v>
      </c>
      <c r="G2689">
        <v>25.766999999999999</v>
      </c>
      <c r="H2689">
        <v>0.76300000000000001</v>
      </c>
      <c r="I2689">
        <v>2.9430000000000001</v>
      </c>
      <c r="J2689">
        <v>5</v>
      </c>
      <c r="K2689">
        <v>12</v>
      </c>
      <c r="L2689">
        <v>6</v>
      </c>
      <c r="M2689">
        <v>1.3540000000000001</v>
      </c>
    </row>
    <row r="2690" spans="1:13" ht="15" customHeight="1">
      <c r="A2690" t="s">
        <v>33</v>
      </c>
      <c r="B2690">
        <f t="shared" ref="B2690:B2753" si="168">VLOOKUP(A2690,XYdata,3,FALSE)</f>
        <v>33.715702999999998</v>
      </c>
      <c r="C2690">
        <f t="shared" ref="C2690:C2753" si="169">VLOOKUP(A2690,XYdata,2,FALSE)</f>
        <v>-117.85176199999999</v>
      </c>
      <c r="D2690">
        <f t="shared" ref="D2690:D2753" si="170">VLOOKUP(A2690,Elevation,2,FALSE)</f>
        <v>64</v>
      </c>
      <c r="E2690">
        <v>91.498999999999995</v>
      </c>
      <c r="F2690">
        <f t="shared" si="167"/>
        <v>-27.498999999999995</v>
      </c>
      <c r="G2690">
        <v>33.317</v>
      </c>
      <c r="H2690">
        <v>1.1950000000000001</v>
      </c>
      <c r="I2690">
        <v>3.5569999999999999</v>
      </c>
      <c r="J2690">
        <v>5</v>
      </c>
      <c r="K2690">
        <v>16</v>
      </c>
      <c r="L2690">
        <v>8</v>
      </c>
      <c r="M2690">
        <v>1.861</v>
      </c>
    </row>
    <row r="2691" spans="1:13" ht="15" customHeight="1">
      <c r="A2691" t="s">
        <v>33</v>
      </c>
      <c r="B2691">
        <f t="shared" si="168"/>
        <v>33.715702999999998</v>
      </c>
      <c r="C2691">
        <f t="shared" si="169"/>
        <v>-117.85176199999999</v>
      </c>
      <c r="D2691">
        <f t="shared" si="170"/>
        <v>64</v>
      </c>
      <c r="E2691">
        <v>92.498999999999995</v>
      </c>
      <c r="F2691">
        <f t="shared" ref="F2691:F2754" si="171">D2691-E2691</f>
        <v>-28.498999999999995</v>
      </c>
      <c r="G2691">
        <v>60.366999999999997</v>
      </c>
      <c r="H2691">
        <v>2.3050000000000002</v>
      </c>
      <c r="I2691">
        <v>3.8180000000000001</v>
      </c>
      <c r="J2691">
        <v>5</v>
      </c>
      <c r="K2691">
        <v>29</v>
      </c>
      <c r="L2691">
        <v>15</v>
      </c>
      <c r="M2691">
        <v>3.641</v>
      </c>
    </row>
    <row r="2692" spans="1:13" ht="15" customHeight="1">
      <c r="A2692" t="s">
        <v>33</v>
      </c>
      <c r="B2692">
        <f t="shared" si="168"/>
        <v>33.715702999999998</v>
      </c>
      <c r="C2692">
        <f t="shared" si="169"/>
        <v>-117.85176199999999</v>
      </c>
      <c r="D2692">
        <f t="shared" si="170"/>
        <v>64</v>
      </c>
      <c r="E2692">
        <v>93.498999999999995</v>
      </c>
      <c r="F2692">
        <f t="shared" si="171"/>
        <v>-29.498999999999995</v>
      </c>
      <c r="G2692">
        <v>29.686</v>
      </c>
      <c r="H2692">
        <v>1.004</v>
      </c>
      <c r="I2692">
        <v>3.3769999999999998</v>
      </c>
      <c r="J2692">
        <v>5</v>
      </c>
      <c r="K2692">
        <v>14</v>
      </c>
      <c r="L2692">
        <v>7</v>
      </c>
      <c r="M2692">
        <v>1.595</v>
      </c>
    </row>
    <row r="2693" spans="1:13" ht="15" customHeight="1">
      <c r="A2693" t="s">
        <v>33</v>
      </c>
      <c r="B2693">
        <f t="shared" si="168"/>
        <v>33.715702999999998</v>
      </c>
      <c r="C2693">
        <f t="shared" si="169"/>
        <v>-117.85176199999999</v>
      </c>
      <c r="D2693">
        <f t="shared" si="170"/>
        <v>64</v>
      </c>
      <c r="E2693">
        <v>94.498999999999995</v>
      </c>
      <c r="F2693">
        <f t="shared" si="171"/>
        <v>-30.498999999999995</v>
      </c>
      <c r="G2693">
        <v>28.95</v>
      </c>
      <c r="H2693">
        <v>0.92300000000000004</v>
      </c>
      <c r="I2693">
        <v>3.1819999999999999</v>
      </c>
      <c r="J2693">
        <v>5</v>
      </c>
      <c r="K2693">
        <v>14</v>
      </c>
      <c r="L2693">
        <v>7</v>
      </c>
      <c r="M2693">
        <v>1.5429999999999999</v>
      </c>
    </row>
    <row r="2694" spans="1:13" ht="15" customHeight="1">
      <c r="A2694" t="s">
        <v>33</v>
      </c>
      <c r="B2694">
        <f t="shared" si="168"/>
        <v>33.715702999999998</v>
      </c>
      <c r="C2694">
        <f t="shared" si="169"/>
        <v>-117.85176199999999</v>
      </c>
      <c r="D2694">
        <f t="shared" si="170"/>
        <v>64</v>
      </c>
      <c r="E2694">
        <v>95.498999999999995</v>
      </c>
      <c r="F2694">
        <f t="shared" si="171"/>
        <v>-31.498999999999995</v>
      </c>
      <c r="G2694">
        <v>32.366999999999997</v>
      </c>
      <c r="H2694">
        <v>0.92200000000000004</v>
      </c>
      <c r="I2694">
        <v>2.8359999999999999</v>
      </c>
      <c r="J2694">
        <v>6</v>
      </c>
      <c r="K2694">
        <v>12</v>
      </c>
      <c r="L2694">
        <v>6</v>
      </c>
      <c r="M2694">
        <v>1.7709999999999999</v>
      </c>
    </row>
    <row r="2695" spans="1:13" ht="15" customHeight="1">
      <c r="A2695" t="s">
        <v>33</v>
      </c>
      <c r="B2695">
        <f t="shared" si="168"/>
        <v>33.715702999999998</v>
      </c>
      <c r="C2695">
        <f t="shared" si="169"/>
        <v>-117.85176199999999</v>
      </c>
      <c r="D2695">
        <f t="shared" si="170"/>
        <v>64</v>
      </c>
      <c r="E2695">
        <v>96.498999999999995</v>
      </c>
      <c r="F2695">
        <f t="shared" si="171"/>
        <v>-32.498999999999995</v>
      </c>
      <c r="G2695">
        <v>38.450000000000003</v>
      </c>
      <c r="H2695">
        <v>0.97</v>
      </c>
      <c r="I2695">
        <v>2.504</v>
      </c>
      <c r="J2695">
        <v>6</v>
      </c>
      <c r="K2695">
        <v>15</v>
      </c>
      <c r="L2695">
        <v>8</v>
      </c>
      <c r="M2695">
        <v>2.1819999999999999</v>
      </c>
    </row>
    <row r="2696" spans="1:13" ht="15" customHeight="1">
      <c r="A2696" t="s">
        <v>33</v>
      </c>
      <c r="B2696">
        <f t="shared" si="168"/>
        <v>33.715702999999998</v>
      </c>
      <c r="C2696">
        <f t="shared" si="169"/>
        <v>-117.85176199999999</v>
      </c>
      <c r="D2696">
        <f t="shared" si="170"/>
        <v>64</v>
      </c>
      <c r="E2696">
        <v>97.498999999999995</v>
      </c>
      <c r="F2696">
        <f t="shared" si="171"/>
        <v>-33.498999999999995</v>
      </c>
      <c r="G2696">
        <v>34.9</v>
      </c>
      <c r="H2696">
        <v>0.74</v>
      </c>
      <c r="I2696">
        <v>2.09</v>
      </c>
      <c r="J2696">
        <v>6</v>
      </c>
      <c r="K2696">
        <v>14</v>
      </c>
      <c r="L2696">
        <v>7</v>
      </c>
      <c r="M2696">
        <v>1.956</v>
      </c>
    </row>
    <row r="2697" spans="1:13" ht="15" customHeight="1">
      <c r="A2697" t="s">
        <v>33</v>
      </c>
      <c r="B2697">
        <f t="shared" si="168"/>
        <v>33.715702999999998</v>
      </c>
      <c r="C2697">
        <f t="shared" si="169"/>
        <v>-117.85176199999999</v>
      </c>
      <c r="D2697">
        <f t="shared" si="170"/>
        <v>64</v>
      </c>
      <c r="E2697">
        <v>98.498999999999995</v>
      </c>
      <c r="F2697">
        <f t="shared" si="171"/>
        <v>-34.498999999999995</v>
      </c>
      <c r="G2697">
        <v>37.633000000000003</v>
      </c>
      <c r="H2697">
        <v>1.028</v>
      </c>
      <c r="I2697">
        <v>2.6720000000000002</v>
      </c>
      <c r="J2697">
        <v>6</v>
      </c>
      <c r="K2697">
        <v>15</v>
      </c>
      <c r="L2697">
        <v>8</v>
      </c>
      <c r="M2697">
        <v>2.157</v>
      </c>
    </row>
    <row r="2698" spans="1:13" ht="15" customHeight="1">
      <c r="A2698" t="s">
        <v>33</v>
      </c>
      <c r="B2698">
        <f t="shared" si="168"/>
        <v>33.715702999999998</v>
      </c>
      <c r="C2698">
        <f t="shared" si="169"/>
        <v>-117.85176199999999</v>
      </c>
      <c r="D2698">
        <f t="shared" si="170"/>
        <v>64</v>
      </c>
      <c r="E2698">
        <v>99.498999999999995</v>
      </c>
      <c r="F2698">
        <f t="shared" si="171"/>
        <v>-35.498999999999995</v>
      </c>
      <c r="G2698">
        <v>37.133000000000003</v>
      </c>
      <c r="H2698">
        <v>1.2170000000000001</v>
      </c>
      <c r="I2698">
        <v>3.198</v>
      </c>
      <c r="J2698">
        <v>5</v>
      </c>
      <c r="K2698">
        <v>18</v>
      </c>
      <c r="L2698">
        <v>9</v>
      </c>
      <c r="M2698">
        <v>2.1240000000000001</v>
      </c>
    </row>
    <row r="2699" spans="1:13" ht="15" customHeight="1">
      <c r="A2699" t="s">
        <v>33</v>
      </c>
      <c r="B2699">
        <f t="shared" si="168"/>
        <v>33.715702999999998</v>
      </c>
      <c r="C2699">
        <f t="shared" si="169"/>
        <v>-117.85176199999999</v>
      </c>
      <c r="D2699">
        <f t="shared" si="170"/>
        <v>64</v>
      </c>
      <c r="E2699">
        <v>100.499</v>
      </c>
      <c r="F2699">
        <f t="shared" si="171"/>
        <v>-36.498999999999995</v>
      </c>
      <c r="G2699">
        <v>34</v>
      </c>
      <c r="H2699">
        <v>1.123</v>
      </c>
      <c r="I2699">
        <v>3.1909999999999998</v>
      </c>
      <c r="J2699">
        <v>5</v>
      </c>
      <c r="K2699">
        <v>17</v>
      </c>
      <c r="L2699">
        <v>9</v>
      </c>
      <c r="M2699">
        <v>1.93</v>
      </c>
    </row>
    <row r="2700" spans="1:13" ht="15" customHeight="1">
      <c r="A2700" t="s">
        <v>33</v>
      </c>
      <c r="B2700">
        <f t="shared" si="168"/>
        <v>33.715702999999998</v>
      </c>
      <c r="C2700">
        <f t="shared" si="169"/>
        <v>-117.85176199999999</v>
      </c>
      <c r="D2700">
        <f t="shared" si="170"/>
        <v>64</v>
      </c>
      <c r="E2700">
        <v>101.499</v>
      </c>
      <c r="F2700">
        <f t="shared" si="171"/>
        <v>-37.498999999999995</v>
      </c>
      <c r="G2700">
        <v>36.75</v>
      </c>
      <c r="H2700">
        <v>1.1679999999999999</v>
      </c>
      <c r="I2700">
        <v>3.125</v>
      </c>
      <c r="J2700">
        <v>5</v>
      </c>
      <c r="K2700">
        <v>18</v>
      </c>
      <c r="L2700">
        <v>9</v>
      </c>
      <c r="M2700">
        <v>2.0710000000000002</v>
      </c>
    </row>
    <row r="2701" spans="1:13" ht="15" customHeight="1">
      <c r="A2701" t="s">
        <v>33</v>
      </c>
      <c r="B2701">
        <f t="shared" si="168"/>
        <v>33.715702999999998</v>
      </c>
      <c r="C2701">
        <f t="shared" si="169"/>
        <v>-117.85176199999999</v>
      </c>
      <c r="D2701">
        <f t="shared" si="170"/>
        <v>64</v>
      </c>
      <c r="E2701">
        <v>102.499</v>
      </c>
      <c r="F2701">
        <f t="shared" si="171"/>
        <v>-38.498999999999995</v>
      </c>
      <c r="G2701">
        <v>50.15</v>
      </c>
      <c r="H2701">
        <v>1.7669999999999999</v>
      </c>
      <c r="I2701">
        <v>3.4910000000000001</v>
      </c>
      <c r="J2701">
        <v>5</v>
      </c>
      <c r="K2701">
        <v>24</v>
      </c>
      <c r="L2701">
        <v>12</v>
      </c>
      <c r="M2701">
        <v>2.948</v>
      </c>
    </row>
    <row r="2702" spans="1:13" ht="15" customHeight="1">
      <c r="A2702" t="s">
        <v>33</v>
      </c>
      <c r="B2702">
        <f t="shared" si="168"/>
        <v>33.715702999999998</v>
      </c>
      <c r="C2702">
        <f t="shared" si="169"/>
        <v>-117.85176199999999</v>
      </c>
      <c r="D2702">
        <f t="shared" si="170"/>
        <v>64</v>
      </c>
      <c r="E2702">
        <v>103.499</v>
      </c>
      <c r="F2702">
        <f t="shared" si="171"/>
        <v>-39.498999999999995</v>
      </c>
      <c r="G2702">
        <v>51.2</v>
      </c>
      <c r="H2702">
        <v>1.927</v>
      </c>
      <c r="I2702">
        <v>3.73</v>
      </c>
      <c r="J2702">
        <v>5</v>
      </c>
      <c r="K2702">
        <v>25</v>
      </c>
      <c r="L2702">
        <v>13</v>
      </c>
      <c r="M2702">
        <v>3.0139999999999998</v>
      </c>
    </row>
    <row r="2703" spans="1:13" ht="15" customHeight="1">
      <c r="A2703" t="s">
        <v>33</v>
      </c>
      <c r="B2703">
        <f t="shared" si="168"/>
        <v>33.715702999999998</v>
      </c>
      <c r="C2703">
        <f t="shared" si="169"/>
        <v>-117.85176199999999</v>
      </c>
      <c r="D2703">
        <f t="shared" si="170"/>
        <v>64</v>
      </c>
      <c r="E2703">
        <v>104.499</v>
      </c>
      <c r="F2703">
        <f t="shared" si="171"/>
        <v>-40.498999999999995</v>
      </c>
      <c r="G2703">
        <v>31.986000000000001</v>
      </c>
      <c r="H2703">
        <v>1.02</v>
      </c>
      <c r="I2703">
        <v>3.1230000000000002</v>
      </c>
      <c r="J2703">
        <v>5</v>
      </c>
      <c r="K2703">
        <v>16</v>
      </c>
      <c r="L2703">
        <v>8</v>
      </c>
      <c r="M2703">
        <v>1.744</v>
      </c>
    </row>
    <row r="2704" spans="1:13" ht="15" customHeight="1">
      <c r="A2704" t="s">
        <v>33</v>
      </c>
      <c r="B2704">
        <f t="shared" si="168"/>
        <v>33.715702999999998</v>
      </c>
      <c r="C2704">
        <f t="shared" si="169"/>
        <v>-117.85176199999999</v>
      </c>
      <c r="D2704">
        <f t="shared" si="170"/>
        <v>64</v>
      </c>
      <c r="E2704">
        <v>105.499</v>
      </c>
      <c r="F2704">
        <f t="shared" si="171"/>
        <v>-41.498999999999995</v>
      </c>
      <c r="G2704">
        <v>36.067</v>
      </c>
      <c r="H2704">
        <v>1.365</v>
      </c>
      <c r="I2704">
        <v>3.6960000000000002</v>
      </c>
      <c r="J2704">
        <v>5</v>
      </c>
      <c r="K2704">
        <v>18</v>
      </c>
      <c r="L2704">
        <v>9</v>
      </c>
      <c r="M2704">
        <v>2.0249999999999999</v>
      </c>
    </row>
    <row r="2705" spans="1:13" ht="15" customHeight="1">
      <c r="A2705" t="s">
        <v>33</v>
      </c>
      <c r="B2705">
        <f t="shared" si="168"/>
        <v>33.715702999999998</v>
      </c>
      <c r="C2705">
        <f t="shared" si="169"/>
        <v>-117.85176199999999</v>
      </c>
      <c r="D2705">
        <f t="shared" si="170"/>
        <v>64</v>
      </c>
      <c r="E2705">
        <v>106.499</v>
      </c>
      <c r="F2705">
        <f t="shared" si="171"/>
        <v>-42.498999999999995</v>
      </c>
      <c r="G2705">
        <v>59.9</v>
      </c>
      <c r="H2705">
        <v>2.4369999999999998</v>
      </c>
      <c r="I2705">
        <v>3.9809999999999999</v>
      </c>
      <c r="J2705">
        <v>5</v>
      </c>
      <c r="K2705">
        <v>29</v>
      </c>
      <c r="L2705">
        <v>15</v>
      </c>
      <c r="M2705">
        <v>3.6379999999999999</v>
      </c>
    </row>
    <row r="2706" spans="1:13" ht="15" customHeight="1">
      <c r="A2706" t="s">
        <v>33</v>
      </c>
      <c r="B2706">
        <f t="shared" si="168"/>
        <v>33.715702999999998</v>
      </c>
      <c r="C2706">
        <f t="shared" si="169"/>
        <v>-117.85176199999999</v>
      </c>
      <c r="D2706">
        <f t="shared" si="170"/>
        <v>64</v>
      </c>
      <c r="E2706">
        <v>107.499</v>
      </c>
      <c r="F2706">
        <f t="shared" si="171"/>
        <v>-43.498999999999995</v>
      </c>
      <c r="G2706">
        <v>50.3</v>
      </c>
      <c r="H2706">
        <v>2.1619999999999999</v>
      </c>
      <c r="I2706">
        <v>4.2809999999999997</v>
      </c>
      <c r="J2706">
        <v>4</v>
      </c>
      <c r="K2706">
        <v>32</v>
      </c>
      <c r="L2706">
        <v>16</v>
      </c>
      <c r="M2706">
        <v>2.9209999999999998</v>
      </c>
    </row>
    <row r="2707" spans="1:13" ht="15" customHeight="1">
      <c r="A2707" t="s">
        <v>33</v>
      </c>
      <c r="B2707">
        <f t="shared" si="168"/>
        <v>33.715702999999998</v>
      </c>
      <c r="C2707">
        <f t="shared" si="169"/>
        <v>-117.85176199999999</v>
      </c>
      <c r="D2707">
        <f t="shared" si="170"/>
        <v>64</v>
      </c>
      <c r="E2707">
        <v>108.499</v>
      </c>
      <c r="F2707">
        <f t="shared" si="171"/>
        <v>-44.498999999999995</v>
      </c>
      <c r="G2707">
        <v>34.25</v>
      </c>
      <c r="H2707">
        <v>1.095</v>
      </c>
      <c r="I2707">
        <v>3.1379999999999999</v>
      </c>
      <c r="J2707">
        <v>5</v>
      </c>
      <c r="K2707">
        <v>17</v>
      </c>
      <c r="L2707">
        <v>9</v>
      </c>
      <c r="M2707">
        <v>1.877</v>
      </c>
    </row>
    <row r="2708" spans="1:13" ht="15" customHeight="1">
      <c r="A2708" t="s">
        <v>33</v>
      </c>
      <c r="B2708">
        <f t="shared" si="168"/>
        <v>33.715702999999998</v>
      </c>
      <c r="C2708">
        <f t="shared" si="169"/>
        <v>-117.85176199999999</v>
      </c>
      <c r="D2708">
        <f t="shared" si="170"/>
        <v>64</v>
      </c>
      <c r="E2708">
        <v>109.499</v>
      </c>
      <c r="F2708">
        <f t="shared" si="171"/>
        <v>-45.498999999999995</v>
      </c>
      <c r="G2708">
        <v>117.983</v>
      </c>
      <c r="H2708">
        <v>2.7120000000000002</v>
      </c>
      <c r="I2708">
        <v>2.2839999999999998</v>
      </c>
      <c r="J2708">
        <v>7</v>
      </c>
      <c r="K2708">
        <v>38</v>
      </c>
      <c r="L2708">
        <v>19</v>
      </c>
      <c r="M2708" s="1">
        <v>9000000000</v>
      </c>
    </row>
    <row r="2709" spans="1:13" ht="15" customHeight="1">
      <c r="A2709" t="s">
        <v>33</v>
      </c>
      <c r="B2709">
        <f t="shared" si="168"/>
        <v>33.715702999999998</v>
      </c>
      <c r="C2709">
        <f t="shared" si="169"/>
        <v>-117.85176199999999</v>
      </c>
      <c r="D2709">
        <f t="shared" si="170"/>
        <v>64</v>
      </c>
      <c r="E2709">
        <v>110.499</v>
      </c>
      <c r="F2709">
        <f t="shared" si="171"/>
        <v>-46.498999999999995</v>
      </c>
      <c r="G2709">
        <v>81.5</v>
      </c>
      <c r="H2709">
        <v>3.645</v>
      </c>
      <c r="I2709">
        <v>4.4779999999999998</v>
      </c>
      <c r="J2709">
        <v>5</v>
      </c>
      <c r="K2709">
        <v>39</v>
      </c>
      <c r="L2709">
        <v>20</v>
      </c>
      <c r="M2709">
        <v>4.968</v>
      </c>
    </row>
    <row r="2710" spans="1:13" ht="15" customHeight="1">
      <c r="A2710" t="s">
        <v>33</v>
      </c>
      <c r="B2710">
        <f t="shared" si="168"/>
        <v>33.715702999999998</v>
      </c>
      <c r="C2710">
        <f t="shared" si="169"/>
        <v>-117.85176199999999</v>
      </c>
      <c r="D2710">
        <f t="shared" si="170"/>
        <v>64</v>
      </c>
      <c r="E2710">
        <v>111.499</v>
      </c>
      <c r="F2710">
        <f t="shared" si="171"/>
        <v>-47.498999999999995</v>
      </c>
      <c r="G2710">
        <v>48.232999999999997</v>
      </c>
      <c r="H2710">
        <v>1.87</v>
      </c>
      <c r="I2710">
        <v>3.8879999999999999</v>
      </c>
      <c r="J2710">
        <v>5</v>
      </c>
      <c r="K2710">
        <v>23</v>
      </c>
      <c r="L2710">
        <v>12</v>
      </c>
      <c r="M2710">
        <v>2.7440000000000002</v>
      </c>
    </row>
    <row r="2711" spans="1:13" ht="15" customHeight="1">
      <c r="A2711" t="s">
        <v>33</v>
      </c>
      <c r="B2711">
        <f t="shared" si="168"/>
        <v>33.715702999999998</v>
      </c>
      <c r="C2711">
        <f t="shared" si="169"/>
        <v>-117.85176199999999</v>
      </c>
      <c r="D2711">
        <f t="shared" si="170"/>
        <v>64</v>
      </c>
      <c r="E2711">
        <v>112.499</v>
      </c>
      <c r="F2711">
        <f t="shared" si="171"/>
        <v>-48.498999999999995</v>
      </c>
      <c r="G2711">
        <v>41.567</v>
      </c>
      <c r="H2711">
        <v>1.5980000000000001</v>
      </c>
      <c r="I2711">
        <v>3.855</v>
      </c>
      <c r="J2711">
        <v>5</v>
      </c>
      <c r="K2711">
        <v>20</v>
      </c>
      <c r="L2711">
        <v>10</v>
      </c>
      <c r="M2711">
        <v>2.298</v>
      </c>
    </row>
    <row r="2712" spans="1:13" ht="15" customHeight="1">
      <c r="A2712" t="s">
        <v>33</v>
      </c>
      <c r="B2712">
        <f t="shared" si="168"/>
        <v>33.715702999999998</v>
      </c>
      <c r="C2712">
        <f t="shared" si="169"/>
        <v>-117.85176199999999</v>
      </c>
      <c r="D2712">
        <f t="shared" si="170"/>
        <v>64</v>
      </c>
      <c r="E2712">
        <v>113.499</v>
      </c>
      <c r="F2712">
        <f t="shared" si="171"/>
        <v>-49.498999999999995</v>
      </c>
      <c r="G2712">
        <v>43.05</v>
      </c>
      <c r="H2712">
        <v>1.4950000000000001</v>
      </c>
      <c r="I2712">
        <v>3.4809999999999999</v>
      </c>
      <c r="J2712">
        <v>5</v>
      </c>
      <c r="K2712">
        <v>21</v>
      </c>
      <c r="L2712">
        <v>11</v>
      </c>
      <c r="M2712">
        <v>2.3929999999999998</v>
      </c>
    </row>
    <row r="2713" spans="1:13" ht="15" customHeight="1">
      <c r="A2713" t="s">
        <v>33</v>
      </c>
      <c r="B2713">
        <f t="shared" si="168"/>
        <v>33.715702999999998</v>
      </c>
      <c r="C2713">
        <f t="shared" si="169"/>
        <v>-117.85176199999999</v>
      </c>
      <c r="D2713">
        <f t="shared" si="170"/>
        <v>64</v>
      </c>
      <c r="E2713">
        <v>114.499</v>
      </c>
      <c r="F2713">
        <f t="shared" si="171"/>
        <v>-50.498999999999995</v>
      </c>
      <c r="G2713">
        <v>50.042999999999999</v>
      </c>
      <c r="H2713">
        <v>2.3029999999999999</v>
      </c>
      <c r="I2713">
        <v>4.6100000000000003</v>
      </c>
      <c r="J2713">
        <v>4</v>
      </c>
      <c r="K2713">
        <v>32</v>
      </c>
      <c r="L2713">
        <v>16</v>
      </c>
      <c r="M2713">
        <v>2.8559999999999999</v>
      </c>
    </row>
    <row r="2714" spans="1:13" ht="15" customHeight="1">
      <c r="A2714" t="s">
        <v>33</v>
      </c>
      <c r="B2714">
        <f t="shared" si="168"/>
        <v>33.715702999999998</v>
      </c>
      <c r="C2714">
        <f t="shared" si="169"/>
        <v>-117.85176199999999</v>
      </c>
      <c r="D2714">
        <f t="shared" si="170"/>
        <v>64</v>
      </c>
      <c r="E2714">
        <v>115.499</v>
      </c>
      <c r="F2714">
        <f t="shared" si="171"/>
        <v>-51.498999999999995</v>
      </c>
      <c r="G2714">
        <v>227.833</v>
      </c>
      <c r="H2714">
        <v>3.7770000000000001</v>
      </c>
      <c r="I2714">
        <v>1.6579999999999999</v>
      </c>
      <c r="J2714">
        <v>8</v>
      </c>
      <c r="K2714">
        <v>55</v>
      </c>
      <c r="L2714">
        <v>28</v>
      </c>
      <c r="M2714" s="1">
        <v>9000000000</v>
      </c>
    </row>
    <row r="2715" spans="1:13" ht="15" customHeight="1">
      <c r="A2715" t="s">
        <v>33</v>
      </c>
      <c r="B2715">
        <f t="shared" si="168"/>
        <v>33.715702999999998</v>
      </c>
      <c r="C2715">
        <f t="shared" si="169"/>
        <v>-117.85176199999999</v>
      </c>
      <c r="D2715">
        <f t="shared" si="170"/>
        <v>64</v>
      </c>
      <c r="E2715">
        <v>116.499</v>
      </c>
      <c r="F2715">
        <f t="shared" si="171"/>
        <v>-52.498999999999995</v>
      </c>
      <c r="G2715">
        <v>184.083</v>
      </c>
      <c r="H2715">
        <v>6.17</v>
      </c>
      <c r="I2715">
        <v>3.3540000000000001</v>
      </c>
      <c r="J2715">
        <v>6</v>
      </c>
      <c r="K2715">
        <v>70</v>
      </c>
      <c r="L2715">
        <v>35</v>
      </c>
      <c r="M2715">
        <v>11.78</v>
      </c>
    </row>
    <row r="2716" spans="1:13" ht="15" customHeight="1">
      <c r="A2716" t="s">
        <v>33</v>
      </c>
      <c r="B2716">
        <f t="shared" si="168"/>
        <v>33.715702999999998</v>
      </c>
      <c r="C2716">
        <f t="shared" si="169"/>
        <v>-117.85176199999999</v>
      </c>
      <c r="D2716">
        <f t="shared" si="170"/>
        <v>64</v>
      </c>
      <c r="E2716">
        <v>117.498</v>
      </c>
      <c r="F2716">
        <f t="shared" si="171"/>
        <v>-53.498000000000005</v>
      </c>
      <c r="G2716">
        <v>148.03299999999999</v>
      </c>
      <c r="H2716">
        <v>3.9550000000000001</v>
      </c>
      <c r="I2716">
        <v>2.6739999999999999</v>
      </c>
      <c r="J2716">
        <v>7</v>
      </c>
      <c r="K2716">
        <v>47</v>
      </c>
      <c r="L2716">
        <v>24</v>
      </c>
      <c r="M2716" s="1">
        <v>9000000000</v>
      </c>
    </row>
    <row r="2717" spans="1:13" ht="15" customHeight="1">
      <c r="A2717" t="s">
        <v>33</v>
      </c>
      <c r="B2717">
        <f t="shared" si="168"/>
        <v>33.715702999999998</v>
      </c>
      <c r="C2717">
        <f t="shared" si="169"/>
        <v>-117.85176199999999</v>
      </c>
      <c r="D2717">
        <f t="shared" si="170"/>
        <v>64</v>
      </c>
      <c r="E2717">
        <v>118.498</v>
      </c>
      <c r="F2717">
        <f t="shared" si="171"/>
        <v>-54.498000000000005</v>
      </c>
      <c r="G2717">
        <v>51.732999999999997</v>
      </c>
      <c r="H2717">
        <v>2.4670000000000001</v>
      </c>
      <c r="I2717">
        <v>4.782</v>
      </c>
      <c r="J2717">
        <v>4</v>
      </c>
      <c r="K2717">
        <v>33</v>
      </c>
      <c r="L2717">
        <v>17</v>
      </c>
      <c r="M2717">
        <v>2.9470000000000001</v>
      </c>
    </row>
    <row r="2718" spans="1:13" ht="15" customHeight="1">
      <c r="A2718" t="s">
        <v>33</v>
      </c>
      <c r="B2718">
        <f t="shared" si="168"/>
        <v>33.715702999999998</v>
      </c>
      <c r="C2718">
        <f t="shared" si="169"/>
        <v>-117.85176199999999</v>
      </c>
      <c r="D2718">
        <f t="shared" si="170"/>
        <v>64</v>
      </c>
      <c r="E2718">
        <v>119.498</v>
      </c>
      <c r="F2718">
        <f t="shared" si="171"/>
        <v>-55.498000000000005</v>
      </c>
      <c r="G2718">
        <v>144.46700000000001</v>
      </c>
      <c r="H2718">
        <v>4.4020000000000001</v>
      </c>
      <c r="I2718">
        <v>3.05</v>
      </c>
      <c r="J2718">
        <v>6</v>
      </c>
      <c r="K2718">
        <v>55</v>
      </c>
      <c r="L2718">
        <v>28</v>
      </c>
      <c r="M2718">
        <v>9.125</v>
      </c>
    </row>
    <row r="2719" spans="1:13" ht="15" customHeight="1">
      <c r="A2719" t="s">
        <v>33</v>
      </c>
      <c r="B2719">
        <f t="shared" si="168"/>
        <v>33.715702999999998</v>
      </c>
      <c r="C2719">
        <f t="shared" si="169"/>
        <v>-117.85176199999999</v>
      </c>
      <c r="D2719">
        <f t="shared" si="170"/>
        <v>64</v>
      </c>
      <c r="E2719">
        <v>120.498</v>
      </c>
      <c r="F2719">
        <f t="shared" si="171"/>
        <v>-56.498000000000005</v>
      </c>
      <c r="G2719">
        <v>192.917</v>
      </c>
      <c r="H2719">
        <v>4.5069999999999997</v>
      </c>
      <c r="I2719">
        <v>2.3380000000000001</v>
      </c>
      <c r="J2719">
        <v>7</v>
      </c>
      <c r="K2719">
        <v>62</v>
      </c>
      <c r="L2719">
        <v>31</v>
      </c>
      <c r="M2719" s="1">
        <v>9000000000</v>
      </c>
    </row>
    <row r="2720" spans="1:13" ht="15" customHeight="1">
      <c r="A2720" t="s">
        <v>33</v>
      </c>
      <c r="B2720">
        <f t="shared" si="168"/>
        <v>33.715702999999998</v>
      </c>
      <c r="C2720">
        <f t="shared" si="169"/>
        <v>-117.85176199999999</v>
      </c>
      <c r="D2720">
        <f t="shared" si="170"/>
        <v>64</v>
      </c>
      <c r="E2720">
        <v>121.498</v>
      </c>
      <c r="F2720">
        <f t="shared" si="171"/>
        <v>-57.498000000000005</v>
      </c>
      <c r="G2720">
        <v>299.95</v>
      </c>
      <c r="H2720">
        <v>3.3919999999999999</v>
      </c>
      <c r="I2720">
        <v>1.131</v>
      </c>
      <c r="J2720">
        <v>9</v>
      </c>
      <c r="K2720">
        <v>57</v>
      </c>
      <c r="L2720">
        <v>29</v>
      </c>
      <c r="M2720" s="1">
        <v>9000000000</v>
      </c>
    </row>
    <row r="2721" spans="1:13" ht="15" customHeight="1">
      <c r="A2721" t="s">
        <v>33</v>
      </c>
      <c r="B2721">
        <f t="shared" si="168"/>
        <v>33.715702999999998</v>
      </c>
      <c r="C2721">
        <f t="shared" si="169"/>
        <v>-117.85176199999999</v>
      </c>
      <c r="D2721">
        <f t="shared" si="170"/>
        <v>64</v>
      </c>
      <c r="E2721">
        <v>122.498</v>
      </c>
      <c r="F2721">
        <f t="shared" si="171"/>
        <v>-58.498000000000005</v>
      </c>
      <c r="G2721">
        <v>236.483</v>
      </c>
      <c r="H2721">
        <v>4.8479999999999999</v>
      </c>
      <c r="I2721">
        <v>2.0510000000000002</v>
      </c>
      <c r="J2721">
        <v>8</v>
      </c>
      <c r="K2721">
        <v>57</v>
      </c>
      <c r="L2721">
        <v>29</v>
      </c>
      <c r="M2721" s="1">
        <v>9000000000</v>
      </c>
    </row>
    <row r="2722" spans="1:13" ht="15" customHeight="1">
      <c r="A2722" t="s">
        <v>33</v>
      </c>
      <c r="B2722">
        <f t="shared" si="168"/>
        <v>33.715702999999998</v>
      </c>
      <c r="C2722">
        <f t="shared" si="169"/>
        <v>-117.85176199999999</v>
      </c>
      <c r="D2722">
        <f t="shared" si="170"/>
        <v>64</v>
      </c>
      <c r="E2722">
        <v>123.498</v>
      </c>
      <c r="F2722">
        <f t="shared" si="171"/>
        <v>-59.498000000000005</v>
      </c>
      <c r="G2722">
        <v>78.917000000000002</v>
      </c>
      <c r="H2722">
        <v>4.07</v>
      </c>
      <c r="I2722">
        <v>5.1680000000000001</v>
      </c>
      <c r="J2722">
        <v>11</v>
      </c>
      <c r="K2722">
        <v>75</v>
      </c>
      <c r="L2722">
        <v>38</v>
      </c>
      <c r="M2722" s="1">
        <v>9000000000</v>
      </c>
    </row>
    <row r="2723" spans="1:13" ht="15" customHeight="1">
      <c r="A2723" t="s">
        <v>33</v>
      </c>
      <c r="B2723">
        <f t="shared" si="168"/>
        <v>33.715702999999998</v>
      </c>
      <c r="C2723">
        <f t="shared" si="169"/>
        <v>-117.85176199999999</v>
      </c>
      <c r="D2723">
        <f t="shared" si="170"/>
        <v>64</v>
      </c>
      <c r="E2723">
        <v>124.498</v>
      </c>
      <c r="F2723">
        <f t="shared" si="171"/>
        <v>-60.498000000000005</v>
      </c>
      <c r="G2723">
        <v>65.8</v>
      </c>
      <c r="H2723">
        <v>2.9529999999999998</v>
      </c>
      <c r="I2723">
        <v>4.4950000000000001</v>
      </c>
      <c r="J2723">
        <v>5</v>
      </c>
      <c r="K2723">
        <v>31</v>
      </c>
      <c r="L2723">
        <v>16</v>
      </c>
      <c r="M2723">
        <v>3.863</v>
      </c>
    </row>
    <row r="2724" spans="1:13" ht="15" customHeight="1">
      <c r="A2724" t="s">
        <v>33</v>
      </c>
      <c r="B2724">
        <f t="shared" si="168"/>
        <v>33.715702999999998</v>
      </c>
      <c r="C2724">
        <f t="shared" si="169"/>
        <v>-117.85176199999999</v>
      </c>
      <c r="D2724">
        <f t="shared" si="170"/>
        <v>64</v>
      </c>
      <c r="E2724">
        <v>125.498</v>
      </c>
      <c r="F2724">
        <f t="shared" si="171"/>
        <v>-61.498000000000005</v>
      </c>
      <c r="G2724">
        <v>165.214</v>
      </c>
      <c r="H2724">
        <v>5.5209999999999999</v>
      </c>
      <c r="I2724">
        <v>3.3450000000000002</v>
      </c>
      <c r="J2724">
        <v>6</v>
      </c>
      <c r="K2724">
        <v>63</v>
      </c>
      <c r="L2724">
        <v>32</v>
      </c>
      <c r="M2724">
        <v>10.484999999999999</v>
      </c>
    </row>
    <row r="2725" spans="1:13" ht="15" customHeight="1">
      <c r="A2725" t="s">
        <v>33</v>
      </c>
      <c r="B2725">
        <f t="shared" si="168"/>
        <v>33.715702999999998</v>
      </c>
      <c r="C2725">
        <f t="shared" si="169"/>
        <v>-117.85176199999999</v>
      </c>
      <c r="D2725">
        <f t="shared" si="170"/>
        <v>64</v>
      </c>
      <c r="E2725">
        <v>126.498</v>
      </c>
      <c r="F2725">
        <f t="shared" si="171"/>
        <v>-62.498000000000005</v>
      </c>
      <c r="G2725">
        <v>318.93299999999999</v>
      </c>
      <c r="H2725">
        <v>6.5330000000000004</v>
      </c>
      <c r="I2725">
        <v>2.0489999999999999</v>
      </c>
      <c r="J2725">
        <v>8</v>
      </c>
      <c r="K2725">
        <v>76</v>
      </c>
      <c r="L2725">
        <v>38</v>
      </c>
      <c r="M2725" s="1">
        <v>9000000000</v>
      </c>
    </row>
    <row r="2726" spans="1:13" ht="15" customHeight="1">
      <c r="A2726" t="s">
        <v>33</v>
      </c>
      <c r="B2726">
        <f t="shared" si="168"/>
        <v>33.715702999999998</v>
      </c>
      <c r="C2726">
        <f t="shared" si="169"/>
        <v>-117.85176199999999</v>
      </c>
      <c r="D2726">
        <f t="shared" si="170"/>
        <v>64</v>
      </c>
      <c r="E2726">
        <v>127.498</v>
      </c>
      <c r="F2726">
        <f t="shared" si="171"/>
        <v>-63.498000000000005</v>
      </c>
      <c r="G2726">
        <v>155.80000000000001</v>
      </c>
      <c r="H2726">
        <v>5.9</v>
      </c>
      <c r="I2726">
        <v>3.7919999999999998</v>
      </c>
      <c r="J2726">
        <v>12</v>
      </c>
      <c r="K2726">
        <v>75</v>
      </c>
      <c r="L2726">
        <v>38</v>
      </c>
      <c r="M2726" s="1">
        <v>9000000000</v>
      </c>
    </row>
    <row r="2727" spans="1:13" ht="15" customHeight="1">
      <c r="A2727" t="s">
        <v>34</v>
      </c>
      <c r="B2727">
        <f t="shared" si="168"/>
        <v>33.718296000000002</v>
      </c>
      <c r="C2727">
        <f t="shared" si="169"/>
        <v>-117.85047400000001</v>
      </c>
      <c r="D2727">
        <f t="shared" si="170"/>
        <v>69</v>
      </c>
      <c r="E2727">
        <v>0.5</v>
      </c>
      <c r="F2727">
        <f t="shared" si="171"/>
        <v>68.5</v>
      </c>
      <c r="G2727">
        <v>11.833</v>
      </c>
      <c r="H2727">
        <v>7.0000000000000007E-2</v>
      </c>
      <c r="I2727">
        <v>0.59199999999999997</v>
      </c>
      <c r="J2727">
        <v>6</v>
      </c>
      <c r="K2727">
        <v>5</v>
      </c>
      <c r="L2727">
        <v>8</v>
      </c>
      <c r="M2727">
        <v>0.78700000000000003</v>
      </c>
    </row>
    <row r="2728" spans="1:13" ht="15" customHeight="1">
      <c r="A2728" t="s">
        <v>34</v>
      </c>
      <c r="B2728">
        <f t="shared" si="168"/>
        <v>33.718296000000002</v>
      </c>
      <c r="C2728">
        <f t="shared" si="169"/>
        <v>-117.85047400000001</v>
      </c>
      <c r="D2728">
        <f t="shared" si="170"/>
        <v>69</v>
      </c>
      <c r="E2728">
        <v>1.5</v>
      </c>
      <c r="F2728">
        <f t="shared" si="171"/>
        <v>67.5</v>
      </c>
      <c r="G2728">
        <v>57.582999999999998</v>
      </c>
      <c r="H2728">
        <v>1.232</v>
      </c>
      <c r="I2728">
        <v>2.1389999999999998</v>
      </c>
      <c r="J2728">
        <v>6</v>
      </c>
      <c r="K2728">
        <v>22</v>
      </c>
      <c r="L2728">
        <v>33</v>
      </c>
      <c r="M2728">
        <v>3.8330000000000002</v>
      </c>
    </row>
    <row r="2729" spans="1:13" ht="15" customHeight="1">
      <c r="A2729" t="s">
        <v>34</v>
      </c>
      <c r="B2729">
        <f t="shared" si="168"/>
        <v>33.718296000000002</v>
      </c>
      <c r="C2729">
        <f t="shared" si="169"/>
        <v>-117.85047400000001</v>
      </c>
      <c r="D2729">
        <f t="shared" si="170"/>
        <v>69</v>
      </c>
      <c r="E2729">
        <v>2.5</v>
      </c>
      <c r="F2729">
        <f t="shared" si="171"/>
        <v>66.5</v>
      </c>
      <c r="G2729">
        <v>30.15</v>
      </c>
      <c r="H2729">
        <v>1.1870000000000001</v>
      </c>
      <c r="I2729">
        <v>3.927</v>
      </c>
      <c r="J2729">
        <v>4</v>
      </c>
      <c r="K2729">
        <v>19</v>
      </c>
      <c r="L2729">
        <v>29</v>
      </c>
      <c r="M2729">
        <v>2.004</v>
      </c>
    </row>
    <row r="2730" spans="1:13" ht="15" customHeight="1">
      <c r="A2730" t="s">
        <v>34</v>
      </c>
      <c r="B2730">
        <f t="shared" si="168"/>
        <v>33.718296000000002</v>
      </c>
      <c r="C2730">
        <f t="shared" si="169"/>
        <v>-117.85047400000001</v>
      </c>
      <c r="D2730">
        <f t="shared" si="170"/>
        <v>69</v>
      </c>
      <c r="E2730">
        <v>3.5</v>
      </c>
      <c r="F2730">
        <f t="shared" si="171"/>
        <v>65.5</v>
      </c>
      <c r="G2730">
        <v>12.617000000000001</v>
      </c>
      <c r="H2730">
        <v>0.46200000000000002</v>
      </c>
      <c r="I2730">
        <v>3.621</v>
      </c>
      <c r="J2730">
        <v>4</v>
      </c>
      <c r="K2730">
        <v>8</v>
      </c>
      <c r="L2730">
        <v>12</v>
      </c>
      <c r="M2730">
        <v>0.83599999999999997</v>
      </c>
    </row>
    <row r="2731" spans="1:13" ht="15" customHeight="1">
      <c r="A2731" t="s">
        <v>34</v>
      </c>
      <c r="B2731">
        <f t="shared" si="168"/>
        <v>33.718296000000002</v>
      </c>
      <c r="C2731">
        <f t="shared" si="169"/>
        <v>-117.85047400000001</v>
      </c>
      <c r="D2731">
        <f t="shared" si="170"/>
        <v>69</v>
      </c>
      <c r="E2731">
        <v>4.5</v>
      </c>
      <c r="F2731">
        <f t="shared" si="171"/>
        <v>64.5</v>
      </c>
      <c r="G2731">
        <v>10.016999999999999</v>
      </c>
      <c r="H2731">
        <v>0.42799999999999999</v>
      </c>
      <c r="I2731">
        <v>4.2619999999999996</v>
      </c>
      <c r="J2731">
        <v>3</v>
      </c>
      <c r="K2731">
        <v>10</v>
      </c>
      <c r="L2731">
        <v>15</v>
      </c>
      <c r="M2731">
        <v>0.65200000000000002</v>
      </c>
    </row>
    <row r="2732" spans="1:13" ht="15" customHeight="1">
      <c r="A2732" t="s">
        <v>34</v>
      </c>
      <c r="B2732">
        <f t="shared" si="168"/>
        <v>33.718296000000002</v>
      </c>
      <c r="C2732">
        <f t="shared" si="169"/>
        <v>-117.85047400000001</v>
      </c>
      <c r="D2732">
        <f t="shared" si="170"/>
        <v>69</v>
      </c>
      <c r="E2732">
        <v>5.5</v>
      </c>
      <c r="F2732">
        <f t="shared" si="171"/>
        <v>63.5</v>
      </c>
      <c r="G2732">
        <v>13.483000000000001</v>
      </c>
      <c r="H2732">
        <v>0.57799999999999996</v>
      </c>
      <c r="I2732">
        <v>4.2839999999999998</v>
      </c>
      <c r="J2732">
        <v>3</v>
      </c>
      <c r="K2732">
        <v>13</v>
      </c>
      <c r="L2732">
        <v>20</v>
      </c>
      <c r="M2732">
        <v>0.878</v>
      </c>
    </row>
    <row r="2733" spans="1:13" ht="15" customHeight="1">
      <c r="A2733" t="s">
        <v>34</v>
      </c>
      <c r="B2733">
        <f t="shared" si="168"/>
        <v>33.718296000000002</v>
      </c>
      <c r="C2733">
        <f t="shared" si="169"/>
        <v>-117.85047400000001</v>
      </c>
      <c r="D2733">
        <f t="shared" si="170"/>
        <v>69</v>
      </c>
      <c r="E2733">
        <v>6.5</v>
      </c>
      <c r="F2733">
        <f t="shared" si="171"/>
        <v>62.5</v>
      </c>
      <c r="G2733">
        <v>13.1</v>
      </c>
      <c r="H2733">
        <v>0.55700000000000005</v>
      </c>
      <c r="I2733">
        <v>4.2119999999999997</v>
      </c>
      <c r="J2733">
        <v>3</v>
      </c>
      <c r="K2733">
        <v>13</v>
      </c>
      <c r="L2733">
        <v>20</v>
      </c>
      <c r="M2733">
        <v>0.85499999999999998</v>
      </c>
    </row>
    <row r="2734" spans="1:13" ht="15" customHeight="1">
      <c r="A2734" t="s">
        <v>34</v>
      </c>
      <c r="B2734">
        <f t="shared" si="168"/>
        <v>33.718296000000002</v>
      </c>
      <c r="C2734">
        <f t="shared" si="169"/>
        <v>-117.85047400000001</v>
      </c>
      <c r="D2734">
        <f t="shared" si="170"/>
        <v>69</v>
      </c>
      <c r="E2734">
        <v>7.5</v>
      </c>
      <c r="F2734">
        <f t="shared" si="171"/>
        <v>61.5</v>
      </c>
      <c r="G2734">
        <v>8.0670000000000002</v>
      </c>
      <c r="H2734">
        <v>0.313</v>
      </c>
      <c r="I2734">
        <v>3.8839999999999999</v>
      </c>
      <c r="J2734">
        <v>3</v>
      </c>
      <c r="K2734">
        <v>8</v>
      </c>
      <c r="L2734">
        <v>12</v>
      </c>
      <c r="M2734">
        <v>0.50700000000000001</v>
      </c>
    </row>
    <row r="2735" spans="1:13" ht="15" customHeight="1">
      <c r="A2735" t="s">
        <v>34</v>
      </c>
      <c r="B2735">
        <f t="shared" si="168"/>
        <v>33.718296000000002</v>
      </c>
      <c r="C2735">
        <f t="shared" si="169"/>
        <v>-117.85047400000001</v>
      </c>
      <c r="D2735">
        <f t="shared" si="170"/>
        <v>69</v>
      </c>
      <c r="E2735">
        <v>8.5</v>
      </c>
      <c r="F2735">
        <f t="shared" si="171"/>
        <v>60.5</v>
      </c>
      <c r="G2735">
        <v>7.6669999999999998</v>
      </c>
      <c r="H2735">
        <v>0.28799999999999998</v>
      </c>
      <c r="I2735">
        <v>3.7530000000000001</v>
      </c>
      <c r="J2735">
        <v>3</v>
      </c>
      <c r="K2735">
        <v>7</v>
      </c>
      <c r="L2735">
        <v>11</v>
      </c>
      <c r="M2735">
        <v>0.47799999999999998</v>
      </c>
    </row>
    <row r="2736" spans="1:13" ht="15" customHeight="1">
      <c r="A2736" t="s">
        <v>34</v>
      </c>
      <c r="B2736">
        <f t="shared" si="168"/>
        <v>33.718296000000002</v>
      </c>
      <c r="C2736">
        <f t="shared" si="169"/>
        <v>-117.85047400000001</v>
      </c>
      <c r="D2736">
        <f t="shared" si="170"/>
        <v>69</v>
      </c>
      <c r="E2736">
        <v>9.5</v>
      </c>
      <c r="F2736">
        <f t="shared" si="171"/>
        <v>59.5</v>
      </c>
      <c r="G2736">
        <v>7.6669999999999998</v>
      </c>
      <c r="H2736">
        <v>0.29699999999999999</v>
      </c>
      <c r="I2736">
        <v>3.8530000000000002</v>
      </c>
      <c r="J2736">
        <v>3</v>
      </c>
      <c r="K2736">
        <v>7</v>
      </c>
      <c r="L2736">
        <v>11</v>
      </c>
      <c r="M2736">
        <v>0.47499999999999998</v>
      </c>
    </row>
    <row r="2737" spans="1:13" ht="15" customHeight="1">
      <c r="A2737" t="s">
        <v>34</v>
      </c>
      <c r="B2737">
        <f t="shared" si="168"/>
        <v>33.718296000000002</v>
      </c>
      <c r="C2737">
        <f t="shared" si="169"/>
        <v>-117.85047400000001</v>
      </c>
      <c r="D2737">
        <f t="shared" si="170"/>
        <v>69</v>
      </c>
      <c r="E2737">
        <v>10.5</v>
      </c>
      <c r="F2737">
        <f t="shared" si="171"/>
        <v>58.5</v>
      </c>
      <c r="G2737">
        <v>8.0429999999999993</v>
      </c>
      <c r="H2737">
        <v>0.27900000000000003</v>
      </c>
      <c r="I2737">
        <v>3.4449999999999998</v>
      </c>
      <c r="J2737">
        <v>3</v>
      </c>
      <c r="K2737">
        <v>8</v>
      </c>
      <c r="L2737">
        <v>11</v>
      </c>
      <c r="M2737">
        <v>0.496</v>
      </c>
    </row>
    <row r="2738" spans="1:13" ht="15" customHeight="1">
      <c r="A2738" t="s">
        <v>34</v>
      </c>
      <c r="B2738">
        <f t="shared" si="168"/>
        <v>33.718296000000002</v>
      </c>
      <c r="C2738">
        <f t="shared" si="169"/>
        <v>-117.85047400000001</v>
      </c>
      <c r="D2738">
        <f t="shared" si="170"/>
        <v>69</v>
      </c>
      <c r="E2738">
        <v>11.5</v>
      </c>
      <c r="F2738">
        <f t="shared" si="171"/>
        <v>57.5</v>
      </c>
      <c r="G2738">
        <v>8.5169999999999995</v>
      </c>
      <c r="H2738">
        <v>0.3</v>
      </c>
      <c r="I2738">
        <v>3.488</v>
      </c>
      <c r="J2738">
        <v>3</v>
      </c>
      <c r="K2738">
        <v>8</v>
      </c>
      <c r="L2738">
        <v>11</v>
      </c>
      <c r="M2738">
        <v>0.52700000000000002</v>
      </c>
    </row>
    <row r="2739" spans="1:13" ht="15" customHeight="1">
      <c r="A2739" t="s">
        <v>34</v>
      </c>
      <c r="B2739">
        <f t="shared" si="168"/>
        <v>33.718296000000002</v>
      </c>
      <c r="C2739">
        <f t="shared" si="169"/>
        <v>-117.85047400000001</v>
      </c>
      <c r="D2739">
        <f t="shared" si="170"/>
        <v>69</v>
      </c>
      <c r="E2739">
        <v>12.5</v>
      </c>
      <c r="F2739">
        <f t="shared" si="171"/>
        <v>56.5</v>
      </c>
      <c r="G2739">
        <v>11.067</v>
      </c>
      <c r="H2739">
        <v>0.41799999999999998</v>
      </c>
      <c r="I2739">
        <v>3.7570000000000001</v>
      </c>
      <c r="J2739">
        <v>3</v>
      </c>
      <c r="K2739">
        <v>11</v>
      </c>
      <c r="L2739">
        <v>14</v>
      </c>
      <c r="M2739">
        <v>0.69099999999999995</v>
      </c>
    </row>
    <row r="2740" spans="1:13" ht="15" customHeight="1">
      <c r="A2740" t="s">
        <v>34</v>
      </c>
      <c r="B2740">
        <f t="shared" si="168"/>
        <v>33.718296000000002</v>
      </c>
      <c r="C2740">
        <f t="shared" si="169"/>
        <v>-117.85047400000001</v>
      </c>
      <c r="D2740">
        <f t="shared" si="170"/>
        <v>69</v>
      </c>
      <c r="E2740">
        <v>13.5</v>
      </c>
      <c r="F2740">
        <f t="shared" si="171"/>
        <v>55.5</v>
      </c>
      <c r="G2740">
        <v>10.282999999999999</v>
      </c>
      <c r="H2740">
        <v>0.36799999999999999</v>
      </c>
      <c r="I2740">
        <v>3.5470000000000002</v>
      </c>
      <c r="J2740">
        <v>3</v>
      </c>
      <c r="K2740">
        <v>10</v>
      </c>
      <c r="L2740">
        <v>12</v>
      </c>
      <c r="M2740">
        <v>0.63700000000000001</v>
      </c>
    </row>
    <row r="2741" spans="1:13" ht="15" customHeight="1">
      <c r="A2741" t="s">
        <v>34</v>
      </c>
      <c r="B2741">
        <f t="shared" si="168"/>
        <v>33.718296000000002</v>
      </c>
      <c r="C2741">
        <f t="shared" si="169"/>
        <v>-117.85047400000001</v>
      </c>
      <c r="D2741">
        <f t="shared" si="170"/>
        <v>69</v>
      </c>
      <c r="E2741">
        <v>14.5</v>
      </c>
      <c r="F2741">
        <f t="shared" si="171"/>
        <v>54.5</v>
      </c>
      <c r="G2741">
        <v>11.433</v>
      </c>
      <c r="H2741">
        <v>0.36</v>
      </c>
      <c r="I2741">
        <v>3.117</v>
      </c>
      <c r="J2741">
        <v>4</v>
      </c>
      <c r="K2741">
        <v>7</v>
      </c>
      <c r="L2741">
        <v>8</v>
      </c>
      <c r="M2741">
        <v>0.71099999999999997</v>
      </c>
    </row>
    <row r="2742" spans="1:13" ht="15" customHeight="1">
      <c r="A2742" t="s">
        <v>34</v>
      </c>
      <c r="B2742">
        <f t="shared" si="168"/>
        <v>33.718296000000002</v>
      </c>
      <c r="C2742">
        <f t="shared" si="169"/>
        <v>-117.85047400000001</v>
      </c>
      <c r="D2742">
        <f t="shared" si="170"/>
        <v>69</v>
      </c>
      <c r="E2742">
        <v>15.5</v>
      </c>
      <c r="F2742">
        <f t="shared" si="171"/>
        <v>53.5</v>
      </c>
      <c r="G2742">
        <v>10.167</v>
      </c>
      <c r="H2742">
        <v>0.315</v>
      </c>
      <c r="I2742">
        <v>3.0529999999999999</v>
      </c>
      <c r="J2742">
        <v>4</v>
      </c>
      <c r="K2742">
        <v>7</v>
      </c>
      <c r="L2742">
        <v>7</v>
      </c>
      <c r="M2742">
        <v>0.625</v>
      </c>
    </row>
    <row r="2743" spans="1:13" ht="15" customHeight="1">
      <c r="A2743" t="s">
        <v>34</v>
      </c>
      <c r="B2743">
        <f t="shared" si="168"/>
        <v>33.718296000000002</v>
      </c>
      <c r="C2743">
        <f t="shared" si="169"/>
        <v>-117.85047400000001</v>
      </c>
      <c r="D2743">
        <f t="shared" si="170"/>
        <v>69</v>
      </c>
      <c r="E2743">
        <v>16.5</v>
      </c>
      <c r="F2743">
        <f t="shared" si="171"/>
        <v>52.5</v>
      </c>
      <c r="G2743">
        <v>8.7170000000000005</v>
      </c>
      <c r="H2743">
        <v>0.193</v>
      </c>
      <c r="I2743">
        <v>2.1720000000000002</v>
      </c>
      <c r="J2743">
        <v>4</v>
      </c>
      <c r="K2743">
        <v>6</v>
      </c>
      <c r="L2743">
        <v>6</v>
      </c>
      <c r="M2743">
        <v>0.52600000000000002</v>
      </c>
    </row>
    <row r="2744" spans="1:13" ht="15" customHeight="1">
      <c r="A2744" t="s">
        <v>34</v>
      </c>
      <c r="B2744">
        <f t="shared" si="168"/>
        <v>33.718296000000002</v>
      </c>
      <c r="C2744">
        <f t="shared" si="169"/>
        <v>-117.85047400000001</v>
      </c>
      <c r="D2744">
        <f t="shared" si="170"/>
        <v>69</v>
      </c>
      <c r="E2744">
        <v>17.5</v>
      </c>
      <c r="F2744">
        <f t="shared" si="171"/>
        <v>51.5</v>
      </c>
      <c r="G2744">
        <v>8.6</v>
      </c>
      <c r="H2744">
        <v>0.14199999999999999</v>
      </c>
      <c r="I2744">
        <v>1.619</v>
      </c>
      <c r="J2744">
        <v>5</v>
      </c>
      <c r="K2744">
        <v>4</v>
      </c>
      <c r="L2744">
        <v>4</v>
      </c>
      <c r="M2744">
        <v>0.51200000000000001</v>
      </c>
    </row>
    <row r="2745" spans="1:13" ht="15" customHeight="1">
      <c r="A2745" t="s">
        <v>34</v>
      </c>
      <c r="B2745">
        <f t="shared" si="168"/>
        <v>33.718296000000002</v>
      </c>
      <c r="C2745">
        <f t="shared" si="169"/>
        <v>-117.85047400000001</v>
      </c>
      <c r="D2745">
        <f t="shared" si="170"/>
        <v>69</v>
      </c>
      <c r="E2745">
        <v>18.5</v>
      </c>
      <c r="F2745">
        <f t="shared" si="171"/>
        <v>50.5</v>
      </c>
      <c r="G2745">
        <v>10.483000000000001</v>
      </c>
      <c r="H2745">
        <v>0.152</v>
      </c>
      <c r="I2745">
        <v>1.4219999999999999</v>
      </c>
      <c r="J2745">
        <v>5</v>
      </c>
      <c r="K2745">
        <v>5</v>
      </c>
      <c r="L2745">
        <v>5</v>
      </c>
      <c r="M2745">
        <v>0.63600000000000001</v>
      </c>
    </row>
    <row r="2746" spans="1:13" ht="15" customHeight="1">
      <c r="A2746" t="s">
        <v>34</v>
      </c>
      <c r="B2746">
        <f t="shared" si="168"/>
        <v>33.718296000000002</v>
      </c>
      <c r="C2746">
        <f t="shared" si="169"/>
        <v>-117.85047400000001</v>
      </c>
      <c r="D2746">
        <f t="shared" si="170"/>
        <v>69</v>
      </c>
      <c r="E2746">
        <v>19.5</v>
      </c>
      <c r="F2746">
        <f t="shared" si="171"/>
        <v>49.5</v>
      </c>
      <c r="G2746">
        <v>13.75</v>
      </c>
      <c r="H2746">
        <v>0.3</v>
      </c>
      <c r="I2746">
        <v>2.161</v>
      </c>
      <c r="J2746">
        <v>5</v>
      </c>
      <c r="K2746">
        <v>7</v>
      </c>
      <c r="L2746">
        <v>6</v>
      </c>
      <c r="M2746">
        <v>0.84699999999999998</v>
      </c>
    </row>
    <row r="2747" spans="1:13" ht="15" customHeight="1">
      <c r="A2747" t="s">
        <v>34</v>
      </c>
      <c r="B2747">
        <f t="shared" si="168"/>
        <v>33.718296000000002</v>
      </c>
      <c r="C2747">
        <f t="shared" si="169"/>
        <v>-117.85047400000001</v>
      </c>
      <c r="D2747">
        <f t="shared" si="170"/>
        <v>69</v>
      </c>
      <c r="E2747">
        <v>20.5</v>
      </c>
      <c r="F2747">
        <f t="shared" si="171"/>
        <v>48.5</v>
      </c>
      <c r="G2747">
        <v>83.843000000000004</v>
      </c>
      <c r="H2747">
        <v>1.0509999999999999</v>
      </c>
      <c r="I2747">
        <v>1.2549999999999999</v>
      </c>
      <c r="J2747">
        <v>8</v>
      </c>
      <c r="K2747">
        <v>20</v>
      </c>
      <c r="L2747">
        <v>17</v>
      </c>
      <c r="M2747" s="1">
        <v>9000000000</v>
      </c>
    </row>
    <row r="2748" spans="1:13" ht="15" customHeight="1">
      <c r="A2748" t="s">
        <v>34</v>
      </c>
      <c r="B2748">
        <f t="shared" si="168"/>
        <v>33.718296000000002</v>
      </c>
      <c r="C2748">
        <f t="shared" si="169"/>
        <v>-117.85047400000001</v>
      </c>
      <c r="D2748">
        <f t="shared" si="170"/>
        <v>69</v>
      </c>
      <c r="E2748">
        <v>21.5</v>
      </c>
      <c r="F2748">
        <f t="shared" si="171"/>
        <v>47.5</v>
      </c>
      <c r="G2748">
        <v>108.6</v>
      </c>
      <c r="H2748">
        <v>1.508</v>
      </c>
      <c r="I2748">
        <v>1.391</v>
      </c>
      <c r="J2748">
        <v>8</v>
      </c>
      <c r="K2748">
        <v>26</v>
      </c>
      <c r="L2748">
        <v>21</v>
      </c>
      <c r="M2748" s="1">
        <v>9000000000</v>
      </c>
    </row>
    <row r="2749" spans="1:13" ht="15" customHeight="1">
      <c r="A2749" t="s">
        <v>34</v>
      </c>
      <c r="B2749">
        <f t="shared" si="168"/>
        <v>33.718296000000002</v>
      </c>
      <c r="C2749">
        <f t="shared" si="169"/>
        <v>-117.85047400000001</v>
      </c>
      <c r="D2749">
        <f t="shared" si="170"/>
        <v>69</v>
      </c>
      <c r="E2749">
        <v>22.5</v>
      </c>
      <c r="F2749">
        <f t="shared" si="171"/>
        <v>46.5</v>
      </c>
      <c r="G2749">
        <v>77.099999999999994</v>
      </c>
      <c r="H2749">
        <v>1.137</v>
      </c>
      <c r="I2749">
        <v>1.4770000000000001</v>
      </c>
      <c r="J2749">
        <v>7</v>
      </c>
      <c r="K2749">
        <v>25</v>
      </c>
      <c r="L2749">
        <v>20</v>
      </c>
      <c r="M2749" s="1">
        <v>9000000000</v>
      </c>
    </row>
    <row r="2750" spans="1:13" ht="15" customHeight="1">
      <c r="A2750" t="s">
        <v>34</v>
      </c>
      <c r="B2750">
        <f t="shared" si="168"/>
        <v>33.718296000000002</v>
      </c>
      <c r="C2750">
        <f t="shared" si="169"/>
        <v>-117.85047400000001</v>
      </c>
      <c r="D2750">
        <f t="shared" si="170"/>
        <v>69</v>
      </c>
      <c r="E2750">
        <v>23.5</v>
      </c>
      <c r="F2750">
        <f t="shared" si="171"/>
        <v>45.5</v>
      </c>
      <c r="G2750">
        <v>12.2</v>
      </c>
      <c r="H2750">
        <v>0.41</v>
      </c>
      <c r="I2750">
        <v>3.3879999999999999</v>
      </c>
      <c r="J2750">
        <v>4</v>
      </c>
      <c r="K2750">
        <v>8</v>
      </c>
      <c r="L2750">
        <v>6</v>
      </c>
      <c r="M2750">
        <v>0.71099999999999997</v>
      </c>
    </row>
    <row r="2751" spans="1:13" ht="15" customHeight="1">
      <c r="A2751" t="s">
        <v>34</v>
      </c>
      <c r="B2751">
        <f t="shared" si="168"/>
        <v>33.718296000000002</v>
      </c>
      <c r="C2751">
        <f t="shared" si="169"/>
        <v>-117.85047400000001</v>
      </c>
      <c r="D2751">
        <f t="shared" si="170"/>
        <v>69</v>
      </c>
      <c r="E2751">
        <v>24.5</v>
      </c>
      <c r="F2751">
        <f t="shared" si="171"/>
        <v>44.5</v>
      </c>
      <c r="G2751">
        <v>11.532999999999999</v>
      </c>
      <c r="H2751">
        <v>0.34200000000000003</v>
      </c>
      <c r="I2751">
        <v>3.0059999999999998</v>
      </c>
      <c r="J2751">
        <v>4</v>
      </c>
      <c r="K2751">
        <v>7</v>
      </c>
      <c r="L2751">
        <v>5</v>
      </c>
      <c r="M2751">
        <v>0.65900000000000003</v>
      </c>
    </row>
    <row r="2752" spans="1:13" ht="15" customHeight="1">
      <c r="A2752" t="s">
        <v>34</v>
      </c>
      <c r="B2752">
        <f t="shared" si="168"/>
        <v>33.718296000000002</v>
      </c>
      <c r="C2752">
        <f t="shared" si="169"/>
        <v>-117.85047400000001</v>
      </c>
      <c r="D2752">
        <f t="shared" si="170"/>
        <v>69</v>
      </c>
      <c r="E2752">
        <v>25.5</v>
      </c>
      <c r="F2752">
        <f t="shared" si="171"/>
        <v>43.5</v>
      </c>
      <c r="G2752">
        <v>17.216999999999999</v>
      </c>
      <c r="H2752">
        <v>0.59799999999999998</v>
      </c>
      <c r="I2752">
        <v>3.4990000000000001</v>
      </c>
      <c r="J2752">
        <v>4</v>
      </c>
      <c r="K2752">
        <v>11</v>
      </c>
      <c r="L2752">
        <v>8</v>
      </c>
      <c r="M2752">
        <v>1.0369999999999999</v>
      </c>
    </row>
    <row r="2753" spans="1:13" ht="15" customHeight="1">
      <c r="A2753" t="s">
        <v>34</v>
      </c>
      <c r="B2753">
        <f t="shared" si="168"/>
        <v>33.718296000000002</v>
      </c>
      <c r="C2753">
        <f t="shared" si="169"/>
        <v>-117.85047400000001</v>
      </c>
      <c r="D2753">
        <f t="shared" si="170"/>
        <v>69</v>
      </c>
      <c r="E2753">
        <v>26.5</v>
      </c>
      <c r="F2753">
        <f t="shared" si="171"/>
        <v>42.5</v>
      </c>
      <c r="G2753">
        <v>10.817</v>
      </c>
      <c r="H2753">
        <v>0.27800000000000002</v>
      </c>
      <c r="I2753">
        <v>2.585</v>
      </c>
      <c r="J2753">
        <v>4</v>
      </c>
      <c r="K2753">
        <v>7</v>
      </c>
      <c r="L2753">
        <v>5</v>
      </c>
      <c r="M2753">
        <v>0.61099999999999999</v>
      </c>
    </row>
    <row r="2754" spans="1:13" ht="15" customHeight="1">
      <c r="A2754" t="s">
        <v>34</v>
      </c>
      <c r="B2754">
        <f t="shared" ref="B2754:B2817" si="172">VLOOKUP(A2754,XYdata,3,FALSE)</f>
        <v>33.718296000000002</v>
      </c>
      <c r="C2754">
        <f t="shared" ref="C2754:C2817" si="173">VLOOKUP(A2754,XYdata,2,FALSE)</f>
        <v>-117.85047400000001</v>
      </c>
      <c r="D2754">
        <f t="shared" ref="D2754:D2817" si="174">VLOOKUP(A2754,Elevation,2,FALSE)</f>
        <v>69</v>
      </c>
      <c r="E2754">
        <v>27.5</v>
      </c>
      <c r="F2754">
        <f t="shared" si="171"/>
        <v>41.5</v>
      </c>
      <c r="G2754">
        <v>9.5169999999999995</v>
      </c>
      <c r="H2754">
        <v>0.217</v>
      </c>
      <c r="I2754">
        <v>2.2890000000000001</v>
      </c>
      <c r="J2754">
        <v>4</v>
      </c>
      <c r="K2754">
        <v>6</v>
      </c>
      <c r="L2754">
        <v>4</v>
      </c>
      <c r="M2754">
        <v>0.52</v>
      </c>
    </row>
    <row r="2755" spans="1:13" ht="15" customHeight="1">
      <c r="A2755" t="s">
        <v>34</v>
      </c>
      <c r="B2755">
        <f t="shared" si="172"/>
        <v>33.718296000000002</v>
      </c>
      <c r="C2755">
        <f t="shared" si="173"/>
        <v>-117.85047400000001</v>
      </c>
      <c r="D2755">
        <f t="shared" si="174"/>
        <v>69</v>
      </c>
      <c r="E2755">
        <v>28.5</v>
      </c>
      <c r="F2755">
        <f t="shared" ref="F2755:F2818" si="175">D2755-E2755</f>
        <v>40.5</v>
      </c>
      <c r="G2755">
        <v>9.6829999999999998</v>
      </c>
      <c r="H2755">
        <v>0.19800000000000001</v>
      </c>
      <c r="I2755">
        <v>2.048</v>
      </c>
      <c r="J2755">
        <v>5</v>
      </c>
      <c r="K2755">
        <v>5</v>
      </c>
      <c r="L2755">
        <v>3</v>
      </c>
      <c r="M2755">
        <v>0.53</v>
      </c>
    </row>
    <row r="2756" spans="1:13" ht="15" customHeight="1">
      <c r="A2756" t="s">
        <v>34</v>
      </c>
      <c r="B2756">
        <f t="shared" si="172"/>
        <v>33.718296000000002</v>
      </c>
      <c r="C2756">
        <f t="shared" si="173"/>
        <v>-117.85047400000001</v>
      </c>
      <c r="D2756">
        <f t="shared" si="174"/>
        <v>69</v>
      </c>
      <c r="E2756">
        <v>29.5</v>
      </c>
      <c r="F2756">
        <f t="shared" si="175"/>
        <v>39.5</v>
      </c>
      <c r="G2756">
        <v>11.05</v>
      </c>
      <c r="H2756">
        <v>0.36699999999999999</v>
      </c>
      <c r="I2756">
        <v>3.3079999999999998</v>
      </c>
      <c r="J2756">
        <v>4</v>
      </c>
      <c r="K2756">
        <v>7</v>
      </c>
      <c r="L2756">
        <v>5</v>
      </c>
      <c r="M2756">
        <v>0.62</v>
      </c>
    </row>
    <row r="2757" spans="1:13" ht="15" customHeight="1">
      <c r="A2757" t="s">
        <v>34</v>
      </c>
      <c r="B2757">
        <f t="shared" si="172"/>
        <v>33.718296000000002</v>
      </c>
      <c r="C2757">
        <f t="shared" si="173"/>
        <v>-117.85047400000001</v>
      </c>
      <c r="D2757">
        <f t="shared" si="174"/>
        <v>69</v>
      </c>
      <c r="E2757">
        <v>30.5</v>
      </c>
      <c r="F2757">
        <f t="shared" si="175"/>
        <v>38.5</v>
      </c>
      <c r="G2757">
        <v>22.25</v>
      </c>
      <c r="H2757">
        <v>0.73199999999999998</v>
      </c>
      <c r="I2757">
        <v>3.262</v>
      </c>
      <c r="J2757">
        <v>5</v>
      </c>
      <c r="K2757">
        <v>11</v>
      </c>
      <c r="L2757">
        <v>7</v>
      </c>
      <c r="M2757">
        <v>1.3720000000000001</v>
      </c>
    </row>
    <row r="2758" spans="1:13" ht="15" customHeight="1">
      <c r="A2758" t="s">
        <v>34</v>
      </c>
      <c r="B2758">
        <f t="shared" si="172"/>
        <v>33.718296000000002</v>
      </c>
      <c r="C2758">
        <f t="shared" si="173"/>
        <v>-117.85047400000001</v>
      </c>
      <c r="D2758">
        <f t="shared" si="174"/>
        <v>69</v>
      </c>
      <c r="E2758">
        <v>31.5</v>
      </c>
      <c r="F2758">
        <f t="shared" si="175"/>
        <v>37.5</v>
      </c>
      <c r="G2758">
        <v>60.343000000000004</v>
      </c>
      <c r="H2758">
        <v>1.9810000000000001</v>
      </c>
      <c r="I2758">
        <v>3.2839999999999998</v>
      </c>
      <c r="J2758">
        <v>6</v>
      </c>
      <c r="K2758">
        <v>23</v>
      </c>
      <c r="L2758">
        <v>15</v>
      </c>
      <c r="M2758">
        <v>3.895</v>
      </c>
    </row>
    <row r="2759" spans="1:13" ht="15" customHeight="1">
      <c r="A2759" t="s">
        <v>34</v>
      </c>
      <c r="B2759">
        <f t="shared" si="172"/>
        <v>33.718296000000002</v>
      </c>
      <c r="C2759">
        <f t="shared" si="173"/>
        <v>-117.85047400000001</v>
      </c>
      <c r="D2759">
        <f t="shared" si="174"/>
        <v>69</v>
      </c>
      <c r="E2759">
        <v>32.5</v>
      </c>
      <c r="F2759">
        <f t="shared" si="175"/>
        <v>36.5</v>
      </c>
      <c r="G2759">
        <v>14.3</v>
      </c>
      <c r="H2759">
        <v>0.41199999999999998</v>
      </c>
      <c r="I2759">
        <v>2.8889999999999998</v>
      </c>
      <c r="J2759">
        <v>5</v>
      </c>
      <c r="K2759">
        <v>7</v>
      </c>
      <c r="L2759">
        <v>5</v>
      </c>
      <c r="M2759">
        <v>0.81799999999999995</v>
      </c>
    </row>
    <row r="2760" spans="1:13" ht="15" customHeight="1">
      <c r="A2760" t="s">
        <v>34</v>
      </c>
      <c r="B2760">
        <f t="shared" si="172"/>
        <v>33.718296000000002</v>
      </c>
      <c r="C2760">
        <f t="shared" si="173"/>
        <v>-117.85047400000001</v>
      </c>
      <c r="D2760">
        <f t="shared" si="174"/>
        <v>69</v>
      </c>
      <c r="E2760">
        <v>33.5</v>
      </c>
      <c r="F2760">
        <f t="shared" si="175"/>
        <v>35.5</v>
      </c>
      <c r="G2760">
        <v>16.283000000000001</v>
      </c>
      <c r="H2760">
        <v>0.55000000000000004</v>
      </c>
      <c r="I2760">
        <v>3.3809999999999998</v>
      </c>
      <c r="J2760">
        <v>4</v>
      </c>
      <c r="K2760">
        <v>10</v>
      </c>
      <c r="L2760">
        <v>6</v>
      </c>
      <c r="M2760">
        <v>0.94899999999999995</v>
      </c>
    </row>
    <row r="2761" spans="1:13" ht="15" customHeight="1">
      <c r="A2761" t="s">
        <v>34</v>
      </c>
      <c r="B2761">
        <f t="shared" si="172"/>
        <v>33.718296000000002</v>
      </c>
      <c r="C2761">
        <f t="shared" si="173"/>
        <v>-117.85047400000001</v>
      </c>
      <c r="D2761">
        <f t="shared" si="174"/>
        <v>69</v>
      </c>
      <c r="E2761">
        <v>34.5</v>
      </c>
      <c r="F2761">
        <f t="shared" si="175"/>
        <v>34.5</v>
      </c>
      <c r="G2761">
        <v>23.45</v>
      </c>
      <c r="H2761">
        <v>1.083</v>
      </c>
      <c r="I2761">
        <v>4.633</v>
      </c>
      <c r="J2761">
        <v>3</v>
      </c>
      <c r="K2761">
        <v>22</v>
      </c>
      <c r="L2761">
        <v>14</v>
      </c>
      <c r="M2761">
        <v>1.419</v>
      </c>
    </row>
    <row r="2762" spans="1:13" ht="15" customHeight="1">
      <c r="A2762" t="s">
        <v>34</v>
      </c>
      <c r="B2762">
        <f t="shared" si="172"/>
        <v>33.718296000000002</v>
      </c>
      <c r="C2762">
        <f t="shared" si="173"/>
        <v>-117.85047400000001</v>
      </c>
      <c r="D2762">
        <f t="shared" si="174"/>
        <v>69</v>
      </c>
      <c r="E2762">
        <v>35.5</v>
      </c>
      <c r="F2762">
        <f t="shared" si="175"/>
        <v>33.5</v>
      </c>
      <c r="G2762">
        <v>16.149999999999999</v>
      </c>
      <c r="H2762">
        <v>0.65700000000000003</v>
      </c>
      <c r="I2762">
        <v>4.0739999999999998</v>
      </c>
      <c r="J2762">
        <v>3</v>
      </c>
      <c r="K2762">
        <v>15</v>
      </c>
      <c r="L2762">
        <v>9</v>
      </c>
      <c r="M2762">
        <v>0.93100000000000005</v>
      </c>
    </row>
    <row r="2763" spans="1:13" ht="15" customHeight="1">
      <c r="A2763" t="s">
        <v>34</v>
      </c>
      <c r="B2763">
        <f t="shared" si="172"/>
        <v>33.718296000000002</v>
      </c>
      <c r="C2763">
        <f t="shared" si="173"/>
        <v>-117.85047400000001</v>
      </c>
      <c r="D2763">
        <f t="shared" si="174"/>
        <v>69</v>
      </c>
      <c r="E2763">
        <v>36.5</v>
      </c>
      <c r="F2763">
        <f t="shared" si="175"/>
        <v>32.5</v>
      </c>
      <c r="G2763">
        <v>14.483000000000001</v>
      </c>
      <c r="H2763">
        <v>0.38700000000000001</v>
      </c>
      <c r="I2763">
        <v>2.67</v>
      </c>
      <c r="J2763">
        <v>5</v>
      </c>
      <c r="K2763">
        <v>7</v>
      </c>
      <c r="L2763">
        <v>4</v>
      </c>
      <c r="M2763">
        <v>0.81799999999999995</v>
      </c>
    </row>
    <row r="2764" spans="1:13" ht="15" customHeight="1">
      <c r="A2764" t="s">
        <v>34</v>
      </c>
      <c r="B2764">
        <f t="shared" si="172"/>
        <v>33.718296000000002</v>
      </c>
      <c r="C2764">
        <f t="shared" si="173"/>
        <v>-117.85047400000001</v>
      </c>
      <c r="D2764">
        <f t="shared" si="174"/>
        <v>69</v>
      </c>
      <c r="E2764">
        <v>37.5</v>
      </c>
      <c r="F2764">
        <f t="shared" si="175"/>
        <v>31.5</v>
      </c>
      <c r="G2764">
        <v>15.833</v>
      </c>
      <c r="H2764">
        <v>0.59</v>
      </c>
      <c r="I2764">
        <v>3.726</v>
      </c>
      <c r="J2764">
        <v>4</v>
      </c>
      <c r="K2764">
        <v>10</v>
      </c>
      <c r="L2764">
        <v>6</v>
      </c>
      <c r="M2764">
        <v>0.90400000000000003</v>
      </c>
    </row>
    <row r="2765" spans="1:13" ht="15" customHeight="1">
      <c r="A2765" t="s">
        <v>34</v>
      </c>
      <c r="B2765">
        <f t="shared" si="172"/>
        <v>33.718296000000002</v>
      </c>
      <c r="C2765">
        <f t="shared" si="173"/>
        <v>-117.85047400000001</v>
      </c>
      <c r="D2765">
        <f t="shared" si="174"/>
        <v>69</v>
      </c>
      <c r="E2765">
        <v>38.5</v>
      </c>
      <c r="F2765">
        <f t="shared" si="175"/>
        <v>30.5</v>
      </c>
      <c r="G2765">
        <v>21.417000000000002</v>
      </c>
      <c r="H2765">
        <v>0.625</v>
      </c>
      <c r="I2765">
        <v>2.911</v>
      </c>
      <c r="J2765">
        <v>5</v>
      </c>
      <c r="K2765">
        <v>10</v>
      </c>
      <c r="L2765">
        <v>6</v>
      </c>
      <c r="M2765">
        <v>1.2749999999999999</v>
      </c>
    </row>
    <row r="2766" spans="1:13" ht="15" customHeight="1">
      <c r="A2766" t="s">
        <v>34</v>
      </c>
      <c r="B2766">
        <f t="shared" si="172"/>
        <v>33.718296000000002</v>
      </c>
      <c r="C2766">
        <f t="shared" si="173"/>
        <v>-117.85047400000001</v>
      </c>
      <c r="D2766">
        <f t="shared" si="174"/>
        <v>69</v>
      </c>
      <c r="E2766">
        <v>39.5</v>
      </c>
      <c r="F2766">
        <f t="shared" si="175"/>
        <v>29.5</v>
      </c>
      <c r="G2766">
        <v>41.433</v>
      </c>
      <c r="H2766">
        <v>1.335</v>
      </c>
      <c r="I2766">
        <v>3.2160000000000002</v>
      </c>
      <c r="J2766">
        <v>5</v>
      </c>
      <c r="K2766">
        <v>20</v>
      </c>
      <c r="L2766">
        <v>12</v>
      </c>
      <c r="M2766">
        <v>2.6080000000000001</v>
      </c>
    </row>
    <row r="2767" spans="1:13" ht="15" customHeight="1">
      <c r="A2767" t="s">
        <v>34</v>
      </c>
      <c r="B2767">
        <f t="shared" si="172"/>
        <v>33.718296000000002</v>
      </c>
      <c r="C2767">
        <f t="shared" si="173"/>
        <v>-117.85047400000001</v>
      </c>
      <c r="D2767">
        <f t="shared" si="174"/>
        <v>69</v>
      </c>
      <c r="E2767">
        <v>40.5</v>
      </c>
      <c r="F2767">
        <f t="shared" si="175"/>
        <v>28.5</v>
      </c>
      <c r="G2767">
        <v>37.433</v>
      </c>
      <c r="H2767">
        <v>1.202</v>
      </c>
      <c r="I2767">
        <v>3.1960000000000002</v>
      </c>
      <c r="J2767">
        <v>5</v>
      </c>
      <c r="K2767">
        <v>18</v>
      </c>
      <c r="L2767">
        <v>11</v>
      </c>
      <c r="M2767">
        <v>2.3420000000000001</v>
      </c>
    </row>
    <row r="2768" spans="1:13" ht="15" customHeight="1">
      <c r="A2768" t="s">
        <v>34</v>
      </c>
      <c r="B2768">
        <f t="shared" si="172"/>
        <v>33.718296000000002</v>
      </c>
      <c r="C2768">
        <f t="shared" si="173"/>
        <v>-117.85047400000001</v>
      </c>
      <c r="D2768">
        <f t="shared" si="174"/>
        <v>69</v>
      </c>
      <c r="E2768">
        <v>41.499000000000002</v>
      </c>
      <c r="F2768">
        <f t="shared" si="175"/>
        <v>27.500999999999998</v>
      </c>
      <c r="G2768">
        <v>55.942999999999998</v>
      </c>
      <c r="H2768">
        <v>2.2000000000000002</v>
      </c>
      <c r="I2768">
        <v>3.9159999999999999</v>
      </c>
      <c r="J2768">
        <v>5</v>
      </c>
      <c r="K2768">
        <v>27</v>
      </c>
      <c r="L2768">
        <v>16</v>
      </c>
      <c r="M2768">
        <v>3.577</v>
      </c>
    </row>
    <row r="2769" spans="1:13" ht="15" customHeight="1">
      <c r="A2769" t="s">
        <v>34</v>
      </c>
      <c r="B2769">
        <f t="shared" si="172"/>
        <v>33.718296000000002</v>
      </c>
      <c r="C2769">
        <f t="shared" si="173"/>
        <v>-117.85047400000001</v>
      </c>
      <c r="D2769">
        <f t="shared" si="174"/>
        <v>69</v>
      </c>
      <c r="E2769">
        <v>42.499000000000002</v>
      </c>
      <c r="F2769">
        <f t="shared" si="175"/>
        <v>26.500999999999998</v>
      </c>
      <c r="G2769">
        <v>43.982999999999997</v>
      </c>
      <c r="H2769">
        <v>1.873</v>
      </c>
      <c r="I2769">
        <v>4.2300000000000004</v>
      </c>
      <c r="J2769">
        <v>4</v>
      </c>
      <c r="K2769">
        <v>28</v>
      </c>
      <c r="L2769">
        <v>16</v>
      </c>
      <c r="M2769">
        <v>2.78</v>
      </c>
    </row>
    <row r="2770" spans="1:13" ht="15" customHeight="1">
      <c r="A2770" t="s">
        <v>34</v>
      </c>
      <c r="B2770">
        <f t="shared" si="172"/>
        <v>33.718296000000002</v>
      </c>
      <c r="C2770">
        <f t="shared" si="173"/>
        <v>-117.85047400000001</v>
      </c>
      <c r="D2770">
        <f t="shared" si="174"/>
        <v>69</v>
      </c>
      <c r="E2770">
        <v>43.499000000000002</v>
      </c>
      <c r="F2770">
        <f t="shared" si="175"/>
        <v>25.500999999999998</v>
      </c>
      <c r="G2770">
        <v>26.8</v>
      </c>
      <c r="H2770">
        <v>1.093</v>
      </c>
      <c r="I2770">
        <v>4.0439999999999996</v>
      </c>
      <c r="J2770">
        <v>4</v>
      </c>
      <c r="K2770">
        <v>17</v>
      </c>
      <c r="L2770">
        <v>10</v>
      </c>
      <c r="M2770">
        <v>1.625</v>
      </c>
    </row>
    <row r="2771" spans="1:13" ht="15" customHeight="1">
      <c r="A2771" t="s">
        <v>34</v>
      </c>
      <c r="B2771">
        <f t="shared" si="172"/>
        <v>33.718296000000002</v>
      </c>
      <c r="C2771">
        <f t="shared" si="173"/>
        <v>-117.85047400000001</v>
      </c>
      <c r="D2771">
        <f t="shared" si="174"/>
        <v>69</v>
      </c>
      <c r="E2771">
        <v>44.499000000000002</v>
      </c>
      <c r="F2771">
        <f t="shared" si="175"/>
        <v>24.500999999999998</v>
      </c>
      <c r="G2771">
        <v>26.216999999999999</v>
      </c>
      <c r="H2771">
        <v>1.095</v>
      </c>
      <c r="I2771">
        <v>4.1479999999999997</v>
      </c>
      <c r="J2771">
        <v>4</v>
      </c>
      <c r="K2771">
        <v>17</v>
      </c>
      <c r="L2771">
        <v>10</v>
      </c>
      <c r="M2771">
        <v>1.579</v>
      </c>
    </row>
    <row r="2772" spans="1:13" ht="15" customHeight="1">
      <c r="A2772" t="s">
        <v>34</v>
      </c>
      <c r="B2772">
        <f t="shared" si="172"/>
        <v>33.718296000000002</v>
      </c>
      <c r="C2772">
        <f t="shared" si="173"/>
        <v>-117.85047400000001</v>
      </c>
      <c r="D2772">
        <f t="shared" si="174"/>
        <v>69</v>
      </c>
      <c r="E2772">
        <v>45.499000000000002</v>
      </c>
      <c r="F2772">
        <f t="shared" si="175"/>
        <v>23.500999999999998</v>
      </c>
      <c r="G2772">
        <v>24.983000000000001</v>
      </c>
      <c r="H2772">
        <v>0.90300000000000002</v>
      </c>
      <c r="I2772">
        <v>3.5870000000000002</v>
      </c>
      <c r="J2772">
        <v>5</v>
      </c>
      <c r="K2772">
        <v>12</v>
      </c>
      <c r="L2772">
        <v>7</v>
      </c>
      <c r="M2772">
        <v>1.494</v>
      </c>
    </row>
    <row r="2773" spans="1:13" ht="15" customHeight="1">
      <c r="A2773" t="s">
        <v>34</v>
      </c>
      <c r="B2773">
        <f t="shared" si="172"/>
        <v>33.718296000000002</v>
      </c>
      <c r="C2773">
        <f t="shared" si="173"/>
        <v>-117.85047400000001</v>
      </c>
      <c r="D2773">
        <f t="shared" si="174"/>
        <v>69</v>
      </c>
      <c r="E2773">
        <v>46.499000000000002</v>
      </c>
      <c r="F2773">
        <f t="shared" si="175"/>
        <v>22.500999999999998</v>
      </c>
      <c r="G2773">
        <v>26.433</v>
      </c>
      <c r="H2773">
        <v>0.90700000000000003</v>
      </c>
      <c r="I2773">
        <v>3.4039999999999999</v>
      </c>
      <c r="J2773">
        <v>5</v>
      </c>
      <c r="K2773">
        <v>13</v>
      </c>
      <c r="L2773">
        <v>7</v>
      </c>
      <c r="M2773">
        <v>1.5860000000000001</v>
      </c>
    </row>
    <row r="2774" spans="1:13" ht="15" customHeight="1">
      <c r="A2774" t="s">
        <v>34</v>
      </c>
      <c r="B2774">
        <f t="shared" si="172"/>
        <v>33.718296000000002</v>
      </c>
      <c r="C2774">
        <f t="shared" si="173"/>
        <v>-117.85047400000001</v>
      </c>
      <c r="D2774">
        <f t="shared" si="174"/>
        <v>69</v>
      </c>
      <c r="E2774">
        <v>47.499000000000002</v>
      </c>
      <c r="F2774">
        <f t="shared" si="175"/>
        <v>21.500999999999998</v>
      </c>
      <c r="G2774">
        <v>29.5</v>
      </c>
      <c r="H2774">
        <v>1.1779999999999999</v>
      </c>
      <c r="I2774">
        <v>3.9630000000000001</v>
      </c>
      <c r="J2774">
        <v>4</v>
      </c>
      <c r="K2774">
        <v>19</v>
      </c>
      <c r="L2774">
        <v>10</v>
      </c>
      <c r="M2774">
        <v>1.7889999999999999</v>
      </c>
    </row>
    <row r="2775" spans="1:13" ht="15" customHeight="1">
      <c r="A2775" t="s">
        <v>34</v>
      </c>
      <c r="B2775">
        <f t="shared" si="172"/>
        <v>33.718296000000002</v>
      </c>
      <c r="C2775">
        <f t="shared" si="173"/>
        <v>-117.85047400000001</v>
      </c>
      <c r="D2775">
        <f t="shared" si="174"/>
        <v>69</v>
      </c>
      <c r="E2775">
        <v>48.499000000000002</v>
      </c>
      <c r="F2775">
        <f t="shared" si="175"/>
        <v>20.500999999999998</v>
      </c>
      <c r="G2775">
        <v>58.366999999999997</v>
      </c>
      <c r="H2775">
        <v>3.0750000000000002</v>
      </c>
      <c r="I2775">
        <v>5.2590000000000003</v>
      </c>
      <c r="J2775">
        <v>3</v>
      </c>
      <c r="K2775">
        <v>56</v>
      </c>
      <c r="L2775">
        <v>30</v>
      </c>
      <c r="M2775">
        <v>3.7</v>
      </c>
    </row>
    <row r="2776" spans="1:13" ht="15" customHeight="1">
      <c r="A2776" t="s">
        <v>34</v>
      </c>
      <c r="B2776">
        <f t="shared" si="172"/>
        <v>33.718296000000002</v>
      </c>
      <c r="C2776">
        <f t="shared" si="173"/>
        <v>-117.85047400000001</v>
      </c>
      <c r="D2776">
        <f t="shared" si="174"/>
        <v>69</v>
      </c>
      <c r="E2776">
        <v>49.499000000000002</v>
      </c>
      <c r="F2776">
        <f t="shared" si="175"/>
        <v>19.500999999999998</v>
      </c>
      <c r="G2776">
        <v>223.18299999999999</v>
      </c>
      <c r="H2776">
        <v>6.657</v>
      </c>
      <c r="I2776">
        <v>2.984</v>
      </c>
      <c r="J2776">
        <v>7</v>
      </c>
      <c r="K2776">
        <v>71</v>
      </c>
      <c r="L2776">
        <v>38</v>
      </c>
      <c r="M2776" s="1">
        <v>9000000000</v>
      </c>
    </row>
    <row r="2777" spans="1:13" ht="15" customHeight="1">
      <c r="A2777" t="s">
        <v>34</v>
      </c>
      <c r="B2777">
        <f t="shared" si="172"/>
        <v>33.718296000000002</v>
      </c>
      <c r="C2777">
        <f t="shared" si="173"/>
        <v>-117.85047400000001</v>
      </c>
      <c r="D2777">
        <f t="shared" si="174"/>
        <v>69</v>
      </c>
      <c r="E2777">
        <v>50.499000000000002</v>
      </c>
      <c r="F2777">
        <f t="shared" si="175"/>
        <v>18.500999999999998</v>
      </c>
      <c r="G2777">
        <v>267.25</v>
      </c>
      <c r="H2777">
        <v>7.35</v>
      </c>
      <c r="I2777">
        <v>2.7519999999999998</v>
      </c>
      <c r="J2777">
        <v>7</v>
      </c>
      <c r="K2777">
        <v>85</v>
      </c>
      <c r="L2777">
        <v>45</v>
      </c>
      <c r="M2777" s="1">
        <v>9000000000</v>
      </c>
    </row>
    <row r="2778" spans="1:13" ht="15" customHeight="1">
      <c r="A2778" t="s">
        <v>34</v>
      </c>
      <c r="B2778">
        <f t="shared" si="172"/>
        <v>33.718296000000002</v>
      </c>
      <c r="C2778">
        <f t="shared" si="173"/>
        <v>-117.85047400000001</v>
      </c>
      <c r="D2778">
        <f t="shared" si="174"/>
        <v>69</v>
      </c>
      <c r="E2778">
        <v>51.499000000000002</v>
      </c>
      <c r="F2778">
        <f t="shared" si="175"/>
        <v>17.500999999999998</v>
      </c>
      <c r="G2778">
        <v>200.03299999999999</v>
      </c>
      <c r="H2778">
        <v>4.242</v>
      </c>
      <c r="I2778">
        <v>2.1219999999999999</v>
      </c>
      <c r="J2778">
        <v>7</v>
      </c>
      <c r="K2778">
        <v>64</v>
      </c>
      <c r="L2778">
        <v>33</v>
      </c>
      <c r="M2778" s="1">
        <v>9000000000</v>
      </c>
    </row>
    <row r="2779" spans="1:13" ht="15" customHeight="1">
      <c r="A2779" t="s">
        <v>34</v>
      </c>
      <c r="B2779">
        <f t="shared" si="172"/>
        <v>33.718296000000002</v>
      </c>
      <c r="C2779">
        <f t="shared" si="173"/>
        <v>-117.85047400000001</v>
      </c>
      <c r="D2779">
        <f t="shared" si="174"/>
        <v>69</v>
      </c>
      <c r="E2779">
        <v>52.499000000000002</v>
      </c>
      <c r="F2779">
        <f t="shared" si="175"/>
        <v>16.500999999999998</v>
      </c>
      <c r="G2779">
        <v>143.929</v>
      </c>
      <c r="H2779">
        <v>3.9540000000000002</v>
      </c>
      <c r="I2779">
        <v>2.7490000000000001</v>
      </c>
      <c r="J2779">
        <v>7</v>
      </c>
      <c r="K2779">
        <v>46</v>
      </c>
      <c r="L2779">
        <v>24</v>
      </c>
      <c r="M2779" s="1">
        <v>9000000000</v>
      </c>
    </row>
    <row r="2780" spans="1:13" ht="15" customHeight="1">
      <c r="A2780" t="s">
        <v>34</v>
      </c>
      <c r="B2780">
        <f t="shared" si="172"/>
        <v>33.718296000000002</v>
      </c>
      <c r="C2780">
        <f t="shared" si="173"/>
        <v>-117.85047400000001</v>
      </c>
      <c r="D2780">
        <f t="shared" si="174"/>
        <v>69</v>
      </c>
      <c r="E2780">
        <v>53.499000000000002</v>
      </c>
      <c r="F2780">
        <f t="shared" si="175"/>
        <v>15.500999999999998</v>
      </c>
      <c r="G2780">
        <v>115.533</v>
      </c>
      <c r="H2780">
        <v>4.1120000000000001</v>
      </c>
      <c r="I2780">
        <v>3.5609999999999999</v>
      </c>
      <c r="J2780">
        <v>6</v>
      </c>
      <c r="K2780">
        <v>44</v>
      </c>
      <c r="L2780">
        <v>23</v>
      </c>
      <c r="M2780">
        <v>7.4790000000000001</v>
      </c>
    </row>
    <row r="2781" spans="1:13" ht="15" customHeight="1">
      <c r="A2781" t="s">
        <v>34</v>
      </c>
      <c r="B2781">
        <f t="shared" si="172"/>
        <v>33.718296000000002</v>
      </c>
      <c r="C2781">
        <f t="shared" si="173"/>
        <v>-117.85047400000001</v>
      </c>
      <c r="D2781">
        <f t="shared" si="174"/>
        <v>69</v>
      </c>
      <c r="E2781">
        <v>54.499000000000002</v>
      </c>
      <c r="F2781">
        <f t="shared" si="175"/>
        <v>14.500999999999998</v>
      </c>
      <c r="G2781">
        <v>254.11699999999999</v>
      </c>
      <c r="H2781">
        <v>2.9470000000000001</v>
      </c>
      <c r="I2781">
        <v>1.1599999999999999</v>
      </c>
      <c r="J2781">
        <v>9</v>
      </c>
      <c r="K2781">
        <v>49</v>
      </c>
      <c r="L2781">
        <v>25</v>
      </c>
      <c r="M2781" s="1">
        <v>9000000000</v>
      </c>
    </row>
    <row r="2782" spans="1:13" ht="15" customHeight="1">
      <c r="A2782" t="s">
        <v>34</v>
      </c>
      <c r="B2782">
        <f t="shared" si="172"/>
        <v>33.718296000000002</v>
      </c>
      <c r="C2782">
        <f t="shared" si="173"/>
        <v>-117.85047400000001</v>
      </c>
      <c r="D2782">
        <f t="shared" si="174"/>
        <v>69</v>
      </c>
      <c r="E2782">
        <v>55.499000000000002</v>
      </c>
      <c r="F2782">
        <f t="shared" si="175"/>
        <v>13.500999999999998</v>
      </c>
      <c r="G2782">
        <v>230.53299999999999</v>
      </c>
      <c r="H2782">
        <v>2.0699999999999998</v>
      </c>
      <c r="I2782">
        <v>0.89800000000000002</v>
      </c>
      <c r="J2782">
        <v>9</v>
      </c>
      <c r="K2782">
        <v>44</v>
      </c>
      <c r="L2782">
        <v>22</v>
      </c>
      <c r="M2782" s="1">
        <v>9000000000</v>
      </c>
    </row>
    <row r="2783" spans="1:13" ht="15" customHeight="1">
      <c r="A2783" t="s">
        <v>34</v>
      </c>
      <c r="B2783">
        <f t="shared" si="172"/>
        <v>33.718296000000002</v>
      </c>
      <c r="C2783">
        <f t="shared" si="173"/>
        <v>-117.85047400000001</v>
      </c>
      <c r="D2783">
        <f t="shared" si="174"/>
        <v>69</v>
      </c>
      <c r="E2783">
        <v>56.499000000000002</v>
      </c>
      <c r="F2783">
        <f t="shared" si="175"/>
        <v>12.500999999999998</v>
      </c>
      <c r="G2783">
        <v>105.533</v>
      </c>
      <c r="H2783">
        <v>1.8029999999999999</v>
      </c>
      <c r="I2783">
        <v>1.7090000000000001</v>
      </c>
      <c r="J2783">
        <v>7</v>
      </c>
      <c r="K2783">
        <v>34</v>
      </c>
      <c r="L2783">
        <v>17</v>
      </c>
      <c r="M2783" s="1">
        <v>9000000000</v>
      </c>
    </row>
    <row r="2784" spans="1:13" ht="15" customHeight="1">
      <c r="A2784" t="s">
        <v>34</v>
      </c>
      <c r="B2784">
        <f t="shared" si="172"/>
        <v>33.718296000000002</v>
      </c>
      <c r="C2784">
        <f t="shared" si="173"/>
        <v>-117.85047400000001</v>
      </c>
      <c r="D2784">
        <f t="shared" si="174"/>
        <v>69</v>
      </c>
      <c r="E2784">
        <v>57.499000000000002</v>
      </c>
      <c r="F2784">
        <f t="shared" si="175"/>
        <v>11.500999999999998</v>
      </c>
      <c r="G2784">
        <v>24.766999999999999</v>
      </c>
      <c r="H2784">
        <v>0.79700000000000004</v>
      </c>
      <c r="I2784">
        <v>3.202</v>
      </c>
      <c r="J2784">
        <v>5</v>
      </c>
      <c r="K2784">
        <v>12</v>
      </c>
      <c r="L2784">
        <v>6</v>
      </c>
      <c r="M2784">
        <v>1.425</v>
      </c>
    </row>
    <row r="2785" spans="1:13" ht="15" customHeight="1">
      <c r="A2785" t="s">
        <v>34</v>
      </c>
      <c r="B2785">
        <f t="shared" si="172"/>
        <v>33.718296000000002</v>
      </c>
      <c r="C2785">
        <f t="shared" si="173"/>
        <v>-117.85047400000001</v>
      </c>
      <c r="D2785">
        <f t="shared" si="174"/>
        <v>69</v>
      </c>
      <c r="E2785">
        <v>58.499000000000002</v>
      </c>
      <c r="F2785">
        <f t="shared" si="175"/>
        <v>10.500999999999998</v>
      </c>
      <c r="G2785">
        <v>18.75</v>
      </c>
      <c r="H2785">
        <v>0.47199999999999998</v>
      </c>
      <c r="I2785">
        <v>2.452</v>
      </c>
      <c r="J2785">
        <v>5</v>
      </c>
      <c r="K2785">
        <v>9</v>
      </c>
      <c r="L2785">
        <v>5</v>
      </c>
      <c r="M2785">
        <v>1.044</v>
      </c>
    </row>
    <row r="2786" spans="1:13" ht="15" customHeight="1">
      <c r="A2786" t="s">
        <v>34</v>
      </c>
      <c r="B2786">
        <f t="shared" si="172"/>
        <v>33.718296000000002</v>
      </c>
      <c r="C2786">
        <f t="shared" si="173"/>
        <v>-117.85047400000001</v>
      </c>
      <c r="D2786">
        <f t="shared" si="174"/>
        <v>69</v>
      </c>
      <c r="E2786">
        <v>59.499000000000002</v>
      </c>
      <c r="F2786">
        <f t="shared" si="175"/>
        <v>9.5009999999999977</v>
      </c>
      <c r="G2786">
        <v>70.033000000000001</v>
      </c>
      <c r="H2786">
        <v>1.7470000000000001</v>
      </c>
      <c r="I2786">
        <v>2.4649999999999999</v>
      </c>
      <c r="J2786">
        <v>6</v>
      </c>
      <c r="K2786">
        <v>27</v>
      </c>
      <c r="L2786">
        <v>14</v>
      </c>
      <c r="M2786">
        <v>4.4809999999999999</v>
      </c>
    </row>
    <row r="2787" spans="1:13" ht="15" customHeight="1">
      <c r="A2787" t="s">
        <v>34</v>
      </c>
      <c r="B2787">
        <f t="shared" si="172"/>
        <v>33.718296000000002</v>
      </c>
      <c r="C2787">
        <f t="shared" si="173"/>
        <v>-117.85047400000001</v>
      </c>
      <c r="D2787">
        <f t="shared" si="174"/>
        <v>69</v>
      </c>
      <c r="E2787">
        <v>60.499000000000002</v>
      </c>
      <c r="F2787">
        <f t="shared" si="175"/>
        <v>8.5009999999999977</v>
      </c>
      <c r="G2787">
        <v>205.333</v>
      </c>
      <c r="H2787">
        <v>2.6280000000000001</v>
      </c>
      <c r="I2787">
        <v>1.2809999999999999</v>
      </c>
      <c r="J2787">
        <v>8</v>
      </c>
      <c r="K2787">
        <v>49</v>
      </c>
      <c r="L2787">
        <v>25</v>
      </c>
      <c r="M2787" s="1">
        <v>9000000000</v>
      </c>
    </row>
    <row r="2788" spans="1:13" ht="15" customHeight="1">
      <c r="A2788" t="s">
        <v>34</v>
      </c>
      <c r="B2788">
        <f t="shared" si="172"/>
        <v>33.718296000000002</v>
      </c>
      <c r="C2788">
        <f t="shared" si="173"/>
        <v>-117.85047400000001</v>
      </c>
      <c r="D2788">
        <f t="shared" si="174"/>
        <v>69</v>
      </c>
      <c r="E2788">
        <v>61.499000000000002</v>
      </c>
      <c r="F2788">
        <f t="shared" si="175"/>
        <v>7.5009999999999977</v>
      </c>
      <c r="G2788">
        <v>273.96699999999998</v>
      </c>
      <c r="H2788">
        <v>2.4119999999999999</v>
      </c>
      <c r="I2788">
        <v>0.88</v>
      </c>
      <c r="J2788">
        <v>9</v>
      </c>
      <c r="K2788">
        <v>52</v>
      </c>
      <c r="L2788">
        <v>26</v>
      </c>
      <c r="M2788" s="1">
        <v>9000000000</v>
      </c>
    </row>
    <row r="2789" spans="1:13" ht="15" customHeight="1">
      <c r="A2789" t="s">
        <v>34</v>
      </c>
      <c r="B2789">
        <f t="shared" si="172"/>
        <v>33.718296000000002</v>
      </c>
      <c r="C2789">
        <f t="shared" si="173"/>
        <v>-117.85047400000001</v>
      </c>
      <c r="D2789">
        <f t="shared" si="174"/>
        <v>69</v>
      </c>
      <c r="E2789">
        <v>62.499000000000002</v>
      </c>
      <c r="F2789">
        <f t="shared" si="175"/>
        <v>6.5009999999999977</v>
      </c>
      <c r="G2789">
        <v>353.17099999999999</v>
      </c>
      <c r="H2789">
        <v>3.2509999999999999</v>
      </c>
      <c r="I2789">
        <v>0.92100000000000004</v>
      </c>
      <c r="J2789">
        <v>9</v>
      </c>
      <c r="K2789">
        <v>68</v>
      </c>
      <c r="L2789">
        <v>34</v>
      </c>
      <c r="M2789" s="1">
        <v>9000000000</v>
      </c>
    </row>
    <row r="2790" spans="1:13" ht="15" customHeight="1">
      <c r="A2790" t="s">
        <v>34</v>
      </c>
      <c r="B2790">
        <f t="shared" si="172"/>
        <v>33.718296000000002</v>
      </c>
      <c r="C2790">
        <f t="shared" si="173"/>
        <v>-117.85047400000001</v>
      </c>
      <c r="D2790">
        <f t="shared" si="174"/>
        <v>69</v>
      </c>
      <c r="E2790">
        <v>63.499000000000002</v>
      </c>
      <c r="F2790">
        <f t="shared" si="175"/>
        <v>5.5009999999999977</v>
      </c>
      <c r="G2790">
        <v>400.58300000000003</v>
      </c>
      <c r="H2790">
        <v>3.548</v>
      </c>
      <c r="I2790">
        <v>0.88600000000000001</v>
      </c>
      <c r="J2790">
        <v>9</v>
      </c>
      <c r="K2790">
        <v>77</v>
      </c>
      <c r="L2790">
        <v>39</v>
      </c>
      <c r="M2790" s="1">
        <v>9000000000</v>
      </c>
    </row>
    <row r="2791" spans="1:13" ht="15" customHeight="1">
      <c r="A2791" t="s">
        <v>34</v>
      </c>
      <c r="B2791">
        <f t="shared" si="172"/>
        <v>33.718296000000002</v>
      </c>
      <c r="C2791">
        <f t="shared" si="173"/>
        <v>-117.85047400000001</v>
      </c>
      <c r="D2791">
        <f t="shared" si="174"/>
        <v>69</v>
      </c>
      <c r="E2791">
        <v>64.498999999999995</v>
      </c>
      <c r="F2791">
        <f t="shared" si="175"/>
        <v>4.5010000000000048</v>
      </c>
      <c r="G2791">
        <v>433.1</v>
      </c>
      <c r="H2791">
        <v>4.0199999999999996</v>
      </c>
      <c r="I2791">
        <v>0.92800000000000005</v>
      </c>
      <c r="J2791">
        <v>9</v>
      </c>
      <c r="K2791">
        <v>83</v>
      </c>
      <c r="L2791">
        <v>42</v>
      </c>
      <c r="M2791" s="1">
        <v>9000000000</v>
      </c>
    </row>
    <row r="2792" spans="1:13" ht="15" customHeight="1">
      <c r="A2792" t="s">
        <v>35</v>
      </c>
      <c r="B2792">
        <f t="shared" si="172"/>
        <v>33.717300999999999</v>
      </c>
      <c r="C2792">
        <f t="shared" si="173"/>
        <v>-117.85065</v>
      </c>
      <c r="D2792">
        <f t="shared" si="174"/>
        <v>67</v>
      </c>
      <c r="E2792">
        <v>0.5</v>
      </c>
      <c r="F2792">
        <f t="shared" si="175"/>
        <v>66.5</v>
      </c>
      <c r="G2792">
        <v>4.7</v>
      </c>
      <c r="H2792">
        <v>2.7E-2</v>
      </c>
      <c r="I2792">
        <v>0.56699999999999995</v>
      </c>
      <c r="J2792">
        <v>1</v>
      </c>
      <c r="K2792">
        <v>2</v>
      </c>
      <c r="L2792">
        <v>3</v>
      </c>
      <c r="M2792">
        <v>0.311</v>
      </c>
    </row>
    <row r="2793" spans="1:13" ht="15" customHeight="1">
      <c r="A2793" t="s">
        <v>35</v>
      </c>
      <c r="B2793">
        <f t="shared" si="172"/>
        <v>33.717300999999999</v>
      </c>
      <c r="C2793">
        <f t="shared" si="173"/>
        <v>-117.85065</v>
      </c>
      <c r="D2793">
        <f t="shared" si="174"/>
        <v>67</v>
      </c>
      <c r="E2793">
        <v>1.5</v>
      </c>
      <c r="F2793">
        <f t="shared" si="175"/>
        <v>65.5</v>
      </c>
      <c r="G2793">
        <v>47.082999999999998</v>
      </c>
      <c r="H2793">
        <v>0.217</v>
      </c>
      <c r="I2793">
        <v>0.46</v>
      </c>
      <c r="J2793">
        <v>8</v>
      </c>
      <c r="K2793">
        <v>11</v>
      </c>
      <c r="L2793">
        <v>17</v>
      </c>
      <c r="M2793" s="1">
        <v>9000000000</v>
      </c>
    </row>
    <row r="2794" spans="1:13" ht="15" customHeight="1">
      <c r="A2794" t="s">
        <v>35</v>
      </c>
      <c r="B2794">
        <f t="shared" si="172"/>
        <v>33.717300999999999</v>
      </c>
      <c r="C2794">
        <f t="shared" si="173"/>
        <v>-117.85065</v>
      </c>
      <c r="D2794">
        <f t="shared" si="174"/>
        <v>67</v>
      </c>
      <c r="E2794">
        <v>2.5</v>
      </c>
      <c r="F2794">
        <f t="shared" si="175"/>
        <v>64.5</v>
      </c>
      <c r="G2794">
        <v>34.75</v>
      </c>
      <c r="H2794">
        <v>0.52700000000000002</v>
      </c>
      <c r="I2794">
        <v>1.5149999999999999</v>
      </c>
      <c r="J2794">
        <v>7</v>
      </c>
      <c r="K2794">
        <v>11</v>
      </c>
      <c r="L2794">
        <v>17</v>
      </c>
      <c r="M2794" s="1">
        <v>9000000000</v>
      </c>
    </row>
    <row r="2795" spans="1:13" ht="15" customHeight="1">
      <c r="A2795" t="s">
        <v>35</v>
      </c>
      <c r="B2795">
        <f t="shared" si="172"/>
        <v>33.717300999999999</v>
      </c>
      <c r="C2795">
        <f t="shared" si="173"/>
        <v>-117.85065</v>
      </c>
      <c r="D2795">
        <f t="shared" si="174"/>
        <v>67</v>
      </c>
      <c r="E2795">
        <v>3.5</v>
      </c>
      <c r="F2795">
        <f t="shared" si="175"/>
        <v>63.5</v>
      </c>
      <c r="G2795">
        <v>19.733000000000001</v>
      </c>
      <c r="H2795">
        <v>0.48499999999999999</v>
      </c>
      <c r="I2795">
        <v>2.4580000000000002</v>
      </c>
      <c r="J2795">
        <v>5</v>
      </c>
      <c r="K2795">
        <v>9</v>
      </c>
      <c r="L2795">
        <v>14</v>
      </c>
      <c r="M2795">
        <v>1.302</v>
      </c>
    </row>
    <row r="2796" spans="1:13" ht="15" customHeight="1">
      <c r="A2796" t="s">
        <v>35</v>
      </c>
      <c r="B2796">
        <f t="shared" si="172"/>
        <v>33.717300999999999</v>
      </c>
      <c r="C2796">
        <f t="shared" si="173"/>
        <v>-117.85065</v>
      </c>
      <c r="D2796">
        <f t="shared" si="174"/>
        <v>67</v>
      </c>
      <c r="E2796">
        <v>4.5</v>
      </c>
      <c r="F2796">
        <f t="shared" si="175"/>
        <v>62.5</v>
      </c>
      <c r="G2796">
        <v>15.483000000000001</v>
      </c>
      <c r="H2796">
        <v>0.56799999999999995</v>
      </c>
      <c r="I2796">
        <v>3.6709999999999998</v>
      </c>
      <c r="J2796">
        <v>4</v>
      </c>
      <c r="K2796">
        <v>10</v>
      </c>
      <c r="L2796">
        <v>15</v>
      </c>
      <c r="M2796">
        <v>1.014</v>
      </c>
    </row>
    <row r="2797" spans="1:13" ht="15" customHeight="1">
      <c r="A2797" t="s">
        <v>35</v>
      </c>
      <c r="B2797">
        <f t="shared" si="172"/>
        <v>33.717300999999999</v>
      </c>
      <c r="C2797">
        <f t="shared" si="173"/>
        <v>-117.85065</v>
      </c>
      <c r="D2797">
        <f t="shared" si="174"/>
        <v>67</v>
      </c>
      <c r="E2797">
        <v>5.5</v>
      </c>
      <c r="F2797">
        <f t="shared" si="175"/>
        <v>61.5</v>
      </c>
      <c r="G2797">
        <v>12.717000000000001</v>
      </c>
      <c r="H2797">
        <v>0.52700000000000002</v>
      </c>
      <c r="I2797">
        <v>4.1420000000000003</v>
      </c>
      <c r="J2797">
        <v>3</v>
      </c>
      <c r="K2797">
        <v>12</v>
      </c>
      <c r="L2797">
        <v>18</v>
      </c>
      <c r="M2797">
        <v>0.82599999999999996</v>
      </c>
    </row>
    <row r="2798" spans="1:13" ht="15" customHeight="1">
      <c r="A2798" t="s">
        <v>35</v>
      </c>
      <c r="B2798">
        <f t="shared" si="172"/>
        <v>33.717300999999999</v>
      </c>
      <c r="C2798">
        <f t="shared" si="173"/>
        <v>-117.85065</v>
      </c>
      <c r="D2798">
        <f t="shared" si="174"/>
        <v>67</v>
      </c>
      <c r="E2798">
        <v>6.5</v>
      </c>
      <c r="F2798">
        <f t="shared" si="175"/>
        <v>60.5</v>
      </c>
      <c r="G2798">
        <v>11.532999999999999</v>
      </c>
      <c r="H2798">
        <v>0.44700000000000001</v>
      </c>
      <c r="I2798">
        <v>3.84</v>
      </c>
      <c r="J2798">
        <v>3</v>
      </c>
      <c r="K2798">
        <v>11</v>
      </c>
      <c r="L2798">
        <v>17</v>
      </c>
      <c r="M2798">
        <v>0.749</v>
      </c>
    </row>
    <row r="2799" spans="1:13" ht="15" customHeight="1">
      <c r="A2799" t="s">
        <v>35</v>
      </c>
      <c r="B2799">
        <f t="shared" si="172"/>
        <v>33.717300999999999</v>
      </c>
      <c r="C2799">
        <f t="shared" si="173"/>
        <v>-117.85065</v>
      </c>
      <c r="D2799">
        <f t="shared" si="174"/>
        <v>67</v>
      </c>
      <c r="E2799">
        <v>7.5</v>
      </c>
      <c r="F2799">
        <f t="shared" si="175"/>
        <v>59.5</v>
      </c>
      <c r="G2799">
        <v>11.532999999999999</v>
      </c>
      <c r="H2799">
        <v>0.503</v>
      </c>
      <c r="I2799">
        <v>4.3639999999999999</v>
      </c>
      <c r="J2799">
        <v>3</v>
      </c>
      <c r="K2799">
        <v>11</v>
      </c>
      <c r="L2799">
        <v>17</v>
      </c>
      <c r="M2799">
        <v>0.73899999999999999</v>
      </c>
    </row>
    <row r="2800" spans="1:13" ht="15" customHeight="1">
      <c r="A2800" t="s">
        <v>35</v>
      </c>
      <c r="B2800">
        <f t="shared" si="172"/>
        <v>33.717300999999999</v>
      </c>
      <c r="C2800">
        <f t="shared" si="173"/>
        <v>-117.85065</v>
      </c>
      <c r="D2800">
        <f t="shared" si="174"/>
        <v>67</v>
      </c>
      <c r="E2800">
        <v>8.5</v>
      </c>
      <c r="F2800">
        <f t="shared" si="175"/>
        <v>58.5</v>
      </c>
      <c r="G2800">
        <v>8.4499999999999993</v>
      </c>
      <c r="H2800">
        <v>0.36</v>
      </c>
      <c r="I2800">
        <v>4.2350000000000003</v>
      </c>
      <c r="J2800">
        <v>3</v>
      </c>
      <c r="K2800">
        <v>8</v>
      </c>
      <c r="L2800">
        <v>12</v>
      </c>
      <c r="M2800">
        <v>0.53200000000000003</v>
      </c>
    </row>
    <row r="2801" spans="1:13" ht="15" customHeight="1">
      <c r="A2801" t="s">
        <v>35</v>
      </c>
      <c r="B2801">
        <f t="shared" si="172"/>
        <v>33.717300999999999</v>
      </c>
      <c r="C2801">
        <f t="shared" si="173"/>
        <v>-117.85065</v>
      </c>
      <c r="D2801">
        <f t="shared" si="174"/>
        <v>67</v>
      </c>
      <c r="E2801">
        <v>9.5</v>
      </c>
      <c r="F2801">
        <f t="shared" si="175"/>
        <v>57.5</v>
      </c>
      <c r="G2801">
        <v>10.933</v>
      </c>
      <c r="H2801">
        <v>0.42699999999999999</v>
      </c>
      <c r="I2801">
        <v>3.8730000000000002</v>
      </c>
      <c r="J2801">
        <v>3</v>
      </c>
      <c r="K2801">
        <v>11</v>
      </c>
      <c r="L2801">
        <v>17</v>
      </c>
      <c r="M2801">
        <v>0.69599999999999995</v>
      </c>
    </row>
    <row r="2802" spans="1:13" ht="15" customHeight="1">
      <c r="A2802" t="s">
        <v>35</v>
      </c>
      <c r="B2802">
        <f t="shared" si="172"/>
        <v>33.717300999999999</v>
      </c>
      <c r="C2802">
        <f t="shared" si="173"/>
        <v>-117.85065</v>
      </c>
      <c r="D2802">
        <f t="shared" si="174"/>
        <v>67</v>
      </c>
      <c r="E2802">
        <v>10.5</v>
      </c>
      <c r="F2802">
        <f t="shared" si="175"/>
        <v>56.5</v>
      </c>
      <c r="G2802">
        <v>20.2</v>
      </c>
      <c r="H2802">
        <v>0.86</v>
      </c>
      <c r="I2802">
        <v>4.2359999999999998</v>
      </c>
      <c r="J2802">
        <v>4</v>
      </c>
      <c r="K2802">
        <v>13</v>
      </c>
      <c r="L2802">
        <v>18</v>
      </c>
      <c r="M2802">
        <v>1.3109999999999999</v>
      </c>
    </row>
    <row r="2803" spans="1:13" ht="15" customHeight="1">
      <c r="A2803" t="s">
        <v>35</v>
      </c>
      <c r="B2803">
        <f t="shared" si="172"/>
        <v>33.717300999999999</v>
      </c>
      <c r="C2803">
        <f t="shared" si="173"/>
        <v>-117.85065</v>
      </c>
      <c r="D2803">
        <f t="shared" si="174"/>
        <v>67</v>
      </c>
      <c r="E2803">
        <v>11.5</v>
      </c>
      <c r="F2803">
        <f t="shared" si="175"/>
        <v>55.5</v>
      </c>
      <c r="G2803">
        <v>18.667000000000002</v>
      </c>
      <c r="H2803">
        <v>0.81799999999999995</v>
      </c>
      <c r="I2803">
        <v>4.3719999999999999</v>
      </c>
      <c r="J2803">
        <v>3</v>
      </c>
      <c r="K2803">
        <v>18</v>
      </c>
      <c r="L2803">
        <v>24</v>
      </c>
      <c r="M2803">
        <v>1.2010000000000001</v>
      </c>
    </row>
    <row r="2804" spans="1:13" ht="15" customHeight="1">
      <c r="A2804" t="s">
        <v>35</v>
      </c>
      <c r="B2804">
        <f t="shared" si="172"/>
        <v>33.717300999999999</v>
      </c>
      <c r="C2804">
        <f t="shared" si="173"/>
        <v>-117.85065</v>
      </c>
      <c r="D2804">
        <f t="shared" si="174"/>
        <v>67</v>
      </c>
      <c r="E2804">
        <v>12.5</v>
      </c>
      <c r="F2804">
        <f t="shared" si="175"/>
        <v>54.5</v>
      </c>
      <c r="G2804">
        <v>10.583</v>
      </c>
      <c r="H2804">
        <v>0.40200000000000002</v>
      </c>
      <c r="I2804">
        <v>3.7949999999999999</v>
      </c>
      <c r="J2804">
        <v>3</v>
      </c>
      <c r="K2804">
        <v>10</v>
      </c>
      <c r="L2804">
        <v>12</v>
      </c>
      <c r="M2804">
        <v>0.65500000000000003</v>
      </c>
    </row>
    <row r="2805" spans="1:13" ht="15" customHeight="1">
      <c r="A2805" t="s">
        <v>35</v>
      </c>
      <c r="B2805">
        <f t="shared" si="172"/>
        <v>33.717300999999999</v>
      </c>
      <c r="C2805">
        <f t="shared" si="173"/>
        <v>-117.85065</v>
      </c>
      <c r="D2805">
        <f t="shared" si="174"/>
        <v>67</v>
      </c>
      <c r="E2805">
        <v>13.5</v>
      </c>
      <c r="F2805">
        <f t="shared" si="175"/>
        <v>53.5</v>
      </c>
      <c r="G2805">
        <v>10.782999999999999</v>
      </c>
      <c r="H2805">
        <v>0.443</v>
      </c>
      <c r="I2805">
        <v>4.1050000000000004</v>
      </c>
      <c r="J2805">
        <v>3</v>
      </c>
      <c r="K2805">
        <v>10</v>
      </c>
      <c r="L2805">
        <v>12</v>
      </c>
      <c r="M2805">
        <v>0.66500000000000004</v>
      </c>
    </row>
    <row r="2806" spans="1:13" ht="15" customHeight="1">
      <c r="A2806" t="s">
        <v>35</v>
      </c>
      <c r="B2806">
        <f t="shared" si="172"/>
        <v>33.717300999999999</v>
      </c>
      <c r="C2806">
        <f t="shared" si="173"/>
        <v>-117.85065</v>
      </c>
      <c r="D2806">
        <f t="shared" si="174"/>
        <v>67</v>
      </c>
      <c r="E2806">
        <v>14.5</v>
      </c>
      <c r="F2806">
        <f t="shared" si="175"/>
        <v>52.5</v>
      </c>
      <c r="G2806">
        <v>9.75</v>
      </c>
      <c r="H2806">
        <v>0.28199999999999997</v>
      </c>
      <c r="I2806">
        <v>2.879</v>
      </c>
      <c r="J2806">
        <v>4</v>
      </c>
      <c r="K2806">
        <v>6</v>
      </c>
      <c r="L2806">
        <v>7</v>
      </c>
      <c r="M2806">
        <v>0.59299999999999997</v>
      </c>
    </row>
    <row r="2807" spans="1:13" ht="15" customHeight="1">
      <c r="A2807" t="s">
        <v>35</v>
      </c>
      <c r="B2807">
        <f t="shared" si="172"/>
        <v>33.717300999999999</v>
      </c>
      <c r="C2807">
        <f t="shared" si="173"/>
        <v>-117.85065</v>
      </c>
      <c r="D2807">
        <f t="shared" si="174"/>
        <v>67</v>
      </c>
      <c r="E2807">
        <v>15.5</v>
      </c>
      <c r="F2807">
        <f t="shared" si="175"/>
        <v>51.5</v>
      </c>
      <c r="G2807">
        <v>8.5670000000000002</v>
      </c>
      <c r="H2807">
        <v>0.16800000000000001</v>
      </c>
      <c r="I2807">
        <v>1.9610000000000001</v>
      </c>
      <c r="J2807">
        <v>5</v>
      </c>
      <c r="K2807">
        <v>4</v>
      </c>
      <c r="L2807">
        <v>4</v>
      </c>
      <c r="M2807">
        <v>0.50900000000000001</v>
      </c>
    </row>
    <row r="2808" spans="1:13" ht="15" customHeight="1">
      <c r="A2808" t="s">
        <v>35</v>
      </c>
      <c r="B2808">
        <f t="shared" si="172"/>
        <v>33.717300999999999</v>
      </c>
      <c r="C2808">
        <f t="shared" si="173"/>
        <v>-117.85065</v>
      </c>
      <c r="D2808">
        <f t="shared" si="174"/>
        <v>67</v>
      </c>
      <c r="E2808">
        <v>16.5</v>
      </c>
      <c r="F2808">
        <f t="shared" si="175"/>
        <v>50.5</v>
      </c>
      <c r="G2808">
        <v>13.266999999999999</v>
      </c>
      <c r="H2808">
        <v>0.193</v>
      </c>
      <c r="I2808">
        <v>1.446</v>
      </c>
      <c r="J2808">
        <v>5</v>
      </c>
      <c r="K2808">
        <v>6</v>
      </c>
      <c r="L2808">
        <v>6</v>
      </c>
      <c r="M2808">
        <v>0.82399999999999995</v>
      </c>
    </row>
    <row r="2809" spans="1:13" ht="15" customHeight="1">
      <c r="A2809" t="s">
        <v>35</v>
      </c>
      <c r="B2809">
        <f t="shared" si="172"/>
        <v>33.717300999999999</v>
      </c>
      <c r="C2809">
        <f t="shared" si="173"/>
        <v>-117.85065</v>
      </c>
      <c r="D2809">
        <f t="shared" si="174"/>
        <v>67</v>
      </c>
      <c r="E2809">
        <v>17.5</v>
      </c>
      <c r="F2809">
        <f t="shared" si="175"/>
        <v>49.5</v>
      </c>
      <c r="G2809">
        <v>52.7</v>
      </c>
      <c r="H2809">
        <v>0.51300000000000001</v>
      </c>
      <c r="I2809">
        <v>0.97699999999999998</v>
      </c>
      <c r="J2809">
        <v>7</v>
      </c>
      <c r="K2809">
        <v>17</v>
      </c>
      <c r="L2809">
        <v>16</v>
      </c>
      <c r="M2809" s="1">
        <v>9000000000</v>
      </c>
    </row>
    <row r="2810" spans="1:13" ht="15" customHeight="1">
      <c r="A2810" t="s">
        <v>35</v>
      </c>
      <c r="B2810">
        <f t="shared" si="172"/>
        <v>33.717300999999999</v>
      </c>
      <c r="C2810">
        <f t="shared" si="173"/>
        <v>-117.85065</v>
      </c>
      <c r="D2810">
        <f t="shared" si="174"/>
        <v>67</v>
      </c>
      <c r="E2810">
        <v>18.5</v>
      </c>
      <c r="F2810">
        <f t="shared" si="175"/>
        <v>48.5</v>
      </c>
      <c r="G2810">
        <v>58.067</v>
      </c>
      <c r="H2810">
        <v>0.375</v>
      </c>
      <c r="I2810">
        <v>0.64800000000000002</v>
      </c>
      <c r="J2810">
        <v>8</v>
      </c>
      <c r="K2810">
        <v>14</v>
      </c>
      <c r="L2810">
        <v>13</v>
      </c>
      <c r="M2810" s="1">
        <v>9000000000</v>
      </c>
    </row>
    <row r="2811" spans="1:13" ht="15" customHeight="1">
      <c r="A2811" t="s">
        <v>35</v>
      </c>
      <c r="B2811">
        <f t="shared" si="172"/>
        <v>33.717300999999999</v>
      </c>
      <c r="C2811">
        <f t="shared" si="173"/>
        <v>-117.85065</v>
      </c>
      <c r="D2811">
        <f t="shared" si="174"/>
        <v>67</v>
      </c>
      <c r="E2811">
        <v>19.5</v>
      </c>
      <c r="F2811">
        <f t="shared" si="175"/>
        <v>47.5</v>
      </c>
      <c r="G2811">
        <v>61.283000000000001</v>
      </c>
      <c r="H2811">
        <v>1.137</v>
      </c>
      <c r="I2811">
        <v>1.86</v>
      </c>
      <c r="J2811">
        <v>7</v>
      </c>
      <c r="K2811">
        <v>20</v>
      </c>
      <c r="L2811">
        <v>18</v>
      </c>
      <c r="M2811" s="1">
        <v>9000000000</v>
      </c>
    </row>
    <row r="2812" spans="1:13" ht="15" customHeight="1">
      <c r="A2812" t="s">
        <v>35</v>
      </c>
      <c r="B2812">
        <f t="shared" si="172"/>
        <v>33.717300999999999</v>
      </c>
      <c r="C2812">
        <f t="shared" si="173"/>
        <v>-117.85065</v>
      </c>
      <c r="D2812">
        <f t="shared" si="174"/>
        <v>67</v>
      </c>
      <c r="E2812">
        <v>20.5</v>
      </c>
      <c r="F2812">
        <f t="shared" si="175"/>
        <v>46.5</v>
      </c>
      <c r="G2812">
        <v>80.956999999999994</v>
      </c>
      <c r="H2812">
        <v>1.1739999999999999</v>
      </c>
      <c r="I2812">
        <v>1.4530000000000001</v>
      </c>
      <c r="J2812">
        <v>7</v>
      </c>
      <c r="K2812">
        <v>26</v>
      </c>
      <c r="L2812">
        <v>22</v>
      </c>
      <c r="M2812" s="1">
        <v>9000000000</v>
      </c>
    </row>
    <row r="2813" spans="1:13" ht="15" customHeight="1">
      <c r="A2813" t="s">
        <v>35</v>
      </c>
      <c r="B2813">
        <f t="shared" si="172"/>
        <v>33.717300999999999</v>
      </c>
      <c r="C2813">
        <f t="shared" si="173"/>
        <v>-117.85065</v>
      </c>
      <c r="D2813">
        <f t="shared" si="174"/>
        <v>67</v>
      </c>
      <c r="E2813">
        <v>21.5</v>
      </c>
      <c r="F2813">
        <f t="shared" si="175"/>
        <v>45.5</v>
      </c>
      <c r="G2813">
        <v>39.317</v>
      </c>
      <c r="H2813">
        <v>0.73199999999999998</v>
      </c>
      <c r="I2813">
        <v>1.8680000000000001</v>
      </c>
      <c r="J2813">
        <v>6</v>
      </c>
      <c r="K2813">
        <v>15</v>
      </c>
      <c r="L2813">
        <v>12</v>
      </c>
      <c r="M2813">
        <v>2.524</v>
      </c>
    </row>
    <row r="2814" spans="1:13" ht="15" customHeight="1">
      <c r="A2814" t="s">
        <v>35</v>
      </c>
      <c r="B2814">
        <f t="shared" si="172"/>
        <v>33.717300999999999</v>
      </c>
      <c r="C2814">
        <f t="shared" si="173"/>
        <v>-117.85065</v>
      </c>
      <c r="D2814">
        <f t="shared" si="174"/>
        <v>67</v>
      </c>
      <c r="E2814">
        <v>22.5</v>
      </c>
      <c r="F2814">
        <f t="shared" si="175"/>
        <v>44.5</v>
      </c>
      <c r="G2814">
        <v>24.283000000000001</v>
      </c>
      <c r="H2814">
        <v>0.6</v>
      </c>
      <c r="I2814">
        <v>2.484</v>
      </c>
      <c r="J2814">
        <v>6</v>
      </c>
      <c r="K2814">
        <v>9</v>
      </c>
      <c r="L2814">
        <v>7</v>
      </c>
      <c r="M2814">
        <v>1.5189999999999999</v>
      </c>
    </row>
    <row r="2815" spans="1:13" ht="15" customHeight="1">
      <c r="A2815" t="s">
        <v>35</v>
      </c>
      <c r="B2815">
        <f t="shared" si="172"/>
        <v>33.717300999999999</v>
      </c>
      <c r="C2815">
        <f t="shared" si="173"/>
        <v>-117.85065</v>
      </c>
      <c r="D2815">
        <f t="shared" si="174"/>
        <v>67</v>
      </c>
      <c r="E2815">
        <v>23.5</v>
      </c>
      <c r="F2815">
        <f t="shared" si="175"/>
        <v>43.5</v>
      </c>
      <c r="G2815">
        <v>12.917</v>
      </c>
      <c r="H2815">
        <v>0.42199999999999999</v>
      </c>
      <c r="I2815">
        <v>3.294</v>
      </c>
      <c r="J2815">
        <v>4</v>
      </c>
      <c r="K2815">
        <v>8</v>
      </c>
      <c r="L2815">
        <v>6</v>
      </c>
      <c r="M2815">
        <v>0.75800000000000001</v>
      </c>
    </row>
    <row r="2816" spans="1:13" ht="15" customHeight="1">
      <c r="A2816" t="s">
        <v>35</v>
      </c>
      <c r="B2816">
        <f t="shared" si="172"/>
        <v>33.717300999999999</v>
      </c>
      <c r="C2816">
        <f t="shared" si="173"/>
        <v>-117.85065</v>
      </c>
      <c r="D2816">
        <f t="shared" si="174"/>
        <v>67</v>
      </c>
      <c r="E2816">
        <v>24.5</v>
      </c>
      <c r="F2816">
        <f t="shared" si="175"/>
        <v>42.5</v>
      </c>
      <c r="G2816">
        <v>9.9830000000000005</v>
      </c>
      <c r="H2816">
        <v>0.34300000000000003</v>
      </c>
      <c r="I2816">
        <v>3.48</v>
      </c>
      <c r="J2816">
        <v>3</v>
      </c>
      <c r="K2816">
        <v>9</v>
      </c>
      <c r="L2816">
        <v>7</v>
      </c>
      <c r="M2816">
        <v>0.55800000000000005</v>
      </c>
    </row>
    <row r="2817" spans="1:13" ht="15" customHeight="1">
      <c r="A2817" t="s">
        <v>35</v>
      </c>
      <c r="B2817">
        <f t="shared" si="172"/>
        <v>33.717300999999999</v>
      </c>
      <c r="C2817">
        <f t="shared" si="173"/>
        <v>-117.85065</v>
      </c>
      <c r="D2817">
        <f t="shared" si="174"/>
        <v>67</v>
      </c>
      <c r="E2817">
        <v>25.5</v>
      </c>
      <c r="F2817">
        <f t="shared" si="175"/>
        <v>41.5</v>
      </c>
      <c r="G2817">
        <v>11.882999999999999</v>
      </c>
      <c r="H2817">
        <v>0.435</v>
      </c>
      <c r="I2817">
        <v>3.681</v>
      </c>
      <c r="J2817">
        <v>3</v>
      </c>
      <c r="K2817">
        <v>11</v>
      </c>
      <c r="L2817">
        <v>8</v>
      </c>
      <c r="M2817">
        <v>0.68400000000000005</v>
      </c>
    </row>
    <row r="2818" spans="1:13" ht="15" customHeight="1">
      <c r="A2818" t="s">
        <v>35</v>
      </c>
      <c r="B2818">
        <f t="shared" ref="B2818:B2881" si="176">VLOOKUP(A2818,XYdata,3,FALSE)</f>
        <v>33.717300999999999</v>
      </c>
      <c r="C2818">
        <f t="shared" ref="C2818:C2881" si="177">VLOOKUP(A2818,XYdata,2,FALSE)</f>
        <v>-117.85065</v>
      </c>
      <c r="D2818">
        <f t="shared" ref="D2818:D2881" si="178">VLOOKUP(A2818,Elevation,2,FALSE)</f>
        <v>67</v>
      </c>
      <c r="E2818">
        <v>26.5</v>
      </c>
      <c r="F2818">
        <f t="shared" si="175"/>
        <v>40.5</v>
      </c>
      <c r="G2818">
        <v>10.199999999999999</v>
      </c>
      <c r="H2818">
        <v>0.3</v>
      </c>
      <c r="I2818">
        <v>2.9460000000000002</v>
      </c>
      <c r="J2818">
        <v>4</v>
      </c>
      <c r="K2818">
        <v>7</v>
      </c>
      <c r="L2818">
        <v>5</v>
      </c>
      <c r="M2818">
        <v>0.57099999999999995</v>
      </c>
    </row>
    <row r="2819" spans="1:13" ht="15" customHeight="1">
      <c r="A2819" t="s">
        <v>35</v>
      </c>
      <c r="B2819">
        <f t="shared" si="176"/>
        <v>33.717300999999999</v>
      </c>
      <c r="C2819">
        <f t="shared" si="177"/>
        <v>-117.85065</v>
      </c>
      <c r="D2819">
        <f t="shared" si="178"/>
        <v>67</v>
      </c>
      <c r="E2819">
        <v>27.5</v>
      </c>
      <c r="F2819">
        <f t="shared" ref="F2819:F2882" si="179">D2819-E2819</f>
        <v>39.5</v>
      </c>
      <c r="G2819">
        <v>9.8670000000000009</v>
      </c>
      <c r="H2819">
        <v>0.252</v>
      </c>
      <c r="I2819">
        <v>2.5419999999999998</v>
      </c>
      <c r="J2819">
        <v>4</v>
      </c>
      <c r="K2819">
        <v>6</v>
      </c>
      <c r="L2819">
        <v>4</v>
      </c>
      <c r="M2819">
        <v>0.54800000000000004</v>
      </c>
    </row>
    <row r="2820" spans="1:13" ht="15" customHeight="1">
      <c r="A2820" t="s">
        <v>35</v>
      </c>
      <c r="B2820">
        <f t="shared" si="176"/>
        <v>33.717300999999999</v>
      </c>
      <c r="C2820">
        <f t="shared" si="177"/>
        <v>-117.85065</v>
      </c>
      <c r="D2820">
        <f t="shared" si="178"/>
        <v>67</v>
      </c>
      <c r="E2820">
        <v>28.5</v>
      </c>
      <c r="F2820">
        <f t="shared" si="179"/>
        <v>38.5</v>
      </c>
      <c r="G2820">
        <v>14.067</v>
      </c>
      <c r="H2820">
        <v>0.41199999999999998</v>
      </c>
      <c r="I2820">
        <v>2.9159999999999999</v>
      </c>
      <c r="J2820">
        <v>5</v>
      </c>
      <c r="K2820">
        <v>7</v>
      </c>
      <c r="L2820">
        <v>5</v>
      </c>
      <c r="M2820">
        <v>0.82499999999999996</v>
      </c>
    </row>
    <row r="2821" spans="1:13" ht="15" customHeight="1">
      <c r="A2821" t="s">
        <v>35</v>
      </c>
      <c r="B2821">
        <f t="shared" si="176"/>
        <v>33.717300999999999</v>
      </c>
      <c r="C2821">
        <f t="shared" si="177"/>
        <v>-117.85065</v>
      </c>
      <c r="D2821">
        <f t="shared" si="178"/>
        <v>67</v>
      </c>
      <c r="E2821">
        <v>29.5</v>
      </c>
      <c r="F2821">
        <f t="shared" si="179"/>
        <v>37.5</v>
      </c>
      <c r="G2821">
        <v>14.067</v>
      </c>
      <c r="H2821">
        <v>0.55300000000000005</v>
      </c>
      <c r="I2821">
        <v>3.9289999999999998</v>
      </c>
      <c r="J2821">
        <v>3</v>
      </c>
      <c r="K2821">
        <v>13</v>
      </c>
      <c r="L2821">
        <v>9</v>
      </c>
      <c r="M2821">
        <v>0.81899999999999995</v>
      </c>
    </row>
    <row r="2822" spans="1:13" ht="15" customHeight="1">
      <c r="A2822" t="s">
        <v>35</v>
      </c>
      <c r="B2822">
        <f t="shared" si="176"/>
        <v>33.717300999999999</v>
      </c>
      <c r="C2822">
        <f t="shared" si="177"/>
        <v>-117.85065</v>
      </c>
      <c r="D2822">
        <f t="shared" si="178"/>
        <v>67</v>
      </c>
      <c r="E2822">
        <v>30.5</v>
      </c>
      <c r="F2822">
        <f t="shared" si="179"/>
        <v>36.5</v>
      </c>
      <c r="G2822">
        <v>24.117000000000001</v>
      </c>
      <c r="H2822">
        <v>0.92300000000000004</v>
      </c>
      <c r="I2822">
        <v>3.8370000000000002</v>
      </c>
      <c r="J2822">
        <v>4</v>
      </c>
      <c r="K2822">
        <v>15</v>
      </c>
      <c r="L2822">
        <v>10</v>
      </c>
      <c r="M2822">
        <v>1.48</v>
      </c>
    </row>
    <row r="2823" spans="1:13" ht="15" customHeight="1">
      <c r="A2823" t="s">
        <v>35</v>
      </c>
      <c r="B2823">
        <f t="shared" si="176"/>
        <v>33.717300999999999</v>
      </c>
      <c r="C2823">
        <f t="shared" si="177"/>
        <v>-117.85065</v>
      </c>
      <c r="D2823">
        <f t="shared" si="178"/>
        <v>67</v>
      </c>
      <c r="E2823">
        <v>31.5</v>
      </c>
      <c r="F2823">
        <f t="shared" si="179"/>
        <v>35.5</v>
      </c>
      <c r="G2823">
        <v>20.385999999999999</v>
      </c>
      <c r="H2823">
        <v>0.40300000000000002</v>
      </c>
      <c r="I2823">
        <v>1.986</v>
      </c>
      <c r="J2823">
        <v>6</v>
      </c>
      <c r="K2823">
        <v>8</v>
      </c>
      <c r="L2823">
        <v>5</v>
      </c>
      <c r="M2823">
        <v>1.224</v>
      </c>
    </row>
    <row r="2824" spans="1:13" ht="15" customHeight="1">
      <c r="A2824" t="s">
        <v>35</v>
      </c>
      <c r="B2824">
        <f t="shared" si="176"/>
        <v>33.717300999999999</v>
      </c>
      <c r="C2824">
        <f t="shared" si="177"/>
        <v>-117.85065</v>
      </c>
      <c r="D2824">
        <f t="shared" si="178"/>
        <v>67</v>
      </c>
      <c r="E2824">
        <v>32.5</v>
      </c>
      <c r="F2824">
        <f t="shared" si="179"/>
        <v>34.5</v>
      </c>
      <c r="G2824">
        <v>13.583</v>
      </c>
      <c r="H2824">
        <v>0.49199999999999999</v>
      </c>
      <c r="I2824">
        <v>3.6419999999999999</v>
      </c>
      <c r="J2824">
        <v>4</v>
      </c>
      <c r="K2824">
        <v>9</v>
      </c>
      <c r="L2824">
        <v>6</v>
      </c>
      <c r="M2824">
        <v>0.76800000000000002</v>
      </c>
    </row>
    <row r="2825" spans="1:13" ht="15" customHeight="1">
      <c r="A2825" t="s">
        <v>35</v>
      </c>
      <c r="B2825">
        <f t="shared" si="176"/>
        <v>33.717300999999999</v>
      </c>
      <c r="C2825">
        <f t="shared" si="177"/>
        <v>-117.85065</v>
      </c>
      <c r="D2825">
        <f t="shared" si="178"/>
        <v>67</v>
      </c>
      <c r="E2825">
        <v>33.5</v>
      </c>
      <c r="F2825">
        <f t="shared" si="179"/>
        <v>33.5</v>
      </c>
      <c r="G2825">
        <v>17.05</v>
      </c>
      <c r="H2825">
        <v>0.68500000000000005</v>
      </c>
      <c r="I2825">
        <v>4.0330000000000004</v>
      </c>
      <c r="J2825">
        <v>4</v>
      </c>
      <c r="K2825">
        <v>11</v>
      </c>
      <c r="L2825">
        <v>7</v>
      </c>
      <c r="M2825">
        <v>0.996</v>
      </c>
    </row>
    <row r="2826" spans="1:13" ht="15" customHeight="1">
      <c r="A2826" t="s">
        <v>35</v>
      </c>
      <c r="B2826">
        <f t="shared" si="176"/>
        <v>33.717300999999999</v>
      </c>
      <c r="C2826">
        <f t="shared" si="177"/>
        <v>-117.85065</v>
      </c>
      <c r="D2826">
        <f t="shared" si="178"/>
        <v>67</v>
      </c>
      <c r="E2826">
        <v>34.5</v>
      </c>
      <c r="F2826">
        <f t="shared" si="179"/>
        <v>32.5</v>
      </c>
      <c r="G2826">
        <v>30.216999999999999</v>
      </c>
      <c r="H2826">
        <v>1.5629999999999999</v>
      </c>
      <c r="I2826">
        <v>5.1879999999999997</v>
      </c>
      <c r="J2826">
        <v>3</v>
      </c>
      <c r="K2826">
        <v>29</v>
      </c>
      <c r="L2826">
        <v>18</v>
      </c>
      <c r="M2826">
        <v>1.869</v>
      </c>
    </row>
    <row r="2827" spans="1:13" ht="15" customHeight="1">
      <c r="A2827" t="s">
        <v>35</v>
      </c>
      <c r="B2827">
        <f t="shared" si="176"/>
        <v>33.717300999999999</v>
      </c>
      <c r="C2827">
        <f t="shared" si="177"/>
        <v>-117.85065</v>
      </c>
      <c r="D2827">
        <f t="shared" si="178"/>
        <v>67</v>
      </c>
      <c r="E2827">
        <v>35.5</v>
      </c>
      <c r="F2827">
        <f t="shared" si="179"/>
        <v>31.5</v>
      </c>
      <c r="G2827">
        <v>16.867000000000001</v>
      </c>
      <c r="H2827">
        <v>0.64500000000000002</v>
      </c>
      <c r="I2827">
        <v>3.835</v>
      </c>
      <c r="J2827">
        <v>4</v>
      </c>
      <c r="K2827">
        <v>11</v>
      </c>
      <c r="L2827">
        <v>7</v>
      </c>
      <c r="M2827">
        <v>0.97699999999999998</v>
      </c>
    </row>
    <row r="2828" spans="1:13" ht="15" customHeight="1">
      <c r="A2828" t="s">
        <v>35</v>
      </c>
      <c r="B2828">
        <f t="shared" si="176"/>
        <v>33.717300999999999</v>
      </c>
      <c r="C2828">
        <f t="shared" si="177"/>
        <v>-117.85065</v>
      </c>
      <c r="D2828">
        <f t="shared" si="178"/>
        <v>67</v>
      </c>
      <c r="E2828">
        <v>36.5</v>
      </c>
      <c r="F2828">
        <f t="shared" si="179"/>
        <v>30.5</v>
      </c>
      <c r="G2828">
        <v>13.282999999999999</v>
      </c>
      <c r="H2828">
        <v>0.34499999999999997</v>
      </c>
      <c r="I2828">
        <v>2.5939999999999999</v>
      </c>
      <c r="J2828">
        <v>5</v>
      </c>
      <c r="K2828">
        <v>6</v>
      </c>
      <c r="L2828">
        <v>4</v>
      </c>
      <c r="M2828">
        <v>0.73799999999999999</v>
      </c>
    </row>
    <row r="2829" spans="1:13" ht="15" customHeight="1">
      <c r="A2829" t="s">
        <v>35</v>
      </c>
      <c r="B2829">
        <f t="shared" si="176"/>
        <v>33.717300999999999</v>
      </c>
      <c r="C2829">
        <f t="shared" si="177"/>
        <v>-117.85065</v>
      </c>
      <c r="D2829">
        <f t="shared" si="178"/>
        <v>67</v>
      </c>
      <c r="E2829">
        <v>37.5</v>
      </c>
      <c r="F2829">
        <f t="shared" si="179"/>
        <v>29.5</v>
      </c>
      <c r="G2829">
        <v>16.966999999999999</v>
      </c>
      <c r="H2829">
        <v>0.46500000000000002</v>
      </c>
      <c r="I2829">
        <v>2.7330000000000001</v>
      </c>
      <c r="J2829">
        <v>5</v>
      </c>
      <c r="K2829">
        <v>8</v>
      </c>
      <c r="L2829">
        <v>5</v>
      </c>
      <c r="M2829">
        <v>0.98199999999999998</v>
      </c>
    </row>
    <row r="2830" spans="1:13" ht="15" customHeight="1">
      <c r="A2830" t="s">
        <v>35</v>
      </c>
      <c r="B2830">
        <f t="shared" si="176"/>
        <v>33.717300999999999</v>
      </c>
      <c r="C2830">
        <f t="shared" si="177"/>
        <v>-117.85065</v>
      </c>
      <c r="D2830">
        <f t="shared" si="178"/>
        <v>67</v>
      </c>
      <c r="E2830">
        <v>38.5</v>
      </c>
      <c r="F2830">
        <f t="shared" si="179"/>
        <v>28.5</v>
      </c>
      <c r="G2830">
        <v>26.283000000000001</v>
      </c>
      <c r="H2830">
        <v>0.83799999999999997</v>
      </c>
      <c r="I2830">
        <v>3.1520000000000001</v>
      </c>
      <c r="J2830">
        <v>5</v>
      </c>
      <c r="K2830">
        <v>13</v>
      </c>
      <c r="L2830">
        <v>8</v>
      </c>
      <c r="M2830">
        <v>1.617</v>
      </c>
    </row>
    <row r="2831" spans="1:13" ht="15" customHeight="1">
      <c r="A2831" t="s">
        <v>35</v>
      </c>
      <c r="B2831">
        <f t="shared" si="176"/>
        <v>33.717300999999999</v>
      </c>
      <c r="C2831">
        <f t="shared" si="177"/>
        <v>-117.85065</v>
      </c>
      <c r="D2831">
        <f t="shared" si="178"/>
        <v>67</v>
      </c>
      <c r="E2831">
        <v>39.5</v>
      </c>
      <c r="F2831">
        <f t="shared" si="179"/>
        <v>27.5</v>
      </c>
      <c r="G2831">
        <v>38.450000000000003</v>
      </c>
      <c r="H2831">
        <v>1.6830000000000001</v>
      </c>
      <c r="I2831">
        <v>4.3250000000000002</v>
      </c>
      <c r="J2831">
        <v>4</v>
      </c>
      <c r="K2831">
        <v>25</v>
      </c>
      <c r="L2831">
        <v>15</v>
      </c>
      <c r="M2831">
        <v>2.4340000000000002</v>
      </c>
    </row>
    <row r="2832" spans="1:13" ht="15" customHeight="1">
      <c r="A2832" t="s">
        <v>35</v>
      </c>
      <c r="B2832">
        <f t="shared" si="176"/>
        <v>33.717300999999999</v>
      </c>
      <c r="C2832">
        <f t="shared" si="177"/>
        <v>-117.85065</v>
      </c>
      <c r="D2832">
        <f t="shared" si="178"/>
        <v>67</v>
      </c>
      <c r="E2832">
        <v>40.5</v>
      </c>
      <c r="F2832">
        <f t="shared" si="179"/>
        <v>26.5</v>
      </c>
      <c r="G2832">
        <v>46.85</v>
      </c>
      <c r="H2832">
        <v>2.0499999999999998</v>
      </c>
      <c r="I2832">
        <v>4.3330000000000002</v>
      </c>
      <c r="J2832">
        <v>4</v>
      </c>
      <c r="K2832">
        <v>30</v>
      </c>
      <c r="L2832">
        <v>18</v>
      </c>
      <c r="M2832">
        <v>2.99</v>
      </c>
    </row>
    <row r="2833" spans="1:13" ht="15" customHeight="1">
      <c r="A2833" t="s">
        <v>35</v>
      </c>
      <c r="B2833">
        <f t="shared" si="176"/>
        <v>33.717300999999999</v>
      </c>
      <c r="C2833">
        <f t="shared" si="177"/>
        <v>-117.85065</v>
      </c>
      <c r="D2833">
        <f t="shared" si="178"/>
        <v>67</v>
      </c>
      <c r="E2833">
        <v>41.499000000000002</v>
      </c>
      <c r="F2833">
        <f t="shared" si="179"/>
        <v>25.500999999999998</v>
      </c>
      <c r="G2833">
        <v>50.128999999999998</v>
      </c>
      <c r="H2833">
        <v>2.6240000000000001</v>
      </c>
      <c r="I2833">
        <v>5.2229999999999999</v>
      </c>
      <c r="J2833">
        <v>3</v>
      </c>
      <c r="K2833">
        <v>48</v>
      </c>
      <c r="L2833">
        <v>28</v>
      </c>
      <c r="M2833">
        <v>3.181</v>
      </c>
    </row>
    <row r="2834" spans="1:13" ht="15" customHeight="1">
      <c r="A2834" t="s">
        <v>35</v>
      </c>
      <c r="B2834">
        <f t="shared" si="176"/>
        <v>33.717300999999999</v>
      </c>
      <c r="C2834">
        <f t="shared" si="177"/>
        <v>-117.85065</v>
      </c>
      <c r="D2834">
        <f t="shared" si="178"/>
        <v>67</v>
      </c>
      <c r="E2834">
        <v>42.499000000000002</v>
      </c>
      <c r="F2834">
        <f t="shared" si="179"/>
        <v>24.500999999999998</v>
      </c>
      <c r="G2834">
        <v>33.017000000000003</v>
      </c>
      <c r="H2834">
        <v>1.52</v>
      </c>
      <c r="I2834">
        <v>4.601</v>
      </c>
      <c r="J2834">
        <v>4</v>
      </c>
      <c r="K2834">
        <v>21</v>
      </c>
      <c r="L2834">
        <v>12</v>
      </c>
      <c r="M2834">
        <v>2.0289999999999999</v>
      </c>
    </row>
    <row r="2835" spans="1:13" ht="15" customHeight="1">
      <c r="A2835" t="s">
        <v>35</v>
      </c>
      <c r="B2835">
        <f t="shared" si="176"/>
        <v>33.717300999999999</v>
      </c>
      <c r="C2835">
        <f t="shared" si="177"/>
        <v>-117.85065</v>
      </c>
      <c r="D2835">
        <f t="shared" si="178"/>
        <v>67</v>
      </c>
      <c r="E2835">
        <v>43.499000000000002</v>
      </c>
      <c r="F2835">
        <f t="shared" si="179"/>
        <v>23.500999999999998</v>
      </c>
      <c r="G2835">
        <v>23.667000000000002</v>
      </c>
      <c r="H2835">
        <v>0.81799999999999995</v>
      </c>
      <c r="I2835">
        <v>3.4580000000000002</v>
      </c>
      <c r="J2835">
        <v>5</v>
      </c>
      <c r="K2835">
        <v>11</v>
      </c>
      <c r="L2835">
        <v>6</v>
      </c>
      <c r="M2835">
        <v>1.401</v>
      </c>
    </row>
    <row r="2836" spans="1:13" ht="15" customHeight="1">
      <c r="A2836" t="s">
        <v>35</v>
      </c>
      <c r="B2836">
        <f t="shared" si="176"/>
        <v>33.717300999999999</v>
      </c>
      <c r="C2836">
        <f t="shared" si="177"/>
        <v>-117.85065</v>
      </c>
      <c r="D2836">
        <f t="shared" si="178"/>
        <v>67</v>
      </c>
      <c r="E2836">
        <v>44.499000000000002</v>
      </c>
      <c r="F2836">
        <f t="shared" si="179"/>
        <v>22.500999999999998</v>
      </c>
      <c r="G2836">
        <v>21.783000000000001</v>
      </c>
      <c r="H2836">
        <v>0.8</v>
      </c>
      <c r="I2836">
        <v>3.67</v>
      </c>
      <c r="J2836">
        <v>4</v>
      </c>
      <c r="K2836">
        <v>14</v>
      </c>
      <c r="L2836">
        <v>8</v>
      </c>
      <c r="M2836">
        <v>1.272</v>
      </c>
    </row>
    <row r="2837" spans="1:13" ht="15" customHeight="1">
      <c r="A2837" t="s">
        <v>35</v>
      </c>
      <c r="B2837">
        <f t="shared" si="176"/>
        <v>33.717300999999999</v>
      </c>
      <c r="C2837">
        <f t="shared" si="177"/>
        <v>-117.85065</v>
      </c>
      <c r="D2837">
        <f t="shared" si="178"/>
        <v>67</v>
      </c>
      <c r="E2837">
        <v>45.499000000000002</v>
      </c>
      <c r="F2837">
        <f t="shared" si="179"/>
        <v>21.500999999999998</v>
      </c>
      <c r="G2837">
        <v>40.75</v>
      </c>
      <c r="H2837">
        <v>2.008</v>
      </c>
      <c r="I2837">
        <v>4.9219999999999997</v>
      </c>
      <c r="J2837">
        <v>3</v>
      </c>
      <c r="K2837">
        <v>39</v>
      </c>
      <c r="L2837">
        <v>22</v>
      </c>
      <c r="M2837">
        <v>2.5350000000000001</v>
      </c>
    </row>
    <row r="2838" spans="1:13" ht="15" customHeight="1">
      <c r="A2838" t="s">
        <v>35</v>
      </c>
      <c r="B2838">
        <f t="shared" si="176"/>
        <v>33.717300999999999</v>
      </c>
      <c r="C2838">
        <f t="shared" si="177"/>
        <v>-117.85065</v>
      </c>
      <c r="D2838">
        <f t="shared" si="178"/>
        <v>67</v>
      </c>
      <c r="E2838">
        <v>46.499000000000002</v>
      </c>
      <c r="F2838">
        <f t="shared" si="179"/>
        <v>20.500999999999998</v>
      </c>
      <c r="G2838">
        <v>78.233000000000004</v>
      </c>
      <c r="H2838">
        <v>3.69</v>
      </c>
      <c r="I2838">
        <v>4.726</v>
      </c>
      <c r="J2838">
        <v>11</v>
      </c>
      <c r="K2838">
        <v>75</v>
      </c>
      <c r="L2838">
        <v>41</v>
      </c>
      <c r="M2838" s="1">
        <v>9000000000</v>
      </c>
    </row>
    <row r="2839" spans="1:13" ht="15" customHeight="1">
      <c r="A2839" t="s">
        <v>35</v>
      </c>
      <c r="B2839">
        <f t="shared" si="176"/>
        <v>33.717300999999999</v>
      </c>
      <c r="C2839">
        <f t="shared" si="177"/>
        <v>-117.85065</v>
      </c>
      <c r="D2839">
        <f t="shared" si="178"/>
        <v>67</v>
      </c>
      <c r="E2839">
        <v>47.499000000000002</v>
      </c>
      <c r="F2839">
        <f t="shared" si="179"/>
        <v>19.500999999999998</v>
      </c>
      <c r="G2839">
        <v>179.333</v>
      </c>
      <c r="H2839">
        <v>1.7250000000000001</v>
      </c>
      <c r="I2839">
        <v>0.96299999999999997</v>
      </c>
      <c r="J2839">
        <v>9</v>
      </c>
      <c r="K2839">
        <v>34</v>
      </c>
      <c r="L2839">
        <v>18</v>
      </c>
      <c r="M2839" s="1">
        <v>9000000000</v>
      </c>
    </row>
    <row r="2840" spans="1:13" ht="15" customHeight="1">
      <c r="A2840" t="s">
        <v>35</v>
      </c>
      <c r="B2840">
        <f t="shared" si="176"/>
        <v>33.717300999999999</v>
      </c>
      <c r="C2840">
        <f t="shared" si="177"/>
        <v>-117.85065</v>
      </c>
      <c r="D2840">
        <f t="shared" si="178"/>
        <v>67</v>
      </c>
      <c r="E2840">
        <v>48.499000000000002</v>
      </c>
      <c r="F2840">
        <f t="shared" si="179"/>
        <v>18.500999999999998</v>
      </c>
      <c r="G2840">
        <v>216.167</v>
      </c>
      <c r="H2840">
        <v>2.1549999999999998</v>
      </c>
      <c r="I2840">
        <v>0.997</v>
      </c>
      <c r="J2840">
        <v>9</v>
      </c>
      <c r="K2840">
        <v>41</v>
      </c>
      <c r="L2840">
        <v>22</v>
      </c>
      <c r="M2840" s="1">
        <v>9000000000</v>
      </c>
    </row>
    <row r="2841" spans="1:13" ht="15" customHeight="1">
      <c r="A2841" t="s">
        <v>35</v>
      </c>
      <c r="B2841">
        <f t="shared" si="176"/>
        <v>33.717300999999999</v>
      </c>
      <c r="C2841">
        <f t="shared" si="177"/>
        <v>-117.85065</v>
      </c>
      <c r="D2841">
        <f t="shared" si="178"/>
        <v>67</v>
      </c>
      <c r="E2841">
        <v>49.499000000000002</v>
      </c>
      <c r="F2841">
        <f t="shared" si="179"/>
        <v>17.500999999999998</v>
      </c>
      <c r="G2841">
        <v>239.38300000000001</v>
      </c>
      <c r="H2841">
        <v>2.09</v>
      </c>
      <c r="I2841">
        <v>0.873</v>
      </c>
      <c r="J2841">
        <v>9</v>
      </c>
      <c r="K2841">
        <v>46</v>
      </c>
      <c r="L2841">
        <v>24</v>
      </c>
      <c r="M2841" s="1">
        <v>9000000000</v>
      </c>
    </row>
    <row r="2842" spans="1:13" ht="15" customHeight="1">
      <c r="A2842" t="s">
        <v>35</v>
      </c>
      <c r="B2842">
        <f t="shared" si="176"/>
        <v>33.717300999999999</v>
      </c>
      <c r="C2842">
        <f t="shared" si="177"/>
        <v>-117.85065</v>
      </c>
      <c r="D2842">
        <f t="shared" si="178"/>
        <v>67</v>
      </c>
      <c r="E2842">
        <v>50.499000000000002</v>
      </c>
      <c r="F2842">
        <f t="shared" si="179"/>
        <v>16.500999999999998</v>
      </c>
      <c r="G2842">
        <v>235.233</v>
      </c>
      <c r="H2842">
        <v>2.16</v>
      </c>
      <c r="I2842">
        <v>0.91800000000000004</v>
      </c>
      <c r="J2842">
        <v>9</v>
      </c>
      <c r="K2842">
        <v>45</v>
      </c>
      <c r="L2842">
        <v>24</v>
      </c>
      <c r="M2842" s="1">
        <v>9000000000</v>
      </c>
    </row>
    <row r="2843" spans="1:13" ht="15" customHeight="1">
      <c r="A2843" t="s">
        <v>35</v>
      </c>
      <c r="B2843">
        <f t="shared" si="176"/>
        <v>33.717300999999999</v>
      </c>
      <c r="C2843">
        <f t="shared" si="177"/>
        <v>-117.85065</v>
      </c>
      <c r="D2843">
        <f t="shared" si="178"/>
        <v>67</v>
      </c>
      <c r="E2843">
        <v>51.499000000000002</v>
      </c>
      <c r="F2843">
        <f t="shared" si="179"/>
        <v>15.500999999999998</v>
      </c>
      <c r="G2843">
        <v>233.267</v>
      </c>
      <c r="H2843">
        <v>2.113</v>
      </c>
      <c r="I2843">
        <v>0.90600000000000003</v>
      </c>
      <c r="J2843">
        <v>9</v>
      </c>
      <c r="K2843">
        <v>45</v>
      </c>
      <c r="L2843">
        <v>23</v>
      </c>
      <c r="M2843" s="1">
        <v>9000000000</v>
      </c>
    </row>
    <row r="2844" spans="1:13" ht="15" customHeight="1">
      <c r="A2844" t="s">
        <v>35</v>
      </c>
      <c r="B2844">
        <f t="shared" si="176"/>
        <v>33.717300999999999</v>
      </c>
      <c r="C2844">
        <f t="shared" si="177"/>
        <v>-117.85065</v>
      </c>
      <c r="D2844">
        <f t="shared" si="178"/>
        <v>67</v>
      </c>
      <c r="E2844">
        <v>52.499000000000002</v>
      </c>
      <c r="F2844">
        <f t="shared" si="179"/>
        <v>14.500999999999998</v>
      </c>
      <c r="G2844">
        <v>243.51400000000001</v>
      </c>
      <c r="H2844">
        <v>2.7559999999999998</v>
      </c>
      <c r="I2844">
        <v>1.131</v>
      </c>
      <c r="J2844">
        <v>9</v>
      </c>
      <c r="K2844">
        <v>47</v>
      </c>
      <c r="L2844">
        <v>24</v>
      </c>
      <c r="M2844" s="1">
        <v>9000000000</v>
      </c>
    </row>
    <row r="2845" spans="1:13" ht="15" customHeight="1">
      <c r="A2845" t="s">
        <v>35</v>
      </c>
      <c r="B2845">
        <f t="shared" si="176"/>
        <v>33.717300999999999</v>
      </c>
      <c r="C2845">
        <f t="shared" si="177"/>
        <v>-117.85065</v>
      </c>
      <c r="D2845">
        <f t="shared" si="178"/>
        <v>67</v>
      </c>
      <c r="E2845">
        <v>53.499000000000002</v>
      </c>
      <c r="F2845">
        <f t="shared" si="179"/>
        <v>13.500999999999998</v>
      </c>
      <c r="G2845">
        <v>232.71700000000001</v>
      </c>
      <c r="H2845">
        <v>2.1520000000000001</v>
      </c>
      <c r="I2845">
        <v>0.92400000000000004</v>
      </c>
      <c r="J2845">
        <v>9</v>
      </c>
      <c r="K2845">
        <v>45</v>
      </c>
      <c r="L2845">
        <v>23</v>
      </c>
      <c r="M2845" s="1">
        <v>9000000000</v>
      </c>
    </row>
    <row r="2846" spans="1:13" ht="15" customHeight="1">
      <c r="A2846" t="s">
        <v>35</v>
      </c>
      <c r="B2846">
        <f t="shared" si="176"/>
        <v>33.717300999999999</v>
      </c>
      <c r="C2846">
        <f t="shared" si="177"/>
        <v>-117.85065</v>
      </c>
      <c r="D2846">
        <f t="shared" si="178"/>
        <v>67</v>
      </c>
      <c r="E2846">
        <v>54.499000000000002</v>
      </c>
      <c r="F2846">
        <f t="shared" si="179"/>
        <v>12.500999999999998</v>
      </c>
      <c r="G2846">
        <v>205.05</v>
      </c>
      <c r="H2846">
        <v>2.5070000000000001</v>
      </c>
      <c r="I2846">
        <v>1.222</v>
      </c>
      <c r="J2846">
        <v>9</v>
      </c>
      <c r="K2846">
        <v>39</v>
      </c>
      <c r="L2846">
        <v>20</v>
      </c>
      <c r="M2846" s="1">
        <v>9000000000</v>
      </c>
    </row>
    <row r="2847" spans="1:13" ht="15" customHeight="1">
      <c r="A2847" t="s">
        <v>35</v>
      </c>
      <c r="B2847">
        <f t="shared" si="176"/>
        <v>33.717300999999999</v>
      </c>
      <c r="C2847">
        <f t="shared" si="177"/>
        <v>-117.85065</v>
      </c>
      <c r="D2847">
        <f t="shared" si="178"/>
        <v>67</v>
      </c>
      <c r="E2847">
        <v>55.499000000000002</v>
      </c>
      <c r="F2847">
        <f t="shared" si="179"/>
        <v>11.500999999999998</v>
      </c>
      <c r="G2847">
        <v>206.5</v>
      </c>
      <c r="H2847">
        <v>1.637</v>
      </c>
      <c r="I2847">
        <v>0.79300000000000004</v>
      </c>
      <c r="J2847">
        <v>9</v>
      </c>
      <c r="K2847">
        <v>40</v>
      </c>
      <c r="L2847">
        <v>20</v>
      </c>
      <c r="M2847" s="1">
        <v>9000000000</v>
      </c>
    </row>
    <row r="2848" spans="1:13" ht="15" customHeight="1">
      <c r="A2848" t="s">
        <v>35</v>
      </c>
      <c r="B2848">
        <f t="shared" si="176"/>
        <v>33.717300999999999</v>
      </c>
      <c r="C2848">
        <f t="shared" si="177"/>
        <v>-117.85065</v>
      </c>
      <c r="D2848">
        <f t="shared" si="178"/>
        <v>67</v>
      </c>
      <c r="E2848">
        <v>56.499000000000002</v>
      </c>
      <c r="F2848">
        <f t="shared" si="179"/>
        <v>10.500999999999998</v>
      </c>
      <c r="G2848">
        <v>243.56700000000001</v>
      </c>
      <c r="H2848">
        <v>2.4700000000000002</v>
      </c>
      <c r="I2848">
        <v>1.0149999999999999</v>
      </c>
      <c r="J2848">
        <v>9</v>
      </c>
      <c r="K2848">
        <v>47</v>
      </c>
      <c r="L2848">
        <v>24</v>
      </c>
      <c r="M2848" s="1">
        <v>9000000000</v>
      </c>
    </row>
    <row r="2849" spans="1:13" ht="15" customHeight="1">
      <c r="A2849" t="s">
        <v>35</v>
      </c>
      <c r="B2849">
        <f t="shared" si="176"/>
        <v>33.717300999999999</v>
      </c>
      <c r="C2849">
        <f t="shared" si="177"/>
        <v>-117.85065</v>
      </c>
      <c r="D2849">
        <f t="shared" si="178"/>
        <v>67</v>
      </c>
      <c r="E2849">
        <v>57.499000000000002</v>
      </c>
      <c r="F2849">
        <f t="shared" si="179"/>
        <v>9.5009999999999977</v>
      </c>
      <c r="G2849">
        <v>282.53300000000002</v>
      </c>
      <c r="H2849">
        <v>1.4370000000000001</v>
      </c>
      <c r="I2849">
        <v>0.50900000000000001</v>
      </c>
      <c r="J2849">
        <v>10</v>
      </c>
      <c r="K2849">
        <v>45</v>
      </c>
      <c r="L2849">
        <v>23</v>
      </c>
      <c r="M2849" s="1">
        <v>9000000000</v>
      </c>
    </row>
    <row r="2850" spans="1:13" ht="15" customHeight="1">
      <c r="A2850" t="s">
        <v>35</v>
      </c>
      <c r="B2850">
        <f t="shared" si="176"/>
        <v>33.717300999999999</v>
      </c>
      <c r="C2850">
        <f t="shared" si="177"/>
        <v>-117.85065</v>
      </c>
      <c r="D2850">
        <f t="shared" si="178"/>
        <v>67</v>
      </c>
      <c r="E2850">
        <v>58.499000000000002</v>
      </c>
      <c r="F2850">
        <f t="shared" si="179"/>
        <v>8.5009999999999977</v>
      </c>
      <c r="G2850">
        <v>181.85</v>
      </c>
      <c r="H2850">
        <v>3.6320000000000001</v>
      </c>
      <c r="I2850">
        <v>1.9990000000000001</v>
      </c>
      <c r="J2850">
        <v>7</v>
      </c>
      <c r="K2850">
        <v>58</v>
      </c>
      <c r="L2850">
        <v>29</v>
      </c>
      <c r="M2850" s="1">
        <v>9000000000</v>
      </c>
    </row>
    <row r="2851" spans="1:13" ht="15" customHeight="1">
      <c r="A2851" t="s">
        <v>35</v>
      </c>
      <c r="B2851">
        <f t="shared" si="176"/>
        <v>33.717300999999999</v>
      </c>
      <c r="C2851">
        <f t="shared" si="177"/>
        <v>-117.85065</v>
      </c>
      <c r="D2851">
        <f t="shared" si="178"/>
        <v>67</v>
      </c>
      <c r="E2851">
        <v>59.499000000000002</v>
      </c>
      <c r="F2851">
        <f t="shared" si="179"/>
        <v>7.5009999999999977</v>
      </c>
      <c r="G2851">
        <v>22.867000000000001</v>
      </c>
      <c r="H2851">
        <v>0.625</v>
      </c>
      <c r="I2851">
        <v>2.66</v>
      </c>
      <c r="J2851">
        <v>5</v>
      </c>
      <c r="K2851">
        <v>11</v>
      </c>
      <c r="L2851">
        <v>6</v>
      </c>
      <c r="M2851">
        <v>1.3220000000000001</v>
      </c>
    </row>
    <row r="2852" spans="1:13" ht="15" customHeight="1">
      <c r="A2852" t="s">
        <v>35</v>
      </c>
      <c r="B2852">
        <f t="shared" si="176"/>
        <v>33.717300999999999</v>
      </c>
      <c r="C2852">
        <f t="shared" si="177"/>
        <v>-117.85065</v>
      </c>
      <c r="D2852">
        <f t="shared" si="178"/>
        <v>67</v>
      </c>
      <c r="E2852">
        <v>60.499000000000002</v>
      </c>
      <c r="F2852">
        <f t="shared" si="179"/>
        <v>6.5009999999999977</v>
      </c>
      <c r="G2852">
        <v>17.983000000000001</v>
      </c>
      <c r="H2852">
        <v>0.50800000000000001</v>
      </c>
      <c r="I2852">
        <v>2.6779999999999999</v>
      </c>
      <c r="J2852">
        <v>5</v>
      </c>
      <c r="K2852">
        <v>9</v>
      </c>
      <c r="L2852">
        <v>5</v>
      </c>
      <c r="M2852">
        <v>1.0169999999999999</v>
      </c>
    </row>
    <row r="2853" spans="1:13" ht="15" customHeight="1">
      <c r="A2853" t="s">
        <v>35</v>
      </c>
      <c r="B2853">
        <f t="shared" si="176"/>
        <v>33.717300999999999</v>
      </c>
      <c r="C2853">
        <f t="shared" si="177"/>
        <v>-117.85065</v>
      </c>
      <c r="D2853">
        <f t="shared" si="178"/>
        <v>67</v>
      </c>
      <c r="E2853">
        <v>61.499000000000002</v>
      </c>
      <c r="F2853">
        <f t="shared" si="179"/>
        <v>5.5009999999999977</v>
      </c>
      <c r="G2853">
        <v>17.417000000000002</v>
      </c>
      <c r="H2853">
        <v>0.35799999999999998</v>
      </c>
      <c r="I2853">
        <v>1.92</v>
      </c>
      <c r="J2853">
        <v>6</v>
      </c>
      <c r="K2853">
        <v>7</v>
      </c>
      <c r="L2853">
        <v>4</v>
      </c>
      <c r="M2853">
        <v>0.99199999999999999</v>
      </c>
    </row>
    <row r="2854" spans="1:13" ht="15" customHeight="1">
      <c r="A2854" t="s">
        <v>35</v>
      </c>
      <c r="B2854">
        <f t="shared" si="176"/>
        <v>33.717300999999999</v>
      </c>
      <c r="C2854">
        <f t="shared" si="177"/>
        <v>-117.85065</v>
      </c>
      <c r="D2854">
        <f t="shared" si="178"/>
        <v>67</v>
      </c>
      <c r="E2854">
        <v>62.499000000000002</v>
      </c>
      <c r="F2854">
        <f t="shared" si="179"/>
        <v>4.5009999999999977</v>
      </c>
      <c r="G2854">
        <v>25.686</v>
      </c>
      <c r="H2854">
        <v>0.80900000000000005</v>
      </c>
      <c r="I2854">
        <v>3.028</v>
      </c>
      <c r="J2854">
        <v>5</v>
      </c>
      <c r="K2854">
        <v>13</v>
      </c>
      <c r="L2854">
        <v>7</v>
      </c>
      <c r="M2854">
        <v>1.524</v>
      </c>
    </row>
    <row r="2855" spans="1:13" ht="15" customHeight="1">
      <c r="A2855" t="s">
        <v>35</v>
      </c>
      <c r="B2855">
        <f t="shared" si="176"/>
        <v>33.717300999999999</v>
      </c>
      <c r="C2855">
        <f t="shared" si="177"/>
        <v>-117.85065</v>
      </c>
      <c r="D2855">
        <f t="shared" si="178"/>
        <v>67</v>
      </c>
      <c r="E2855">
        <v>63.499000000000002</v>
      </c>
      <c r="F2855">
        <f t="shared" si="179"/>
        <v>3.5009999999999977</v>
      </c>
      <c r="G2855">
        <v>166.03299999999999</v>
      </c>
      <c r="H2855">
        <v>8.5079999999999991</v>
      </c>
      <c r="I2855">
        <v>5.1289999999999996</v>
      </c>
      <c r="J2855">
        <v>11</v>
      </c>
      <c r="K2855">
        <v>159</v>
      </c>
      <c r="L2855">
        <v>80</v>
      </c>
      <c r="M2855" s="1">
        <v>9000000000</v>
      </c>
    </row>
    <row r="2856" spans="1:13" ht="15" customHeight="1">
      <c r="A2856" t="s">
        <v>35</v>
      </c>
      <c r="B2856">
        <f t="shared" si="176"/>
        <v>33.717300999999999</v>
      </c>
      <c r="C2856">
        <f t="shared" si="177"/>
        <v>-117.85065</v>
      </c>
      <c r="D2856">
        <f t="shared" si="178"/>
        <v>67</v>
      </c>
      <c r="E2856">
        <v>64.498999999999995</v>
      </c>
      <c r="F2856">
        <f t="shared" si="179"/>
        <v>2.5010000000000048</v>
      </c>
      <c r="G2856">
        <v>79.716999999999999</v>
      </c>
      <c r="H2856">
        <v>4.1929999999999996</v>
      </c>
      <c r="I2856">
        <v>5.27</v>
      </c>
      <c r="J2856">
        <v>11</v>
      </c>
      <c r="K2856">
        <v>76</v>
      </c>
      <c r="L2856">
        <v>38</v>
      </c>
      <c r="M2856" s="1">
        <v>9000000000</v>
      </c>
    </row>
    <row r="2857" spans="1:13" ht="15" customHeight="1">
      <c r="A2857" t="s">
        <v>35</v>
      </c>
      <c r="B2857">
        <f t="shared" si="176"/>
        <v>33.717300999999999</v>
      </c>
      <c r="C2857">
        <f t="shared" si="177"/>
        <v>-117.85065</v>
      </c>
      <c r="D2857">
        <f t="shared" si="178"/>
        <v>67</v>
      </c>
      <c r="E2857">
        <v>65.498999999999995</v>
      </c>
      <c r="F2857">
        <f t="shared" si="179"/>
        <v>1.5010000000000048</v>
      </c>
      <c r="G2857">
        <v>45.2</v>
      </c>
      <c r="H2857">
        <v>1.877</v>
      </c>
      <c r="I2857">
        <v>4.1639999999999997</v>
      </c>
      <c r="J2857">
        <v>5</v>
      </c>
      <c r="K2857">
        <v>22</v>
      </c>
      <c r="L2857">
        <v>11</v>
      </c>
      <c r="M2857">
        <v>2.7349999999999999</v>
      </c>
    </row>
    <row r="2858" spans="1:13" ht="15" customHeight="1">
      <c r="A2858" t="s">
        <v>35</v>
      </c>
      <c r="B2858">
        <f t="shared" si="176"/>
        <v>33.717300999999999</v>
      </c>
      <c r="C2858">
        <f t="shared" si="177"/>
        <v>-117.85065</v>
      </c>
      <c r="D2858">
        <f t="shared" si="178"/>
        <v>67</v>
      </c>
      <c r="E2858">
        <v>66.498999999999995</v>
      </c>
      <c r="F2858">
        <f t="shared" si="179"/>
        <v>0.50100000000000477</v>
      </c>
      <c r="G2858">
        <v>106.583</v>
      </c>
      <c r="H2858">
        <v>3.9350000000000001</v>
      </c>
      <c r="I2858">
        <v>3.6949999999999998</v>
      </c>
      <c r="J2858">
        <v>6</v>
      </c>
      <c r="K2858">
        <v>41</v>
      </c>
      <c r="L2858">
        <v>21</v>
      </c>
      <c r="M2858">
        <v>6.8250000000000002</v>
      </c>
    </row>
    <row r="2859" spans="1:13" ht="15" customHeight="1">
      <c r="A2859" t="s">
        <v>35</v>
      </c>
      <c r="B2859">
        <f t="shared" si="176"/>
        <v>33.717300999999999</v>
      </c>
      <c r="C2859">
        <f t="shared" si="177"/>
        <v>-117.85065</v>
      </c>
      <c r="D2859">
        <f t="shared" si="178"/>
        <v>67</v>
      </c>
      <c r="E2859">
        <v>67.498999999999995</v>
      </c>
      <c r="F2859">
        <f t="shared" si="179"/>
        <v>-0.49899999999999523</v>
      </c>
      <c r="G2859">
        <v>132.71700000000001</v>
      </c>
      <c r="H2859">
        <v>3.5470000000000002</v>
      </c>
      <c r="I2859">
        <v>2.6749999999999998</v>
      </c>
      <c r="J2859">
        <v>7</v>
      </c>
      <c r="K2859">
        <v>42</v>
      </c>
      <c r="L2859">
        <v>21</v>
      </c>
      <c r="M2859" s="1">
        <v>9000000000</v>
      </c>
    </row>
    <row r="2860" spans="1:13" ht="15" customHeight="1">
      <c r="A2860" t="s">
        <v>35</v>
      </c>
      <c r="B2860">
        <f t="shared" si="176"/>
        <v>33.717300999999999</v>
      </c>
      <c r="C2860">
        <f t="shared" si="177"/>
        <v>-117.85065</v>
      </c>
      <c r="D2860">
        <f t="shared" si="178"/>
        <v>67</v>
      </c>
      <c r="E2860">
        <v>68.498999999999995</v>
      </c>
      <c r="F2860">
        <f t="shared" si="179"/>
        <v>-1.4989999999999952</v>
      </c>
      <c r="G2860">
        <v>81.082999999999998</v>
      </c>
      <c r="H2860">
        <v>4.3079999999999998</v>
      </c>
      <c r="I2860">
        <v>5.3220000000000001</v>
      </c>
      <c r="J2860">
        <v>11</v>
      </c>
      <c r="K2860">
        <v>78</v>
      </c>
      <c r="L2860">
        <v>39</v>
      </c>
      <c r="M2860" s="1">
        <v>9000000000</v>
      </c>
    </row>
    <row r="2861" spans="1:13" ht="15" customHeight="1">
      <c r="A2861" t="s">
        <v>35</v>
      </c>
      <c r="B2861">
        <f t="shared" si="176"/>
        <v>33.717300999999999</v>
      </c>
      <c r="C2861">
        <f t="shared" si="177"/>
        <v>-117.85065</v>
      </c>
      <c r="D2861">
        <f t="shared" si="178"/>
        <v>67</v>
      </c>
      <c r="E2861">
        <v>69.498999999999995</v>
      </c>
      <c r="F2861">
        <f t="shared" si="179"/>
        <v>-2.4989999999999952</v>
      </c>
      <c r="G2861">
        <v>38.582999999999998</v>
      </c>
      <c r="H2861">
        <v>1.5780000000000001</v>
      </c>
      <c r="I2861">
        <v>4.101</v>
      </c>
      <c r="J2861">
        <v>4</v>
      </c>
      <c r="K2861">
        <v>25</v>
      </c>
      <c r="L2861">
        <v>13</v>
      </c>
      <c r="M2861">
        <v>2.2789999999999999</v>
      </c>
    </row>
    <row r="2862" spans="1:13" ht="15" customHeight="1">
      <c r="A2862" t="s">
        <v>35</v>
      </c>
      <c r="B2862">
        <f t="shared" si="176"/>
        <v>33.717300999999999</v>
      </c>
      <c r="C2862">
        <f t="shared" si="177"/>
        <v>-117.85065</v>
      </c>
      <c r="D2862">
        <f t="shared" si="178"/>
        <v>67</v>
      </c>
      <c r="E2862">
        <v>70.498999999999995</v>
      </c>
      <c r="F2862">
        <f t="shared" si="179"/>
        <v>-3.4989999999999952</v>
      </c>
      <c r="G2862">
        <v>27.7</v>
      </c>
      <c r="H2862">
        <v>1.095</v>
      </c>
      <c r="I2862">
        <v>3.97</v>
      </c>
      <c r="J2862">
        <v>4</v>
      </c>
      <c r="K2862">
        <v>18</v>
      </c>
      <c r="L2862">
        <v>9</v>
      </c>
      <c r="M2862">
        <v>1.548</v>
      </c>
    </row>
    <row r="2863" spans="1:13" ht="15" customHeight="1">
      <c r="A2863" t="s">
        <v>35</v>
      </c>
      <c r="B2863">
        <f t="shared" si="176"/>
        <v>33.717300999999999</v>
      </c>
      <c r="C2863">
        <f t="shared" si="177"/>
        <v>-117.85065</v>
      </c>
      <c r="D2863">
        <f t="shared" si="178"/>
        <v>67</v>
      </c>
      <c r="E2863">
        <v>71.498999999999995</v>
      </c>
      <c r="F2863">
        <f t="shared" si="179"/>
        <v>-4.4989999999999952</v>
      </c>
      <c r="G2863">
        <v>28.582999999999998</v>
      </c>
      <c r="H2863">
        <v>1.127</v>
      </c>
      <c r="I2863">
        <v>3.956</v>
      </c>
      <c r="J2863">
        <v>4</v>
      </c>
      <c r="K2863">
        <v>18</v>
      </c>
      <c r="L2863">
        <v>9</v>
      </c>
      <c r="M2863">
        <v>1.6040000000000001</v>
      </c>
    </row>
    <row r="2864" spans="1:13" ht="15" customHeight="1">
      <c r="A2864" t="s">
        <v>35</v>
      </c>
      <c r="B2864">
        <f t="shared" si="176"/>
        <v>33.717300999999999</v>
      </c>
      <c r="C2864">
        <f t="shared" si="177"/>
        <v>-117.85065</v>
      </c>
      <c r="D2864">
        <f t="shared" si="178"/>
        <v>67</v>
      </c>
      <c r="E2864">
        <v>72.498999999999995</v>
      </c>
      <c r="F2864">
        <f t="shared" si="179"/>
        <v>-5.4989999999999952</v>
      </c>
      <c r="G2864">
        <v>27.1</v>
      </c>
      <c r="H2864">
        <v>1.0069999999999999</v>
      </c>
      <c r="I2864">
        <v>3.7280000000000002</v>
      </c>
      <c r="J2864">
        <v>5</v>
      </c>
      <c r="K2864">
        <v>13</v>
      </c>
      <c r="L2864">
        <v>7</v>
      </c>
      <c r="M2864">
        <v>1.502</v>
      </c>
    </row>
    <row r="2865" spans="1:13" ht="15" customHeight="1">
      <c r="A2865" t="s">
        <v>35</v>
      </c>
      <c r="B2865">
        <f t="shared" si="176"/>
        <v>33.717300999999999</v>
      </c>
      <c r="C2865">
        <f t="shared" si="177"/>
        <v>-117.85065</v>
      </c>
      <c r="D2865">
        <f t="shared" si="178"/>
        <v>67</v>
      </c>
      <c r="E2865">
        <v>73.498999999999995</v>
      </c>
      <c r="F2865">
        <f t="shared" si="179"/>
        <v>-6.4989999999999952</v>
      </c>
      <c r="G2865">
        <v>30.3</v>
      </c>
      <c r="H2865">
        <v>0.80800000000000005</v>
      </c>
      <c r="I2865">
        <v>2.6739999999999999</v>
      </c>
      <c r="J2865">
        <v>6</v>
      </c>
      <c r="K2865">
        <v>12</v>
      </c>
      <c r="L2865">
        <v>6</v>
      </c>
      <c r="M2865">
        <v>1.7130000000000001</v>
      </c>
    </row>
    <row r="2866" spans="1:13" ht="15" customHeight="1">
      <c r="A2866" t="s">
        <v>35</v>
      </c>
      <c r="B2866">
        <f t="shared" si="176"/>
        <v>33.717300999999999</v>
      </c>
      <c r="C2866">
        <f t="shared" si="177"/>
        <v>-117.85065</v>
      </c>
      <c r="D2866">
        <f t="shared" si="178"/>
        <v>67</v>
      </c>
      <c r="E2866">
        <v>74.498999999999995</v>
      </c>
      <c r="F2866">
        <f t="shared" si="179"/>
        <v>-7.4989999999999952</v>
      </c>
      <c r="G2866">
        <v>32.832999999999998</v>
      </c>
      <c r="H2866">
        <v>0.90300000000000002</v>
      </c>
      <c r="I2866">
        <v>2.7570000000000001</v>
      </c>
      <c r="J2866">
        <v>6</v>
      </c>
      <c r="K2866">
        <v>13</v>
      </c>
      <c r="L2866">
        <v>7</v>
      </c>
      <c r="M2866">
        <v>1.877</v>
      </c>
    </row>
    <row r="2867" spans="1:13" ht="15" customHeight="1">
      <c r="A2867" t="s">
        <v>35</v>
      </c>
      <c r="B2867">
        <f t="shared" si="176"/>
        <v>33.717300999999999</v>
      </c>
      <c r="C2867">
        <f t="shared" si="177"/>
        <v>-117.85065</v>
      </c>
      <c r="D2867">
        <f t="shared" si="178"/>
        <v>67</v>
      </c>
      <c r="E2867">
        <v>75.498999999999995</v>
      </c>
      <c r="F2867">
        <f t="shared" si="179"/>
        <v>-8.4989999999999952</v>
      </c>
      <c r="G2867">
        <v>24.5</v>
      </c>
      <c r="H2867">
        <v>0.74199999999999999</v>
      </c>
      <c r="I2867">
        <v>3.0310000000000001</v>
      </c>
      <c r="J2867">
        <v>5</v>
      </c>
      <c r="K2867">
        <v>12</v>
      </c>
      <c r="L2867">
        <v>6</v>
      </c>
      <c r="M2867">
        <v>1.32</v>
      </c>
    </row>
    <row r="2868" spans="1:13" ht="15" customHeight="1">
      <c r="A2868" t="s">
        <v>35</v>
      </c>
      <c r="B2868">
        <f t="shared" si="176"/>
        <v>33.717300999999999</v>
      </c>
      <c r="C2868">
        <f t="shared" si="177"/>
        <v>-117.85065</v>
      </c>
      <c r="D2868">
        <f t="shared" si="178"/>
        <v>67</v>
      </c>
      <c r="E2868">
        <v>76.498999999999995</v>
      </c>
      <c r="F2868">
        <f t="shared" si="179"/>
        <v>-9.4989999999999952</v>
      </c>
      <c r="G2868">
        <v>113.383</v>
      </c>
      <c r="H2868">
        <v>3.427</v>
      </c>
      <c r="I2868">
        <v>3.024</v>
      </c>
      <c r="J2868">
        <v>6</v>
      </c>
      <c r="K2868">
        <v>43</v>
      </c>
      <c r="L2868">
        <v>22</v>
      </c>
      <c r="M2868">
        <v>7.2380000000000004</v>
      </c>
    </row>
    <row r="2869" spans="1:13" ht="15" customHeight="1">
      <c r="A2869" t="s">
        <v>35</v>
      </c>
      <c r="B2869">
        <f t="shared" si="176"/>
        <v>33.717300999999999</v>
      </c>
      <c r="C2869">
        <f t="shared" si="177"/>
        <v>-117.85065</v>
      </c>
      <c r="D2869">
        <f t="shared" si="178"/>
        <v>67</v>
      </c>
      <c r="E2869">
        <v>77.498999999999995</v>
      </c>
      <c r="F2869">
        <f t="shared" si="179"/>
        <v>-10.498999999999995</v>
      </c>
      <c r="G2869">
        <v>159.35</v>
      </c>
      <c r="H2869">
        <v>3.24</v>
      </c>
      <c r="I2869">
        <v>2.0350000000000001</v>
      </c>
      <c r="J2869">
        <v>7</v>
      </c>
      <c r="K2869">
        <v>51</v>
      </c>
      <c r="L2869">
        <v>26</v>
      </c>
      <c r="M2869" s="1">
        <v>9000000000</v>
      </c>
    </row>
    <row r="2870" spans="1:13" ht="15" customHeight="1">
      <c r="A2870" t="s">
        <v>35</v>
      </c>
      <c r="B2870">
        <f t="shared" si="176"/>
        <v>33.717300999999999</v>
      </c>
      <c r="C2870">
        <f t="shared" si="177"/>
        <v>-117.85065</v>
      </c>
      <c r="D2870">
        <f t="shared" si="178"/>
        <v>67</v>
      </c>
      <c r="E2870">
        <v>78.498999999999995</v>
      </c>
      <c r="F2870">
        <f t="shared" si="179"/>
        <v>-11.498999999999995</v>
      </c>
      <c r="G2870">
        <v>119.75</v>
      </c>
      <c r="H2870">
        <v>3.86</v>
      </c>
      <c r="I2870">
        <v>3.2269999999999999</v>
      </c>
      <c r="J2870">
        <v>6</v>
      </c>
      <c r="K2870">
        <v>46</v>
      </c>
      <c r="L2870">
        <v>23</v>
      </c>
      <c r="M2870">
        <v>7.6520000000000001</v>
      </c>
    </row>
    <row r="2871" spans="1:13" ht="15" customHeight="1">
      <c r="A2871" t="s">
        <v>35</v>
      </c>
      <c r="B2871">
        <f t="shared" si="176"/>
        <v>33.717300999999999</v>
      </c>
      <c r="C2871">
        <f t="shared" si="177"/>
        <v>-117.85065</v>
      </c>
      <c r="D2871">
        <f t="shared" si="178"/>
        <v>67</v>
      </c>
      <c r="E2871">
        <v>79.498999999999995</v>
      </c>
      <c r="F2871">
        <f t="shared" si="179"/>
        <v>-12.498999999999995</v>
      </c>
      <c r="G2871">
        <v>45.232999999999997</v>
      </c>
      <c r="H2871">
        <v>2.5379999999999998</v>
      </c>
      <c r="I2871">
        <v>5.6260000000000003</v>
      </c>
      <c r="J2871">
        <v>3</v>
      </c>
      <c r="K2871">
        <v>43</v>
      </c>
      <c r="L2871">
        <v>22</v>
      </c>
      <c r="M2871">
        <v>2.68</v>
      </c>
    </row>
    <row r="2872" spans="1:13" ht="15" customHeight="1">
      <c r="A2872" t="s">
        <v>35</v>
      </c>
      <c r="B2872">
        <f t="shared" si="176"/>
        <v>33.717300999999999</v>
      </c>
      <c r="C2872">
        <f t="shared" si="177"/>
        <v>-117.85065</v>
      </c>
      <c r="D2872">
        <f t="shared" si="178"/>
        <v>67</v>
      </c>
      <c r="E2872">
        <v>80.498999999999995</v>
      </c>
      <c r="F2872">
        <f t="shared" si="179"/>
        <v>-13.498999999999995</v>
      </c>
      <c r="G2872">
        <v>22.9</v>
      </c>
      <c r="H2872">
        <v>0.71499999999999997</v>
      </c>
      <c r="I2872">
        <v>3.1379999999999999</v>
      </c>
      <c r="J2872">
        <v>5</v>
      </c>
      <c r="K2872">
        <v>11</v>
      </c>
      <c r="L2872">
        <v>6</v>
      </c>
      <c r="M2872">
        <v>1.1870000000000001</v>
      </c>
    </row>
    <row r="2873" spans="1:13" ht="15" customHeight="1">
      <c r="A2873" t="s">
        <v>35</v>
      </c>
      <c r="B2873">
        <f t="shared" si="176"/>
        <v>33.717300999999999</v>
      </c>
      <c r="C2873">
        <f t="shared" si="177"/>
        <v>-117.85065</v>
      </c>
      <c r="D2873">
        <f t="shared" si="178"/>
        <v>67</v>
      </c>
      <c r="E2873">
        <v>81.498999999999995</v>
      </c>
      <c r="F2873">
        <f t="shared" si="179"/>
        <v>-14.498999999999995</v>
      </c>
      <c r="G2873">
        <v>24.516999999999999</v>
      </c>
      <c r="H2873">
        <v>0.755</v>
      </c>
      <c r="I2873">
        <v>3.0920000000000001</v>
      </c>
      <c r="J2873">
        <v>5</v>
      </c>
      <c r="K2873">
        <v>12</v>
      </c>
      <c r="L2873">
        <v>6</v>
      </c>
      <c r="M2873">
        <v>1.292</v>
      </c>
    </row>
    <row r="2874" spans="1:13" ht="15" customHeight="1">
      <c r="A2874" t="s">
        <v>35</v>
      </c>
      <c r="B2874">
        <f t="shared" si="176"/>
        <v>33.717300999999999</v>
      </c>
      <c r="C2874">
        <f t="shared" si="177"/>
        <v>-117.85065</v>
      </c>
      <c r="D2874">
        <f t="shared" si="178"/>
        <v>67</v>
      </c>
      <c r="E2874">
        <v>82.498999999999995</v>
      </c>
      <c r="F2874">
        <f t="shared" si="179"/>
        <v>-15.498999999999995</v>
      </c>
      <c r="G2874">
        <v>103.083</v>
      </c>
      <c r="H2874">
        <v>3.262</v>
      </c>
      <c r="I2874">
        <v>3.1669999999999998</v>
      </c>
      <c r="J2874">
        <v>6</v>
      </c>
      <c r="K2874">
        <v>39</v>
      </c>
      <c r="L2874">
        <v>20</v>
      </c>
      <c r="M2874">
        <v>6.5250000000000004</v>
      </c>
    </row>
    <row r="2875" spans="1:13" ht="15" customHeight="1">
      <c r="A2875" t="s">
        <v>35</v>
      </c>
      <c r="B2875">
        <f t="shared" si="176"/>
        <v>33.717300999999999</v>
      </c>
      <c r="C2875">
        <f t="shared" si="177"/>
        <v>-117.85065</v>
      </c>
      <c r="D2875">
        <f t="shared" si="178"/>
        <v>67</v>
      </c>
      <c r="E2875">
        <v>83.498999999999995</v>
      </c>
      <c r="F2875">
        <f t="shared" si="179"/>
        <v>-16.498999999999995</v>
      </c>
      <c r="G2875">
        <v>135.41399999999999</v>
      </c>
      <c r="H2875">
        <v>3.2130000000000001</v>
      </c>
      <c r="I2875">
        <v>2.3740000000000001</v>
      </c>
      <c r="J2875">
        <v>7</v>
      </c>
      <c r="K2875">
        <v>43</v>
      </c>
      <c r="L2875">
        <v>22</v>
      </c>
      <c r="M2875" s="1">
        <v>9000000000</v>
      </c>
    </row>
    <row r="2876" spans="1:13" ht="15" customHeight="1">
      <c r="A2876" t="s">
        <v>35</v>
      </c>
      <c r="B2876">
        <f t="shared" si="176"/>
        <v>33.717300999999999</v>
      </c>
      <c r="C2876">
        <f t="shared" si="177"/>
        <v>-117.85065</v>
      </c>
      <c r="D2876">
        <f t="shared" si="178"/>
        <v>67</v>
      </c>
      <c r="E2876">
        <v>84.498999999999995</v>
      </c>
      <c r="F2876">
        <f t="shared" si="179"/>
        <v>-17.498999999999995</v>
      </c>
      <c r="G2876">
        <v>82.95</v>
      </c>
      <c r="H2876">
        <v>2.72</v>
      </c>
      <c r="I2876">
        <v>3.2829999999999999</v>
      </c>
      <c r="J2876">
        <v>6</v>
      </c>
      <c r="K2876">
        <v>32</v>
      </c>
      <c r="L2876">
        <v>16</v>
      </c>
      <c r="M2876">
        <v>5.1749999999999998</v>
      </c>
    </row>
    <row r="2877" spans="1:13" ht="15" customHeight="1">
      <c r="A2877" t="s">
        <v>35</v>
      </c>
      <c r="B2877">
        <f t="shared" si="176"/>
        <v>33.717300999999999</v>
      </c>
      <c r="C2877">
        <f t="shared" si="177"/>
        <v>-117.85065</v>
      </c>
      <c r="D2877">
        <f t="shared" si="178"/>
        <v>67</v>
      </c>
      <c r="E2877">
        <v>85.498999999999995</v>
      </c>
      <c r="F2877">
        <f t="shared" si="179"/>
        <v>-18.498999999999995</v>
      </c>
      <c r="G2877">
        <v>50.95</v>
      </c>
      <c r="H2877">
        <v>2.0219999999999998</v>
      </c>
      <c r="I2877">
        <v>3.976</v>
      </c>
      <c r="J2877">
        <v>5</v>
      </c>
      <c r="K2877">
        <v>24</v>
      </c>
      <c r="L2877">
        <v>12</v>
      </c>
      <c r="M2877">
        <v>3.0369999999999999</v>
      </c>
    </row>
    <row r="2878" spans="1:13" ht="15" customHeight="1">
      <c r="A2878" t="s">
        <v>35</v>
      </c>
      <c r="B2878">
        <f t="shared" si="176"/>
        <v>33.717300999999999</v>
      </c>
      <c r="C2878">
        <f t="shared" si="177"/>
        <v>-117.85065</v>
      </c>
      <c r="D2878">
        <f t="shared" si="178"/>
        <v>67</v>
      </c>
      <c r="E2878">
        <v>86.498999999999995</v>
      </c>
      <c r="F2878">
        <f t="shared" si="179"/>
        <v>-19.498999999999995</v>
      </c>
      <c r="G2878">
        <v>35.9</v>
      </c>
      <c r="H2878">
        <v>1.6930000000000001</v>
      </c>
      <c r="I2878">
        <v>4.7279999999999998</v>
      </c>
      <c r="J2878">
        <v>4</v>
      </c>
      <c r="K2878">
        <v>23</v>
      </c>
      <c r="L2878">
        <v>12</v>
      </c>
      <c r="M2878">
        <v>2.0310000000000001</v>
      </c>
    </row>
    <row r="2879" spans="1:13" ht="15" customHeight="1">
      <c r="A2879" t="s">
        <v>35</v>
      </c>
      <c r="B2879">
        <f t="shared" si="176"/>
        <v>33.717300999999999</v>
      </c>
      <c r="C2879">
        <f t="shared" si="177"/>
        <v>-117.85065</v>
      </c>
      <c r="D2879">
        <f t="shared" si="178"/>
        <v>67</v>
      </c>
      <c r="E2879">
        <v>87.498999999999995</v>
      </c>
      <c r="F2879">
        <f t="shared" si="179"/>
        <v>-20.498999999999995</v>
      </c>
      <c r="G2879">
        <v>28.233000000000001</v>
      </c>
      <c r="H2879">
        <v>1.028</v>
      </c>
      <c r="I2879">
        <v>3.6509999999999998</v>
      </c>
      <c r="J2879">
        <v>5</v>
      </c>
      <c r="K2879">
        <v>13</v>
      </c>
      <c r="L2879">
        <v>7</v>
      </c>
      <c r="M2879">
        <v>1.5169999999999999</v>
      </c>
    </row>
    <row r="2880" spans="1:13" ht="15" customHeight="1">
      <c r="A2880" t="s">
        <v>35</v>
      </c>
      <c r="B2880">
        <f t="shared" si="176"/>
        <v>33.717300999999999</v>
      </c>
      <c r="C2880">
        <f t="shared" si="177"/>
        <v>-117.85065</v>
      </c>
      <c r="D2880">
        <f t="shared" si="178"/>
        <v>67</v>
      </c>
      <c r="E2880">
        <v>88.498999999999995</v>
      </c>
      <c r="F2880">
        <f t="shared" si="179"/>
        <v>-21.498999999999995</v>
      </c>
      <c r="G2880">
        <v>26.433</v>
      </c>
      <c r="H2880">
        <v>0.83</v>
      </c>
      <c r="I2880">
        <v>3.1459999999999999</v>
      </c>
      <c r="J2880">
        <v>5</v>
      </c>
      <c r="K2880">
        <v>13</v>
      </c>
      <c r="L2880">
        <v>7</v>
      </c>
      <c r="M2880">
        <v>1.3939999999999999</v>
      </c>
    </row>
    <row r="2881" spans="1:13" ht="15" customHeight="1">
      <c r="A2881" t="s">
        <v>35</v>
      </c>
      <c r="B2881">
        <f t="shared" si="176"/>
        <v>33.717300999999999</v>
      </c>
      <c r="C2881">
        <f t="shared" si="177"/>
        <v>-117.85065</v>
      </c>
      <c r="D2881">
        <f t="shared" si="178"/>
        <v>67</v>
      </c>
      <c r="E2881">
        <v>89.498999999999995</v>
      </c>
      <c r="F2881">
        <f t="shared" si="179"/>
        <v>-22.498999999999995</v>
      </c>
      <c r="G2881">
        <v>25.817</v>
      </c>
      <c r="H2881">
        <v>0.91200000000000003</v>
      </c>
      <c r="I2881">
        <v>3.5379999999999998</v>
      </c>
      <c r="J2881">
        <v>5</v>
      </c>
      <c r="K2881">
        <v>12</v>
      </c>
      <c r="L2881">
        <v>6</v>
      </c>
      <c r="M2881">
        <v>1.3480000000000001</v>
      </c>
    </row>
    <row r="2882" spans="1:13" ht="15" customHeight="1">
      <c r="A2882" t="s">
        <v>35</v>
      </c>
      <c r="B2882">
        <f t="shared" ref="B2882:B2945" si="180">VLOOKUP(A2882,XYdata,3,FALSE)</f>
        <v>33.717300999999999</v>
      </c>
      <c r="C2882">
        <f t="shared" ref="C2882:C2945" si="181">VLOOKUP(A2882,XYdata,2,FALSE)</f>
        <v>-117.85065</v>
      </c>
      <c r="D2882">
        <f t="shared" ref="D2882:D2945" si="182">VLOOKUP(A2882,Elevation,2,FALSE)</f>
        <v>67</v>
      </c>
      <c r="E2882">
        <v>90.498999999999995</v>
      </c>
      <c r="F2882">
        <f t="shared" si="179"/>
        <v>-23.498999999999995</v>
      </c>
      <c r="G2882">
        <v>23.317</v>
      </c>
      <c r="H2882">
        <v>0.60799999999999998</v>
      </c>
      <c r="I2882">
        <v>2.609</v>
      </c>
      <c r="J2882">
        <v>5</v>
      </c>
      <c r="K2882">
        <v>11</v>
      </c>
      <c r="L2882">
        <v>6</v>
      </c>
      <c r="M2882">
        <v>1.181</v>
      </c>
    </row>
    <row r="2883" spans="1:13" ht="15" customHeight="1">
      <c r="A2883" t="s">
        <v>35</v>
      </c>
      <c r="B2883">
        <f t="shared" si="180"/>
        <v>33.717300999999999</v>
      </c>
      <c r="C2883">
        <f t="shared" si="181"/>
        <v>-117.85065</v>
      </c>
      <c r="D2883">
        <f t="shared" si="182"/>
        <v>67</v>
      </c>
      <c r="E2883">
        <v>91.498999999999995</v>
      </c>
      <c r="F2883">
        <f t="shared" ref="F2883:F2946" si="183">D2883-E2883</f>
        <v>-24.498999999999995</v>
      </c>
      <c r="G2883">
        <v>21.9</v>
      </c>
      <c r="H2883">
        <v>0.52300000000000002</v>
      </c>
      <c r="I2883">
        <v>2.39</v>
      </c>
      <c r="J2883">
        <v>5</v>
      </c>
      <c r="K2883">
        <v>10</v>
      </c>
      <c r="L2883">
        <v>5</v>
      </c>
      <c r="M2883">
        <v>1.0820000000000001</v>
      </c>
    </row>
    <row r="2884" spans="1:13" ht="15" customHeight="1">
      <c r="A2884" t="s">
        <v>35</v>
      </c>
      <c r="B2884">
        <f t="shared" si="180"/>
        <v>33.717300999999999</v>
      </c>
      <c r="C2884">
        <f t="shared" si="181"/>
        <v>-117.85065</v>
      </c>
      <c r="D2884">
        <f t="shared" si="182"/>
        <v>67</v>
      </c>
      <c r="E2884">
        <v>92.498999999999995</v>
      </c>
      <c r="F2884">
        <f t="shared" si="183"/>
        <v>-25.498999999999995</v>
      </c>
      <c r="G2884">
        <v>28.266999999999999</v>
      </c>
      <c r="H2884">
        <v>0.873</v>
      </c>
      <c r="I2884">
        <v>3.0819999999999999</v>
      </c>
      <c r="J2884">
        <v>5</v>
      </c>
      <c r="K2884">
        <v>14</v>
      </c>
      <c r="L2884">
        <v>7</v>
      </c>
      <c r="M2884">
        <v>1.5069999999999999</v>
      </c>
    </row>
    <row r="2885" spans="1:13" ht="15" customHeight="1">
      <c r="A2885" t="s">
        <v>35</v>
      </c>
      <c r="B2885">
        <f t="shared" si="180"/>
        <v>33.717300999999999</v>
      </c>
      <c r="C2885">
        <f t="shared" si="181"/>
        <v>-117.85065</v>
      </c>
      <c r="D2885">
        <f t="shared" si="182"/>
        <v>67</v>
      </c>
      <c r="E2885">
        <v>93.498999999999995</v>
      </c>
      <c r="F2885">
        <f t="shared" si="183"/>
        <v>-26.498999999999995</v>
      </c>
      <c r="G2885">
        <v>81.629000000000005</v>
      </c>
      <c r="H2885">
        <v>2.593</v>
      </c>
      <c r="I2885">
        <v>3.1779999999999999</v>
      </c>
      <c r="J2885">
        <v>6</v>
      </c>
      <c r="K2885">
        <v>31</v>
      </c>
      <c r="L2885">
        <v>16</v>
      </c>
      <c r="M2885">
        <v>5.0540000000000003</v>
      </c>
    </row>
    <row r="2886" spans="1:13" ht="15" customHeight="1">
      <c r="A2886" t="s">
        <v>35</v>
      </c>
      <c r="B2886">
        <f t="shared" si="180"/>
        <v>33.717300999999999</v>
      </c>
      <c r="C2886">
        <f t="shared" si="181"/>
        <v>-117.85065</v>
      </c>
      <c r="D2886">
        <f t="shared" si="182"/>
        <v>67</v>
      </c>
      <c r="E2886">
        <v>94.498999999999995</v>
      </c>
      <c r="F2886">
        <f t="shared" si="183"/>
        <v>-27.498999999999995</v>
      </c>
      <c r="G2886">
        <v>22.533000000000001</v>
      </c>
      <c r="H2886">
        <v>0.64800000000000002</v>
      </c>
      <c r="I2886">
        <v>2.8839999999999999</v>
      </c>
      <c r="J2886">
        <v>5</v>
      </c>
      <c r="K2886">
        <v>11</v>
      </c>
      <c r="L2886">
        <v>6</v>
      </c>
      <c r="M2886">
        <v>1.109</v>
      </c>
    </row>
    <row r="2887" spans="1:13" ht="15" customHeight="1">
      <c r="A2887" t="s">
        <v>35</v>
      </c>
      <c r="B2887">
        <f t="shared" si="180"/>
        <v>33.717300999999999</v>
      </c>
      <c r="C2887">
        <f t="shared" si="181"/>
        <v>-117.85065</v>
      </c>
      <c r="D2887">
        <f t="shared" si="182"/>
        <v>67</v>
      </c>
      <c r="E2887">
        <v>95.498999999999995</v>
      </c>
      <c r="F2887">
        <f t="shared" si="183"/>
        <v>-28.498999999999995</v>
      </c>
      <c r="G2887">
        <v>24.55</v>
      </c>
      <c r="H2887">
        <v>0.82499999999999996</v>
      </c>
      <c r="I2887">
        <v>3.3650000000000002</v>
      </c>
      <c r="J2887">
        <v>5</v>
      </c>
      <c r="K2887">
        <v>12</v>
      </c>
      <c r="L2887">
        <v>6</v>
      </c>
      <c r="M2887">
        <v>1.24</v>
      </c>
    </row>
    <row r="2888" spans="1:13" ht="15" customHeight="1">
      <c r="A2888" t="s">
        <v>35</v>
      </c>
      <c r="B2888">
        <f t="shared" si="180"/>
        <v>33.717300999999999</v>
      </c>
      <c r="C2888">
        <f t="shared" si="181"/>
        <v>-117.85065</v>
      </c>
      <c r="D2888">
        <f t="shared" si="182"/>
        <v>67</v>
      </c>
      <c r="E2888">
        <v>96.498999999999995</v>
      </c>
      <c r="F2888">
        <f t="shared" si="183"/>
        <v>-29.498999999999995</v>
      </c>
      <c r="G2888">
        <v>27.75</v>
      </c>
      <c r="H2888">
        <v>0.93</v>
      </c>
      <c r="I2888">
        <v>3.347</v>
      </c>
      <c r="J2888">
        <v>5</v>
      </c>
      <c r="K2888">
        <v>13</v>
      </c>
      <c r="L2888">
        <v>7</v>
      </c>
      <c r="M2888">
        <v>1.454</v>
      </c>
    </row>
    <row r="2889" spans="1:13" ht="15" customHeight="1">
      <c r="A2889" t="s">
        <v>35</v>
      </c>
      <c r="B2889">
        <f t="shared" si="180"/>
        <v>33.717300999999999</v>
      </c>
      <c r="C2889">
        <f t="shared" si="181"/>
        <v>-117.85065</v>
      </c>
      <c r="D2889">
        <f t="shared" si="182"/>
        <v>67</v>
      </c>
      <c r="E2889">
        <v>97.498999999999995</v>
      </c>
      <c r="F2889">
        <f t="shared" si="183"/>
        <v>-30.498999999999995</v>
      </c>
      <c r="G2889">
        <v>29.016999999999999</v>
      </c>
      <c r="H2889">
        <v>0.84</v>
      </c>
      <c r="I2889">
        <v>2.895</v>
      </c>
      <c r="J2889">
        <v>5</v>
      </c>
      <c r="K2889">
        <v>14</v>
      </c>
      <c r="L2889">
        <v>7</v>
      </c>
      <c r="M2889">
        <v>1.532</v>
      </c>
    </row>
    <row r="2890" spans="1:13" ht="15" customHeight="1">
      <c r="A2890" t="s">
        <v>35</v>
      </c>
      <c r="B2890">
        <f t="shared" si="180"/>
        <v>33.717300999999999</v>
      </c>
      <c r="C2890">
        <f t="shared" si="181"/>
        <v>-117.85065</v>
      </c>
      <c r="D2890">
        <f t="shared" si="182"/>
        <v>67</v>
      </c>
      <c r="E2890">
        <v>98.498999999999995</v>
      </c>
      <c r="F2890">
        <f t="shared" si="183"/>
        <v>-31.498999999999995</v>
      </c>
      <c r="G2890">
        <v>27.382999999999999</v>
      </c>
      <c r="H2890">
        <v>0.81499999999999995</v>
      </c>
      <c r="I2890">
        <v>2.9710000000000001</v>
      </c>
      <c r="J2890">
        <v>5</v>
      </c>
      <c r="K2890">
        <v>13</v>
      </c>
      <c r="L2890">
        <v>7</v>
      </c>
      <c r="M2890">
        <v>1.4219999999999999</v>
      </c>
    </row>
    <row r="2891" spans="1:13" ht="15" customHeight="1">
      <c r="A2891" t="s">
        <v>35</v>
      </c>
      <c r="B2891">
        <f t="shared" si="180"/>
        <v>33.717300999999999</v>
      </c>
      <c r="C2891">
        <f t="shared" si="181"/>
        <v>-117.85065</v>
      </c>
      <c r="D2891">
        <f t="shared" si="182"/>
        <v>67</v>
      </c>
      <c r="E2891">
        <v>99.498999999999995</v>
      </c>
      <c r="F2891">
        <f t="shared" si="183"/>
        <v>-32.498999999999995</v>
      </c>
      <c r="G2891">
        <v>28.466999999999999</v>
      </c>
      <c r="H2891">
        <v>0.79500000000000004</v>
      </c>
      <c r="I2891">
        <v>2.7679999999999998</v>
      </c>
      <c r="J2891">
        <v>6</v>
      </c>
      <c r="K2891">
        <v>11</v>
      </c>
      <c r="L2891">
        <v>6</v>
      </c>
      <c r="M2891">
        <v>1.5029999999999999</v>
      </c>
    </row>
    <row r="2892" spans="1:13" ht="15" customHeight="1">
      <c r="A2892" t="s">
        <v>35</v>
      </c>
      <c r="B2892">
        <f t="shared" si="180"/>
        <v>33.717300999999999</v>
      </c>
      <c r="C2892">
        <f t="shared" si="181"/>
        <v>-117.85065</v>
      </c>
      <c r="D2892">
        <f t="shared" si="182"/>
        <v>67</v>
      </c>
      <c r="E2892">
        <v>100.499</v>
      </c>
      <c r="F2892">
        <f t="shared" si="183"/>
        <v>-33.498999999999995</v>
      </c>
      <c r="G2892">
        <v>31.983000000000001</v>
      </c>
      <c r="H2892">
        <v>1.2250000000000001</v>
      </c>
      <c r="I2892">
        <v>3.798</v>
      </c>
      <c r="J2892">
        <v>5</v>
      </c>
      <c r="K2892">
        <v>15</v>
      </c>
      <c r="L2892">
        <v>8</v>
      </c>
      <c r="M2892">
        <v>1.7350000000000001</v>
      </c>
    </row>
    <row r="2893" spans="1:13" ht="15" customHeight="1">
      <c r="A2893" t="s">
        <v>35</v>
      </c>
      <c r="B2893">
        <f t="shared" si="180"/>
        <v>33.717300999999999</v>
      </c>
      <c r="C2893">
        <f t="shared" si="181"/>
        <v>-117.85065</v>
      </c>
      <c r="D2893">
        <f t="shared" si="182"/>
        <v>67</v>
      </c>
      <c r="E2893">
        <v>101.499</v>
      </c>
      <c r="F2893">
        <f t="shared" si="183"/>
        <v>-34.498999999999995</v>
      </c>
      <c r="G2893">
        <v>27.7</v>
      </c>
      <c r="H2893">
        <v>0.85199999999999998</v>
      </c>
      <c r="I2893">
        <v>3.02</v>
      </c>
      <c r="J2893">
        <v>5</v>
      </c>
      <c r="K2893">
        <v>14</v>
      </c>
      <c r="L2893">
        <v>7</v>
      </c>
      <c r="M2893">
        <v>1.4610000000000001</v>
      </c>
    </row>
    <row r="2894" spans="1:13" ht="15" customHeight="1">
      <c r="A2894" t="s">
        <v>35</v>
      </c>
      <c r="B2894">
        <f t="shared" si="180"/>
        <v>33.717300999999999</v>
      </c>
      <c r="C2894">
        <f t="shared" si="181"/>
        <v>-117.85065</v>
      </c>
      <c r="D2894">
        <f t="shared" si="182"/>
        <v>67</v>
      </c>
      <c r="E2894">
        <v>102.499</v>
      </c>
      <c r="F2894">
        <f t="shared" si="183"/>
        <v>-35.498999999999995</v>
      </c>
      <c r="G2894">
        <v>26.683</v>
      </c>
      <c r="H2894">
        <v>0.91300000000000003</v>
      </c>
      <c r="I2894">
        <v>3.2909999999999999</v>
      </c>
      <c r="J2894">
        <v>5</v>
      </c>
      <c r="K2894">
        <v>13</v>
      </c>
      <c r="L2894">
        <v>7</v>
      </c>
      <c r="M2894">
        <v>1.4259999999999999</v>
      </c>
    </row>
    <row r="2895" spans="1:13" ht="15" customHeight="1">
      <c r="A2895" t="s">
        <v>35</v>
      </c>
      <c r="B2895">
        <f t="shared" si="180"/>
        <v>33.717300999999999</v>
      </c>
      <c r="C2895">
        <f t="shared" si="181"/>
        <v>-117.85065</v>
      </c>
      <c r="D2895">
        <f t="shared" si="182"/>
        <v>67</v>
      </c>
      <c r="E2895">
        <v>103.499</v>
      </c>
      <c r="F2895">
        <f t="shared" si="183"/>
        <v>-36.498999999999995</v>
      </c>
      <c r="G2895">
        <v>27.216999999999999</v>
      </c>
      <c r="H2895">
        <v>0.96199999999999997</v>
      </c>
      <c r="I2895">
        <v>3.37</v>
      </c>
      <c r="J2895">
        <v>5</v>
      </c>
      <c r="K2895">
        <v>14</v>
      </c>
      <c r="L2895">
        <v>7</v>
      </c>
      <c r="M2895">
        <v>1.474</v>
      </c>
    </row>
    <row r="2896" spans="1:13" ht="15" customHeight="1">
      <c r="A2896" t="s">
        <v>35</v>
      </c>
      <c r="B2896">
        <f t="shared" si="180"/>
        <v>33.717300999999999</v>
      </c>
      <c r="C2896">
        <f t="shared" si="181"/>
        <v>-117.85065</v>
      </c>
      <c r="D2896">
        <f t="shared" si="182"/>
        <v>67</v>
      </c>
      <c r="E2896">
        <v>104.499</v>
      </c>
      <c r="F2896">
        <f t="shared" si="183"/>
        <v>-37.498999999999995</v>
      </c>
      <c r="G2896">
        <v>32.656999999999996</v>
      </c>
      <c r="H2896">
        <v>1.1639999999999999</v>
      </c>
      <c r="I2896">
        <v>3.4740000000000002</v>
      </c>
      <c r="J2896">
        <v>5</v>
      </c>
      <c r="K2896">
        <v>16</v>
      </c>
      <c r="L2896">
        <v>8</v>
      </c>
      <c r="M2896">
        <v>1.802</v>
      </c>
    </row>
    <row r="2897" spans="1:13" ht="15" customHeight="1">
      <c r="A2897" t="s">
        <v>35</v>
      </c>
      <c r="B2897">
        <f t="shared" si="180"/>
        <v>33.717300999999999</v>
      </c>
      <c r="C2897">
        <f t="shared" si="181"/>
        <v>-117.85065</v>
      </c>
      <c r="D2897">
        <f t="shared" si="182"/>
        <v>67</v>
      </c>
      <c r="E2897">
        <v>105.499</v>
      </c>
      <c r="F2897">
        <f t="shared" si="183"/>
        <v>-38.498999999999995</v>
      </c>
      <c r="G2897">
        <v>85.983000000000004</v>
      </c>
      <c r="H2897">
        <v>3.1850000000000001</v>
      </c>
      <c r="I2897">
        <v>3.7050000000000001</v>
      </c>
      <c r="J2897">
        <v>5</v>
      </c>
      <c r="K2897">
        <v>41</v>
      </c>
      <c r="L2897">
        <v>21</v>
      </c>
      <c r="M2897">
        <v>5.2949999999999999</v>
      </c>
    </row>
    <row r="2898" spans="1:13" ht="15" customHeight="1">
      <c r="A2898" t="s">
        <v>35</v>
      </c>
      <c r="B2898">
        <f t="shared" si="180"/>
        <v>33.717300999999999</v>
      </c>
      <c r="C2898">
        <f t="shared" si="181"/>
        <v>-117.85065</v>
      </c>
      <c r="D2898">
        <f t="shared" si="182"/>
        <v>67</v>
      </c>
      <c r="E2898">
        <v>106.499</v>
      </c>
      <c r="F2898">
        <f t="shared" si="183"/>
        <v>-39.498999999999995</v>
      </c>
      <c r="G2898">
        <v>44.4</v>
      </c>
      <c r="H2898">
        <v>1.8220000000000001</v>
      </c>
      <c r="I2898">
        <v>4.109</v>
      </c>
      <c r="J2898">
        <v>5</v>
      </c>
      <c r="K2898">
        <v>21</v>
      </c>
      <c r="L2898">
        <v>11</v>
      </c>
      <c r="M2898">
        <v>2.5150000000000001</v>
      </c>
    </row>
    <row r="2899" spans="1:13" ht="15" customHeight="1">
      <c r="A2899" t="s">
        <v>35</v>
      </c>
      <c r="B2899">
        <f t="shared" si="180"/>
        <v>33.717300999999999</v>
      </c>
      <c r="C2899">
        <f t="shared" si="181"/>
        <v>-117.85065</v>
      </c>
      <c r="D2899">
        <f t="shared" si="182"/>
        <v>67</v>
      </c>
      <c r="E2899">
        <v>107.499</v>
      </c>
      <c r="F2899">
        <f t="shared" si="183"/>
        <v>-40.498999999999995</v>
      </c>
      <c r="G2899">
        <v>31.617000000000001</v>
      </c>
      <c r="H2899">
        <v>0.94499999999999995</v>
      </c>
      <c r="I2899">
        <v>2.9940000000000002</v>
      </c>
      <c r="J2899">
        <v>5</v>
      </c>
      <c r="K2899">
        <v>15</v>
      </c>
      <c r="L2899">
        <v>8</v>
      </c>
      <c r="M2899">
        <v>1.66</v>
      </c>
    </row>
    <row r="2900" spans="1:13" ht="15" customHeight="1">
      <c r="A2900" t="s">
        <v>35</v>
      </c>
      <c r="B2900">
        <f t="shared" si="180"/>
        <v>33.717300999999999</v>
      </c>
      <c r="C2900">
        <f t="shared" si="181"/>
        <v>-117.85065</v>
      </c>
      <c r="D2900">
        <f t="shared" si="182"/>
        <v>67</v>
      </c>
      <c r="E2900">
        <v>108.499</v>
      </c>
      <c r="F2900">
        <f t="shared" si="183"/>
        <v>-41.498999999999995</v>
      </c>
      <c r="G2900">
        <v>46.033000000000001</v>
      </c>
      <c r="H2900">
        <v>2.375</v>
      </c>
      <c r="I2900">
        <v>5.1630000000000003</v>
      </c>
      <c r="J2900">
        <v>3</v>
      </c>
      <c r="K2900">
        <v>44</v>
      </c>
      <c r="L2900">
        <v>22</v>
      </c>
      <c r="M2900">
        <v>2.6179999999999999</v>
      </c>
    </row>
    <row r="2901" spans="1:13" ht="15" customHeight="1">
      <c r="A2901" t="s">
        <v>35</v>
      </c>
      <c r="B2901">
        <f t="shared" si="180"/>
        <v>33.717300999999999</v>
      </c>
      <c r="C2901">
        <f t="shared" si="181"/>
        <v>-117.85065</v>
      </c>
      <c r="D2901">
        <f t="shared" si="182"/>
        <v>67</v>
      </c>
      <c r="E2901">
        <v>109.499</v>
      </c>
      <c r="F2901">
        <f t="shared" si="183"/>
        <v>-42.498999999999995</v>
      </c>
      <c r="G2901">
        <v>114.5</v>
      </c>
      <c r="H2901">
        <v>2.7629999999999999</v>
      </c>
      <c r="I2901">
        <v>2.4140000000000001</v>
      </c>
      <c r="J2901">
        <v>7</v>
      </c>
      <c r="K2901">
        <v>37</v>
      </c>
      <c r="L2901">
        <v>19</v>
      </c>
      <c r="M2901" s="1">
        <v>9000000000</v>
      </c>
    </row>
    <row r="2902" spans="1:13" ht="15" customHeight="1">
      <c r="A2902" t="s">
        <v>35</v>
      </c>
      <c r="B2902">
        <f t="shared" si="180"/>
        <v>33.717300999999999</v>
      </c>
      <c r="C2902">
        <f t="shared" si="181"/>
        <v>-117.85065</v>
      </c>
      <c r="D2902">
        <f t="shared" si="182"/>
        <v>67</v>
      </c>
      <c r="E2902">
        <v>110.499</v>
      </c>
      <c r="F2902">
        <f t="shared" si="183"/>
        <v>-43.498999999999995</v>
      </c>
      <c r="G2902">
        <v>106.633</v>
      </c>
      <c r="H2902">
        <v>3.4430000000000001</v>
      </c>
      <c r="I2902">
        <v>3.2320000000000002</v>
      </c>
      <c r="J2902">
        <v>6</v>
      </c>
      <c r="K2902">
        <v>41</v>
      </c>
      <c r="L2902">
        <v>21</v>
      </c>
      <c r="M2902">
        <v>6.6449999999999996</v>
      </c>
    </row>
    <row r="2903" spans="1:13" ht="15" customHeight="1">
      <c r="A2903" t="s">
        <v>35</v>
      </c>
      <c r="B2903">
        <f t="shared" si="180"/>
        <v>33.717300999999999</v>
      </c>
      <c r="C2903">
        <f t="shared" si="181"/>
        <v>-117.85065</v>
      </c>
      <c r="D2903">
        <f t="shared" si="182"/>
        <v>67</v>
      </c>
      <c r="E2903">
        <v>111.499</v>
      </c>
      <c r="F2903">
        <f t="shared" si="183"/>
        <v>-44.498999999999995</v>
      </c>
      <c r="G2903">
        <v>39.317</v>
      </c>
      <c r="H2903">
        <v>1.7470000000000001</v>
      </c>
      <c r="I2903">
        <v>4.452</v>
      </c>
      <c r="J2903">
        <v>4</v>
      </c>
      <c r="K2903">
        <v>25</v>
      </c>
      <c r="L2903">
        <v>13</v>
      </c>
      <c r="M2903">
        <v>2.1549999999999998</v>
      </c>
    </row>
    <row r="2904" spans="1:13" ht="15" customHeight="1">
      <c r="A2904" t="s">
        <v>35</v>
      </c>
      <c r="B2904">
        <f t="shared" si="180"/>
        <v>33.717300999999999</v>
      </c>
      <c r="C2904">
        <f t="shared" si="181"/>
        <v>-117.85065</v>
      </c>
      <c r="D2904">
        <f t="shared" si="182"/>
        <v>67</v>
      </c>
      <c r="E2904">
        <v>112.499</v>
      </c>
      <c r="F2904">
        <f t="shared" si="183"/>
        <v>-45.498999999999995</v>
      </c>
      <c r="G2904">
        <v>28.75</v>
      </c>
      <c r="H2904">
        <v>0.89300000000000002</v>
      </c>
      <c r="I2904">
        <v>3.1110000000000002</v>
      </c>
      <c r="J2904">
        <v>5</v>
      </c>
      <c r="K2904">
        <v>14</v>
      </c>
      <c r="L2904">
        <v>7</v>
      </c>
      <c r="M2904">
        <v>1.4490000000000001</v>
      </c>
    </row>
    <row r="2905" spans="1:13" ht="15" customHeight="1">
      <c r="A2905" t="s">
        <v>35</v>
      </c>
      <c r="B2905">
        <f t="shared" si="180"/>
        <v>33.717300999999999</v>
      </c>
      <c r="C2905">
        <f t="shared" si="181"/>
        <v>-117.85065</v>
      </c>
      <c r="D2905">
        <f t="shared" si="182"/>
        <v>67</v>
      </c>
      <c r="E2905">
        <v>113.499</v>
      </c>
      <c r="F2905">
        <f t="shared" si="183"/>
        <v>-46.498999999999995</v>
      </c>
      <c r="G2905">
        <v>29.516999999999999</v>
      </c>
      <c r="H2905">
        <v>1.0349999999999999</v>
      </c>
      <c r="I2905">
        <v>3.512</v>
      </c>
      <c r="J2905">
        <v>5</v>
      </c>
      <c r="K2905">
        <v>14</v>
      </c>
      <c r="L2905">
        <v>7</v>
      </c>
      <c r="M2905">
        <v>1.4950000000000001</v>
      </c>
    </row>
    <row r="2906" spans="1:13" ht="15" customHeight="1">
      <c r="A2906" t="s">
        <v>35</v>
      </c>
      <c r="B2906">
        <f t="shared" si="180"/>
        <v>33.717300999999999</v>
      </c>
      <c r="C2906">
        <f t="shared" si="181"/>
        <v>-117.85065</v>
      </c>
      <c r="D2906">
        <f t="shared" si="182"/>
        <v>67</v>
      </c>
      <c r="E2906">
        <v>114.499</v>
      </c>
      <c r="F2906">
        <f t="shared" si="183"/>
        <v>-47.498999999999995</v>
      </c>
      <c r="G2906">
        <v>45.329000000000001</v>
      </c>
      <c r="H2906">
        <v>1.7490000000000001</v>
      </c>
      <c r="I2906">
        <v>3.86</v>
      </c>
      <c r="J2906">
        <v>5</v>
      </c>
      <c r="K2906">
        <v>22</v>
      </c>
      <c r="L2906">
        <v>11</v>
      </c>
      <c r="M2906">
        <v>2.5470000000000002</v>
      </c>
    </row>
    <row r="2907" spans="1:13" ht="15" customHeight="1">
      <c r="A2907" t="s">
        <v>35</v>
      </c>
      <c r="B2907">
        <f t="shared" si="180"/>
        <v>33.717300999999999</v>
      </c>
      <c r="C2907">
        <f t="shared" si="181"/>
        <v>-117.85065</v>
      </c>
      <c r="D2907">
        <f t="shared" si="182"/>
        <v>67</v>
      </c>
      <c r="E2907">
        <v>115.499</v>
      </c>
      <c r="F2907">
        <f t="shared" si="183"/>
        <v>-48.498999999999995</v>
      </c>
      <c r="G2907">
        <v>32.716999999999999</v>
      </c>
      <c r="H2907">
        <v>1.2330000000000001</v>
      </c>
      <c r="I2907">
        <v>3.77</v>
      </c>
      <c r="J2907">
        <v>5</v>
      </c>
      <c r="K2907">
        <v>16</v>
      </c>
      <c r="L2907">
        <v>8</v>
      </c>
      <c r="M2907">
        <v>1.7030000000000001</v>
      </c>
    </row>
    <row r="2908" spans="1:13" ht="15" customHeight="1">
      <c r="A2908" t="s">
        <v>35</v>
      </c>
      <c r="B2908">
        <f t="shared" si="180"/>
        <v>33.717300999999999</v>
      </c>
      <c r="C2908">
        <f t="shared" si="181"/>
        <v>-117.85065</v>
      </c>
      <c r="D2908">
        <f t="shared" si="182"/>
        <v>67</v>
      </c>
      <c r="E2908">
        <v>116.499</v>
      </c>
      <c r="F2908">
        <f t="shared" si="183"/>
        <v>-49.498999999999995</v>
      </c>
      <c r="G2908">
        <v>82.033000000000001</v>
      </c>
      <c r="H2908">
        <v>3.4580000000000002</v>
      </c>
      <c r="I2908">
        <v>4.2169999999999996</v>
      </c>
      <c r="J2908">
        <v>5</v>
      </c>
      <c r="K2908">
        <v>39</v>
      </c>
      <c r="L2908">
        <v>20</v>
      </c>
      <c r="M2908">
        <v>4.9859999999999998</v>
      </c>
    </row>
    <row r="2909" spans="1:13" ht="15" customHeight="1">
      <c r="A2909" t="s">
        <v>35</v>
      </c>
      <c r="B2909">
        <f t="shared" si="180"/>
        <v>33.717300999999999</v>
      </c>
      <c r="C2909">
        <f t="shared" si="181"/>
        <v>-117.85065</v>
      </c>
      <c r="D2909">
        <f t="shared" si="182"/>
        <v>67</v>
      </c>
      <c r="E2909">
        <v>117.498</v>
      </c>
      <c r="F2909">
        <f t="shared" si="183"/>
        <v>-50.498000000000005</v>
      </c>
      <c r="G2909">
        <v>243.21700000000001</v>
      </c>
      <c r="H2909">
        <v>3.6629999999999998</v>
      </c>
      <c r="I2909">
        <v>1.5069999999999999</v>
      </c>
      <c r="J2909">
        <v>8</v>
      </c>
      <c r="K2909">
        <v>58</v>
      </c>
      <c r="L2909">
        <v>29</v>
      </c>
      <c r="M2909" s="1">
        <v>9000000000</v>
      </c>
    </row>
    <row r="2910" spans="1:13" ht="15" customHeight="1">
      <c r="A2910" t="s">
        <v>35</v>
      </c>
      <c r="B2910">
        <f t="shared" si="180"/>
        <v>33.717300999999999</v>
      </c>
      <c r="C2910">
        <f t="shared" si="181"/>
        <v>-117.85065</v>
      </c>
      <c r="D2910">
        <f t="shared" si="182"/>
        <v>67</v>
      </c>
      <c r="E2910">
        <v>118.498</v>
      </c>
      <c r="F2910">
        <f t="shared" si="183"/>
        <v>-51.498000000000005</v>
      </c>
      <c r="G2910">
        <v>351.7</v>
      </c>
      <c r="H2910">
        <v>5.617</v>
      </c>
      <c r="I2910">
        <v>1.597</v>
      </c>
      <c r="J2910">
        <v>8</v>
      </c>
      <c r="K2910">
        <v>84</v>
      </c>
      <c r="L2910">
        <v>42</v>
      </c>
      <c r="M2910" s="1">
        <v>9000000000</v>
      </c>
    </row>
    <row r="2911" spans="1:13" ht="15" customHeight="1">
      <c r="A2911" t="s">
        <v>35</v>
      </c>
      <c r="B2911">
        <f t="shared" si="180"/>
        <v>33.717300999999999</v>
      </c>
      <c r="C2911">
        <f t="shared" si="181"/>
        <v>-117.85065</v>
      </c>
      <c r="D2911">
        <f t="shared" si="182"/>
        <v>67</v>
      </c>
      <c r="E2911">
        <v>119.498</v>
      </c>
      <c r="F2911">
        <f t="shared" si="183"/>
        <v>-52.498000000000005</v>
      </c>
      <c r="G2911">
        <v>371.16699999999997</v>
      </c>
      <c r="H2911">
        <v>6.9050000000000002</v>
      </c>
      <c r="I2911">
        <v>1.86</v>
      </c>
      <c r="J2911">
        <v>8</v>
      </c>
      <c r="K2911">
        <v>89</v>
      </c>
      <c r="L2911">
        <v>45</v>
      </c>
      <c r="M2911" s="1">
        <v>9000000000</v>
      </c>
    </row>
    <row r="2912" spans="1:13" ht="15" customHeight="1">
      <c r="A2912" t="s">
        <v>35</v>
      </c>
      <c r="B2912">
        <f t="shared" si="180"/>
        <v>33.717300999999999</v>
      </c>
      <c r="C2912">
        <f t="shared" si="181"/>
        <v>-117.85065</v>
      </c>
      <c r="D2912">
        <f t="shared" si="182"/>
        <v>67</v>
      </c>
      <c r="E2912">
        <v>120.498</v>
      </c>
      <c r="F2912">
        <f t="shared" si="183"/>
        <v>-53.498000000000005</v>
      </c>
      <c r="G2912">
        <v>366.3</v>
      </c>
      <c r="H2912">
        <v>0</v>
      </c>
      <c r="I2912">
        <v>0</v>
      </c>
      <c r="J2912">
        <v>10</v>
      </c>
      <c r="K2912" s="1">
        <v>9000000000</v>
      </c>
      <c r="L2912" s="1">
        <v>9000000000</v>
      </c>
      <c r="M2912" s="1">
        <v>9000000000</v>
      </c>
    </row>
    <row r="2913" spans="1:13" ht="15" customHeight="1">
      <c r="A2913" t="s">
        <v>36</v>
      </c>
      <c r="B2913">
        <f t="shared" si="180"/>
        <v>33.718167999999999</v>
      </c>
      <c r="C2913">
        <f t="shared" si="181"/>
        <v>-117.84703</v>
      </c>
      <c r="D2913">
        <f t="shared" si="182"/>
        <v>71</v>
      </c>
      <c r="E2913">
        <v>0.5</v>
      </c>
      <c r="F2913">
        <f t="shared" si="183"/>
        <v>70.5</v>
      </c>
      <c r="G2913">
        <v>0.7</v>
      </c>
      <c r="H2913">
        <v>3.2000000000000001E-2</v>
      </c>
      <c r="I2913">
        <v>4.524</v>
      </c>
      <c r="J2913">
        <v>2</v>
      </c>
      <c r="K2913">
        <v>1</v>
      </c>
      <c r="L2913">
        <v>2</v>
      </c>
      <c r="M2913">
        <v>4.4999999999999998E-2</v>
      </c>
    </row>
    <row r="2914" spans="1:13" ht="15" customHeight="1">
      <c r="A2914" t="s">
        <v>36</v>
      </c>
      <c r="B2914">
        <f t="shared" si="180"/>
        <v>33.718167999999999</v>
      </c>
      <c r="C2914">
        <f t="shared" si="181"/>
        <v>-117.84703</v>
      </c>
      <c r="D2914">
        <f t="shared" si="182"/>
        <v>71</v>
      </c>
      <c r="E2914">
        <v>1.5</v>
      </c>
      <c r="F2914">
        <f t="shared" si="183"/>
        <v>69.5</v>
      </c>
      <c r="G2914">
        <v>12.016999999999999</v>
      </c>
      <c r="H2914">
        <v>0.70699999999999996</v>
      </c>
      <c r="I2914">
        <v>5.8730000000000002</v>
      </c>
      <c r="J2914">
        <v>3</v>
      </c>
      <c r="K2914">
        <v>12</v>
      </c>
      <c r="L2914">
        <v>18</v>
      </c>
      <c r="M2914">
        <v>0.79700000000000004</v>
      </c>
    </row>
    <row r="2915" spans="1:13" ht="15" customHeight="1">
      <c r="A2915" t="s">
        <v>36</v>
      </c>
      <c r="B2915">
        <f t="shared" si="180"/>
        <v>33.718167999999999</v>
      </c>
      <c r="C2915">
        <f t="shared" si="181"/>
        <v>-117.84703</v>
      </c>
      <c r="D2915">
        <f t="shared" si="182"/>
        <v>71</v>
      </c>
      <c r="E2915">
        <v>2.5</v>
      </c>
      <c r="F2915">
        <f t="shared" si="183"/>
        <v>68.5</v>
      </c>
      <c r="G2915">
        <v>6.1829999999999998</v>
      </c>
      <c r="H2915">
        <v>0.47799999999999998</v>
      </c>
      <c r="I2915">
        <v>7.7359999999999998</v>
      </c>
      <c r="J2915">
        <v>3</v>
      </c>
      <c r="K2915">
        <v>6</v>
      </c>
      <c r="L2915">
        <v>9</v>
      </c>
      <c r="M2915">
        <v>0.40300000000000002</v>
      </c>
    </row>
    <row r="2916" spans="1:13" ht="15" customHeight="1">
      <c r="A2916" t="s">
        <v>36</v>
      </c>
      <c r="B2916">
        <f t="shared" si="180"/>
        <v>33.718167999999999</v>
      </c>
      <c r="C2916">
        <f t="shared" si="181"/>
        <v>-117.84703</v>
      </c>
      <c r="D2916">
        <f t="shared" si="182"/>
        <v>71</v>
      </c>
      <c r="E2916">
        <v>3.5</v>
      </c>
      <c r="F2916">
        <f t="shared" si="183"/>
        <v>67.5</v>
      </c>
      <c r="G2916">
        <v>3.85</v>
      </c>
      <c r="H2916">
        <v>0.32800000000000001</v>
      </c>
      <c r="I2916">
        <v>7.99</v>
      </c>
      <c r="J2916">
        <v>2</v>
      </c>
      <c r="K2916">
        <v>4</v>
      </c>
      <c r="L2916">
        <v>6</v>
      </c>
      <c r="M2916">
        <v>0.24399999999999999</v>
      </c>
    </row>
    <row r="2917" spans="1:13" ht="15" customHeight="1">
      <c r="A2917" t="s">
        <v>36</v>
      </c>
      <c r="B2917">
        <f t="shared" si="180"/>
        <v>33.718167999999999</v>
      </c>
      <c r="C2917">
        <f t="shared" si="181"/>
        <v>-117.84703</v>
      </c>
      <c r="D2917">
        <f t="shared" si="182"/>
        <v>71</v>
      </c>
      <c r="E2917">
        <v>4.5</v>
      </c>
      <c r="F2917">
        <f t="shared" si="183"/>
        <v>66.5</v>
      </c>
      <c r="G2917">
        <v>5.2670000000000003</v>
      </c>
      <c r="H2917">
        <v>0.34300000000000003</v>
      </c>
      <c r="I2917">
        <v>6.3979999999999997</v>
      </c>
      <c r="J2917">
        <v>3</v>
      </c>
      <c r="K2917">
        <v>5</v>
      </c>
      <c r="L2917">
        <v>8</v>
      </c>
      <c r="M2917">
        <v>0.34200000000000003</v>
      </c>
    </row>
    <row r="2918" spans="1:13" ht="15" customHeight="1">
      <c r="A2918" t="s">
        <v>36</v>
      </c>
      <c r="B2918">
        <f t="shared" si="180"/>
        <v>33.718167999999999</v>
      </c>
      <c r="C2918">
        <f t="shared" si="181"/>
        <v>-117.84703</v>
      </c>
      <c r="D2918">
        <f t="shared" si="182"/>
        <v>71</v>
      </c>
      <c r="E2918">
        <v>5.5</v>
      </c>
      <c r="F2918">
        <f t="shared" si="183"/>
        <v>65.5</v>
      </c>
      <c r="G2918">
        <v>6.2830000000000004</v>
      </c>
      <c r="H2918">
        <v>0.36499999999999999</v>
      </c>
      <c r="I2918">
        <v>5.718</v>
      </c>
      <c r="J2918">
        <v>3</v>
      </c>
      <c r="K2918">
        <v>6</v>
      </c>
      <c r="L2918">
        <v>9</v>
      </c>
      <c r="M2918">
        <v>0.40600000000000003</v>
      </c>
    </row>
    <row r="2919" spans="1:13" ht="15" customHeight="1">
      <c r="A2919" t="s">
        <v>36</v>
      </c>
      <c r="B2919">
        <f t="shared" si="180"/>
        <v>33.718167999999999</v>
      </c>
      <c r="C2919">
        <f t="shared" si="181"/>
        <v>-117.84703</v>
      </c>
      <c r="D2919">
        <f t="shared" si="182"/>
        <v>71</v>
      </c>
      <c r="E2919">
        <v>6.5</v>
      </c>
      <c r="F2919">
        <f t="shared" si="183"/>
        <v>64.5</v>
      </c>
      <c r="G2919">
        <v>6.5670000000000002</v>
      </c>
      <c r="H2919">
        <v>0.377</v>
      </c>
      <c r="I2919">
        <v>5.5670000000000002</v>
      </c>
      <c r="J2919">
        <v>3</v>
      </c>
      <c r="K2919">
        <v>6</v>
      </c>
      <c r="L2919">
        <v>9</v>
      </c>
      <c r="M2919">
        <v>0.42799999999999999</v>
      </c>
    </row>
    <row r="2920" spans="1:13" ht="15" customHeight="1">
      <c r="A2920" t="s">
        <v>36</v>
      </c>
      <c r="B2920">
        <f t="shared" si="180"/>
        <v>33.718167999999999</v>
      </c>
      <c r="C2920">
        <f t="shared" si="181"/>
        <v>-117.84703</v>
      </c>
      <c r="D2920">
        <f t="shared" si="182"/>
        <v>71</v>
      </c>
      <c r="E2920">
        <v>7.5</v>
      </c>
      <c r="F2920">
        <f t="shared" si="183"/>
        <v>63.5</v>
      </c>
      <c r="G2920">
        <v>8.15</v>
      </c>
      <c r="H2920">
        <v>0.505</v>
      </c>
      <c r="I2920">
        <v>6.1210000000000004</v>
      </c>
      <c r="J2920">
        <v>3</v>
      </c>
      <c r="K2920">
        <v>8</v>
      </c>
      <c r="L2920">
        <v>12</v>
      </c>
      <c r="M2920">
        <v>0.52200000000000002</v>
      </c>
    </row>
    <row r="2921" spans="1:13" ht="15" customHeight="1">
      <c r="A2921" t="s">
        <v>36</v>
      </c>
      <c r="B2921">
        <f t="shared" si="180"/>
        <v>33.718167999999999</v>
      </c>
      <c r="C2921">
        <f t="shared" si="181"/>
        <v>-117.84703</v>
      </c>
      <c r="D2921">
        <f t="shared" si="182"/>
        <v>71</v>
      </c>
      <c r="E2921">
        <v>8.5</v>
      </c>
      <c r="F2921">
        <f t="shared" si="183"/>
        <v>62.5</v>
      </c>
      <c r="G2921">
        <v>13.25</v>
      </c>
      <c r="H2921">
        <v>0.74199999999999999</v>
      </c>
      <c r="I2921">
        <v>5.5140000000000002</v>
      </c>
      <c r="J2921">
        <v>3</v>
      </c>
      <c r="K2921">
        <v>13</v>
      </c>
      <c r="L2921">
        <v>20</v>
      </c>
      <c r="M2921">
        <v>0.86499999999999999</v>
      </c>
    </row>
    <row r="2922" spans="1:13" ht="15" customHeight="1">
      <c r="A2922" t="s">
        <v>36</v>
      </c>
      <c r="B2922">
        <f t="shared" si="180"/>
        <v>33.718167999999999</v>
      </c>
      <c r="C2922">
        <f t="shared" si="181"/>
        <v>-117.84703</v>
      </c>
      <c r="D2922">
        <f t="shared" si="182"/>
        <v>71</v>
      </c>
      <c r="E2922">
        <v>9.5</v>
      </c>
      <c r="F2922">
        <f t="shared" si="183"/>
        <v>61.5</v>
      </c>
      <c r="G2922">
        <v>13.65</v>
      </c>
      <c r="H2922">
        <v>0.74</v>
      </c>
      <c r="I2922">
        <v>5.3239999999999998</v>
      </c>
      <c r="J2922">
        <v>3</v>
      </c>
      <c r="K2922">
        <v>13</v>
      </c>
      <c r="L2922">
        <v>20</v>
      </c>
      <c r="M2922">
        <v>0.89100000000000001</v>
      </c>
    </row>
    <row r="2923" spans="1:13" ht="15" customHeight="1">
      <c r="A2923" t="s">
        <v>36</v>
      </c>
      <c r="B2923">
        <f t="shared" si="180"/>
        <v>33.718167999999999</v>
      </c>
      <c r="C2923">
        <f t="shared" si="181"/>
        <v>-117.84703</v>
      </c>
      <c r="D2923">
        <f t="shared" si="182"/>
        <v>71</v>
      </c>
      <c r="E2923">
        <v>10.5</v>
      </c>
      <c r="F2923">
        <f t="shared" si="183"/>
        <v>60.5</v>
      </c>
      <c r="G2923">
        <v>10.686</v>
      </c>
      <c r="H2923">
        <v>0.57699999999999996</v>
      </c>
      <c r="I2923">
        <v>5.3230000000000004</v>
      </c>
      <c r="J2923">
        <v>3</v>
      </c>
      <c r="K2923">
        <v>10</v>
      </c>
      <c r="L2923">
        <v>15</v>
      </c>
      <c r="M2923">
        <v>0.68300000000000005</v>
      </c>
    </row>
    <row r="2924" spans="1:13" ht="15" customHeight="1">
      <c r="A2924" t="s">
        <v>36</v>
      </c>
      <c r="B2924">
        <f t="shared" si="180"/>
        <v>33.718167999999999</v>
      </c>
      <c r="C2924">
        <f t="shared" si="181"/>
        <v>-117.84703</v>
      </c>
      <c r="D2924">
        <f t="shared" si="182"/>
        <v>71</v>
      </c>
      <c r="E2924">
        <v>11.5</v>
      </c>
      <c r="F2924">
        <f t="shared" si="183"/>
        <v>59.5</v>
      </c>
      <c r="G2924">
        <v>8.3330000000000002</v>
      </c>
      <c r="H2924">
        <v>0.497</v>
      </c>
      <c r="I2924">
        <v>5.8319999999999999</v>
      </c>
      <c r="J2924">
        <v>3</v>
      </c>
      <c r="K2924">
        <v>8</v>
      </c>
      <c r="L2924">
        <v>11</v>
      </c>
      <c r="M2924">
        <v>0.52400000000000002</v>
      </c>
    </row>
    <row r="2925" spans="1:13" ht="15" customHeight="1">
      <c r="A2925" t="s">
        <v>36</v>
      </c>
      <c r="B2925">
        <f t="shared" si="180"/>
        <v>33.718167999999999</v>
      </c>
      <c r="C2925">
        <f t="shared" si="181"/>
        <v>-117.84703</v>
      </c>
      <c r="D2925">
        <f t="shared" si="182"/>
        <v>71</v>
      </c>
      <c r="E2925">
        <v>12.5</v>
      </c>
      <c r="F2925">
        <f t="shared" si="183"/>
        <v>58.5</v>
      </c>
      <c r="G2925">
        <v>7.7169999999999996</v>
      </c>
      <c r="H2925">
        <v>0.312</v>
      </c>
      <c r="I2925">
        <v>3.9449999999999998</v>
      </c>
      <c r="J2925">
        <v>3</v>
      </c>
      <c r="K2925">
        <v>8</v>
      </c>
      <c r="L2925">
        <v>10</v>
      </c>
      <c r="M2925">
        <v>0.47899999999999998</v>
      </c>
    </row>
    <row r="2926" spans="1:13" ht="15" customHeight="1">
      <c r="A2926" t="s">
        <v>36</v>
      </c>
      <c r="B2926">
        <f t="shared" si="180"/>
        <v>33.718167999999999</v>
      </c>
      <c r="C2926">
        <f t="shared" si="181"/>
        <v>-117.84703</v>
      </c>
      <c r="D2926">
        <f t="shared" si="182"/>
        <v>71</v>
      </c>
      <c r="E2926">
        <v>13.5</v>
      </c>
      <c r="F2926">
        <f t="shared" si="183"/>
        <v>57.5</v>
      </c>
      <c r="G2926">
        <v>6.2329999999999997</v>
      </c>
      <c r="H2926">
        <v>0.21199999999999999</v>
      </c>
      <c r="I2926">
        <v>3.3069999999999999</v>
      </c>
      <c r="J2926">
        <v>3</v>
      </c>
      <c r="K2926">
        <v>6</v>
      </c>
      <c r="L2926">
        <v>7</v>
      </c>
      <c r="M2926">
        <v>0.375</v>
      </c>
    </row>
    <row r="2927" spans="1:13" ht="15" customHeight="1">
      <c r="A2927" t="s">
        <v>36</v>
      </c>
      <c r="B2927">
        <f t="shared" si="180"/>
        <v>33.718167999999999</v>
      </c>
      <c r="C2927">
        <f t="shared" si="181"/>
        <v>-117.84703</v>
      </c>
      <c r="D2927">
        <f t="shared" si="182"/>
        <v>71</v>
      </c>
      <c r="E2927">
        <v>14.5</v>
      </c>
      <c r="F2927">
        <f t="shared" si="183"/>
        <v>56.5</v>
      </c>
      <c r="G2927">
        <v>6.633</v>
      </c>
      <c r="H2927">
        <v>0.247</v>
      </c>
      <c r="I2927">
        <v>3.6269999999999998</v>
      </c>
      <c r="J2927">
        <v>3</v>
      </c>
      <c r="K2927">
        <v>7</v>
      </c>
      <c r="L2927">
        <v>8</v>
      </c>
      <c r="M2927">
        <v>0.39700000000000002</v>
      </c>
    </row>
    <row r="2928" spans="1:13" ht="15" customHeight="1">
      <c r="A2928" t="s">
        <v>36</v>
      </c>
      <c r="B2928">
        <f t="shared" si="180"/>
        <v>33.718167999999999</v>
      </c>
      <c r="C2928">
        <f t="shared" si="181"/>
        <v>-117.84703</v>
      </c>
      <c r="D2928">
        <f t="shared" si="182"/>
        <v>71</v>
      </c>
      <c r="E2928">
        <v>15.5</v>
      </c>
      <c r="F2928">
        <f t="shared" si="183"/>
        <v>55.5</v>
      </c>
      <c r="G2928">
        <v>9.7170000000000005</v>
      </c>
      <c r="H2928">
        <v>0.38</v>
      </c>
      <c r="I2928">
        <v>3.8839999999999999</v>
      </c>
      <c r="J2928">
        <v>3</v>
      </c>
      <c r="K2928">
        <v>9</v>
      </c>
      <c r="L2928">
        <v>10</v>
      </c>
      <c r="M2928">
        <v>0.59199999999999997</v>
      </c>
    </row>
    <row r="2929" spans="1:13" ht="15" customHeight="1">
      <c r="A2929" t="s">
        <v>36</v>
      </c>
      <c r="B2929">
        <f t="shared" si="180"/>
        <v>33.718167999999999</v>
      </c>
      <c r="C2929">
        <f t="shared" si="181"/>
        <v>-117.84703</v>
      </c>
      <c r="D2929">
        <f t="shared" si="182"/>
        <v>71</v>
      </c>
      <c r="E2929">
        <v>16.5</v>
      </c>
      <c r="F2929">
        <f t="shared" si="183"/>
        <v>54.5</v>
      </c>
      <c r="G2929">
        <v>123.017</v>
      </c>
      <c r="H2929">
        <v>1.0980000000000001</v>
      </c>
      <c r="I2929">
        <v>0.89300000000000002</v>
      </c>
      <c r="J2929">
        <v>8</v>
      </c>
      <c r="K2929">
        <v>29</v>
      </c>
      <c r="L2929">
        <v>30</v>
      </c>
      <c r="M2929" s="1">
        <v>9000000000</v>
      </c>
    </row>
    <row r="2930" spans="1:13" ht="15" customHeight="1">
      <c r="A2930" t="s">
        <v>36</v>
      </c>
      <c r="B2930">
        <f t="shared" si="180"/>
        <v>33.718167999999999</v>
      </c>
      <c r="C2930">
        <f t="shared" si="181"/>
        <v>-117.84703</v>
      </c>
      <c r="D2930">
        <f t="shared" si="182"/>
        <v>71</v>
      </c>
      <c r="E2930">
        <v>17.5</v>
      </c>
      <c r="F2930">
        <f t="shared" si="183"/>
        <v>53.5</v>
      </c>
      <c r="G2930">
        <v>163.38300000000001</v>
      </c>
      <c r="H2930">
        <v>1.3919999999999999</v>
      </c>
      <c r="I2930">
        <v>0.85199999999999998</v>
      </c>
      <c r="J2930">
        <v>9</v>
      </c>
      <c r="K2930">
        <v>31</v>
      </c>
      <c r="L2930">
        <v>30</v>
      </c>
      <c r="M2930" s="1">
        <v>9000000000</v>
      </c>
    </row>
    <row r="2931" spans="1:13" ht="15" customHeight="1">
      <c r="A2931" t="s">
        <v>36</v>
      </c>
      <c r="B2931">
        <f t="shared" si="180"/>
        <v>33.718167999999999</v>
      </c>
      <c r="C2931">
        <f t="shared" si="181"/>
        <v>-117.84703</v>
      </c>
      <c r="D2931">
        <f t="shared" si="182"/>
        <v>71</v>
      </c>
      <c r="E2931">
        <v>18.5</v>
      </c>
      <c r="F2931">
        <f t="shared" si="183"/>
        <v>52.5</v>
      </c>
      <c r="G2931">
        <v>100.083</v>
      </c>
      <c r="H2931">
        <v>1.22</v>
      </c>
      <c r="I2931">
        <v>1.22</v>
      </c>
      <c r="J2931">
        <v>8</v>
      </c>
      <c r="K2931">
        <v>24</v>
      </c>
      <c r="L2931">
        <v>23</v>
      </c>
      <c r="M2931" s="1">
        <v>9000000000</v>
      </c>
    </row>
    <row r="2932" spans="1:13" ht="15" customHeight="1">
      <c r="A2932" t="s">
        <v>36</v>
      </c>
      <c r="B2932">
        <f t="shared" si="180"/>
        <v>33.718167999999999</v>
      </c>
      <c r="C2932">
        <f t="shared" si="181"/>
        <v>-117.84703</v>
      </c>
      <c r="D2932">
        <f t="shared" si="182"/>
        <v>71</v>
      </c>
      <c r="E2932">
        <v>19.5</v>
      </c>
      <c r="F2932">
        <f t="shared" si="183"/>
        <v>51.5</v>
      </c>
      <c r="G2932">
        <v>159.38300000000001</v>
      </c>
      <c r="H2932">
        <v>1.625</v>
      </c>
      <c r="I2932">
        <v>1.02</v>
      </c>
      <c r="J2932">
        <v>9</v>
      </c>
      <c r="K2932">
        <v>31</v>
      </c>
      <c r="L2932">
        <v>28</v>
      </c>
      <c r="M2932" s="1">
        <v>9000000000</v>
      </c>
    </row>
    <row r="2933" spans="1:13" ht="15" customHeight="1">
      <c r="A2933" t="s">
        <v>36</v>
      </c>
      <c r="B2933">
        <f t="shared" si="180"/>
        <v>33.718167999999999</v>
      </c>
      <c r="C2933">
        <f t="shared" si="181"/>
        <v>-117.84703</v>
      </c>
      <c r="D2933">
        <f t="shared" si="182"/>
        <v>71</v>
      </c>
      <c r="E2933">
        <v>20.5</v>
      </c>
      <c r="F2933">
        <f t="shared" si="183"/>
        <v>50.5</v>
      </c>
      <c r="G2933">
        <v>165.08600000000001</v>
      </c>
      <c r="H2933">
        <v>1.5189999999999999</v>
      </c>
      <c r="I2933">
        <v>0.92</v>
      </c>
      <c r="J2933">
        <v>9</v>
      </c>
      <c r="K2933">
        <v>32</v>
      </c>
      <c r="L2933">
        <v>28</v>
      </c>
      <c r="M2933" s="1">
        <v>9000000000</v>
      </c>
    </row>
    <row r="2934" spans="1:13" ht="15" customHeight="1">
      <c r="A2934" t="s">
        <v>36</v>
      </c>
      <c r="B2934">
        <f t="shared" si="180"/>
        <v>33.718167999999999</v>
      </c>
      <c r="C2934">
        <f t="shared" si="181"/>
        <v>-117.84703</v>
      </c>
      <c r="D2934">
        <f t="shared" si="182"/>
        <v>71</v>
      </c>
      <c r="E2934">
        <v>21.5</v>
      </c>
      <c r="F2934">
        <f t="shared" si="183"/>
        <v>49.5</v>
      </c>
      <c r="G2934">
        <v>199.56700000000001</v>
      </c>
      <c r="H2934">
        <v>1.7969999999999999</v>
      </c>
      <c r="I2934">
        <v>0.90100000000000002</v>
      </c>
      <c r="J2934">
        <v>9</v>
      </c>
      <c r="K2934">
        <v>38</v>
      </c>
      <c r="L2934">
        <v>32</v>
      </c>
      <c r="M2934" s="1">
        <v>9000000000</v>
      </c>
    </row>
    <row r="2935" spans="1:13" ht="15" customHeight="1">
      <c r="A2935" t="s">
        <v>36</v>
      </c>
      <c r="B2935">
        <f t="shared" si="180"/>
        <v>33.718167999999999</v>
      </c>
      <c r="C2935">
        <f t="shared" si="181"/>
        <v>-117.84703</v>
      </c>
      <c r="D2935">
        <f t="shared" si="182"/>
        <v>71</v>
      </c>
      <c r="E2935">
        <v>22.5</v>
      </c>
      <c r="F2935">
        <f t="shared" si="183"/>
        <v>48.5</v>
      </c>
      <c r="G2935">
        <v>199.083</v>
      </c>
      <c r="H2935">
        <v>1.66</v>
      </c>
      <c r="I2935">
        <v>0.83399999999999996</v>
      </c>
      <c r="J2935">
        <v>9</v>
      </c>
      <c r="K2935">
        <v>38</v>
      </c>
      <c r="L2935">
        <v>30</v>
      </c>
      <c r="M2935" s="1">
        <v>9000000000</v>
      </c>
    </row>
    <row r="2936" spans="1:13" ht="15" customHeight="1">
      <c r="A2936" t="s">
        <v>36</v>
      </c>
      <c r="B2936">
        <f t="shared" si="180"/>
        <v>33.718167999999999</v>
      </c>
      <c r="C2936">
        <f t="shared" si="181"/>
        <v>-117.84703</v>
      </c>
      <c r="D2936">
        <f t="shared" si="182"/>
        <v>71</v>
      </c>
      <c r="E2936">
        <v>23.5</v>
      </c>
      <c r="F2936">
        <f t="shared" si="183"/>
        <v>47.5</v>
      </c>
      <c r="G2936">
        <v>169</v>
      </c>
      <c r="H2936">
        <v>2.0670000000000002</v>
      </c>
      <c r="I2936">
        <v>1.224</v>
      </c>
      <c r="J2936">
        <v>8</v>
      </c>
      <c r="K2936">
        <v>40</v>
      </c>
      <c r="L2936">
        <v>31</v>
      </c>
      <c r="M2936" s="1">
        <v>9000000000</v>
      </c>
    </row>
    <row r="2937" spans="1:13" ht="15" customHeight="1">
      <c r="A2937" t="s">
        <v>36</v>
      </c>
      <c r="B2937">
        <f t="shared" si="180"/>
        <v>33.718167999999999</v>
      </c>
      <c r="C2937">
        <f t="shared" si="181"/>
        <v>-117.84703</v>
      </c>
      <c r="D2937">
        <f t="shared" si="182"/>
        <v>71</v>
      </c>
      <c r="E2937">
        <v>24.5</v>
      </c>
      <c r="F2937">
        <f t="shared" si="183"/>
        <v>46.5</v>
      </c>
      <c r="G2937">
        <v>100.967</v>
      </c>
      <c r="H2937">
        <v>1.1299999999999999</v>
      </c>
      <c r="I2937">
        <v>1.121</v>
      </c>
      <c r="J2937">
        <v>8</v>
      </c>
      <c r="K2937">
        <v>24</v>
      </c>
      <c r="L2937">
        <v>18</v>
      </c>
      <c r="M2937" s="1">
        <v>9000000000</v>
      </c>
    </row>
    <row r="2938" spans="1:13" ht="15" customHeight="1">
      <c r="A2938" t="s">
        <v>36</v>
      </c>
      <c r="B2938">
        <f t="shared" si="180"/>
        <v>33.718167999999999</v>
      </c>
      <c r="C2938">
        <f t="shared" si="181"/>
        <v>-117.84703</v>
      </c>
      <c r="D2938">
        <f t="shared" si="182"/>
        <v>71</v>
      </c>
      <c r="E2938">
        <v>25.5</v>
      </c>
      <c r="F2938">
        <f t="shared" si="183"/>
        <v>45.5</v>
      </c>
      <c r="G2938">
        <v>19.3</v>
      </c>
      <c r="H2938">
        <v>0.63300000000000001</v>
      </c>
      <c r="I2938">
        <v>3.3010000000000002</v>
      </c>
      <c r="J2938">
        <v>5</v>
      </c>
      <c r="K2938">
        <v>9</v>
      </c>
      <c r="L2938">
        <v>7</v>
      </c>
      <c r="M2938">
        <v>1.177</v>
      </c>
    </row>
    <row r="2939" spans="1:13" ht="15" customHeight="1">
      <c r="A2939" t="s">
        <v>36</v>
      </c>
      <c r="B2939">
        <f t="shared" si="180"/>
        <v>33.718167999999999</v>
      </c>
      <c r="C2939">
        <f t="shared" si="181"/>
        <v>-117.84703</v>
      </c>
      <c r="D2939">
        <f t="shared" si="182"/>
        <v>71</v>
      </c>
      <c r="E2939">
        <v>26.5</v>
      </c>
      <c r="F2939">
        <f t="shared" si="183"/>
        <v>44.5</v>
      </c>
      <c r="G2939">
        <v>19.632999999999999</v>
      </c>
      <c r="H2939">
        <v>0.95799999999999996</v>
      </c>
      <c r="I2939">
        <v>4.9059999999999997</v>
      </c>
      <c r="J2939">
        <v>3</v>
      </c>
      <c r="K2939">
        <v>19</v>
      </c>
      <c r="L2939">
        <v>14</v>
      </c>
      <c r="M2939">
        <v>1.1970000000000001</v>
      </c>
    </row>
    <row r="2940" spans="1:13" ht="15" customHeight="1">
      <c r="A2940" t="s">
        <v>36</v>
      </c>
      <c r="B2940">
        <f t="shared" si="180"/>
        <v>33.718167999999999</v>
      </c>
      <c r="C2940">
        <f t="shared" si="181"/>
        <v>-117.84703</v>
      </c>
      <c r="D2940">
        <f t="shared" si="182"/>
        <v>71</v>
      </c>
      <c r="E2940">
        <v>27.5</v>
      </c>
      <c r="F2940">
        <f t="shared" si="183"/>
        <v>43.5</v>
      </c>
      <c r="G2940">
        <v>12.016999999999999</v>
      </c>
      <c r="H2940">
        <v>0.45300000000000001</v>
      </c>
      <c r="I2940">
        <v>3.81</v>
      </c>
      <c r="J2940">
        <v>3</v>
      </c>
      <c r="K2940">
        <v>11</v>
      </c>
      <c r="L2940">
        <v>8</v>
      </c>
      <c r="M2940">
        <v>0.68400000000000005</v>
      </c>
    </row>
    <row r="2941" spans="1:13" ht="15" customHeight="1">
      <c r="A2941" t="s">
        <v>36</v>
      </c>
      <c r="B2941">
        <f t="shared" si="180"/>
        <v>33.718167999999999</v>
      </c>
      <c r="C2941">
        <f t="shared" si="181"/>
        <v>-117.84703</v>
      </c>
      <c r="D2941">
        <f t="shared" si="182"/>
        <v>71</v>
      </c>
      <c r="E2941">
        <v>28.5</v>
      </c>
      <c r="F2941">
        <f t="shared" si="183"/>
        <v>42.5</v>
      </c>
      <c r="G2941">
        <v>13.7</v>
      </c>
      <c r="H2941">
        <v>0.53700000000000003</v>
      </c>
      <c r="I2941">
        <v>3.9460000000000002</v>
      </c>
      <c r="J2941">
        <v>3</v>
      </c>
      <c r="K2941">
        <v>13</v>
      </c>
      <c r="L2941">
        <v>9</v>
      </c>
      <c r="M2941">
        <v>0.79300000000000004</v>
      </c>
    </row>
    <row r="2942" spans="1:13" ht="15" customHeight="1">
      <c r="A2942" t="s">
        <v>36</v>
      </c>
      <c r="B2942">
        <f t="shared" si="180"/>
        <v>33.718167999999999</v>
      </c>
      <c r="C2942">
        <f t="shared" si="181"/>
        <v>-117.84703</v>
      </c>
      <c r="D2942">
        <f t="shared" si="182"/>
        <v>71</v>
      </c>
      <c r="E2942">
        <v>29.5</v>
      </c>
      <c r="F2942">
        <f t="shared" si="183"/>
        <v>41.5</v>
      </c>
      <c r="G2942">
        <v>14.433</v>
      </c>
      <c r="H2942">
        <v>0.65200000000000002</v>
      </c>
      <c r="I2942">
        <v>4.5469999999999997</v>
      </c>
      <c r="J2942">
        <v>3</v>
      </c>
      <c r="K2942">
        <v>14</v>
      </c>
      <c r="L2942">
        <v>10</v>
      </c>
      <c r="M2942">
        <v>0.83699999999999997</v>
      </c>
    </row>
    <row r="2943" spans="1:13" ht="15" customHeight="1">
      <c r="A2943" t="s">
        <v>36</v>
      </c>
      <c r="B2943">
        <f t="shared" si="180"/>
        <v>33.718167999999999</v>
      </c>
      <c r="C2943">
        <f t="shared" si="181"/>
        <v>-117.84703</v>
      </c>
      <c r="D2943">
        <f t="shared" si="182"/>
        <v>71</v>
      </c>
      <c r="E2943">
        <v>30.5</v>
      </c>
      <c r="F2943">
        <f t="shared" si="183"/>
        <v>40.5</v>
      </c>
      <c r="G2943">
        <v>12.833</v>
      </c>
      <c r="H2943">
        <v>0.76500000000000001</v>
      </c>
      <c r="I2943">
        <v>6</v>
      </c>
      <c r="J2943">
        <v>3</v>
      </c>
      <c r="K2943">
        <v>12</v>
      </c>
      <c r="L2943">
        <v>8</v>
      </c>
      <c r="M2943">
        <v>0.72799999999999998</v>
      </c>
    </row>
    <row r="2944" spans="1:13" ht="15" customHeight="1">
      <c r="A2944" t="s">
        <v>36</v>
      </c>
      <c r="B2944">
        <f t="shared" si="180"/>
        <v>33.718167999999999</v>
      </c>
      <c r="C2944">
        <f t="shared" si="181"/>
        <v>-117.84703</v>
      </c>
      <c r="D2944">
        <f t="shared" si="182"/>
        <v>71</v>
      </c>
      <c r="E2944">
        <v>31.5</v>
      </c>
      <c r="F2944">
        <f t="shared" si="183"/>
        <v>39.5</v>
      </c>
      <c r="G2944">
        <v>13.329000000000001</v>
      </c>
      <c r="H2944">
        <v>0.61399999999999999</v>
      </c>
      <c r="I2944">
        <v>4.6289999999999996</v>
      </c>
      <c r="J2944">
        <v>3</v>
      </c>
      <c r="K2944">
        <v>13</v>
      </c>
      <c r="L2944">
        <v>9</v>
      </c>
      <c r="M2944">
        <v>0.75800000000000001</v>
      </c>
    </row>
    <row r="2945" spans="1:13" ht="15" customHeight="1">
      <c r="A2945" t="s">
        <v>36</v>
      </c>
      <c r="B2945">
        <f t="shared" si="180"/>
        <v>33.718167999999999</v>
      </c>
      <c r="C2945">
        <f t="shared" si="181"/>
        <v>-117.84703</v>
      </c>
      <c r="D2945">
        <f t="shared" si="182"/>
        <v>71</v>
      </c>
      <c r="E2945">
        <v>32.5</v>
      </c>
      <c r="F2945">
        <f t="shared" si="183"/>
        <v>38.5</v>
      </c>
      <c r="G2945">
        <v>25.233000000000001</v>
      </c>
      <c r="H2945">
        <v>1.143</v>
      </c>
      <c r="I2945">
        <v>4.54</v>
      </c>
      <c r="J2945">
        <v>3</v>
      </c>
      <c r="K2945">
        <v>24</v>
      </c>
      <c r="L2945">
        <v>16</v>
      </c>
      <c r="M2945">
        <v>1.548</v>
      </c>
    </row>
    <row r="2946" spans="1:13" ht="15" customHeight="1">
      <c r="A2946" t="s">
        <v>36</v>
      </c>
      <c r="B2946">
        <f t="shared" ref="B2946:B3009" si="184">VLOOKUP(A2946,XYdata,3,FALSE)</f>
        <v>33.718167999999999</v>
      </c>
      <c r="C2946">
        <f t="shared" ref="C2946:C3009" si="185">VLOOKUP(A2946,XYdata,2,FALSE)</f>
        <v>-117.84703</v>
      </c>
      <c r="D2946">
        <f t="shared" ref="D2946:D3009" si="186">VLOOKUP(A2946,Elevation,2,FALSE)</f>
        <v>71</v>
      </c>
      <c r="E2946">
        <v>33.5</v>
      </c>
      <c r="F2946">
        <f t="shared" si="183"/>
        <v>37.5</v>
      </c>
      <c r="G2946">
        <v>121.8</v>
      </c>
      <c r="H2946">
        <v>2.5979999999999999</v>
      </c>
      <c r="I2946">
        <v>2.1349999999999998</v>
      </c>
      <c r="J2946">
        <v>7</v>
      </c>
      <c r="K2946">
        <v>39</v>
      </c>
      <c r="L2946">
        <v>25</v>
      </c>
      <c r="M2946" s="1">
        <v>9000000000</v>
      </c>
    </row>
    <row r="2947" spans="1:13" ht="15" customHeight="1">
      <c r="A2947" t="s">
        <v>36</v>
      </c>
      <c r="B2947">
        <f t="shared" si="184"/>
        <v>33.718167999999999</v>
      </c>
      <c r="C2947">
        <f t="shared" si="185"/>
        <v>-117.84703</v>
      </c>
      <c r="D2947">
        <f t="shared" si="186"/>
        <v>71</v>
      </c>
      <c r="E2947">
        <v>34.5</v>
      </c>
      <c r="F2947">
        <f t="shared" ref="F2947:F3010" si="187">D2947-E2947</f>
        <v>36.5</v>
      </c>
      <c r="G2947">
        <v>67.55</v>
      </c>
      <c r="H2947">
        <v>1.877</v>
      </c>
      <c r="I2947">
        <v>2.7829999999999999</v>
      </c>
      <c r="J2947">
        <v>6</v>
      </c>
      <c r="K2947">
        <v>26</v>
      </c>
      <c r="L2947">
        <v>17</v>
      </c>
      <c r="M2947">
        <v>4.3570000000000002</v>
      </c>
    </row>
    <row r="2948" spans="1:13" ht="15" customHeight="1">
      <c r="A2948" t="s">
        <v>36</v>
      </c>
      <c r="B2948">
        <f t="shared" si="184"/>
        <v>33.718167999999999</v>
      </c>
      <c r="C2948">
        <f t="shared" si="185"/>
        <v>-117.84703</v>
      </c>
      <c r="D2948">
        <f t="shared" si="186"/>
        <v>71</v>
      </c>
      <c r="E2948">
        <v>35.5</v>
      </c>
      <c r="F2948">
        <f t="shared" si="187"/>
        <v>35.5</v>
      </c>
      <c r="G2948">
        <v>318.983</v>
      </c>
      <c r="H2948">
        <v>3.7120000000000002</v>
      </c>
      <c r="I2948">
        <v>1.1639999999999999</v>
      </c>
      <c r="J2948">
        <v>9</v>
      </c>
      <c r="K2948">
        <v>61</v>
      </c>
      <c r="L2948">
        <v>39</v>
      </c>
      <c r="M2948" s="1">
        <v>9000000000</v>
      </c>
    </row>
    <row r="2949" spans="1:13" ht="15" customHeight="1">
      <c r="A2949" t="s">
        <v>36</v>
      </c>
      <c r="B2949">
        <f t="shared" si="184"/>
        <v>33.718167999999999</v>
      </c>
      <c r="C2949">
        <f t="shared" si="185"/>
        <v>-117.84703</v>
      </c>
      <c r="D2949">
        <f t="shared" si="186"/>
        <v>71</v>
      </c>
      <c r="E2949">
        <v>36.5</v>
      </c>
      <c r="F2949">
        <f t="shared" si="187"/>
        <v>34.5</v>
      </c>
      <c r="G2949">
        <v>263</v>
      </c>
      <c r="H2949">
        <v>1.407</v>
      </c>
      <c r="I2949">
        <v>0.53500000000000003</v>
      </c>
      <c r="J2949">
        <v>9</v>
      </c>
      <c r="K2949">
        <v>50</v>
      </c>
      <c r="L2949">
        <v>31</v>
      </c>
      <c r="M2949" s="1">
        <v>9000000000</v>
      </c>
    </row>
    <row r="2950" spans="1:13" ht="15" customHeight="1">
      <c r="A2950" t="s">
        <v>36</v>
      </c>
      <c r="B2950">
        <f t="shared" si="184"/>
        <v>33.718167999999999</v>
      </c>
      <c r="C2950">
        <f t="shared" si="185"/>
        <v>-117.84703</v>
      </c>
      <c r="D2950">
        <f t="shared" si="186"/>
        <v>71</v>
      </c>
      <c r="E2950">
        <v>37.5</v>
      </c>
      <c r="F2950">
        <f t="shared" si="187"/>
        <v>33.5</v>
      </c>
      <c r="G2950">
        <v>203.13300000000001</v>
      </c>
      <c r="H2950">
        <v>1.7150000000000001</v>
      </c>
      <c r="I2950">
        <v>0.84399999999999997</v>
      </c>
      <c r="J2950">
        <v>9</v>
      </c>
      <c r="K2950">
        <v>39</v>
      </c>
      <c r="L2950">
        <v>24</v>
      </c>
      <c r="M2950" s="1">
        <v>9000000000</v>
      </c>
    </row>
    <row r="2951" spans="1:13" ht="15" customHeight="1">
      <c r="A2951" t="s">
        <v>36</v>
      </c>
      <c r="B2951">
        <f t="shared" si="184"/>
        <v>33.718167999999999</v>
      </c>
      <c r="C2951">
        <f t="shared" si="185"/>
        <v>-117.84703</v>
      </c>
      <c r="D2951">
        <f t="shared" si="186"/>
        <v>71</v>
      </c>
      <c r="E2951">
        <v>38.5</v>
      </c>
      <c r="F2951">
        <f t="shared" si="187"/>
        <v>32.5</v>
      </c>
      <c r="G2951">
        <v>42.433</v>
      </c>
      <c r="H2951">
        <v>1.51</v>
      </c>
      <c r="I2951">
        <v>3.5489999999999999</v>
      </c>
      <c r="J2951">
        <v>5</v>
      </c>
      <c r="K2951">
        <v>20</v>
      </c>
      <c r="L2951">
        <v>12</v>
      </c>
      <c r="M2951">
        <v>2.681</v>
      </c>
    </row>
    <row r="2952" spans="1:13" ht="15" customHeight="1">
      <c r="A2952" t="s">
        <v>36</v>
      </c>
      <c r="B2952">
        <f t="shared" si="184"/>
        <v>33.718167999999999</v>
      </c>
      <c r="C2952">
        <f t="shared" si="185"/>
        <v>-117.84703</v>
      </c>
      <c r="D2952">
        <f t="shared" si="186"/>
        <v>71</v>
      </c>
      <c r="E2952">
        <v>39.5</v>
      </c>
      <c r="F2952">
        <f t="shared" si="187"/>
        <v>31.5</v>
      </c>
      <c r="G2952">
        <v>42.116999999999997</v>
      </c>
      <c r="H2952">
        <v>1.4750000000000001</v>
      </c>
      <c r="I2952">
        <v>3.5059999999999998</v>
      </c>
      <c r="J2952">
        <v>5</v>
      </c>
      <c r="K2952">
        <v>20</v>
      </c>
      <c r="L2952">
        <v>12</v>
      </c>
      <c r="M2952">
        <v>2.645</v>
      </c>
    </row>
    <row r="2953" spans="1:13" ht="15" customHeight="1">
      <c r="A2953" t="s">
        <v>36</v>
      </c>
      <c r="B2953">
        <f t="shared" si="184"/>
        <v>33.718167999999999</v>
      </c>
      <c r="C2953">
        <f t="shared" si="185"/>
        <v>-117.84703</v>
      </c>
      <c r="D2953">
        <f t="shared" si="186"/>
        <v>71</v>
      </c>
      <c r="E2953">
        <v>40.5</v>
      </c>
      <c r="F2953">
        <f t="shared" si="187"/>
        <v>30.5</v>
      </c>
      <c r="G2953">
        <v>40.917000000000002</v>
      </c>
      <c r="H2953">
        <v>1.7529999999999999</v>
      </c>
      <c r="I2953">
        <v>4.2869999999999999</v>
      </c>
      <c r="J2953">
        <v>4</v>
      </c>
      <c r="K2953">
        <v>26</v>
      </c>
      <c r="L2953">
        <v>15</v>
      </c>
      <c r="M2953">
        <v>2.5630000000000002</v>
      </c>
    </row>
    <row r="2954" spans="1:13" ht="15" customHeight="1">
      <c r="A2954" t="s">
        <v>36</v>
      </c>
      <c r="B2954">
        <f t="shared" si="184"/>
        <v>33.718167999999999</v>
      </c>
      <c r="C2954">
        <f t="shared" si="185"/>
        <v>-117.84703</v>
      </c>
      <c r="D2954">
        <f t="shared" si="186"/>
        <v>71</v>
      </c>
      <c r="E2954">
        <v>41.499000000000002</v>
      </c>
      <c r="F2954">
        <f t="shared" si="187"/>
        <v>29.500999999999998</v>
      </c>
      <c r="G2954">
        <v>58.1</v>
      </c>
      <c r="H2954">
        <v>2.831</v>
      </c>
      <c r="I2954">
        <v>4.8769999999999998</v>
      </c>
      <c r="J2954">
        <v>4</v>
      </c>
      <c r="K2954">
        <v>37</v>
      </c>
      <c r="L2954">
        <v>22</v>
      </c>
      <c r="M2954">
        <v>3.702</v>
      </c>
    </row>
    <row r="2955" spans="1:13" ht="15" customHeight="1">
      <c r="A2955" t="s">
        <v>36</v>
      </c>
      <c r="B2955">
        <f t="shared" si="184"/>
        <v>33.718167999999999</v>
      </c>
      <c r="C2955">
        <f t="shared" si="185"/>
        <v>-117.84703</v>
      </c>
      <c r="D2955">
        <f t="shared" si="186"/>
        <v>71</v>
      </c>
      <c r="E2955">
        <v>42.499000000000002</v>
      </c>
      <c r="F2955">
        <f t="shared" si="187"/>
        <v>28.500999999999998</v>
      </c>
      <c r="G2955">
        <v>54.167000000000002</v>
      </c>
      <c r="H2955">
        <v>2.423</v>
      </c>
      <c r="I2955">
        <v>4.4779999999999998</v>
      </c>
      <c r="J2955">
        <v>4</v>
      </c>
      <c r="K2955">
        <v>35</v>
      </c>
      <c r="L2955">
        <v>20</v>
      </c>
      <c r="M2955">
        <v>3.4359999999999999</v>
      </c>
    </row>
    <row r="2956" spans="1:13" ht="15" customHeight="1">
      <c r="A2956" t="s">
        <v>36</v>
      </c>
      <c r="B2956">
        <f t="shared" si="184"/>
        <v>33.718167999999999</v>
      </c>
      <c r="C2956">
        <f t="shared" si="185"/>
        <v>-117.84703</v>
      </c>
      <c r="D2956">
        <f t="shared" si="186"/>
        <v>71</v>
      </c>
      <c r="E2956">
        <v>43.499000000000002</v>
      </c>
      <c r="F2956">
        <f t="shared" si="187"/>
        <v>27.500999999999998</v>
      </c>
      <c r="G2956">
        <v>38.216999999999999</v>
      </c>
      <c r="H2956">
        <v>1.407</v>
      </c>
      <c r="I2956">
        <v>3.6859999999999999</v>
      </c>
      <c r="J2956">
        <v>5</v>
      </c>
      <c r="K2956">
        <v>18</v>
      </c>
      <c r="L2956">
        <v>10</v>
      </c>
      <c r="M2956">
        <v>2.3679999999999999</v>
      </c>
    </row>
    <row r="2957" spans="1:13" ht="15" customHeight="1">
      <c r="A2957" t="s">
        <v>36</v>
      </c>
      <c r="B2957">
        <f t="shared" si="184"/>
        <v>33.718167999999999</v>
      </c>
      <c r="C2957">
        <f t="shared" si="185"/>
        <v>-117.84703</v>
      </c>
      <c r="D2957">
        <f t="shared" si="186"/>
        <v>71</v>
      </c>
      <c r="E2957">
        <v>44.499000000000002</v>
      </c>
      <c r="F2957">
        <f t="shared" si="187"/>
        <v>26.500999999999998</v>
      </c>
      <c r="G2957">
        <v>35.85</v>
      </c>
      <c r="H2957">
        <v>1.6319999999999999</v>
      </c>
      <c r="I2957">
        <v>4.5579999999999998</v>
      </c>
      <c r="J2957">
        <v>4</v>
      </c>
      <c r="K2957">
        <v>23</v>
      </c>
      <c r="L2957">
        <v>13</v>
      </c>
      <c r="M2957">
        <v>2.206</v>
      </c>
    </row>
    <row r="2958" spans="1:13" ht="15" customHeight="1">
      <c r="A2958" t="s">
        <v>36</v>
      </c>
      <c r="B2958">
        <f t="shared" si="184"/>
        <v>33.718167999999999</v>
      </c>
      <c r="C2958">
        <f t="shared" si="185"/>
        <v>-117.84703</v>
      </c>
      <c r="D2958">
        <f t="shared" si="186"/>
        <v>71</v>
      </c>
      <c r="E2958">
        <v>45.499000000000002</v>
      </c>
      <c r="F2958">
        <f t="shared" si="187"/>
        <v>25.500999999999998</v>
      </c>
      <c r="G2958">
        <v>60.3</v>
      </c>
      <c r="H2958">
        <v>3.1850000000000001</v>
      </c>
      <c r="I2958">
        <v>5.2859999999999996</v>
      </c>
      <c r="J2958">
        <v>11</v>
      </c>
      <c r="K2958">
        <v>58</v>
      </c>
      <c r="L2958">
        <v>32</v>
      </c>
      <c r="M2958" s="1">
        <v>9000000000</v>
      </c>
    </row>
    <row r="2959" spans="1:13" ht="15" customHeight="1">
      <c r="A2959" t="s">
        <v>36</v>
      </c>
      <c r="B2959">
        <f t="shared" si="184"/>
        <v>33.718167999999999</v>
      </c>
      <c r="C2959">
        <f t="shared" si="185"/>
        <v>-117.84703</v>
      </c>
      <c r="D2959">
        <f t="shared" si="186"/>
        <v>71</v>
      </c>
      <c r="E2959">
        <v>46.499000000000002</v>
      </c>
      <c r="F2959">
        <f t="shared" si="187"/>
        <v>24.500999999999998</v>
      </c>
      <c r="G2959">
        <v>63.732999999999997</v>
      </c>
      <c r="H2959">
        <v>3.0920000000000001</v>
      </c>
      <c r="I2959">
        <v>4.8559999999999999</v>
      </c>
      <c r="J2959">
        <v>4</v>
      </c>
      <c r="K2959">
        <v>41</v>
      </c>
      <c r="L2959">
        <v>23</v>
      </c>
      <c r="M2959">
        <v>4.0549999999999997</v>
      </c>
    </row>
    <row r="2960" spans="1:13" ht="15" customHeight="1">
      <c r="A2960" t="s">
        <v>36</v>
      </c>
      <c r="B2960">
        <f t="shared" si="184"/>
        <v>33.718167999999999</v>
      </c>
      <c r="C2960">
        <f t="shared" si="185"/>
        <v>-117.84703</v>
      </c>
      <c r="D2960">
        <f t="shared" si="186"/>
        <v>71</v>
      </c>
      <c r="E2960">
        <v>47.499000000000002</v>
      </c>
      <c r="F2960">
        <f t="shared" si="187"/>
        <v>23.500999999999998</v>
      </c>
      <c r="G2960">
        <v>35.133000000000003</v>
      </c>
      <c r="H2960">
        <v>1.7929999999999999</v>
      </c>
      <c r="I2960">
        <v>5.1189999999999998</v>
      </c>
      <c r="J2960">
        <v>3</v>
      </c>
      <c r="K2960">
        <v>34</v>
      </c>
      <c r="L2960">
        <v>19</v>
      </c>
      <c r="M2960">
        <v>2.1419999999999999</v>
      </c>
    </row>
    <row r="2961" spans="1:13" ht="15" customHeight="1">
      <c r="A2961" t="s">
        <v>36</v>
      </c>
      <c r="B2961">
        <f t="shared" si="184"/>
        <v>33.718167999999999</v>
      </c>
      <c r="C2961">
        <f t="shared" si="185"/>
        <v>-117.84703</v>
      </c>
      <c r="D2961">
        <f t="shared" si="186"/>
        <v>71</v>
      </c>
      <c r="E2961">
        <v>48.499000000000002</v>
      </c>
      <c r="F2961">
        <f t="shared" si="187"/>
        <v>22.500999999999998</v>
      </c>
      <c r="G2961">
        <v>33.417000000000002</v>
      </c>
      <c r="H2961">
        <v>1.34</v>
      </c>
      <c r="I2961">
        <v>4.016</v>
      </c>
      <c r="J2961">
        <v>4</v>
      </c>
      <c r="K2961">
        <v>21</v>
      </c>
      <c r="L2961">
        <v>11</v>
      </c>
      <c r="M2961">
        <v>2.0270000000000001</v>
      </c>
    </row>
    <row r="2962" spans="1:13" ht="15" customHeight="1">
      <c r="A2962" t="s">
        <v>36</v>
      </c>
      <c r="B2962">
        <f t="shared" si="184"/>
        <v>33.718167999999999</v>
      </c>
      <c r="C2962">
        <f t="shared" si="185"/>
        <v>-117.84703</v>
      </c>
      <c r="D2962">
        <f t="shared" si="186"/>
        <v>71</v>
      </c>
      <c r="E2962">
        <v>49.499000000000002</v>
      </c>
      <c r="F2962">
        <f t="shared" si="187"/>
        <v>21.500999999999998</v>
      </c>
      <c r="G2962">
        <v>39.4</v>
      </c>
      <c r="H2962">
        <v>1.4279999999999999</v>
      </c>
      <c r="I2962">
        <v>3.63</v>
      </c>
      <c r="J2962">
        <v>5</v>
      </c>
      <c r="K2962">
        <v>19</v>
      </c>
      <c r="L2962">
        <v>10</v>
      </c>
      <c r="M2962">
        <v>2.4220000000000002</v>
      </c>
    </row>
    <row r="2963" spans="1:13" ht="15" customHeight="1">
      <c r="A2963" t="s">
        <v>36</v>
      </c>
      <c r="B2963">
        <f t="shared" si="184"/>
        <v>33.718167999999999</v>
      </c>
      <c r="C2963">
        <f t="shared" si="185"/>
        <v>-117.84703</v>
      </c>
      <c r="D2963">
        <f t="shared" si="186"/>
        <v>71</v>
      </c>
      <c r="E2963">
        <v>50.499000000000002</v>
      </c>
      <c r="F2963">
        <f t="shared" si="187"/>
        <v>20.500999999999998</v>
      </c>
      <c r="G2963">
        <v>72.667000000000002</v>
      </c>
      <c r="H2963">
        <v>3.2370000000000001</v>
      </c>
      <c r="I2963">
        <v>4.4589999999999996</v>
      </c>
      <c r="J2963">
        <v>5</v>
      </c>
      <c r="K2963">
        <v>35</v>
      </c>
      <c r="L2963">
        <v>18</v>
      </c>
      <c r="M2963">
        <v>4.633</v>
      </c>
    </row>
    <row r="2964" spans="1:13" ht="15" customHeight="1">
      <c r="A2964" t="s">
        <v>36</v>
      </c>
      <c r="B2964">
        <f t="shared" si="184"/>
        <v>33.718167999999999</v>
      </c>
      <c r="C2964">
        <f t="shared" si="185"/>
        <v>-117.84703</v>
      </c>
      <c r="D2964">
        <f t="shared" si="186"/>
        <v>71</v>
      </c>
      <c r="E2964">
        <v>51.499000000000002</v>
      </c>
      <c r="F2964">
        <f t="shared" si="187"/>
        <v>19.500999999999998</v>
      </c>
      <c r="G2964">
        <v>60.582999999999998</v>
      </c>
      <c r="H2964">
        <v>2.718</v>
      </c>
      <c r="I2964">
        <v>4.492</v>
      </c>
      <c r="J2964">
        <v>4</v>
      </c>
      <c r="K2964">
        <v>39</v>
      </c>
      <c r="L2964">
        <v>20</v>
      </c>
      <c r="M2964">
        <v>3.8239999999999998</v>
      </c>
    </row>
    <row r="2965" spans="1:13" ht="15" customHeight="1">
      <c r="A2965" t="s">
        <v>36</v>
      </c>
      <c r="B2965">
        <f t="shared" si="184"/>
        <v>33.718167999999999</v>
      </c>
      <c r="C2965">
        <f t="shared" si="185"/>
        <v>-117.84703</v>
      </c>
      <c r="D2965">
        <f t="shared" si="186"/>
        <v>71</v>
      </c>
      <c r="E2965">
        <v>52.499000000000002</v>
      </c>
      <c r="F2965">
        <f t="shared" si="187"/>
        <v>18.500999999999998</v>
      </c>
      <c r="G2965">
        <v>81.557000000000002</v>
      </c>
      <c r="H2965">
        <v>3.1040000000000001</v>
      </c>
      <c r="I2965">
        <v>3.81</v>
      </c>
      <c r="J2965">
        <v>5</v>
      </c>
      <c r="K2965">
        <v>39</v>
      </c>
      <c r="L2965">
        <v>20</v>
      </c>
      <c r="M2965">
        <v>5.2169999999999996</v>
      </c>
    </row>
    <row r="2966" spans="1:13" ht="15" customHeight="1">
      <c r="A2966" t="s">
        <v>36</v>
      </c>
      <c r="B2966">
        <f t="shared" si="184"/>
        <v>33.718167999999999</v>
      </c>
      <c r="C2966">
        <f t="shared" si="185"/>
        <v>-117.84703</v>
      </c>
      <c r="D2966">
        <f t="shared" si="186"/>
        <v>71</v>
      </c>
      <c r="E2966">
        <v>53.499000000000002</v>
      </c>
      <c r="F2966">
        <f t="shared" si="187"/>
        <v>17.500999999999998</v>
      </c>
      <c r="G2966">
        <v>85.3</v>
      </c>
      <c r="H2966">
        <v>3.6150000000000002</v>
      </c>
      <c r="I2966">
        <v>4.2439999999999998</v>
      </c>
      <c r="J2966">
        <v>5</v>
      </c>
      <c r="K2966">
        <v>41</v>
      </c>
      <c r="L2966">
        <v>21</v>
      </c>
      <c r="M2966">
        <v>5.4610000000000003</v>
      </c>
    </row>
    <row r="2967" spans="1:13" ht="15" customHeight="1">
      <c r="A2967" t="s">
        <v>36</v>
      </c>
      <c r="B2967">
        <f t="shared" si="184"/>
        <v>33.718167999999999</v>
      </c>
      <c r="C2967">
        <f t="shared" si="185"/>
        <v>-117.84703</v>
      </c>
      <c r="D2967">
        <f t="shared" si="186"/>
        <v>71</v>
      </c>
      <c r="E2967">
        <v>54.499000000000002</v>
      </c>
      <c r="F2967">
        <f t="shared" si="187"/>
        <v>16.500999999999998</v>
      </c>
      <c r="G2967">
        <v>230.11699999999999</v>
      </c>
      <c r="H2967">
        <v>4.5629999999999997</v>
      </c>
      <c r="I2967">
        <v>1.984</v>
      </c>
      <c r="J2967">
        <v>8</v>
      </c>
      <c r="K2967">
        <v>55</v>
      </c>
      <c r="L2967">
        <v>28</v>
      </c>
      <c r="M2967" s="1">
        <v>9000000000</v>
      </c>
    </row>
    <row r="2968" spans="1:13" ht="15" customHeight="1">
      <c r="A2968" t="s">
        <v>36</v>
      </c>
      <c r="B2968">
        <f t="shared" si="184"/>
        <v>33.718167999999999</v>
      </c>
      <c r="C2968">
        <f t="shared" si="185"/>
        <v>-117.84703</v>
      </c>
      <c r="D2968">
        <f t="shared" si="186"/>
        <v>71</v>
      </c>
      <c r="E2968">
        <v>55.499000000000002</v>
      </c>
      <c r="F2968">
        <f t="shared" si="187"/>
        <v>15.500999999999998</v>
      </c>
      <c r="G2968">
        <v>95.183000000000007</v>
      </c>
      <c r="H2968">
        <v>3.367</v>
      </c>
      <c r="I2968">
        <v>3.5430000000000001</v>
      </c>
      <c r="J2968">
        <v>6</v>
      </c>
      <c r="K2968">
        <v>36</v>
      </c>
      <c r="L2968">
        <v>18</v>
      </c>
      <c r="M2968">
        <v>6.109</v>
      </c>
    </row>
    <row r="2969" spans="1:13" ht="15" customHeight="1">
      <c r="A2969" t="s">
        <v>36</v>
      </c>
      <c r="B2969">
        <f t="shared" si="184"/>
        <v>33.718167999999999</v>
      </c>
      <c r="C2969">
        <f t="shared" si="185"/>
        <v>-117.84703</v>
      </c>
      <c r="D2969">
        <f t="shared" si="186"/>
        <v>71</v>
      </c>
      <c r="E2969">
        <v>56.499000000000002</v>
      </c>
      <c r="F2969">
        <f t="shared" si="187"/>
        <v>14.500999999999998</v>
      </c>
      <c r="G2969">
        <v>73.75</v>
      </c>
      <c r="H2969">
        <v>3.5379999999999998</v>
      </c>
      <c r="I2969">
        <v>4.8049999999999997</v>
      </c>
      <c r="J2969">
        <v>11</v>
      </c>
      <c r="K2969">
        <v>71</v>
      </c>
      <c r="L2969">
        <v>36</v>
      </c>
      <c r="M2969" s="1">
        <v>9000000000</v>
      </c>
    </row>
    <row r="2970" spans="1:13" ht="15" customHeight="1">
      <c r="A2970" t="s">
        <v>36</v>
      </c>
      <c r="B2970">
        <f t="shared" si="184"/>
        <v>33.718167999999999</v>
      </c>
      <c r="C2970">
        <f t="shared" si="185"/>
        <v>-117.84703</v>
      </c>
      <c r="D2970">
        <f t="shared" si="186"/>
        <v>71</v>
      </c>
      <c r="E2970">
        <v>57.499000000000002</v>
      </c>
      <c r="F2970">
        <f t="shared" si="187"/>
        <v>13.500999999999998</v>
      </c>
      <c r="G2970">
        <v>79.45</v>
      </c>
      <c r="H2970">
        <v>3.7349999999999999</v>
      </c>
      <c r="I2970">
        <v>4.71</v>
      </c>
      <c r="J2970">
        <v>11</v>
      </c>
      <c r="K2970">
        <v>76</v>
      </c>
      <c r="L2970">
        <v>38</v>
      </c>
      <c r="M2970" s="1">
        <v>9000000000</v>
      </c>
    </row>
    <row r="2971" spans="1:13" ht="15" customHeight="1">
      <c r="A2971" t="s">
        <v>36</v>
      </c>
      <c r="B2971">
        <f t="shared" si="184"/>
        <v>33.718167999999999</v>
      </c>
      <c r="C2971">
        <f t="shared" si="185"/>
        <v>-117.84703</v>
      </c>
      <c r="D2971">
        <f t="shared" si="186"/>
        <v>71</v>
      </c>
      <c r="E2971">
        <v>58.499000000000002</v>
      </c>
      <c r="F2971">
        <f t="shared" si="187"/>
        <v>12.500999999999998</v>
      </c>
      <c r="G2971">
        <v>23.966999999999999</v>
      </c>
      <c r="H2971">
        <v>1.0880000000000001</v>
      </c>
      <c r="I2971">
        <v>4.57</v>
      </c>
      <c r="J2971">
        <v>3</v>
      </c>
      <c r="K2971">
        <v>23</v>
      </c>
      <c r="L2971">
        <v>12</v>
      </c>
      <c r="M2971">
        <v>1.3480000000000001</v>
      </c>
    </row>
    <row r="2972" spans="1:13" ht="15" customHeight="1">
      <c r="A2972" t="s">
        <v>36</v>
      </c>
      <c r="B2972">
        <f t="shared" si="184"/>
        <v>33.718167999999999</v>
      </c>
      <c r="C2972">
        <f t="shared" si="185"/>
        <v>-117.84703</v>
      </c>
      <c r="D2972">
        <f t="shared" si="186"/>
        <v>71</v>
      </c>
      <c r="E2972">
        <v>59.499000000000002</v>
      </c>
      <c r="F2972">
        <f t="shared" si="187"/>
        <v>11.500999999999998</v>
      </c>
      <c r="G2972">
        <v>20.05</v>
      </c>
      <c r="H2972">
        <v>0.66800000000000004</v>
      </c>
      <c r="I2972">
        <v>3.3580000000000001</v>
      </c>
      <c r="J2972">
        <v>5</v>
      </c>
      <c r="K2972">
        <v>10</v>
      </c>
      <c r="L2972">
        <v>5</v>
      </c>
      <c r="M2972">
        <v>1.083</v>
      </c>
    </row>
    <row r="2973" spans="1:13" ht="15" customHeight="1">
      <c r="A2973" t="s">
        <v>36</v>
      </c>
      <c r="B2973">
        <f t="shared" si="184"/>
        <v>33.718167999999999</v>
      </c>
      <c r="C2973">
        <f t="shared" si="185"/>
        <v>-117.84703</v>
      </c>
      <c r="D2973">
        <f t="shared" si="186"/>
        <v>71</v>
      </c>
      <c r="E2973">
        <v>60.499000000000002</v>
      </c>
      <c r="F2973">
        <f t="shared" si="187"/>
        <v>10.500999999999998</v>
      </c>
      <c r="G2973">
        <v>30.132999999999999</v>
      </c>
      <c r="H2973">
        <v>1.123</v>
      </c>
      <c r="I2973">
        <v>3.742</v>
      </c>
      <c r="J2973">
        <v>5</v>
      </c>
      <c r="K2973">
        <v>14</v>
      </c>
      <c r="L2973">
        <v>7</v>
      </c>
      <c r="M2973">
        <v>1.7529999999999999</v>
      </c>
    </row>
    <row r="2974" spans="1:13" ht="15" customHeight="1">
      <c r="A2974" t="s">
        <v>36</v>
      </c>
      <c r="B2974">
        <f t="shared" si="184"/>
        <v>33.718167999999999</v>
      </c>
      <c r="C2974">
        <f t="shared" si="185"/>
        <v>-117.84703</v>
      </c>
      <c r="D2974">
        <f t="shared" si="186"/>
        <v>71</v>
      </c>
      <c r="E2974">
        <v>61.499000000000002</v>
      </c>
      <c r="F2974">
        <f t="shared" si="187"/>
        <v>9.5009999999999977</v>
      </c>
      <c r="G2974">
        <v>58.267000000000003</v>
      </c>
      <c r="H2974">
        <v>3.2280000000000002</v>
      </c>
      <c r="I2974">
        <v>5.5519999999999996</v>
      </c>
      <c r="J2974">
        <v>3</v>
      </c>
      <c r="K2974">
        <v>56</v>
      </c>
      <c r="L2974">
        <v>28</v>
      </c>
      <c r="M2974">
        <v>3.6240000000000001</v>
      </c>
    </row>
    <row r="2975" spans="1:13" ht="15" customHeight="1">
      <c r="A2975" t="s">
        <v>36</v>
      </c>
      <c r="B2975">
        <f t="shared" si="184"/>
        <v>33.718167999999999</v>
      </c>
      <c r="C2975">
        <f t="shared" si="185"/>
        <v>-117.84703</v>
      </c>
      <c r="D2975">
        <f t="shared" si="186"/>
        <v>71</v>
      </c>
      <c r="E2975">
        <v>62.499000000000002</v>
      </c>
      <c r="F2975">
        <f t="shared" si="187"/>
        <v>8.5009999999999977</v>
      </c>
      <c r="G2975">
        <v>88.629000000000005</v>
      </c>
      <c r="H2975">
        <v>3.6960000000000002</v>
      </c>
      <c r="I2975">
        <v>4.1760000000000002</v>
      </c>
      <c r="J2975">
        <v>5</v>
      </c>
      <c r="K2975">
        <v>42</v>
      </c>
      <c r="L2975">
        <v>21</v>
      </c>
      <c r="M2975">
        <v>5.6440000000000001</v>
      </c>
    </row>
    <row r="2976" spans="1:13" ht="15" customHeight="1">
      <c r="A2976" t="s">
        <v>36</v>
      </c>
      <c r="B2976">
        <f t="shared" si="184"/>
        <v>33.718167999999999</v>
      </c>
      <c r="C2976">
        <f t="shared" si="185"/>
        <v>-117.84703</v>
      </c>
      <c r="D2976">
        <f t="shared" si="186"/>
        <v>71</v>
      </c>
      <c r="E2976">
        <v>63.499000000000002</v>
      </c>
      <c r="F2976">
        <f t="shared" si="187"/>
        <v>7.5009999999999977</v>
      </c>
      <c r="G2976">
        <v>20.317</v>
      </c>
      <c r="H2976">
        <v>0.83799999999999997</v>
      </c>
      <c r="I2976">
        <v>4.1500000000000004</v>
      </c>
      <c r="J2976">
        <v>4</v>
      </c>
      <c r="K2976">
        <v>13</v>
      </c>
      <c r="L2976">
        <v>7</v>
      </c>
      <c r="M2976">
        <v>1.0860000000000001</v>
      </c>
    </row>
    <row r="2977" spans="1:13" ht="15" customHeight="1">
      <c r="A2977" t="s">
        <v>36</v>
      </c>
      <c r="B2977">
        <f t="shared" si="184"/>
        <v>33.718167999999999</v>
      </c>
      <c r="C2977">
        <f t="shared" si="185"/>
        <v>-117.84703</v>
      </c>
      <c r="D2977">
        <f t="shared" si="186"/>
        <v>71</v>
      </c>
      <c r="E2977">
        <v>64.498999999999995</v>
      </c>
      <c r="F2977">
        <f t="shared" si="187"/>
        <v>6.5010000000000048</v>
      </c>
      <c r="G2977">
        <v>27.25</v>
      </c>
      <c r="H2977">
        <v>1.123</v>
      </c>
      <c r="I2977">
        <v>4.1349999999999998</v>
      </c>
      <c r="J2977">
        <v>4</v>
      </c>
      <c r="K2977">
        <v>17</v>
      </c>
      <c r="L2977">
        <v>9</v>
      </c>
      <c r="M2977">
        <v>1.5469999999999999</v>
      </c>
    </row>
    <row r="2978" spans="1:13" ht="15" customHeight="1">
      <c r="A2978" t="s">
        <v>36</v>
      </c>
      <c r="B2978">
        <f t="shared" si="184"/>
        <v>33.718167999999999</v>
      </c>
      <c r="C2978">
        <f t="shared" si="185"/>
        <v>-117.84703</v>
      </c>
      <c r="D2978">
        <f t="shared" si="186"/>
        <v>71</v>
      </c>
      <c r="E2978">
        <v>65.498999999999995</v>
      </c>
      <c r="F2978">
        <f t="shared" si="187"/>
        <v>5.5010000000000048</v>
      </c>
      <c r="G2978">
        <v>36.950000000000003</v>
      </c>
      <c r="H2978">
        <v>1.51</v>
      </c>
      <c r="I2978">
        <v>4.0979999999999999</v>
      </c>
      <c r="J2978">
        <v>4</v>
      </c>
      <c r="K2978">
        <v>24</v>
      </c>
      <c r="L2978">
        <v>12</v>
      </c>
      <c r="M2978">
        <v>2.1880000000000002</v>
      </c>
    </row>
    <row r="2979" spans="1:13" ht="15" customHeight="1">
      <c r="A2979" t="s">
        <v>36</v>
      </c>
      <c r="B2979">
        <f t="shared" si="184"/>
        <v>33.718167999999999</v>
      </c>
      <c r="C2979">
        <f t="shared" si="185"/>
        <v>-117.84703</v>
      </c>
      <c r="D2979">
        <f t="shared" si="186"/>
        <v>71</v>
      </c>
      <c r="E2979">
        <v>66.498999999999995</v>
      </c>
      <c r="F2979">
        <f t="shared" si="187"/>
        <v>4.5010000000000048</v>
      </c>
      <c r="G2979">
        <v>30.2</v>
      </c>
      <c r="H2979">
        <v>1.1379999999999999</v>
      </c>
      <c r="I2979">
        <v>3.782</v>
      </c>
      <c r="J2979">
        <v>5</v>
      </c>
      <c r="K2979">
        <v>14</v>
      </c>
      <c r="L2979">
        <v>7</v>
      </c>
      <c r="M2979">
        <v>1.734</v>
      </c>
    </row>
    <row r="2980" spans="1:13" ht="15" customHeight="1">
      <c r="A2980" t="s">
        <v>36</v>
      </c>
      <c r="B2980">
        <f t="shared" si="184"/>
        <v>33.718167999999999</v>
      </c>
      <c r="C2980">
        <f t="shared" si="185"/>
        <v>-117.84703</v>
      </c>
      <c r="D2980">
        <f t="shared" si="186"/>
        <v>71</v>
      </c>
      <c r="E2980">
        <v>67.498999999999995</v>
      </c>
      <c r="F2980">
        <f t="shared" si="187"/>
        <v>3.5010000000000048</v>
      </c>
      <c r="G2980">
        <v>44.832999999999998</v>
      </c>
      <c r="H2980">
        <v>2.093</v>
      </c>
      <c r="I2980">
        <v>4.673</v>
      </c>
      <c r="J2980">
        <v>4</v>
      </c>
      <c r="K2980">
        <v>29</v>
      </c>
      <c r="L2980">
        <v>15</v>
      </c>
      <c r="M2980">
        <v>2.71</v>
      </c>
    </row>
    <row r="2981" spans="1:13" ht="15" customHeight="1">
      <c r="A2981" t="s">
        <v>36</v>
      </c>
      <c r="B2981">
        <f t="shared" si="184"/>
        <v>33.718167999999999</v>
      </c>
      <c r="C2981">
        <f t="shared" si="185"/>
        <v>-117.84703</v>
      </c>
      <c r="D2981">
        <f t="shared" si="186"/>
        <v>71</v>
      </c>
      <c r="E2981">
        <v>68.498999999999995</v>
      </c>
      <c r="F2981">
        <f t="shared" si="187"/>
        <v>2.5010000000000048</v>
      </c>
      <c r="G2981">
        <v>95.216999999999999</v>
      </c>
      <c r="H2981">
        <v>5.1280000000000001</v>
      </c>
      <c r="I2981">
        <v>5.3920000000000003</v>
      </c>
      <c r="J2981">
        <v>11</v>
      </c>
      <c r="K2981">
        <v>91</v>
      </c>
      <c r="L2981">
        <v>46</v>
      </c>
      <c r="M2981" s="1">
        <v>9000000000</v>
      </c>
    </row>
    <row r="2982" spans="1:13" ht="15" customHeight="1">
      <c r="A2982" t="s">
        <v>36</v>
      </c>
      <c r="B2982">
        <f t="shared" si="184"/>
        <v>33.718167999999999</v>
      </c>
      <c r="C2982">
        <f t="shared" si="185"/>
        <v>-117.84703</v>
      </c>
      <c r="D2982">
        <f t="shared" si="186"/>
        <v>71</v>
      </c>
      <c r="E2982">
        <v>69.498999999999995</v>
      </c>
      <c r="F2982">
        <f t="shared" si="187"/>
        <v>1.5010000000000048</v>
      </c>
      <c r="G2982">
        <v>64.832999999999998</v>
      </c>
      <c r="H2982">
        <v>3.4169999999999998</v>
      </c>
      <c r="I2982">
        <v>5.2779999999999996</v>
      </c>
      <c r="J2982">
        <v>11</v>
      </c>
      <c r="K2982">
        <v>62</v>
      </c>
      <c r="L2982">
        <v>31</v>
      </c>
      <c r="M2982" s="1">
        <v>9000000000</v>
      </c>
    </row>
    <row r="2983" spans="1:13" ht="15" customHeight="1">
      <c r="A2983" t="s">
        <v>36</v>
      </c>
      <c r="B2983">
        <f t="shared" si="184"/>
        <v>33.718167999999999</v>
      </c>
      <c r="C2983">
        <f t="shared" si="185"/>
        <v>-117.84703</v>
      </c>
      <c r="D2983">
        <f t="shared" si="186"/>
        <v>71</v>
      </c>
      <c r="E2983">
        <v>70.498999999999995</v>
      </c>
      <c r="F2983">
        <f t="shared" si="187"/>
        <v>0.50100000000000477</v>
      </c>
      <c r="G2983">
        <v>39.9</v>
      </c>
      <c r="H2983">
        <v>1.58</v>
      </c>
      <c r="I2983">
        <v>3.97</v>
      </c>
      <c r="J2983">
        <v>5</v>
      </c>
      <c r="K2983">
        <v>19</v>
      </c>
      <c r="L2983">
        <v>10</v>
      </c>
      <c r="M2983">
        <v>2.363</v>
      </c>
    </row>
    <row r="2984" spans="1:13" ht="15" customHeight="1">
      <c r="A2984" t="s">
        <v>36</v>
      </c>
      <c r="B2984">
        <f t="shared" si="184"/>
        <v>33.718167999999999</v>
      </c>
      <c r="C2984">
        <f t="shared" si="185"/>
        <v>-117.84703</v>
      </c>
      <c r="D2984">
        <f t="shared" si="186"/>
        <v>71</v>
      </c>
      <c r="E2984">
        <v>71.498999999999995</v>
      </c>
      <c r="F2984">
        <f t="shared" si="187"/>
        <v>-0.49899999999999523</v>
      </c>
      <c r="G2984">
        <v>29.25</v>
      </c>
      <c r="H2984">
        <v>1.222</v>
      </c>
      <c r="I2984">
        <v>4.1859999999999999</v>
      </c>
      <c r="J2984">
        <v>4</v>
      </c>
      <c r="K2984">
        <v>19</v>
      </c>
      <c r="L2984">
        <v>10</v>
      </c>
      <c r="M2984">
        <v>1.651</v>
      </c>
    </row>
    <row r="2985" spans="1:13" ht="15" customHeight="1">
      <c r="A2985" t="s">
        <v>36</v>
      </c>
      <c r="B2985">
        <f t="shared" si="184"/>
        <v>33.718167999999999</v>
      </c>
      <c r="C2985">
        <f t="shared" si="185"/>
        <v>-117.84703</v>
      </c>
      <c r="D2985">
        <f t="shared" si="186"/>
        <v>71</v>
      </c>
      <c r="E2985">
        <v>72.498999999999995</v>
      </c>
      <c r="F2985">
        <f t="shared" si="187"/>
        <v>-1.4989999999999952</v>
      </c>
      <c r="G2985">
        <v>28.3</v>
      </c>
      <c r="H2985">
        <v>1.127</v>
      </c>
      <c r="I2985">
        <v>3.9889999999999999</v>
      </c>
      <c r="J2985">
        <v>4</v>
      </c>
      <c r="K2985">
        <v>18</v>
      </c>
      <c r="L2985">
        <v>9</v>
      </c>
      <c r="M2985">
        <v>1.585</v>
      </c>
    </row>
    <row r="2986" spans="1:13" ht="15" customHeight="1">
      <c r="A2986" t="s">
        <v>36</v>
      </c>
      <c r="B2986">
        <f t="shared" si="184"/>
        <v>33.718167999999999</v>
      </c>
      <c r="C2986">
        <f t="shared" si="185"/>
        <v>-117.84703</v>
      </c>
      <c r="D2986">
        <f t="shared" si="186"/>
        <v>71</v>
      </c>
      <c r="E2986">
        <v>73.498999999999995</v>
      </c>
      <c r="F2986">
        <f t="shared" si="187"/>
        <v>-2.4989999999999952</v>
      </c>
      <c r="G2986">
        <v>104.1</v>
      </c>
      <c r="H2986">
        <v>3.3450000000000002</v>
      </c>
      <c r="I2986">
        <v>3.2160000000000002</v>
      </c>
      <c r="J2986">
        <v>6</v>
      </c>
      <c r="K2986">
        <v>40</v>
      </c>
      <c r="L2986">
        <v>20</v>
      </c>
      <c r="M2986">
        <v>6.6319999999999997</v>
      </c>
    </row>
    <row r="2987" spans="1:13" ht="15" customHeight="1">
      <c r="A2987" t="s">
        <v>36</v>
      </c>
      <c r="B2987">
        <f t="shared" si="184"/>
        <v>33.718167999999999</v>
      </c>
      <c r="C2987">
        <f t="shared" si="185"/>
        <v>-117.84703</v>
      </c>
      <c r="D2987">
        <f t="shared" si="186"/>
        <v>71</v>
      </c>
      <c r="E2987">
        <v>74.498999999999995</v>
      </c>
      <c r="F2987">
        <f t="shared" si="187"/>
        <v>-3.4989999999999952</v>
      </c>
      <c r="G2987">
        <v>43.95</v>
      </c>
      <c r="H2987">
        <v>2.02</v>
      </c>
      <c r="I2987">
        <v>4.6029999999999998</v>
      </c>
      <c r="J2987">
        <v>4</v>
      </c>
      <c r="K2987">
        <v>28</v>
      </c>
      <c r="L2987">
        <v>14</v>
      </c>
      <c r="M2987">
        <v>2.6190000000000002</v>
      </c>
    </row>
    <row r="2988" spans="1:13" ht="15" customHeight="1">
      <c r="A2988" t="s">
        <v>36</v>
      </c>
      <c r="B2988">
        <f t="shared" si="184"/>
        <v>33.718167999999999</v>
      </c>
      <c r="C2988">
        <f t="shared" si="185"/>
        <v>-117.84703</v>
      </c>
      <c r="D2988">
        <f t="shared" si="186"/>
        <v>71</v>
      </c>
      <c r="E2988">
        <v>75.498999999999995</v>
      </c>
      <c r="F2988">
        <f t="shared" si="187"/>
        <v>-4.4989999999999952</v>
      </c>
      <c r="G2988">
        <v>23.266999999999999</v>
      </c>
      <c r="H2988">
        <v>0.73499999999999999</v>
      </c>
      <c r="I2988">
        <v>3.1659999999999999</v>
      </c>
      <c r="J2988">
        <v>5</v>
      </c>
      <c r="K2988">
        <v>11</v>
      </c>
      <c r="L2988">
        <v>6</v>
      </c>
      <c r="M2988">
        <v>1.2370000000000001</v>
      </c>
    </row>
    <row r="2989" spans="1:13" ht="15" customHeight="1">
      <c r="A2989" t="s">
        <v>36</v>
      </c>
      <c r="B2989">
        <f t="shared" si="184"/>
        <v>33.718167999999999</v>
      </c>
      <c r="C2989">
        <f t="shared" si="185"/>
        <v>-117.84703</v>
      </c>
      <c r="D2989">
        <f t="shared" si="186"/>
        <v>71</v>
      </c>
      <c r="E2989">
        <v>76.498999999999995</v>
      </c>
      <c r="F2989">
        <f t="shared" si="187"/>
        <v>-5.4989999999999952</v>
      </c>
      <c r="G2989">
        <v>29.2</v>
      </c>
      <c r="H2989">
        <v>1.0629999999999999</v>
      </c>
      <c r="I2989">
        <v>3.65</v>
      </c>
      <c r="J2989">
        <v>5</v>
      </c>
      <c r="K2989">
        <v>14</v>
      </c>
      <c r="L2989">
        <v>7</v>
      </c>
      <c r="M2989">
        <v>1.627</v>
      </c>
    </row>
    <row r="2990" spans="1:13" ht="15" customHeight="1">
      <c r="A2990" t="s">
        <v>36</v>
      </c>
      <c r="B2990">
        <f t="shared" si="184"/>
        <v>33.718167999999999</v>
      </c>
      <c r="C2990">
        <f t="shared" si="185"/>
        <v>-117.84703</v>
      </c>
      <c r="D2990">
        <f t="shared" si="186"/>
        <v>71</v>
      </c>
      <c r="E2990">
        <v>77.498999999999995</v>
      </c>
      <c r="F2990">
        <f t="shared" si="187"/>
        <v>-6.4989999999999952</v>
      </c>
      <c r="G2990">
        <v>29.433</v>
      </c>
      <c r="H2990">
        <v>0.96199999999999997</v>
      </c>
      <c r="I2990">
        <v>3.2730000000000001</v>
      </c>
      <c r="J2990">
        <v>5</v>
      </c>
      <c r="K2990">
        <v>14</v>
      </c>
      <c r="L2990">
        <v>7</v>
      </c>
      <c r="M2990">
        <v>1.64</v>
      </c>
    </row>
    <row r="2991" spans="1:13" ht="15" customHeight="1">
      <c r="A2991" t="s">
        <v>36</v>
      </c>
      <c r="B2991">
        <f t="shared" si="184"/>
        <v>33.718167999999999</v>
      </c>
      <c r="C2991">
        <f t="shared" si="185"/>
        <v>-117.84703</v>
      </c>
      <c r="D2991">
        <f t="shared" si="186"/>
        <v>71</v>
      </c>
      <c r="E2991">
        <v>78.498999999999995</v>
      </c>
      <c r="F2991">
        <f t="shared" si="187"/>
        <v>-7.4989999999999952</v>
      </c>
      <c r="G2991">
        <v>107.68300000000001</v>
      </c>
      <c r="H2991">
        <v>1.7829999999999999</v>
      </c>
      <c r="I2991">
        <v>1.6559999999999999</v>
      </c>
      <c r="J2991">
        <v>7</v>
      </c>
      <c r="K2991">
        <v>34</v>
      </c>
      <c r="L2991">
        <v>17</v>
      </c>
      <c r="M2991" s="1">
        <v>9000000000</v>
      </c>
    </row>
    <row r="2992" spans="1:13" ht="15" customHeight="1">
      <c r="A2992" t="s">
        <v>36</v>
      </c>
      <c r="B2992">
        <f t="shared" si="184"/>
        <v>33.718167999999999</v>
      </c>
      <c r="C2992">
        <f t="shared" si="185"/>
        <v>-117.84703</v>
      </c>
      <c r="D2992">
        <f t="shared" si="186"/>
        <v>71</v>
      </c>
      <c r="E2992">
        <v>79.498999999999995</v>
      </c>
      <c r="F2992">
        <f t="shared" si="187"/>
        <v>-8.4989999999999952</v>
      </c>
      <c r="G2992">
        <v>157.44999999999999</v>
      </c>
      <c r="H2992">
        <v>3.5979999999999999</v>
      </c>
      <c r="I2992">
        <v>2.286</v>
      </c>
      <c r="J2992">
        <v>7</v>
      </c>
      <c r="K2992">
        <v>50</v>
      </c>
      <c r="L2992">
        <v>25</v>
      </c>
      <c r="M2992" s="1">
        <v>9000000000</v>
      </c>
    </row>
    <row r="2993" spans="1:13" ht="15" customHeight="1">
      <c r="A2993" t="s">
        <v>36</v>
      </c>
      <c r="B2993">
        <f t="shared" si="184"/>
        <v>33.718167999999999</v>
      </c>
      <c r="C2993">
        <f t="shared" si="185"/>
        <v>-117.84703</v>
      </c>
      <c r="D2993">
        <f t="shared" si="186"/>
        <v>71</v>
      </c>
      <c r="E2993">
        <v>80.498999999999995</v>
      </c>
      <c r="F2993">
        <f t="shared" si="187"/>
        <v>-9.4989999999999952</v>
      </c>
      <c r="G2993">
        <v>175.417</v>
      </c>
      <c r="H2993">
        <v>2.91</v>
      </c>
      <c r="I2993">
        <v>1.66</v>
      </c>
      <c r="J2993">
        <v>8</v>
      </c>
      <c r="K2993">
        <v>42</v>
      </c>
      <c r="L2993">
        <v>21</v>
      </c>
      <c r="M2993" s="1">
        <v>9000000000</v>
      </c>
    </row>
    <row r="2994" spans="1:13" ht="15" customHeight="1">
      <c r="A2994" t="s">
        <v>36</v>
      </c>
      <c r="B2994">
        <f t="shared" si="184"/>
        <v>33.718167999999999</v>
      </c>
      <c r="C2994">
        <f t="shared" si="185"/>
        <v>-117.84703</v>
      </c>
      <c r="D2994">
        <f t="shared" si="186"/>
        <v>71</v>
      </c>
      <c r="E2994">
        <v>81.498999999999995</v>
      </c>
      <c r="F2994">
        <f t="shared" si="187"/>
        <v>-10.498999999999995</v>
      </c>
      <c r="G2994">
        <v>216.93299999999999</v>
      </c>
      <c r="H2994">
        <v>2.7</v>
      </c>
      <c r="I2994">
        <v>1.2450000000000001</v>
      </c>
      <c r="J2994">
        <v>9</v>
      </c>
      <c r="K2994">
        <v>42</v>
      </c>
      <c r="L2994">
        <v>21</v>
      </c>
      <c r="M2994" s="1">
        <v>9000000000</v>
      </c>
    </row>
    <row r="2995" spans="1:13" ht="15" customHeight="1">
      <c r="A2995" t="s">
        <v>36</v>
      </c>
      <c r="B2995">
        <f t="shared" si="184"/>
        <v>33.718167999999999</v>
      </c>
      <c r="C2995">
        <f t="shared" si="185"/>
        <v>-117.84703</v>
      </c>
      <c r="D2995">
        <f t="shared" si="186"/>
        <v>71</v>
      </c>
      <c r="E2995">
        <v>82.498999999999995</v>
      </c>
      <c r="F2995">
        <f t="shared" si="187"/>
        <v>-11.498999999999995</v>
      </c>
      <c r="G2995">
        <v>251.267</v>
      </c>
      <c r="H2995">
        <v>2.7549999999999999</v>
      </c>
      <c r="I2995">
        <v>1.097</v>
      </c>
      <c r="J2995">
        <v>9</v>
      </c>
      <c r="K2995">
        <v>48</v>
      </c>
      <c r="L2995">
        <v>24</v>
      </c>
      <c r="M2995" s="1">
        <v>9000000000</v>
      </c>
    </row>
    <row r="2996" spans="1:13" ht="15" customHeight="1">
      <c r="A2996" t="s">
        <v>36</v>
      </c>
      <c r="B2996">
        <f t="shared" si="184"/>
        <v>33.718167999999999</v>
      </c>
      <c r="C2996">
        <f t="shared" si="185"/>
        <v>-117.84703</v>
      </c>
      <c r="D2996">
        <f t="shared" si="186"/>
        <v>71</v>
      </c>
      <c r="E2996">
        <v>83.498999999999995</v>
      </c>
      <c r="F2996">
        <f t="shared" si="187"/>
        <v>-12.498999999999995</v>
      </c>
      <c r="G2996">
        <v>57.371000000000002</v>
      </c>
      <c r="H2996">
        <v>1.8460000000000001</v>
      </c>
      <c r="I2996">
        <v>3.2229999999999999</v>
      </c>
      <c r="J2996">
        <v>6</v>
      </c>
      <c r="K2996">
        <v>22</v>
      </c>
      <c r="L2996">
        <v>11</v>
      </c>
      <c r="M2996">
        <v>3.4740000000000002</v>
      </c>
    </row>
    <row r="2997" spans="1:13" ht="15" customHeight="1">
      <c r="A2997" t="s">
        <v>36</v>
      </c>
      <c r="B2997">
        <f t="shared" si="184"/>
        <v>33.718167999999999</v>
      </c>
      <c r="C2997">
        <f t="shared" si="185"/>
        <v>-117.84703</v>
      </c>
      <c r="D2997">
        <f t="shared" si="186"/>
        <v>71</v>
      </c>
      <c r="E2997">
        <v>84.498999999999995</v>
      </c>
      <c r="F2997">
        <f t="shared" si="187"/>
        <v>-13.498999999999995</v>
      </c>
      <c r="G2997">
        <v>30.6</v>
      </c>
      <c r="H2997">
        <v>1.03</v>
      </c>
      <c r="I2997">
        <v>3.3730000000000002</v>
      </c>
      <c r="J2997">
        <v>5</v>
      </c>
      <c r="K2997">
        <v>15</v>
      </c>
      <c r="L2997">
        <v>8</v>
      </c>
      <c r="M2997">
        <v>1.6870000000000001</v>
      </c>
    </row>
    <row r="2998" spans="1:13" ht="15" customHeight="1">
      <c r="A2998" t="s">
        <v>36</v>
      </c>
      <c r="B2998">
        <f t="shared" si="184"/>
        <v>33.718167999999999</v>
      </c>
      <c r="C2998">
        <f t="shared" si="185"/>
        <v>-117.84703</v>
      </c>
      <c r="D2998">
        <f t="shared" si="186"/>
        <v>71</v>
      </c>
      <c r="E2998">
        <v>85.498999999999995</v>
      </c>
      <c r="F2998">
        <f t="shared" si="187"/>
        <v>-14.498999999999995</v>
      </c>
      <c r="G2998">
        <v>24.8</v>
      </c>
      <c r="H2998">
        <v>0.745</v>
      </c>
      <c r="I2998">
        <v>3.012</v>
      </c>
      <c r="J2998">
        <v>5</v>
      </c>
      <c r="K2998">
        <v>12</v>
      </c>
      <c r="L2998">
        <v>6</v>
      </c>
      <c r="M2998">
        <v>1.296</v>
      </c>
    </row>
    <row r="2999" spans="1:13" ht="15" customHeight="1">
      <c r="A2999" t="s">
        <v>36</v>
      </c>
      <c r="B2999">
        <f t="shared" si="184"/>
        <v>33.718167999999999</v>
      </c>
      <c r="C2999">
        <f t="shared" si="185"/>
        <v>-117.84703</v>
      </c>
      <c r="D2999">
        <f t="shared" si="186"/>
        <v>71</v>
      </c>
      <c r="E2999">
        <v>86.498999999999995</v>
      </c>
      <c r="F2999">
        <f t="shared" si="187"/>
        <v>-15.498999999999995</v>
      </c>
      <c r="G2999">
        <v>25.45</v>
      </c>
      <c r="H2999">
        <v>0.72299999999999998</v>
      </c>
      <c r="I2999">
        <v>2.8460000000000001</v>
      </c>
      <c r="J2999">
        <v>5</v>
      </c>
      <c r="K2999">
        <v>12</v>
      </c>
      <c r="L2999">
        <v>6</v>
      </c>
      <c r="M2999">
        <v>1.3380000000000001</v>
      </c>
    </row>
    <row r="3000" spans="1:13" ht="15" customHeight="1">
      <c r="A3000" t="s">
        <v>36</v>
      </c>
      <c r="B3000">
        <f t="shared" si="184"/>
        <v>33.718167999999999</v>
      </c>
      <c r="C3000">
        <f t="shared" si="185"/>
        <v>-117.84703</v>
      </c>
      <c r="D3000">
        <f t="shared" si="186"/>
        <v>71</v>
      </c>
      <c r="E3000">
        <v>87.498999999999995</v>
      </c>
      <c r="F3000">
        <f t="shared" si="187"/>
        <v>-16.498999999999995</v>
      </c>
      <c r="G3000">
        <v>27.266999999999999</v>
      </c>
      <c r="H3000">
        <v>0.72199999999999998</v>
      </c>
      <c r="I3000">
        <v>2.645</v>
      </c>
      <c r="J3000">
        <v>6</v>
      </c>
      <c r="K3000">
        <v>10</v>
      </c>
      <c r="L3000">
        <v>5</v>
      </c>
      <c r="M3000">
        <v>1.458</v>
      </c>
    </row>
    <row r="3001" spans="1:13" ht="15" customHeight="1">
      <c r="A3001" t="s">
        <v>36</v>
      </c>
      <c r="B3001">
        <f t="shared" si="184"/>
        <v>33.718167999999999</v>
      </c>
      <c r="C3001">
        <f t="shared" si="185"/>
        <v>-117.84703</v>
      </c>
      <c r="D3001">
        <f t="shared" si="186"/>
        <v>71</v>
      </c>
      <c r="E3001">
        <v>88.498999999999995</v>
      </c>
      <c r="F3001">
        <f t="shared" si="187"/>
        <v>-17.498999999999995</v>
      </c>
      <c r="G3001">
        <v>31.167000000000002</v>
      </c>
      <c r="H3001">
        <v>0.95</v>
      </c>
      <c r="I3001">
        <v>3.0430000000000001</v>
      </c>
      <c r="J3001">
        <v>5</v>
      </c>
      <c r="K3001">
        <v>15</v>
      </c>
      <c r="L3001">
        <v>8</v>
      </c>
      <c r="M3001">
        <v>1.716</v>
      </c>
    </row>
    <row r="3002" spans="1:13" ht="15" customHeight="1">
      <c r="A3002" t="s">
        <v>36</v>
      </c>
      <c r="B3002">
        <f t="shared" si="184"/>
        <v>33.718167999999999</v>
      </c>
      <c r="C3002">
        <f t="shared" si="185"/>
        <v>-117.84703</v>
      </c>
      <c r="D3002">
        <f t="shared" si="186"/>
        <v>71</v>
      </c>
      <c r="E3002">
        <v>89.498999999999995</v>
      </c>
      <c r="F3002">
        <f t="shared" si="187"/>
        <v>-18.498999999999995</v>
      </c>
      <c r="G3002">
        <v>28.55</v>
      </c>
      <c r="H3002">
        <v>0.995</v>
      </c>
      <c r="I3002">
        <v>3.4729999999999999</v>
      </c>
      <c r="J3002">
        <v>5</v>
      </c>
      <c r="K3002">
        <v>14</v>
      </c>
      <c r="L3002">
        <v>7</v>
      </c>
      <c r="M3002">
        <v>1.5409999999999999</v>
      </c>
    </row>
    <row r="3003" spans="1:13" ht="15" customHeight="1">
      <c r="A3003" t="s">
        <v>36</v>
      </c>
      <c r="B3003">
        <f t="shared" si="184"/>
        <v>33.718167999999999</v>
      </c>
      <c r="C3003">
        <f t="shared" si="185"/>
        <v>-117.84703</v>
      </c>
      <c r="D3003">
        <f t="shared" si="186"/>
        <v>71</v>
      </c>
      <c r="E3003">
        <v>90.498999999999995</v>
      </c>
      <c r="F3003">
        <f t="shared" si="187"/>
        <v>-19.498999999999995</v>
      </c>
      <c r="G3003">
        <v>29.433</v>
      </c>
      <c r="H3003">
        <v>1.097</v>
      </c>
      <c r="I3003">
        <v>3.7010000000000001</v>
      </c>
      <c r="J3003">
        <v>5</v>
      </c>
      <c r="K3003">
        <v>14</v>
      </c>
      <c r="L3003">
        <v>7</v>
      </c>
      <c r="M3003">
        <v>1.6020000000000001</v>
      </c>
    </row>
    <row r="3004" spans="1:13" ht="15" customHeight="1">
      <c r="A3004" t="s">
        <v>36</v>
      </c>
      <c r="B3004">
        <f t="shared" si="184"/>
        <v>33.718167999999999</v>
      </c>
      <c r="C3004">
        <f t="shared" si="185"/>
        <v>-117.84703</v>
      </c>
      <c r="D3004">
        <f t="shared" si="186"/>
        <v>71</v>
      </c>
      <c r="E3004">
        <v>91.498999999999995</v>
      </c>
      <c r="F3004">
        <f t="shared" si="187"/>
        <v>-20.498999999999995</v>
      </c>
      <c r="G3004">
        <v>104.43300000000001</v>
      </c>
      <c r="H3004">
        <v>2.87</v>
      </c>
      <c r="I3004">
        <v>2.7469999999999999</v>
      </c>
      <c r="J3004">
        <v>6</v>
      </c>
      <c r="K3004">
        <v>40</v>
      </c>
      <c r="L3004">
        <v>20</v>
      </c>
      <c r="M3004">
        <v>6.5880000000000001</v>
      </c>
    </row>
    <row r="3005" spans="1:13" ht="15" customHeight="1">
      <c r="A3005" t="s">
        <v>36</v>
      </c>
      <c r="B3005">
        <f t="shared" si="184"/>
        <v>33.718167999999999</v>
      </c>
      <c r="C3005">
        <f t="shared" si="185"/>
        <v>-117.84703</v>
      </c>
      <c r="D3005">
        <f t="shared" si="186"/>
        <v>71</v>
      </c>
      <c r="E3005">
        <v>92.498999999999995</v>
      </c>
      <c r="F3005">
        <f t="shared" si="187"/>
        <v>-21.498999999999995</v>
      </c>
      <c r="G3005">
        <v>47.75</v>
      </c>
      <c r="H3005">
        <v>2.738</v>
      </c>
      <c r="I3005">
        <v>5.7430000000000003</v>
      </c>
      <c r="J3005">
        <v>3</v>
      </c>
      <c r="K3005">
        <v>46</v>
      </c>
      <c r="L3005">
        <v>23</v>
      </c>
      <c r="M3005">
        <v>2.7970000000000002</v>
      </c>
    </row>
    <row r="3006" spans="1:13" ht="15" customHeight="1">
      <c r="A3006" t="s">
        <v>36</v>
      </c>
      <c r="B3006">
        <f t="shared" si="184"/>
        <v>33.718167999999999</v>
      </c>
      <c r="C3006">
        <f t="shared" si="185"/>
        <v>-117.84703</v>
      </c>
      <c r="D3006">
        <f t="shared" si="186"/>
        <v>71</v>
      </c>
      <c r="E3006">
        <v>93.498999999999995</v>
      </c>
      <c r="F3006">
        <f t="shared" si="187"/>
        <v>-22.498999999999995</v>
      </c>
      <c r="G3006">
        <v>27.3</v>
      </c>
      <c r="H3006">
        <v>0.75700000000000001</v>
      </c>
      <c r="I3006">
        <v>2.7730000000000001</v>
      </c>
      <c r="J3006">
        <v>5</v>
      </c>
      <c r="K3006">
        <v>13</v>
      </c>
      <c r="L3006">
        <v>7</v>
      </c>
      <c r="M3006">
        <v>1.4339999999999999</v>
      </c>
    </row>
    <row r="3007" spans="1:13" ht="15" customHeight="1">
      <c r="A3007" t="s">
        <v>36</v>
      </c>
      <c r="B3007">
        <f t="shared" si="184"/>
        <v>33.718167999999999</v>
      </c>
      <c r="C3007">
        <f t="shared" si="185"/>
        <v>-117.84703</v>
      </c>
      <c r="D3007">
        <f t="shared" si="186"/>
        <v>71</v>
      </c>
      <c r="E3007">
        <v>94.498999999999995</v>
      </c>
      <c r="F3007">
        <f t="shared" si="187"/>
        <v>-23.498999999999995</v>
      </c>
      <c r="G3007">
        <v>31.266999999999999</v>
      </c>
      <c r="H3007">
        <v>1.248</v>
      </c>
      <c r="I3007">
        <v>3.9929999999999999</v>
      </c>
      <c r="J3007">
        <v>4</v>
      </c>
      <c r="K3007">
        <v>20</v>
      </c>
      <c r="L3007">
        <v>10</v>
      </c>
      <c r="M3007">
        <v>1.6950000000000001</v>
      </c>
    </row>
    <row r="3008" spans="1:13" ht="15" customHeight="1">
      <c r="A3008" t="s">
        <v>36</v>
      </c>
      <c r="B3008">
        <f t="shared" si="184"/>
        <v>33.718167999999999</v>
      </c>
      <c r="C3008">
        <f t="shared" si="185"/>
        <v>-117.84703</v>
      </c>
      <c r="D3008">
        <f t="shared" si="186"/>
        <v>71</v>
      </c>
      <c r="E3008">
        <v>95.498999999999995</v>
      </c>
      <c r="F3008">
        <f t="shared" si="187"/>
        <v>-24.498999999999995</v>
      </c>
      <c r="G3008">
        <v>28.183</v>
      </c>
      <c r="H3008">
        <v>0.85499999999999998</v>
      </c>
      <c r="I3008">
        <v>3.028</v>
      </c>
      <c r="J3008">
        <v>5</v>
      </c>
      <c r="K3008">
        <v>14</v>
      </c>
      <c r="L3008">
        <v>7</v>
      </c>
      <c r="M3008">
        <v>1.488</v>
      </c>
    </row>
    <row r="3009" spans="1:13" ht="15" customHeight="1">
      <c r="A3009" t="s">
        <v>36</v>
      </c>
      <c r="B3009">
        <f t="shared" si="184"/>
        <v>33.718167999999999</v>
      </c>
      <c r="C3009">
        <f t="shared" si="185"/>
        <v>-117.84703</v>
      </c>
      <c r="D3009">
        <f t="shared" si="186"/>
        <v>71</v>
      </c>
      <c r="E3009">
        <v>96.498999999999995</v>
      </c>
      <c r="F3009">
        <f t="shared" si="187"/>
        <v>-25.498999999999995</v>
      </c>
      <c r="G3009">
        <v>30.382999999999999</v>
      </c>
      <c r="H3009">
        <v>0.96499999999999997</v>
      </c>
      <c r="I3009">
        <v>3.16</v>
      </c>
      <c r="J3009">
        <v>5</v>
      </c>
      <c r="K3009">
        <v>15</v>
      </c>
      <c r="L3009">
        <v>8</v>
      </c>
      <c r="M3009">
        <v>1.637</v>
      </c>
    </row>
    <row r="3010" spans="1:13" ht="15" customHeight="1">
      <c r="A3010" t="s">
        <v>36</v>
      </c>
      <c r="B3010">
        <f t="shared" ref="B3010:B3073" si="188">VLOOKUP(A3010,XYdata,3,FALSE)</f>
        <v>33.718167999999999</v>
      </c>
      <c r="C3010">
        <f t="shared" ref="C3010:C3073" si="189">VLOOKUP(A3010,XYdata,2,FALSE)</f>
        <v>-117.84703</v>
      </c>
      <c r="D3010">
        <f t="shared" ref="D3010:D3073" si="190">VLOOKUP(A3010,Elevation,2,FALSE)</f>
        <v>71</v>
      </c>
      <c r="E3010">
        <v>97.498999999999995</v>
      </c>
      <c r="F3010">
        <f t="shared" si="187"/>
        <v>-26.498999999999995</v>
      </c>
      <c r="G3010">
        <v>30.6</v>
      </c>
      <c r="H3010">
        <v>1.052</v>
      </c>
      <c r="I3010">
        <v>3.4180000000000001</v>
      </c>
      <c r="J3010">
        <v>5</v>
      </c>
      <c r="K3010">
        <v>15</v>
      </c>
      <c r="L3010">
        <v>8</v>
      </c>
      <c r="M3010">
        <v>1.649</v>
      </c>
    </row>
    <row r="3011" spans="1:13" ht="15" customHeight="1">
      <c r="A3011" t="s">
        <v>36</v>
      </c>
      <c r="B3011">
        <f t="shared" si="188"/>
        <v>33.718167999999999</v>
      </c>
      <c r="C3011">
        <f t="shared" si="189"/>
        <v>-117.84703</v>
      </c>
      <c r="D3011">
        <f t="shared" si="190"/>
        <v>71</v>
      </c>
      <c r="E3011">
        <v>98.498999999999995</v>
      </c>
      <c r="F3011">
        <f t="shared" ref="F3011:F3074" si="191">D3011-E3011</f>
        <v>-27.498999999999995</v>
      </c>
      <c r="G3011">
        <v>32.049999999999997</v>
      </c>
      <c r="H3011">
        <v>1.147</v>
      </c>
      <c r="I3011">
        <v>3.552</v>
      </c>
      <c r="J3011">
        <v>5</v>
      </c>
      <c r="K3011">
        <v>15</v>
      </c>
      <c r="L3011">
        <v>8</v>
      </c>
      <c r="M3011">
        <v>1.746</v>
      </c>
    </row>
    <row r="3012" spans="1:13" ht="15" customHeight="1">
      <c r="A3012" t="s">
        <v>36</v>
      </c>
      <c r="B3012">
        <f t="shared" si="188"/>
        <v>33.718167999999999</v>
      </c>
      <c r="C3012">
        <f t="shared" si="189"/>
        <v>-117.84703</v>
      </c>
      <c r="D3012">
        <f t="shared" si="190"/>
        <v>71</v>
      </c>
      <c r="E3012">
        <v>99.498999999999995</v>
      </c>
      <c r="F3012">
        <f t="shared" si="191"/>
        <v>-28.498999999999995</v>
      </c>
      <c r="G3012">
        <v>23.783000000000001</v>
      </c>
      <c r="H3012">
        <v>0.89</v>
      </c>
      <c r="I3012">
        <v>3.625</v>
      </c>
      <c r="J3012">
        <v>5</v>
      </c>
      <c r="K3012">
        <v>12</v>
      </c>
      <c r="L3012">
        <v>6</v>
      </c>
      <c r="M3012">
        <v>1.226</v>
      </c>
    </row>
    <row r="3013" spans="1:13" ht="15" customHeight="1">
      <c r="A3013" t="s">
        <v>36</v>
      </c>
      <c r="B3013">
        <f t="shared" si="188"/>
        <v>33.718167999999999</v>
      </c>
      <c r="C3013">
        <f t="shared" si="189"/>
        <v>-117.84703</v>
      </c>
      <c r="D3013">
        <f t="shared" si="190"/>
        <v>71</v>
      </c>
      <c r="E3013">
        <v>100.499</v>
      </c>
      <c r="F3013">
        <f t="shared" si="191"/>
        <v>-29.498999999999995</v>
      </c>
      <c r="G3013">
        <v>19.317</v>
      </c>
      <c r="H3013">
        <v>0.66200000000000003</v>
      </c>
      <c r="I3013">
        <v>3.2570000000000001</v>
      </c>
      <c r="J3013">
        <v>5</v>
      </c>
      <c r="K3013">
        <v>10</v>
      </c>
      <c r="L3013">
        <v>5</v>
      </c>
      <c r="M3013">
        <v>0.94</v>
      </c>
    </row>
    <row r="3014" spans="1:13" ht="15" customHeight="1">
      <c r="A3014" t="s">
        <v>36</v>
      </c>
      <c r="B3014">
        <f t="shared" si="188"/>
        <v>33.718167999999999</v>
      </c>
      <c r="C3014">
        <f t="shared" si="189"/>
        <v>-117.84703</v>
      </c>
      <c r="D3014">
        <f t="shared" si="190"/>
        <v>71</v>
      </c>
      <c r="E3014">
        <v>101.499</v>
      </c>
      <c r="F3014">
        <f t="shared" si="191"/>
        <v>-30.498999999999995</v>
      </c>
      <c r="G3014">
        <v>29.85</v>
      </c>
      <c r="H3014">
        <v>1.1679999999999999</v>
      </c>
      <c r="I3014">
        <v>3.8290000000000002</v>
      </c>
      <c r="J3014">
        <v>5</v>
      </c>
      <c r="K3014">
        <v>15</v>
      </c>
      <c r="L3014">
        <v>8</v>
      </c>
      <c r="M3014">
        <v>1.6160000000000001</v>
      </c>
    </row>
    <row r="3015" spans="1:13" ht="15" customHeight="1">
      <c r="A3015" t="s">
        <v>36</v>
      </c>
      <c r="B3015">
        <f t="shared" si="188"/>
        <v>33.718167999999999</v>
      </c>
      <c r="C3015">
        <f t="shared" si="189"/>
        <v>-117.84703</v>
      </c>
      <c r="D3015">
        <f t="shared" si="190"/>
        <v>71</v>
      </c>
      <c r="E3015">
        <v>102.499</v>
      </c>
      <c r="F3015">
        <f t="shared" si="191"/>
        <v>-31.498999999999995</v>
      </c>
      <c r="G3015">
        <v>23.683</v>
      </c>
      <c r="H3015">
        <v>0.79500000000000004</v>
      </c>
      <c r="I3015">
        <v>3.2850000000000001</v>
      </c>
      <c r="J3015">
        <v>5</v>
      </c>
      <c r="K3015">
        <v>12</v>
      </c>
      <c r="L3015">
        <v>6</v>
      </c>
      <c r="M3015">
        <v>1.19</v>
      </c>
    </row>
    <row r="3016" spans="1:13" ht="15" customHeight="1">
      <c r="A3016" t="s">
        <v>36</v>
      </c>
      <c r="B3016">
        <f t="shared" si="188"/>
        <v>33.718167999999999</v>
      </c>
      <c r="C3016">
        <f t="shared" si="189"/>
        <v>-117.84703</v>
      </c>
      <c r="D3016">
        <f t="shared" si="190"/>
        <v>71</v>
      </c>
      <c r="E3016">
        <v>103.499</v>
      </c>
      <c r="F3016">
        <f t="shared" si="191"/>
        <v>-32.498999999999995</v>
      </c>
      <c r="G3016">
        <v>35.700000000000003</v>
      </c>
      <c r="H3016">
        <v>1.355</v>
      </c>
      <c r="I3016">
        <v>3.6739999999999999</v>
      </c>
      <c r="J3016">
        <v>5</v>
      </c>
      <c r="K3016">
        <v>18</v>
      </c>
      <c r="L3016">
        <v>9</v>
      </c>
      <c r="M3016">
        <v>2.032</v>
      </c>
    </row>
    <row r="3017" spans="1:13" ht="15" customHeight="1">
      <c r="A3017" t="s">
        <v>36</v>
      </c>
      <c r="B3017">
        <f t="shared" si="188"/>
        <v>33.718167999999999</v>
      </c>
      <c r="C3017">
        <f t="shared" si="189"/>
        <v>-117.84703</v>
      </c>
      <c r="D3017">
        <f t="shared" si="190"/>
        <v>71</v>
      </c>
      <c r="E3017">
        <v>104.499</v>
      </c>
      <c r="F3017">
        <f t="shared" si="191"/>
        <v>-33.498999999999995</v>
      </c>
      <c r="G3017">
        <v>56.529000000000003</v>
      </c>
      <c r="H3017">
        <v>2.903</v>
      </c>
      <c r="I3017">
        <v>5.09</v>
      </c>
      <c r="J3017">
        <v>4</v>
      </c>
      <c r="K3017">
        <v>36</v>
      </c>
      <c r="L3017">
        <v>18</v>
      </c>
      <c r="M3017">
        <v>3.37</v>
      </c>
    </row>
    <row r="3018" spans="1:13" ht="15" customHeight="1">
      <c r="A3018" t="s">
        <v>36</v>
      </c>
      <c r="B3018">
        <f t="shared" si="188"/>
        <v>33.718167999999999</v>
      </c>
      <c r="C3018">
        <f t="shared" si="189"/>
        <v>-117.84703</v>
      </c>
      <c r="D3018">
        <f t="shared" si="190"/>
        <v>71</v>
      </c>
      <c r="E3018">
        <v>105.499</v>
      </c>
      <c r="F3018">
        <f t="shared" si="191"/>
        <v>-34.498999999999995</v>
      </c>
      <c r="G3018">
        <v>27.95</v>
      </c>
      <c r="H3018">
        <v>0.94799999999999995</v>
      </c>
      <c r="I3018">
        <v>3.2890000000000001</v>
      </c>
      <c r="J3018">
        <v>5</v>
      </c>
      <c r="K3018">
        <v>14</v>
      </c>
      <c r="L3018">
        <v>7</v>
      </c>
      <c r="M3018">
        <v>1.4870000000000001</v>
      </c>
    </row>
    <row r="3019" spans="1:13" ht="15" customHeight="1">
      <c r="A3019" t="s">
        <v>36</v>
      </c>
      <c r="B3019">
        <f t="shared" si="188"/>
        <v>33.718167999999999</v>
      </c>
      <c r="C3019">
        <f t="shared" si="189"/>
        <v>-117.84703</v>
      </c>
      <c r="D3019">
        <f t="shared" si="190"/>
        <v>71</v>
      </c>
      <c r="E3019">
        <v>106.499</v>
      </c>
      <c r="F3019">
        <f t="shared" si="191"/>
        <v>-35.498999999999995</v>
      </c>
      <c r="G3019">
        <v>28.283000000000001</v>
      </c>
      <c r="H3019">
        <v>0.86299999999999999</v>
      </c>
      <c r="I3019">
        <v>2.875</v>
      </c>
      <c r="J3019">
        <v>5</v>
      </c>
      <c r="K3019">
        <v>14</v>
      </c>
      <c r="L3019">
        <v>7</v>
      </c>
      <c r="M3019">
        <v>1.5620000000000001</v>
      </c>
    </row>
    <row r="3020" spans="1:13" ht="15" customHeight="1">
      <c r="A3020" t="s">
        <v>36</v>
      </c>
      <c r="B3020">
        <f t="shared" si="188"/>
        <v>33.718167999999999</v>
      </c>
      <c r="C3020">
        <f t="shared" si="189"/>
        <v>-117.84703</v>
      </c>
      <c r="D3020">
        <f t="shared" si="190"/>
        <v>71</v>
      </c>
      <c r="E3020">
        <v>107.499</v>
      </c>
      <c r="F3020">
        <f t="shared" si="191"/>
        <v>-36.498999999999995</v>
      </c>
      <c r="G3020">
        <v>30.582999999999998</v>
      </c>
      <c r="H3020">
        <v>1.008</v>
      </c>
      <c r="I3020">
        <v>3.0790000000000002</v>
      </c>
      <c r="J3020">
        <v>5</v>
      </c>
      <c r="K3020">
        <v>16</v>
      </c>
      <c r="L3020">
        <v>8</v>
      </c>
      <c r="M3020">
        <v>1.7390000000000001</v>
      </c>
    </row>
    <row r="3021" spans="1:13" ht="15" customHeight="1">
      <c r="A3021" t="s">
        <v>36</v>
      </c>
      <c r="B3021">
        <f t="shared" si="188"/>
        <v>33.718167999999999</v>
      </c>
      <c r="C3021">
        <f t="shared" si="189"/>
        <v>-117.84703</v>
      </c>
      <c r="D3021">
        <f t="shared" si="190"/>
        <v>71</v>
      </c>
      <c r="E3021">
        <v>108.499</v>
      </c>
      <c r="F3021">
        <f t="shared" si="191"/>
        <v>-37.498999999999995</v>
      </c>
      <c r="G3021">
        <v>34.582999999999998</v>
      </c>
      <c r="H3021">
        <v>1.405</v>
      </c>
      <c r="I3021">
        <v>3.855</v>
      </c>
      <c r="J3021">
        <v>5</v>
      </c>
      <c r="K3021">
        <v>17</v>
      </c>
      <c r="L3021">
        <v>9</v>
      </c>
      <c r="M3021">
        <v>1.982</v>
      </c>
    </row>
    <row r="3022" spans="1:13" ht="15" customHeight="1">
      <c r="A3022" t="s">
        <v>36</v>
      </c>
      <c r="B3022">
        <f t="shared" si="188"/>
        <v>33.718167999999999</v>
      </c>
      <c r="C3022">
        <f t="shared" si="189"/>
        <v>-117.84703</v>
      </c>
      <c r="D3022">
        <f t="shared" si="190"/>
        <v>71</v>
      </c>
      <c r="E3022">
        <v>109.499</v>
      </c>
      <c r="F3022">
        <f t="shared" si="191"/>
        <v>-38.498999999999995</v>
      </c>
      <c r="G3022">
        <v>29.367000000000001</v>
      </c>
      <c r="H3022">
        <v>0.98499999999999999</v>
      </c>
      <c r="I3022">
        <v>3.1419999999999999</v>
      </c>
      <c r="J3022">
        <v>5</v>
      </c>
      <c r="K3022">
        <v>15</v>
      </c>
      <c r="L3022">
        <v>8</v>
      </c>
      <c r="M3022">
        <v>1.6379999999999999</v>
      </c>
    </row>
    <row r="3023" spans="1:13" ht="15" customHeight="1">
      <c r="A3023" t="s">
        <v>36</v>
      </c>
      <c r="B3023">
        <f t="shared" si="188"/>
        <v>33.718167999999999</v>
      </c>
      <c r="C3023">
        <f t="shared" si="189"/>
        <v>-117.84703</v>
      </c>
      <c r="D3023">
        <f t="shared" si="190"/>
        <v>71</v>
      </c>
      <c r="E3023">
        <v>110.499</v>
      </c>
      <c r="F3023">
        <f t="shared" si="191"/>
        <v>-39.498999999999995</v>
      </c>
      <c r="G3023">
        <v>34.299999999999997</v>
      </c>
      <c r="H3023">
        <v>1.093</v>
      </c>
      <c r="I3023">
        <v>3.0259999999999998</v>
      </c>
      <c r="J3023">
        <v>5</v>
      </c>
      <c r="K3023">
        <v>17</v>
      </c>
      <c r="L3023">
        <v>9</v>
      </c>
      <c r="M3023">
        <v>1.952</v>
      </c>
    </row>
    <row r="3024" spans="1:13" ht="15" customHeight="1">
      <c r="A3024" t="s">
        <v>36</v>
      </c>
      <c r="B3024">
        <f t="shared" si="188"/>
        <v>33.718167999999999</v>
      </c>
      <c r="C3024">
        <f t="shared" si="189"/>
        <v>-117.84703</v>
      </c>
      <c r="D3024">
        <f t="shared" si="190"/>
        <v>71</v>
      </c>
      <c r="E3024">
        <v>111.499</v>
      </c>
      <c r="F3024">
        <f t="shared" si="191"/>
        <v>-40.498999999999995</v>
      </c>
      <c r="G3024">
        <v>33.383000000000003</v>
      </c>
      <c r="H3024">
        <v>1.22</v>
      </c>
      <c r="I3024">
        <v>3.5070000000000001</v>
      </c>
      <c r="J3024">
        <v>5</v>
      </c>
      <c r="K3024">
        <v>17</v>
      </c>
      <c r="L3024">
        <v>9</v>
      </c>
      <c r="M3024">
        <v>1.8580000000000001</v>
      </c>
    </row>
    <row r="3025" spans="1:13" ht="15" customHeight="1">
      <c r="A3025" t="s">
        <v>36</v>
      </c>
      <c r="B3025">
        <f t="shared" si="188"/>
        <v>33.718167999999999</v>
      </c>
      <c r="C3025">
        <f t="shared" si="189"/>
        <v>-117.84703</v>
      </c>
      <c r="D3025">
        <f t="shared" si="190"/>
        <v>71</v>
      </c>
      <c r="E3025">
        <v>112.499</v>
      </c>
      <c r="F3025">
        <f t="shared" si="191"/>
        <v>-41.498999999999995</v>
      </c>
      <c r="G3025">
        <v>32.533000000000001</v>
      </c>
      <c r="H3025">
        <v>1.1819999999999999</v>
      </c>
      <c r="I3025">
        <v>3.484</v>
      </c>
      <c r="J3025">
        <v>5</v>
      </c>
      <c r="K3025">
        <v>16</v>
      </c>
      <c r="L3025">
        <v>8</v>
      </c>
      <c r="M3025">
        <v>1.796</v>
      </c>
    </row>
    <row r="3026" spans="1:13" ht="15" customHeight="1">
      <c r="A3026" t="s">
        <v>36</v>
      </c>
      <c r="B3026">
        <f t="shared" si="188"/>
        <v>33.718167999999999</v>
      </c>
      <c r="C3026">
        <f t="shared" si="189"/>
        <v>-117.84703</v>
      </c>
      <c r="D3026">
        <f t="shared" si="190"/>
        <v>71</v>
      </c>
      <c r="E3026">
        <v>113.499</v>
      </c>
      <c r="F3026">
        <f t="shared" si="191"/>
        <v>-42.498999999999995</v>
      </c>
      <c r="G3026">
        <v>32.133000000000003</v>
      </c>
      <c r="H3026">
        <v>1.1319999999999999</v>
      </c>
      <c r="I3026">
        <v>3.3980000000000001</v>
      </c>
      <c r="J3026">
        <v>5</v>
      </c>
      <c r="K3026">
        <v>16</v>
      </c>
      <c r="L3026">
        <v>8</v>
      </c>
      <c r="M3026">
        <v>1.7509999999999999</v>
      </c>
    </row>
    <row r="3027" spans="1:13" ht="15" customHeight="1">
      <c r="A3027" t="s">
        <v>36</v>
      </c>
      <c r="B3027">
        <f t="shared" si="188"/>
        <v>33.718167999999999</v>
      </c>
      <c r="C3027">
        <f t="shared" si="189"/>
        <v>-117.84703</v>
      </c>
      <c r="D3027">
        <f t="shared" si="190"/>
        <v>71</v>
      </c>
      <c r="E3027">
        <v>114.499</v>
      </c>
      <c r="F3027">
        <f t="shared" si="191"/>
        <v>-43.498999999999995</v>
      </c>
      <c r="G3027">
        <v>34.386000000000003</v>
      </c>
      <c r="H3027">
        <v>1.474</v>
      </c>
      <c r="I3027">
        <v>4.069</v>
      </c>
      <c r="J3027">
        <v>4</v>
      </c>
      <c r="K3027">
        <v>23</v>
      </c>
      <c r="L3027">
        <v>12</v>
      </c>
      <c r="M3027">
        <v>1.9419999999999999</v>
      </c>
    </row>
    <row r="3028" spans="1:13" ht="15" customHeight="1">
      <c r="A3028" t="s">
        <v>36</v>
      </c>
      <c r="B3028">
        <f t="shared" si="188"/>
        <v>33.718167999999999</v>
      </c>
      <c r="C3028">
        <f t="shared" si="189"/>
        <v>-117.84703</v>
      </c>
      <c r="D3028">
        <f t="shared" si="190"/>
        <v>71</v>
      </c>
      <c r="E3028">
        <v>115.499</v>
      </c>
      <c r="F3028">
        <f t="shared" si="191"/>
        <v>-44.498999999999995</v>
      </c>
      <c r="G3028">
        <v>203.65</v>
      </c>
      <c r="H3028">
        <v>2.278</v>
      </c>
      <c r="I3028">
        <v>1.1140000000000001</v>
      </c>
      <c r="J3028">
        <v>9</v>
      </c>
      <c r="K3028">
        <v>39</v>
      </c>
      <c r="L3028">
        <v>20</v>
      </c>
      <c r="M3028" s="1">
        <v>9000000000</v>
      </c>
    </row>
    <row r="3029" spans="1:13" ht="15" customHeight="1">
      <c r="A3029" t="s">
        <v>36</v>
      </c>
      <c r="B3029">
        <f t="shared" si="188"/>
        <v>33.718167999999999</v>
      </c>
      <c r="C3029">
        <f t="shared" si="189"/>
        <v>-117.84703</v>
      </c>
      <c r="D3029">
        <f t="shared" si="190"/>
        <v>71</v>
      </c>
      <c r="E3029">
        <v>116.499</v>
      </c>
      <c r="F3029">
        <f t="shared" si="191"/>
        <v>-45.498999999999995</v>
      </c>
      <c r="G3029">
        <v>445.5</v>
      </c>
      <c r="H3029">
        <v>4.34</v>
      </c>
      <c r="I3029">
        <v>0.97399999999999998</v>
      </c>
      <c r="J3029">
        <v>9</v>
      </c>
      <c r="K3029">
        <v>85</v>
      </c>
      <c r="L3029">
        <v>43</v>
      </c>
      <c r="M3029" s="1">
        <v>9000000000</v>
      </c>
    </row>
    <row r="3030" spans="1:13" ht="15" customHeight="1">
      <c r="A3030" t="s">
        <v>36</v>
      </c>
      <c r="B3030">
        <f t="shared" si="188"/>
        <v>33.718167999999999</v>
      </c>
      <c r="C3030">
        <f t="shared" si="189"/>
        <v>-117.84703</v>
      </c>
      <c r="D3030">
        <f t="shared" si="190"/>
        <v>71</v>
      </c>
      <c r="E3030">
        <v>117.498</v>
      </c>
      <c r="F3030">
        <f t="shared" si="191"/>
        <v>-46.498000000000005</v>
      </c>
      <c r="G3030">
        <v>442.7</v>
      </c>
      <c r="H3030">
        <v>5.33</v>
      </c>
      <c r="I3030">
        <v>1.204</v>
      </c>
      <c r="J3030">
        <v>9</v>
      </c>
      <c r="K3030">
        <v>85</v>
      </c>
      <c r="L3030">
        <v>43</v>
      </c>
      <c r="M3030" s="1">
        <v>9000000000</v>
      </c>
    </row>
    <row r="3031" spans="1:13" ht="15" customHeight="1">
      <c r="A3031" t="s">
        <v>37</v>
      </c>
      <c r="B3031">
        <f t="shared" si="188"/>
        <v>33.716335999999998</v>
      </c>
      <c r="C3031">
        <f t="shared" si="189"/>
        <v>-117.84705</v>
      </c>
      <c r="D3031">
        <f t="shared" si="190"/>
        <v>70</v>
      </c>
      <c r="E3031">
        <v>0.5</v>
      </c>
      <c r="F3031">
        <f t="shared" si="191"/>
        <v>69.5</v>
      </c>
      <c r="G3031">
        <v>19.167000000000002</v>
      </c>
      <c r="H3031">
        <v>0.17799999999999999</v>
      </c>
      <c r="I3031">
        <v>0.93</v>
      </c>
      <c r="J3031">
        <v>6</v>
      </c>
      <c r="K3031">
        <v>7</v>
      </c>
      <c r="L3031">
        <v>11</v>
      </c>
      <c r="M3031">
        <v>1.276</v>
      </c>
    </row>
    <row r="3032" spans="1:13" ht="15" customHeight="1">
      <c r="A3032" t="s">
        <v>37</v>
      </c>
      <c r="B3032">
        <f t="shared" si="188"/>
        <v>33.716335999999998</v>
      </c>
      <c r="C3032">
        <f t="shared" si="189"/>
        <v>-117.84705</v>
      </c>
      <c r="D3032">
        <f t="shared" si="190"/>
        <v>70</v>
      </c>
      <c r="E3032">
        <v>1.5</v>
      </c>
      <c r="F3032">
        <f t="shared" si="191"/>
        <v>68.5</v>
      </c>
      <c r="G3032">
        <v>70.849999999999994</v>
      </c>
      <c r="H3032">
        <v>0.69499999999999995</v>
      </c>
      <c r="I3032">
        <v>0.98099999999999998</v>
      </c>
      <c r="J3032">
        <v>8</v>
      </c>
      <c r="K3032">
        <v>17</v>
      </c>
      <c r="L3032">
        <v>26</v>
      </c>
      <c r="M3032" s="1">
        <v>9000000000</v>
      </c>
    </row>
    <row r="3033" spans="1:13" ht="15" customHeight="1">
      <c r="A3033" t="s">
        <v>37</v>
      </c>
      <c r="B3033">
        <f t="shared" si="188"/>
        <v>33.716335999999998</v>
      </c>
      <c r="C3033">
        <f t="shared" si="189"/>
        <v>-117.84705</v>
      </c>
      <c r="D3033">
        <f t="shared" si="190"/>
        <v>70</v>
      </c>
      <c r="E3033">
        <v>2.5</v>
      </c>
      <c r="F3033">
        <f t="shared" si="191"/>
        <v>67.5</v>
      </c>
      <c r="G3033">
        <v>16.216999999999999</v>
      </c>
      <c r="H3033">
        <v>0.72199999999999998</v>
      </c>
      <c r="I3033">
        <v>4.4139999999999997</v>
      </c>
      <c r="J3033">
        <v>3</v>
      </c>
      <c r="K3033">
        <v>16</v>
      </c>
      <c r="L3033">
        <v>24</v>
      </c>
      <c r="M3033">
        <v>1.08</v>
      </c>
    </row>
    <row r="3034" spans="1:13" ht="15" customHeight="1">
      <c r="A3034" t="s">
        <v>37</v>
      </c>
      <c r="B3034">
        <f t="shared" si="188"/>
        <v>33.716335999999998</v>
      </c>
      <c r="C3034">
        <f t="shared" si="189"/>
        <v>-117.84705</v>
      </c>
      <c r="D3034">
        <f t="shared" si="190"/>
        <v>70</v>
      </c>
      <c r="E3034">
        <v>3.5</v>
      </c>
      <c r="F3034">
        <f t="shared" si="191"/>
        <v>66.5</v>
      </c>
      <c r="G3034">
        <v>8.2330000000000005</v>
      </c>
      <c r="H3034">
        <v>0.27300000000000002</v>
      </c>
      <c r="I3034">
        <v>3.32</v>
      </c>
      <c r="J3034">
        <v>3</v>
      </c>
      <c r="K3034">
        <v>8</v>
      </c>
      <c r="L3034">
        <v>12</v>
      </c>
      <c r="M3034">
        <v>0.53500000000000003</v>
      </c>
    </row>
    <row r="3035" spans="1:13" ht="15" customHeight="1">
      <c r="A3035" t="s">
        <v>37</v>
      </c>
      <c r="B3035">
        <f t="shared" si="188"/>
        <v>33.716335999999998</v>
      </c>
      <c r="C3035">
        <f t="shared" si="189"/>
        <v>-117.84705</v>
      </c>
      <c r="D3035">
        <f t="shared" si="190"/>
        <v>70</v>
      </c>
      <c r="E3035">
        <v>4.5</v>
      </c>
      <c r="F3035">
        <f t="shared" si="191"/>
        <v>65.5</v>
      </c>
      <c r="G3035">
        <v>3.7829999999999999</v>
      </c>
      <c r="H3035">
        <v>0.152</v>
      </c>
      <c r="I3035">
        <v>3.9220000000000002</v>
      </c>
      <c r="J3035">
        <v>3</v>
      </c>
      <c r="K3035">
        <v>4</v>
      </c>
      <c r="L3035">
        <v>6</v>
      </c>
      <c r="M3035">
        <v>0.23899999999999999</v>
      </c>
    </row>
    <row r="3036" spans="1:13" ht="15" customHeight="1">
      <c r="A3036" t="s">
        <v>37</v>
      </c>
      <c r="B3036">
        <f t="shared" si="188"/>
        <v>33.716335999999998</v>
      </c>
      <c r="C3036">
        <f t="shared" si="189"/>
        <v>-117.84705</v>
      </c>
      <c r="D3036">
        <f t="shared" si="190"/>
        <v>70</v>
      </c>
      <c r="E3036">
        <v>5.5</v>
      </c>
      <c r="F3036">
        <f t="shared" si="191"/>
        <v>64.5</v>
      </c>
      <c r="G3036">
        <v>3.6669999999999998</v>
      </c>
      <c r="H3036">
        <v>0.19500000000000001</v>
      </c>
      <c r="I3036">
        <v>5.2939999999999996</v>
      </c>
      <c r="J3036">
        <v>3</v>
      </c>
      <c r="K3036">
        <v>4</v>
      </c>
      <c r="L3036">
        <v>6</v>
      </c>
      <c r="M3036">
        <v>0.223</v>
      </c>
    </row>
    <row r="3037" spans="1:13" ht="15" customHeight="1">
      <c r="A3037" t="s">
        <v>37</v>
      </c>
      <c r="B3037">
        <f t="shared" si="188"/>
        <v>33.716335999999998</v>
      </c>
      <c r="C3037">
        <f t="shared" si="189"/>
        <v>-117.84705</v>
      </c>
      <c r="D3037">
        <f t="shared" si="190"/>
        <v>70</v>
      </c>
      <c r="E3037">
        <v>6.5</v>
      </c>
      <c r="F3037">
        <f t="shared" si="191"/>
        <v>63.5</v>
      </c>
      <c r="G3037">
        <v>5.383</v>
      </c>
      <c r="H3037">
        <v>0.152</v>
      </c>
      <c r="I3037">
        <v>2.8260000000000001</v>
      </c>
      <c r="J3037">
        <v>3</v>
      </c>
      <c r="K3037">
        <v>5</v>
      </c>
      <c r="L3037">
        <v>8</v>
      </c>
      <c r="M3037">
        <v>0.33100000000000002</v>
      </c>
    </row>
    <row r="3038" spans="1:13" ht="15" customHeight="1">
      <c r="A3038" t="s">
        <v>37</v>
      </c>
      <c r="B3038">
        <f t="shared" si="188"/>
        <v>33.716335999999998</v>
      </c>
      <c r="C3038">
        <f t="shared" si="189"/>
        <v>-117.84705</v>
      </c>
      <c r="D3038">
        <f t="shared" si="190"/>
        <v>70</v>
      </c>
      <c r="E3038">
        <v>7.5</v>
      </c>
      <c r="F3038">
        <f t="shared" si="191"/>
        <v>62.5</v>
      </c>
      <c r="G3038">
        <v>66.75</v>
      </c>
      <c r="H3038">
        <v>0.69299999999999995</v>
      </c>
      <c r="I3038">
        <v>1.0389999999999999</v>
      </c>
      <c r="J3038">
        <v>8</v>
      </c>
      <c r="K3038">
        <v>16</v>
      </c>
      <c r="L3038">
        <v>24</v>
      </c>
      <c r="M3038" s="1">
        <v>9000000000</v>
      </c>
    </row>
    <row r="3039" spans="1:13" ht="15" customHeight="1">
      <c r="A3039" t="s">
        <v>37</v>
      </c>
      <c r="B3039">
        <f t="shared" si="188"/>
        <v>33.716335999999998</v>
      </c>
      <c r="C3039">
        <f t="shared" si="189"/>
        <v>-117.84705</v>
      </c>
      <c r="D3039">
        <f t="shared" si="190"/>
        <v>70</v>
      </c>
      <c r="E3039">
        <v>8.5</v>
      </c>
      <c r="F3039">
        <f t="shared" si="191"/>
        <v>61.5</v>
      </c>
      <c r="G3039">
        <v>109.233</v>
      </c>
      <c r="H3039">
        <v>1.3149999999999999</v>
      </c>
      <c r="I3039">
        <v>1.204</v>
      </c>
      <c r="J3039">
        <v>8</v>
      </c>
      <c r="K3039">
        <v>26</v>
      </c>
      <c r="L3039">
        <v>39</v>
      </c>
      <c r="M3039" s="1">
        <v>9000000000</v>
      </c>
    </row>
    <row r="3040" spans="1:13" ht="15" customHeight="1">
      <c r="A3040" t="s">
        <v>37</v>
      </c>
      <c r="B3040">
        <f t="shared" si="188"/>
        <v>33.716335999999998</v>
      </c>
      <c r="C3040">
        <f t="shared" si="189"/>
        <v>-117.84705</v>
      </c>
      <c r="D3040">
        <f t="shared" si="190"/>
        <v>70</v>
      </c>
      <c r="E3040">
        <v>9.5</v>
      </c>
      <c r="F3040">
        <f t="shared" si="191"/>
        <v>60.5</v>
      </c>
      <c r="G3040">
        <v>28.417000000000002</v>
      </c>
      <c r="H3040">
        <v>0.98699999999999999</v>
      </c>
      <c r="I3040">
        <v>3.472</v>
      </c>
      <c r="J3040">
        <v>5</v>
      </c>
      <c r="K3040">
        <v>14</v>
      </c>
      <c r="L3040">
        <v>21</v>
      </c>
      <c r="M3040">
        <v>1.8560000000000001</v>
      </c>
    </row>
    <row r="3041" spans="1:13" ht="15" customHeight="1">
      <c r="A3041" t="s">
        <v>37</v>
      </c>
      <c r="B3041">
        <f t="shared" si="188"/>
        <v>33.716335999999998</v>
      </c>
      <c r="C3041">
        <f t="shared" si="189"/>
        <v>-117.84705</v>
      </c>
      <c r="D3041">
        <f t="shared" si="190"/>
        <v>70</v>
      </c>
      <c r="E3041">
        <v>10.5</v>
      </c>
      <c r="F3041">
        <f t="shared" si="191"/>
        <v>59.5</v>
      </c>
      <c r="G3041">
        <v>11.3</v>
      </c>
      <c r="H3041">
        <v>0.25600000000000001</v>
      </c>
      <c r="I3041">
        <v>2.2690000000000001</v>
      </c>
      <c r="J3041">
        <v>5</v>
      </c>
      <c r="K3041">
        <v>5</v>
      </c>
      <c r="L3041">
        <v>7</v>
      </c>
      <c r="M3041">
        <v>0.70899999999999996</v>
      </c>
    </row>
    <row r="3042" spans="1:13" ht="15" customHeight="1">
      <c r="A3042" t="s">
        <v>37</v>
      </c>
      <c r="B3042">
        <f t="shared" si="188"/>
        <v>33.716335999999998</v>
      </c>
      <c r="C3042">
        <f t="shared" si="189"/>
        <v>-117.84705</v>
      </c>
      <c r="D3042">
        <f t="shared" si="190"/>
        <v>70</v>
      </c>
      <c r="E3042">
        <v>11.5</v>
      </c>
      <c r="F3042">
        <f t="shared" si="191"/>
        <v>58.5</v>
      </c>
      <c r="G3042">
        <v>7.2</v>
      </c>
      <c r="H3042">
        <v>0.16200000000000001</v>
      </c>
      <c r="I3042">
        <v>2.2610000000000001</v>
      </c>
      <c r="J3042">
        <v>4</v>
      </c>
      <c r="K3042">
        <v>5</v>
      </c>
      <c r="L3042">
        <v>7</v>
      </c>
      <c r="M3042">
        <v>0.43</v>
      </c>
    </row>
    <row r="3043" spans="1:13" ht="15" customHeight="1">
      <c r="A3043" t="s">
        <v>37</v>
      </c>
      <c r="B3043">
        <f t="shared" si="188"/>
        <v>33.716335999999998</v>
      </c>
      <c r="C3043">
        <f t="shared" si="189"/>
        <v>-117.84705</v>
      </c>
      <c r="D3043">
        <f t="shared" si="190"/>
        <v>70</v>
      </c>
      <c r="E3043">
        <v>12.5</v>
      </c>
      <c r="F3043">
        <f t="shared" si="191"/>
        <v>57.5</v>
      </c>
      <c r="G3043">
        <v>3.5830000000000002</v>
      </c>
      <c r="H3043">
        <v>0.21</v>
      </c>
      <c r="I3043">
        <v>5.9429999999999996</v>
      </c>
      <c r="J3043">
        <v>3</v>
      </c>
      <c r="K3043">
        <v>3</v>
      </c>
      <c r="L3043">
        <v>4</v>
      </c>
      <c r="M3043">
        <v>0.185</v>
      </c>
    </row>
    <row r="3044" spans="1:13" ht="15" customHeight="1">
      <c r="A3044" t="s">
        <v>37</v>
      </c>
      <c r="B3044">
        <f t="shared" si="188"/>
        <v>33.716335999999998</v>
      </c>
      <c r="C3044">
        <f t="shared" si="189"/>
        <v>-117.84705</v>
      </c>
      <c r="D3044">
        <f t="shared" si="190"/>
        <v>70</v>
      </c>
      <c r="E3044">
        <v>13.5</v>
      </c>
      <c r="F3044">
        <f t="shared" si="191"/>
        <v>56.5</v>
      </c>
      <c r="G3044">
        <v>6.4829999999999997</v>
      </c>
      <c r="H3044">
        <v>0.34200000000000003</v>
      </c>
      <c r="I3044">
        <v>5.3659999999999997</v>
      </c>
      <c r="J3044">
        <v>3</v>
      </c>
      <c r="K3044">
        <v>6</v>
      </c>
      <c r="L3044">
        <v>7</v>
      </c>
      <c r="M3044">
        <v>0.37</v>
      </c>
    </row>
    <row r="3045" spans="1:13" ht="15" customHeight="1">
      <c r="A3045" t="s">
        <v>37</v>
      </c>
      <c r="B3045">
        <f t="shared" si="188"/>
        <v>33.716335999999998</v>
      </c>
      <c r="C3045">
        <f t="shared" si="189"/>
        <v>-117.84705</v>
      </c>
      <c r="D3045">
        <f t="shared" si="190"/>
        <v>70</v>
      </c>
      <c r="E3045">
        <v>14.5</v>
      </c>
      <c r="F3045">
        <f t="shared" si="191"/>
        <v>55.5</v>
      </c>
      <c r="G3045">
        <v>40.167000000000002</v>
      </c>
      <c r="H3045">
        <v>0.92200000000000004</v>
      </c>
      <c r="I3045">
        <v>2.3039999999999998</v>
      </c>
      <c r="J3045">
        <v>6</v>
      </c>
      <c r="K3045">
        <v>15</v>
      </c>
      <c r="L3045">
        <v>16</v>
      </c>
      <c r="M3045">
        <v>2.6080000000000001</v>
      </c>
    </row>
    <row r="3046" spans="1:13" ht="15" customHeight="1">
      <c r="A3046" t="s">
        <v>37</v>
      </c>
      <c r="B3046">
        <f t="shared" si="188"/>
        <v>33.716335999999998</v>
      </c>
      <c r="C3046">
        <f t="shared" si="189"/>
        <v>-117.84705</v>
      </c>
      <c r="D3046">
        <f t="shared" si="190"/>
        <v>70</v>
      </c>
      <c r="E3046">
        <v>15.5</v>
      </c>
      <c r="F3046">
        <f t="shared" si="191"/>
        <v>54.5</v>
      </c>
      <c r="G3046">
        <v>65.016999999999996</v>
      </c>
      <c r="H3046">
        <v>0.5</v>
      </c>
      <c r="I3046">
        <v>0.77100000000000002</v>
      </c>
      <c r="J3046">
        <v>8</v>
      </c>
      <c r="K3046">
        <v>16</v>
      </c>
      <c r="L3046">
        <v>17</v>
      </c>
      <c r="M3046" s="1">
        <v>9000000000</v>
      </c>
    </row>
    <row r="3047" spans="1:13" ht="15" customHeight="1">
      <c r="A3047" t="s">
        <v>37</v>
      </c>
      <c r="B3047">
        <f t="shared" si="188"/>
        <v>33.716335999999998</v>
      </c>
      <c r="C3047">
        <f t="shared" si="189"/>
        <v>-117.84705</v>
      </c>
      <c r="D3047">
        <f t="shared" si="190"/>
        <v>70</v>
      </c>
      <c r="E3047">
        <v>16.5</v>
      </c>
      <c r="F3047">
        <f t="shared" si="191"/>
        <v>53.5</v>
      </c>
      <c r="G3047">
        <v>66.667000000000002</v>
      </c>
      <c r="H3047">
        <v>0.58499999999999996</v>
      </c>
      <c r="I3047">
        <v>0.88</v>
      </c>
      <c r="J3047">
        <v>8</v>
      </c>
      <c r="K3047">
        <v>16</v>
      </c>
      <c r="L3047">
        <v>16</v>
      </c>
      <c r="M3047" s="1">
        <v>9000000000</v>
      </c>
    </row>
    <row r="3048" spans="1:13" ht="15" customHeight="1">
      <c r="A3048" t="s">
        <v>37</v>
      </c>
      <c r="B3048">
        <f t="shared" si="188"/>
        <v>33.716335999999998</v>
      </c>
      <c r="C3048">
        <f t="shared" si="189"/>
        <v>-117.84705</v>
      </c>
      <c r="D3048">
        <f t="shared" si="190"/>
        <v>70</v>
      </c>
      <c r="E3048">
        <v>17.5</v>
      </c>
      <c r="F3048">
        <f t="shared" si="191"/>
        <v>52.5</v>
      </c>
      <c r="G3048">
        <v>81.216999999999999</v>
      </c>
      <c r="H3048">
        <v>0.61</v>
      </c>
      <c r="I3048">
        <v>0.753</v>
      </c>
      <c r="J3048">
        <v>8</v>
      </c>
      <c r="K3048">
        <v>19</v>
      </c>
      <c r="L3048">
        <v>18</v>
      </c>
      <c r="M3048" s="1">
        <v>9000000000</v>
      </c>
    </row>
    <row r="3049" spans="1:13" ht="15" customHeight="1">
      <c r="A3049" t="s">
        <v>37</v>
      </c>
      <c r="B3049">
        <f t="shared" si="188"/>
        <v>33.716335999999998</v>
      </c>
      <c r="C3049">
        <f t="shared" si="189"/>
        <v>-117.84705</v>
      </c>
      <c r="D3049">
        <f t="shared" si="190"/>
        <v>70</v>
      </c>
      <c r="E3049">
        <v>18.5</v>
      </c>
      <c r="F3049">
        <f t="shared" si="191"/>
        <v>51.5</v>
      </c>
      <c r="G3049">
        <v>39.767000000000003</v>
      </c>
      <c r="H3049">
        <v>0.623</v>
      </c>
      <c r="I3049">
        <v>1.575</v>
      </c>
      <c r="J3049">
        <v>7</v>
      </c>
      <c r="K3049">
        <v>13</v>
      </c>
      <c r="L3049">
        <v>12</v>
      </c>
      <c r="M3049" s="1">
        <v>9000000000</v>
      </c>
    </row>
    <row r="3050" spans="1:13" ht="15" customHeight="1">
      <c r="A3050" t="s">
        <v>37</v>
      </c>
      <c r="B3050">
        <f t="shared" si="188"/>
        <v>33.716335999999998</v>
      </c>
      <c r="C3050">
        <f t="shared" si="189"/>
        <v>-117.84705</v>
      </c>
      <c r="D3050">
        <f t="shared" si="190"/>
        <v>70</v>
      </c>
      <c r="E3050">
        <v>19.5</v>
      </c>
      <c r="F3050">
        <f t="shared" si="191"/>
        <v>50.5</v>
      </c>
      <c r="G3050">
        <v>103.267</v>
      </c>
      <c r="H3050">
        <v>0.71</v>
      </c>
      <c r="I3050">
        <v>0.68799999999999994</v>
      </c>
      <c r="J3050">
        <v>8</v>
      </c>
      <c r="K3050">
        <v>25</v>
      </c>
      <c r="L3050">
        <v>22</v>
      </c>
      <c r="M3050" s="1">
        <v>9000000000</v>
      </c>
    </row>
    <row r="3051" spans="1:13" ht="15" customHeight="1">
      <c r="A3051" t="s">
        <v>37</v>
      </c>
      <c r="B3051">
        <f t="shared" si="188"/>
        <v>33.716335999999998</v>
      </c>
      <c r="C3051">
        <f t="shared" si="189"/>
        <v>-117.84705</v>
      </c>
      <c r="D3051">
        <f t="shared" si="190"/>
        <v>70</v>
      </c>
      <c r="E3051">
        <v>20.5</v>
      </c>
      <c r="F3051">
        <f t="shared" si="191"/>
        <v>49.5</v>
      </c>
      <c r="G3051">
        <v>77.171000000000006</v>
      </c>
      <c r="H3051">
        <v>0.65900000000000003</v>
      </c>
      <c r="I3051">
        <v>0.85399999999999998</v>
      </c>
      <c r="J3051">
        <v>8</v>
      </c>
      <c r="K3051">
        <v>18</v>
      </c>
      <c r="L3051">
        <v>15</v>
      </c>
      <c r="M3051" s="1">
        <v>9000000000</v>
      </c>
    </row>
    <row r="3052" spans="1:13" ht="15" customHeight="1">
      <c r="A3052" t="s">
        <v>37</v>
      </c>
      <c r="B3052">
        <f t="shared" si="188"/>
        <v>33.716335999999998</v>
      </c>
      <c r="C3052">
        <f t="shared" si="189"/>
        <v>-117.84705</v>
      </c>
      <c r="D3052">
        <f t="shared" si="190"/>
        <v>70</v>
      </c>
      <c r="E3052">
        <v>21.5</v>
      </c>
      <c r="F3052">
        <f t="shared" si="191"/>
        <v>48.5</v>
      </c>
      <c r="G3052">
        <v>44.332999999999998</v>
      </c>
      <c r="H3052">
        <v>0.68799999999999994</v>
      </c>
      <c r="I3052">
        <v>1.56</v>
      </c>
      <c r="J3052">
        <v>7</v>
      </c>
      <c r="K3052">
        <v>14</v>
      </c>
      <c r="L3052">
        <v>11</v>
      </c>
      <c r="M3052" s="1">
        <v>9000000000</v>
      </c>
    </row>
    <row r="3053" spans="1:13" ht="15" customHeight="1">
      <c r="A3053" t="s">
        <v>37</v>
      </c>
      <c r="B3053">
        <f t="shared" si="188"/>
        <v>33.716335999999998</v>
      </c>
      <c r="C3053">
        <f t="shared" si="189"/>
        <v>-117.84705</v>
      </c>
      <c r="D3053">
        <f t="shared" si="190"/>
        <v>70</v>
      </c>
      <c r="E3053">
        <v>22.5</v>
      </c>
      <c r="F3053">
        <f t="shared" si="191"/>
        <v>47.5</v>
      </c>
      <c r="G3053">
        <v>29.6</v>
      </c>
      <c r="H3053">
        <v>0</v>
      </c>
      <c r="I3053">
        <v>0</v>
      </c>
      <c r="J3053">
        <v>7</v>
      </c>
      <c r="K3053" s="1">
        <v>9000000000</v>
      </c>
      <c r="L3053" s="1">
        <v>9000000000</v>
      </c>
      <c r="M3053" s="1">
        <v>9000000000</v>
      </c>
    </row>
    <row r="3054" spans="1:13" ht="15" customHeight="1">
      <c r="A3054" t="s">
        <v>38</v>
      </c>
      <c r="B3054">
        <f t="shared" si="188"/>
        <v>33.717367000000003</v>
      </c>
      <c r="C3054">
        <f t="shared" si="189"/>
        <v>-117.847031</v>
      </c>
      <c r="D3054">
        <f t="shared" si="190"/>
        <v>70</v>
      </c>
      <c r="E3054">
        <v>0.5</v>
      </c>
      <c r="F3054">
        <f t="shared" si="191"/>
        <v>69.5</v>
      </c>
      <c r="G3054">
        <v>0.8</v>
      </c>
      <c r="H3054">
        <v>0.01</v>
      </c>
      <c r="I3054">
        <v>1.25</v>
      </c>
      <c r="J3054">
        <v>1</v>
      </c>
      <c r="K3054">
        <v>0</v>
      </c>
      <c r="L3054">
        <v>0</v>
      </c>
      <c r="M3054">
        <v>5.1999999999999998E-2</v>
      </c>
    </row>
    <row r="3055" spans="1:13" ht="15" customHeight="1">
      <c r="A3055" t="s">
        <v>38</v>
      </c>
      <c r="B3055">
        <f t="shared" si="188"/>
        <v>33.717367000000003</v>
      </c>
      <c r="C3055">
        <f t="shared" si="189"/>
        <v>-117.847031</v>
      </c>
      <c r="D3055">
        <f t="shared" si="190"/>
        <v>70</v>
      </c>
      <c r="E3055">
        <v>1.5</v>
      </c>
      <c r="F3055">
        <f t="shared" si="191"/>
        <v>68.5</v>
      </c>
      <c r="G3055">
        <v>12.35</v>
      </c>
      <c r="H3055">
        <v>0.58199999999999996</v>
      </c>
      <c r="I3055">
        <v>4.6779999999999999</v>
      </c>
      <c r="J3055">
        <v>3</v>
      </c>
      <c r="K3055">
        <v>12</v>
      </c>
      <c r="L3055">
        <v>18</v>
      </c>
      <c r="M3055">
        <v>0.82299999999999995</v>
      </c>
    </row>
    <row r="3056" spans="1:13" ht="15" customHeight="1">
      <c r="A3056" t="s">
        <v>38</v>
      </c>
      <c r="B3056">
        <f t="shared" si="188"/>
        <v>33.717367000000003</v>
      </c>
      <c r="C3056">
        <f t="shared" si="189"/>
        <v>-117.847031</v>
      </c>
      <c r="D3056">
        <f t="shared" si="190"/>
        <v>70</v>
      </c>
      <c r="E3056">
        <v>2.5</v>
      </c>
      <c r="F3056">
        <f t="shared" si="191"/>
        <v>67.5</v>
      </c>
      <c r="G3056">
        <v>10.45</v>
      </c>
      <c r="H3056">
        <v>0.45</v>
      </c>
      <c r="I3056">
        <v>4.306</v>
      </c>
      <c r="J3056">
        <v>3</v>
      </c>
      <c r="K3056">
        <v>10</v>
      </c>
      <c r="L3056">
        <v>15</v>
      </c>
      <c r="M3056">
        <v>0.68700000000000006</v>
      </c>
    </row>
    <row r="3057" spans="1:13" ht="15" customHeight="1">
      <c r="A3057" t="s">
        <v>38</v>
      </c>
      <c r="B3057">
        <f t="shared" si="188"/>
        <v>33.717367000000003</v>
      </c>
      <c r="C3057">
        <f t="shared" si="189"/>
        <v>-117.847031</v>
      </c>
      <c r="D3057">
        <f t="shared" si="190"/>
        <v>70</v>
      </c>
      <c r="E3057">
        <v>3.5</v>
      </c>
      <c r="F3057">
        <f t="shared" si="191"/>
        <v>66.5</v>
      </c>
      <c r="G3057">
        <v>9.2669999999999995</v>
      </c>
      <c r="H3057">
        <v>0.34200000000000003</v>
      </c>
      <c r="I3057">
        <v>3.6869999999999998</v>
      </c>
      <c r="J3057">
        <v>3</v>
      </c>
      <c r="K3057">
        <v>9</v>
      </c>
      <c r="L3057">
        <v>14</v>
      </c>
      <c r="M3057">
        <v>0.60399999999999998</v>
      </c>
    </row>
    <row r="3058" spans="1:13" ht="15" customHeight="1">
      <c r="A3058" t="s">
        <v>38</v>
      </c>
      <c r="B3058">
        <f t="shared" si="188"/>
        <v>33.717367000000003</v>
      </c>
      <c r="C3058">
        <f t="shared" si="189"/>
        <v>-117.847031</v>
      </c>
      <c r="D3058">
        <f t="shared" si="190"/>
        <v>70</v>
      </c>
      <c r="E3058">
        <v>4.5</v>
      </c>
      <c r="F3058">
        <f t="shared" si="191"/>
        <v>65.5</v>
      </c>
      <c r="G3058">
        <v>10.217000000000001</v>
      </c>
      <c r="H3058">
        <v>0.46300000000000002</v>
      </c>
      <c r="I3058">
        <v>4.5199999999999996</v>
      </c>
      <c r="J3058">
        <v>3</v>
      </c>
      <c r="K3058">
        <v>10</v>
      </c>
      <c r="L3058">
        <v>15</v>
      </c>
      <c r="M3058">
        <v>0.66600000000000004</v>
      </c>
    </row>
    <row r="3059" spans="1:13" ht="15" customHeight="1">
      <c r="A3059" t="s">
        <v>38</v>
      </c>
      <c r="B3059">
        <f t="shared" si="188"/>
        <v>33.717367000000003</v>
      </c>
      <c r="C3059">
        <f t="shared" si="189"/>
        <v>-117.847031</v>
      </c>
      <c r="D3059">
        <f t="shared" si="190"/>
        <v>70</v>
      </c>
      <c r="E3059">
        <v>5.5</v>
      </c>
      <c r="F3059">
        <f t="shared" si="191"/>
        <v>64.5</v>
      </c>
      <c r="G3059">
        <v>6.9669999999999996</v>
      </c>
      <c r="H3059">
        <v>0.218</v>
      </c>
      <c r="I3059">
        <v>3.1190000000000002</v>
      </c>
      <c r="J3059">
        <v>3</v>
      </c>
      <c r="K3059">
        <v>7</v>
      </c>
      <c r="L3059">
        <v>11</v>
      </c>
      <c r="M3059">
        <v>0.44500000000000001</v>
      </c>
    </row>
    <row r="3060" spans="1:13" ht="15" customHeight="1">
      <c r="A3060" t="s">
        <v>38</v>
      </c>
      <c r="B3060">
        <f t="shared" si="188"/>
        <v>33.717367000000003</v>
      </c>
      <c r="C3060">
        <f t="shared" si="189"/>
        <v>-117.847031</v>
      </c>
      <c r="D3060">
        <f t="shared" si="190"/>
        <v>70</v>
      </c>
      <c r="E3060">
        <v>6.5</v>
      </c>
      <c r="F3060">
        <f t="shared" si="191"/>
        <v>63.5</v>
      </c>
      <c r="G3060">
        <v>7.8</v>
      </c>
      <c r="H3060">
        <v>0.28199999999999997</v>
      </c>
      <c r="I3060">
        <v>3.6110000000000002</v>
      </c>
      <c r="J3060">
        <v>3</v>
      </c>
      <c r="K3060">
        <v>7</v>
      </c>
      <c r="L3060">
        <v>11</v>
      </c>
      <c r="M3060">
        <v>0.49399999999999999</v>
      </c>
    </row>
    <row r="3061" spans="1:13" ht="15" customHeight="1">
      <c r="A3061" t="s">
        <v>38</v>
      </c>
      <c r="B3061">
        <f t="shared" si="188"/>
        <v>33.717367000000003</v>
      </c>
      <c r="C3061">
        <f t="shared" si="189"/>
        <v>-117.847031</v>
      </c>
      <c r="D3061">
        <f t="shared" si="190"/>
        <v>70</v>
      </c>
      <c r="E3061">
        <v>7.5</v>
      </c>
      <c r="F3061">
        <f t="shared" si="191"/>
        <v>62.5</v>
      </c>
      <c r="G3061">
        <v>7.367</v>
      </c>
      <c r="H3061">
        <v>0.28699999999999998</v>
      </c>
      <c r="I3061">
        <v>3.8740000000000001</v>
      </c>
      <c r="J3061">
        <v>3</v>
      </c>
      <c r="K3061">
        <v>7</v>
      </c>
      <c r="L3061">
        <v>11</v>
      </c>
      <c r="M3061">
        <v>0.46400000000000002</v>
      </c>
    </row>
    <row r="3062" spans="1:13" ht="15" customHeight="1">
      <c r="A3062" t="s">
        <v>38</v>
      </c>
      <c r="B3062">
        <f t="shared" si="188"/>
        <v>33.717367000000003</v>
      </c>
      <c r="C3062">
        <f t="shared" si="189"/>
        <v>-117.847031</v>
      </c>
      <c r="D3062">
        <f t="shared" si="190"/>
        <v>70</v>
      </c>
      <c r="E3062">
        <v>8.5</v>
      </c>
      <c r="F3062">
        <f t="shared" si="191"/>
        <v>61.5</v>
      </c>
      <c r="G3062">
        <v>13.55</v>
      </c>
      <c r="H3062">
        <v>0.66200000000000003</v>
      </c>
      <c r="I3062">
        <v>4.8650000000000002</v>
      </c>
      <c r="J3062">
        <v>3</v>
      </c>
      <c r="K3062">
        <v>13</v>
      </c>
      <c r="L3062">
        <v>20</v>
      </c>
      <c r="M3062">
        <v>0.873</v>
      </c>
    </row>
    <row r="3063" spans="1:13" ht="15" customHeight="1">
      <c r="A3063" t="s">
        <v>38</v>
      </c>
      <c r="B3063">
        <f t="shared" si="188"/>
        <v>33.717367000000003</v>
      </c>
      <c r="C3063">
        <f t="shared" si="189"/>
        <v>-117.847031</v>
      </c>
      <c r="D3063">
        <f t="shared" si="190"/>
        <v>70</v>
      </c>
      <c r="E3063">
        <v>9.5</v>
      </c>
      <c r="F3063">
        <f t="shared" si="191"/>
        <v>60.5</v>
      </c>
      <c r="G3063">
        <v>11.117000000000001</v>
      </c>
      <c r="H3063">
        <v>0.51200000000000001</v>
      </c>
      <c r="I3063">
        <v>4.5890000000000004</v>
      </c>
      <c r="J3063">
        <v>3</v>
      </c>
      <c r="K3063">
        <v>11</v>
      </c>
      <c r="L3063">
        <v>17</v>
      </c>
      <c r="M3063">
        <v>0.70499999999999996</v>
      </c>
    </row>
    <row r="3064" spans="1:13" ht="15" customHeight="1">
      <c r="A3064" t="s">
        <v>38</v>
      </c>
      <c r="B3064">
        <f t="shared" si="188"/>
        <v>33.717367000000003</v>
      </c>
      <c r="C3064">
        <f t="shared" si="189"/>
        <v>-117.847031</v>
      </c>
      <c r="D3064">
        <f t="shared" si="190"/>
        <v>70</v>
      </c>
      <c r="E3064">
        <v>10.5</v>
      </c>
      <c r="F3064">
        <f t="shared" si="191"/>
        <v>59.5</v>
      </c>
      <c r="G3064">
        <v>9.7140000000000004</v>
      </c>
      <c r="H3064">
        <v>0.43099999999999999</v>
      </c>
      <c r="I3064">
        <v>4.4409999999999998</v>
      </c>
      <c r="J3064">
        <v>3</v>
      </c>
      <c r="K3064">
        <v>9</v>
      </c>
      <c r="L3064">
        <v>13</v>
      </c>
      <c r="M3064">
        <v>0.60599999999999998</v>
      </c>
    </row>
    <row r="3065" spans="1:13" ht="15" customHeight="1">
      <c r="A3065" t="s">
        <v>38</v>
      </c>
      <c r="B3065">
        <f t="shared" si="188"/>
        <v>33.717367000000003</v>
      </c>
      <c r="C3065">
        <f t="shared" si="189"/>
        <v>-117.847031</v>
      </c>
      <c r="D3065">
        <f t="shared" si="190"/>
        <v>70</v>
      </c>
      <c r="E3065">
        <v>11.5</v>
      </c>
      <c r="F3065">
        <f t="shared" si="191"/>
        <v>58.5</v>
      </c>
      <c r="G3065">
        <v>12.2</v>
      </c>
      <c r="H3065">
        <v>0.51</v>
      </c>
      <c r="I3065">
        <v>4.18</v>
      </c>
      <c r="J3065">
        <v>3</v>
      </c>
      <c r="K3065">
        <v>12</v>
      </c>
      <c r="L3065">
        <v>16</v>
      </c>
      <c r="M3065">
        <v>0.76700000000000002</v>
      </c>
    </row>
    <row r="3066" spans="1:13" ht="15" customHeight="1">
      <c r="A3066" t="s">
        <v>38</v>
      </c>
      <c r="B3066">
        <f t="shared" si="188"/>
        <v>33.717367000000003</v>
      </c>
      <c r="C3066">
        <f t="shared" si="189"/>
        <v>-117.847031</v>
      </c>
      <c r="D3066">
        <f t="shared" si="190"/>
        <v>70</v>
      </c>
      <c r="E3066">
        <v>12.5</v>
      </c>
      <c r="F3066">
        <f t="shared" si="191"/>
        <v>57.5</v>
      </c>
      <c r="G3066">
        <v>18.05</v>
      </c>
      <c r="H3066">
        <v>0.71799999999999997</v>
      </c>
      <c r="I3066">
        <v>3.98</v>
      </c>
      <c r="J3066">
        <v>4</v>
      </c>
      <c r="K3066">
        <v>12</v>
      </c>
      <c r="L3066">
        <v>15</v>
      </c>
      <c r="M3066">
        <v>1.153</v>
      </c>
    </row>
    <row r="3067" spans="1:13" ht="15" customHeight="1">
      <c r="A3067" t="s">
        <v>38</v>
      </c>
      <c r="B3067">
        <f t="shared" si="188"/>
        <v>33.717367000000003</v>
      </c>
      <c r="C3067">
        <f t="shared" si="189"/>
        <v>-117.847031</v>
      </c>
      <c r="D3067">
        <f t="shared" si="190"/>
        <v>70</v>
      </c>
      <c r="E3067">
        <v>13.5</v>
      </c>
      <c r="F3067">
        <f t="shared" si="191"/>
        <v>56.5</v>
      </c>
      <c r="G3067">
        <v>12.617000000000001</v>
      </c>
      <c r="H3067">
        <v>0.54700000000000004</v>
      </c>
      <c r="I3067">
        <v>4.3330000000000002</v>
      </c>
      <c r="J3067">
        <v>3</v>
      </c>
      <c r="K3067">
        <v>12</v>
      </c>
      <c r="L3067">
        <v>14</v>
      </c>
      <c r="M3067">
        <v>0.78700000000000003</v>
      </c>
    </row>
    <row r="3068" spans="1:13" ht="15" customHeight="1">
      <c r="A3068" t="s">
        <v>38</v>
      </c>
      <c r="B3068">
        <f t="shared" si="188"/>
        <v>33.717367000000003</v>
      </c>
      <c r="C3068">
        <f t="shared" si="189"/>
        <v>-117.847031</v>
      </c>
      <c r="D3068">
        <f t="shared" si="190"/>
        <v>70</v>
      </c>
      <c r="E3068">
        <v>14.5</v>
      </c>
      <c r="F3068">
        <f t="shared" si="191"/>
        <v>55.5</v>
      </c>
      <c r="G3068">
        <v>23.983000000000001</v>
      </c>
      <c r="H3068">
        <v>0.66500000000000004</v>
      </c>
      <c r="I3068">
        <v>2.7730000000000001</v>
      </c>
      <c r="J3068">
        <v>5</v>
      </c>
      <c r="K3068">
        <v>11</v>
      </c>
      <c r="L3068">
        <v>12</v>
      </c>
      <c r="M3068">
        <v>1.54</v>
      </c>
    </row>
    <row r="3069" spans="1:13" ht="15" customHeight="1">
      <c r="A3069" t="s">
        <v>38</v>
      </c>
      <c r="B3069">
        <f t="shared" si="188"/>
        <v>33.717367000000003</v>
      </c>
      <c r="C3069">
        <f t="shared" si="189"/>
        <v>-117.847031</v>
      </c>
      <c r="D3069">
        <f t="shared" si="190"/>
        <v>70</v>
      </c>
      <c r="E3069">
        <v>15.5</v>
      </c>
      <c r="F3069">
        <f t="shared" si="191"/>
        <v>54.5</v>
      </c>
      <c r="G3069">
        <v>56.45</v>
      </c>
      <c r="H3069">
        <v>0.495</v>
      </c>
      <c r="I3069">
        <v>0.879</v>
      </c>
      <c r="J3069">
        <v>8</v>
      </c>
      <c r="K3069">
        <v>13</v>
      </c>
      <c r="L3069">
        <v>14</v>
      </c>
      <c r="M3069" s="1">
        <v>9000000000</v>
      </c>
    </row>
    <row r="3070" spans="1:13" ht="15" customHeight="1">
      <c r="A3070" t="s">
        <v>38</v>
      </c>
      <c r="B3070">
        <f t="shared" si="188"/>
        <v>33.717367000000003</v>
      </c>
      <c r="C3070">
        <f t="shared" si="189"/>
        <v>-117.847031</v>
      </c>
      <c r="D3070">
        <f t="shared" si="190"/>
        <v>70</v>
      </c>
      <c r="E3070">
        <v>16.5</v>
      </c>
      <c r="F3070">
        <f t="shared" si="191"/>
        <v>53.5</v>
      </c>
      <c r="G3070">
        <v>73.05</v>
      </c>
      <c r="H3070">
        <v>0.77700000000000002</v>
      </c>
      <c r="I3070">
        <v>1.0660000000000001</v>
      </c>
      <c r="J3070">
        <v>8</v>
      </c>
      <c r="K3070">
        <v>17</v>
      </c>
      <c r="L3070">
        <v>17</v>
      </c>
      <c r="M3070" s="1">
        <v>9000000000</v>
      </c>
    </row>
    <row r="3071" spans="1:13" ht="15" customHeight="1">
      <c r="A3071" t="s">
        <v>38</v>
      </c>
      <c r="B3071">
        <f t="shared" si="188"/>
        <v>33.717367000000003</v>
      </c>
      <c r="C3071">
        <f t="shared" si="189"/>
        <v>-117.847031</v>
      </c>
      <c r="D3071">
        <f t="shared" si="190"/>
        <v>70</v>
      </c>
      <c r="E3071">
        <v>17.5</v>
      </c>
      <c r="F3071">
        <f t="shared" si="191"/>
        <v>52.5</v>
      </c>
      <c r="G3071">
        <v>119.733</v>
      </c>
      <c r="H3071">
        <v>0.72499999999999998</v>
      </c>
      <c r="I3071">
        <v>0.60599999999999998</v>
      </c>
      <c r="J3071">
        <v>9</v>
      </c>
      <c r="K3071">
        <v>23</v>
      </c>
      <c r="L3071">
        <v>22</v>
      </c>
      <c r="M3071" s="1">
        <v>9000000000</v>
      </c>
    </row>
    <row r="3072" spans="1:13" ht="15" customHeight="1">
      <c r="A3072" t="s">
        <v>38</v>
      </c>
      <c r="B3072">
        <f t="shared" si="188"/>
        <v>33.717367000000003</v>
      </c>
      <c r="C3072">
        <f t="shared" si="189"/>
        <v>-117.847031</v>
      </c>
      <c r="D3072">
        <f t="shared" si="190"/>
        <v>70</v>
      </c>
      <c r="E3072">
        <v>18.5</v>
      </c>
      <c r="F3072">
        <f t="shared" si="191"/>
        <v>51.5</v>
      </c>
      <c r="G3072">
        <v>90.983000000000004</v>
      </c>
      <c r="H3072">
        <v>0.625</v>
      </c>
      <c r="I3072">
        <v>0.68799999999999994</v>
      </c>
      <c r="J3072">
        <v>8</v>
      </c>
      <c r="K3072">
        <v>22</v>
      </c>
      <c r="L3072">
        <v>20</v>
      </c>
      <c r="M3072" s="1">
        <v>9000000000</v>
      </c>
    </row>
    <row r="3073" spans="1:13" ht="15" customHeight="1">
      <c r="A3073" t="s">
        <v>38</v>
      </c>
      <c r="B3073">
        <f t="shared" si="188"/>
        <v>33.717367000000003</v>
      </c>
      <c r="C3073">
        <f t="shared" si="189"/>
        <v>-117.847031</v>
      </c>
      <c r="D3073">
        <f t="shared" si="190"/>
        <v>70</v>
      </c>
      <c r="E3073">
        <v>19.5</v>
      </c>
      <c r="F3073">
        <f t="shared" si="191"/>
        <v>50.5</v>
      </c>
      <c r="G3073">
        <v>142.517</v>
      </c>
      <c r="H3073">
        <v>1.3</v>
      </c>
      <c r="I3073">
        <v>0.91300000000000003</v>
      </c>
      <c r="J3073">
        <v>9</v>
      </c>
      <c r="K3073">
        <v>27</v>
      </c>
      <c r="L3073">
        <v>24</v>
      </c>
      <c r="M3073" s="1">
        <v>9000000000</v>
      </c>
    </row>
    <row r="3074" spans="1:13" ht="15" customHeight="1">
      <c r="A3074" t="s">
        <v>38</v>
      </c>
      <c r="B3074">
        <f t="shared" ref="B3074:B3137" si="192">VLOOKUP(A3074,XYdata,3,FALSE)</f>
        <v>33.717367000000003</v>
      </c>
      <c r="C3074">
        <f t="shared" ref="C3074:C3137" si="193">VLOOKUP(A3074,XYdata,2,FALSE)</f>
        <v>-117.847031</v>
      </c>
      <c r="D3074">
        <f t="shared" ref="D3074:D3137" si="194">VLOOKUP(A3074,Elevation,2,FALSE)</f>
        <v>70</v>
      </c>
      <c r="E3074">
        <v>20.5</v>
      </c>
      <c r="F3074">
        <f t="shared" si="191"/>
        <v>49.5</v>
      </c>
      <c r="G3074">
        <v>134.12899999999999</v>
      </c>
      <c r="H3074">
        <v>0.76400000000000001</v>
      </c>
      <c r="I3074">
        <v>0.56999999999999995</v>
      </c>
      <c r="J3074">
        <v>9</v>
      </c>
      <c r="K3074">
        <v>26</v>
      </c>
      <c r="L3074">
        <v>22</v>
      </c>
      <c r="M3074" s="1">
        <v>9000000000</v>
      </c>
    </row>
    <row r="3075" spans="1:13" ht="15" customHeight="1">
      <c r="A3075" t="s">
        <v>38</v>
      </c>
      <c r="B3075">
        <f t="shared" si="192"/>
        <v>33.717367000000003</v>
      </c>
      <c r="C3075">
        <f t="shared" si="193"/>
        <v>-117.847031</v>
      </c>
      <c r="D3075">
        <f t="shared" si="194"/>
        <v>70</v>
      </c>
      <c r="E3075">
        <v>21.5</v>
      </c>
      <c r="F3075">
        <f t="shared" ref="F3075:F3138" si="195">D3075-E3075</f>
        <v>48.5</v>
      </c>
      <c r="G3075">
        <v>148.63300000000001</v>
      </c>
      <c r="H3075">
        <v>1.17</v>
      </c>
      <c r="I3075">
        <v>0.78800000000000003</v>
      </c>
      <c r="J3075">
        <v>9</v>
      </c>
      <c r="K3075">
        <v>28</v>
      </c>
      <c r="L3075">
        <v>23</v>
      </c>
      <c r="M3075" s="1">
        <v>9000000000</v>
      </c>
    </row>
    <row r="3076" spans="1:13" ht="15" customHeight="1">
      <c r="A3076" t="s">
        <v>38</v>
      </c>
      <c r="B3076">
        <f t="shared" si="192"/>
        <v>33.717367000000003</v>
      </c>
      <c r="C3076">
        <f t="shared" si="193"/>
        <v>-117.847031</v>
      </c>
      <c r="D3076">
        <f t="shared" si="194"/>
        <v>70</v>
      </c>
      <c r="E3076">
        <v>22.5</v>
      </c>
      <c r="F3076">
        <f t="shared" si="195"/>
        <v>47.5</v>
      </c>
      <c r="G3076">
        <v>101.333</v>
      </c>
      <c r="H3076">
        <v>1.325</v>
      </c>
      <c r="I3076">
        <v>1.3069999999999999</v>
      </c>
      <c r="J3076">
        <v>8</v>
      </c>
      <c r="K3076">
        <v>24</v>
      </c>
      <c r="L3076">
        <v>19</v>
      </c>
      <c r="M3076" s="1">
        <v>9000000000</v>
      </c>
    </row>
    <row r="3077" spans="1:13" ht="15" customHeight="1">
      <c r="A3077" t="s">
        <v>38</v>
      </c>
      <c r="B3077">
        <f t="shared" si="192"/>
        <v>33.717367000000003</v>
      </c>
      <c r="C3077">
        <f t="shared" si="193"/>
        <v>-117.847031</v>
      </c>
      <c r="D3077">
        <f t="shared" si="194"/>
        <v>70</v>
      </c>
      <c r="E3077">
        <v>23.5</v>
      </c>
      <c r="F3077">
        <f t="shared" si="195"/>
        <v>46.5</v>
      </c>
      <c r="G3077">
        <v>84.882999999999996</v>
      </c>
      <c r="H3077">
        <v>1.077</v>
      </c>
      <c r="I3077">
        <v>1.27</v>
      </c>
      <c r="J3077">
        <v>8</v>
      </c>
      <c r="K3077">
        <v>20</v>
      </c>
      <c r="L3077">
        <v>15</v>
      </c>
      <c r="M3077" s="1">
        <v>9000000000</v>
      </c>
    </row>
    <row r="3078" spans="1:13" ht="15" customHeight="1">
      <c r="A3078" t="s">
        <v>38</v>
      </c>
      <c r="B3078">
        <f t="shared" si="192"/>
        <v>33.717367000000003</v>
      </c>
      <c r="C3078">
        <f t="shared" si="193"/>
        <v>-117.847031</v>
      </c>
      <c r="D3078">
        <f t="shared" si="194"/>
        <v>70</v>
      </c>
      <c r="E3078">
        <v>24.5</v>
      </c>
      <c r="F3078">
        <f t="shared" si="195"/>
        <v>45.5</v>
      </c>
      <c r="G3078">
        <v>18.55</v>
      </c>
      <c r="H3078">
        <v>0.58299999999999996</v>
      </c>
      <c r="I3078">
        <v>3.1560000000000001</v>
      </c>
      <c r="J3078">
        <v>5</v>
      </c>
      <c r="K3078">
        <v>9</v>
      </c>
      <c r="L3078">
        <v>7</v>
      </c>
      <c r="M3078">
        <v>1.1319999999999999</v>
      </c>
    </row>
    <row r="3079" spans="1:13" ht="15" customHeight="1">
      <c r="A3079" t="s">
        <v>38</v>
      </c>
      <c r="B3079">
        <f t="shared" si="192"/>
        <v>33.717367000000003</v>
      </c>
      <c r="C3079">
        <f t="shared" si="193"/>
        <v>-117.847031</v>
      </c>
      <c r="D3079">
        <f t="shared" si="194"/>
        <v>70</v>
      </c>
      <c r="E3079">
        <v>25.5</v>
      </c>
      <c r="F3079">
        <f t="shared" si="195"/>
        <v>44.5</v>
      </c>
      <c r="G3079">
        <v>22.266999999999999</v>
      </c>
      <c r="H3079">
        <v>0.85799999999999998</v>
      </c>
      <c r="I3079">
        <v>3.855</v>
      </c>
      <c r="J3079">
        <v>4</v>
      </c>
      <c r="K3079">
        <v>14</v>
      </c>
      <c r="L3079">
        <v>10</v>
      </c>
      <c r="M3079">
        <v>1.38</v>
      </c>
    </row>
    <row r="3080" spans="1:13" ht="15" customHeight="1">
      <c r="A3080" t="s">
        <v>38</v>
      </c>
      <c r="B3080">
        <f t="shared" si="192"/>
        <v>33.717367000000003</v>
      </c>
      <c r="C3080">
        <f t="shared" si="193"/>
        <v>-117.847031</v>
      </c>
      <c r="D3080">
        <f t="shared" si="194"/>
        <v>70</v>
      </c>
      <c r="E3080">
        <v>26.5</v>
      </c>
      <c r="F3080">
        <f t="shared" si="195"/>
        <v>43.5</v>
      </c>
      <c r="G3080">
        <v>14.233000000000001</v>
      </c>
      <c r="H3080">
        <v>0.54800000000000004</v>
      </c>
      <c r="I3080">
        <v>3.8660000000000001</v>
      </c>
      <c r="J3080">
        <v>4</v>
      </c>
      <c r="K3080">
        <v>9</v>
      </c>
      <c r="L3080">
        <v>6</v>
      </c>
      <c r="M3080">
        <v>0.83699999999999997</v>
      </c>
    </row>
    <row r="3081" spans="1:13" ht="15" customHeight="1">
      <c r="A3081" t="s">
        <v>38</v>
      </c>
      <c r="B3081">
        <f t="shared" si="192"/>
        <v>33.717367000000003</v>
      </c>
      <c r="C3081">
        <f t="shared" si="193"/>
        <v>-117.847031</v>
      </c>
      <c r="D3081">
        <f t="shared" si="194"/>
        <v>70</v>
      </c>
      <c r="E3081">
        <v>27.5</v>
      </c>
      <c r="F3081">
        <f t="shared" si="195"/>
        <v>42.5</v>
      </c>
      <c r="G3081">
        <v>15.95</v>
      </c>
      <c r="H3081">
        <v>0.45</v>
      </c>
      <c r="I3081">
        <v>2.83</v>
      </c>
      <c r="J3081">
        <v>5</v>
      </c>
      <c r="K3081">
        <v>8</v>
      </c>
      <c r="L3081">
        <v>6</v>
      </c>
      <c r="M3081">
        <v>0.94799999999999995</v>
      </c>
    </row>
    <row r="3082" spans="1:13" ht="15" customHeight="1">
      <c r="A3082" t="s">
        <v>38</v>
      </c>
      <c r="B3082">
        <f t="shared" si="192"/>
        <v>33.717367000000003</v>
      </c>
      <c r="C3082">
        <f t="shared" si="193"/>
        <v>-117.847031</v>
      </c>
      <c r="D3082">
        <f t="shared" si="194"/>
        <v>70</v>
      </c>
      <c r="E3082">
        <v>28.5</v>
      </c>
      <c r="F3082">
        <f t="shared" si="195"/>
        <v>41.5</v>
      </c>
      <c r="G3082">
        <v>14.55</v>
      </c>
      <c r="H3082">
        <v>0.47199999999999998</v>
      </c>
      <c r="I3082">
        <v>3.2450000000000001</v>
      </c>
      <c r="J3082">
        <v>4</v>
      </c>
      <c r="K3082">
        <v>9</v>
      </c>
      <c r="L3082">
        <v>6</v>
      </c>
      <c r="M3082">
        <v>0.85299999999999998</v>
      </c>
    </row>
    <row r="3083" spans="1:13" ht="15" customHeight="1">
      <c r="A3083" t="s">
        <v>38</v>
      </c>
      <c r="B3083">
        <f t="shared" si="192"/>
        <v>33.717367000000003</v>
      </c>
      <c r="C3083">
        <f t="shared" si="193"/>
        <v>-117.847031</v>
      </c>
      <c r="D3083">
        <f t="shared" si="194"/>
        <v>70</v>
      </c>
      <c r="E3083">
        <v>29.5</v>
      </c>
      <c r="F3083">
        <f t="shared" si="195"/>
        <v>40.5</v>
      </c>
      <c r="G3083">
        <v>19.733000000000001</v>
      </c>
      <c r="H3083">
        <v>0.73799999999999999</v>
      </c>
      <c r="I3083">
        <v>3.742</v>
      </c>
      <c r="J3083">
        <v>4</v>
      </c>
      <c r="K3083">
        <v>13</v>
      </c>
      <c r="L3083">
        <v>9</v>
      </c>
      <c r="M3083">
        <v>1.1950000000000001</v>
      </c>
    </row>
    <row r="3084" spans="1:13" ht="15" customHeight="1">
      <c r="A3084" t="s">
        <v>38</v>
      </c>
      <c r="B3084">
        <f t="shared" si="192"/>
        <v>33.717367000000003</v>
      </c>
      <c r="C3084">
        <f t="shared" si="193"/>
        <v>-117.847031</v>
      </c>
      <c r="D3084">
        <f t="shared" si="194"/>
        <v>70</v>
      </c>
      <c r="E3084">
        <v>30.5</v>
      </c>
      <c r="F3084">
        <f t="shared" si="195"/>
        <v>39.5</v>
      </c>
      <c r="G3084">
        <v>14.467000000000001</v>
      </c>
      <c r="H3084">
        <v>0.45800000000000002</v>
      </c>
      <c r="I3084">
        <v>3.161</v>
      </c>
      <c r="J3084">
        <v>4</v>
      </c>
      <c r="K3084">
        <v>9</v>
      </c>
      <c r="L3084">
        <v>6</v>
      </c>
      <c r="M3084">
        <v>0.84199999999999997</v>
      </c>
    </row>
    <row r="3085" spans="1:13" ht="15" customHeight="1">
      <c r="A3085" t="s">
        <v>38</v>
      </c>
      <c r="B3085">
        <f t="shared" si="192"/>
        <v>33.717367000000003</v>
      </c>
      <c r="C3085">
        <f t="shared" si="193"/>
        <v>-117.847031</v>
      </c>
      <c r="D3085">
        <f t="shared" si="194"/>
        <v>70</v>
      </c>
      <c r="E3085">
        <v>31.5</v>
      </c>
      <c r="F3085">
        <f t="shared" si="195"/>
        <v>38.5</v>
      </c>
      <c r="G3085">
        <v>13.957000000000001</v>
      </c>
      <c r="H3085">
        <v>0.34699999999999998</v>
      </c>
      <c r="I3085">
        <v>2.4649999999999999</v>
      </c>
      <c r="J3085">
        <v>5</v>
      </c>
      <c r="K3085">
        <v>7</v>
      </c>
      <c r="L3085">
        <v>5</v>
      </c>
      <c r="M3085">
        <v>0.81100000000000005</v>
      </c>
    </row>
    <row r="3086" spans="1:13" ht="15" customHeight="1">
      <c r="A3086" t="s">
        <v>38</v>
      </c>
      <c r="B3086">
        <f t="shared" si="192"/>
        <v>33.717367000000003</v>
      </c>
      <c r="C3086">
        <f t="shared" si="193"/>
        <v>-117.847031</v>
      </c>
      <c r="D3086">
        <f t="shared" si="194"/>
        <v>70</v>
      </c>
      <c r="E3086">
        <v>32.5</v>
      </c>
      <c r="F3086">
        <f t="shared" si="195"/>
        <v>37.5</v>
      </c>
      <c r="G3086">
        <v>23.382999999999999</v>
      </c>
      <c r="H3086">
        <v>0.90300000000000002</v>
      </c>
      <c r="I3086">
        <v>3.855</v>
      </c>
      <c r="J3086">
        <v>4</v>
      </c>
      <c r="K3086">
        <v>15</v>
      </c>
      <c r="L3086">
        <v>10</v>
      </c>
      <c r="M3086">
        <v>1.43</v>
      </c>
    </row>
    <row r="3087" spans="1:13" ht="15" customHeight="1">
      <c r="A3087" t="s">
        <v>38</v>
      </c>
      <c r="B3087">
        <f t="shared" si="192"/>
        <v>33.717367000000003</v>
      </c>
      <c r="C3087">
        <f t="shared" si="193"/>
        <v>-117.847031</v>
      </c>
      <c r="D3087">
        <f t="shared" si="194"/>
        <v>70</v>
      </c>
      <c r="E3087">
        <v>33.5</v>
      </c>
      <c r="F3087">
        <f t="shared" si="195"/>
        <v>36.5</v>
      </c>
      <c r="G3087">
        <v>16.783000000000001</v>
      </c>
      <c r="H3087">
        <v>0.60699999999999998</v>
      </c>
      <c r="I3087">
        <v>3.64</v>
      </c>
      <c r="J3087">
        <v>4</v>
      </c>
      <c r="K3087">
        <v>11</v>
      </c>
      <c r="L3087">
        <v>7</v>
      </c>
      <c r="M3087">
        <v>0.97499999999999998</v>
      </c>
    </row>
    <row r="3088" spans="1:13" ht="15" customHeight="1">
      <c r="A3088" t="s">
        <v>38</v>
      </c>
      <c r="B3088">
        <f t="shared" si="192"/>
        <v>33.717367000000003</v>
      </c>
      <c r="C3088">
        <f t="shared" si="193"/>
        <v>-117.847031</v>
      </c>
      <c r="D3088">
        <f t="shared" si="194"/>
        <v>70</v>
      </c>
      <c r="E3088">
        <v>34.5</v>
      </c>
      <c r="F3088">
        <f t="shared" si="195"/>
        <v>35.5</v>
      </c>
      <c r="G3088">
        <v>20.917000000000002</v>
      </c>
      <c r="H3088">
        <v>0.93300000000000005</v>
      </c>
      <c r="I3088">
        <v>4.4690000000000003</v>
      </c>
      <c r="J3088">
        <v>3</v>
      </c>
      <c r="K3088">
        <v>20</v>
      </c>
      <c r="L3088">
        <v>13</v>
      </c>
      <c r="M3088">
        <v>1.252</v>
      </c>
    </row>
    <row r="3089" spans="1:13" ht="15" customHeight="1">
      <c r="A3089" t="s">
        <v>38</v>
      </c>
      <c r="B3089">
        <f t="shared" si="192"/>
        <v>33.717367000000003</v>
      </c>
      <c r="C3089">
        <f t="shared" si="193"/>
        <v>-117.847031</v>
      </c>
      <c r="D3089">
        <f t="shared" si="194"/>
        <v>70</v>
      </c>
      <c r="E3089">
        <v>35.5</v>
      </c>
      <c r="F3089">
        <f t="shared" si="195"/>
        <v>34.5</v>
      </c>
      <c r="G3089">
        <v>21.533000000000001</v>
      </c>
      <c r="H3089">
        <v>0.84699999999999998</v>
      </c>
      <c r="I3089">
        <v>3.9380000000000002</v>
      </c>
      <c r="J3089">
        <v>4</v>
      </c>
      <c r="K3089">
        <v>14</v>
      </c>
      <c r="L3089">
        <v>9</v>
      </c>
      <c r="M3089">
        <v>1.2889999999999999</v>
      </c>
    </row>
    <row r="3090" spans="1:13" ht="15" customHeight="1">
      <c r="A3090" t="s">
        <v>38</v>
      </c>
      <c r="B3090">
        <f t="shared" si="192"/>
        <v>33.717367000000003</v>
      </c>
      <c r="C3090">
        <f t="shared" si="193"/>
        <v>-117.847031</v>
      </c>
      <c r="D3090">
        <f t="shared" si="194"/>
        <v>70</v>
      </c>
      <c r="E3090">
        <v>36.5</v>
      </c>
      <c r="F3090">
        <f t="shared" si="195"/>
        <v>33.5</v>
      </c>
      <c r="G3090">
        <v>31.983000000000001</v>
      </c>
      <c r="H3090">
        <v>1.587</v>
      </c>
      <c r="I3090">
        <v>4.9610000000000003</v>
      </c>
      <c r="J3090">
        <v>3</v>
      </c>
      <c r="K3090">
        <v>31</v>
      </c>
      <c r="L3090">
        <v>19</v>
      </c>
      <c r="M3090">
        <v>1.9830000000000001</v>
      </c>
    </row>
    <row r="3091" spans="1:13" ht="15" customHeight="1">
      <c r="A3091" t="s">
        <v>38</v>
      </c>
      <c r="B3091">
        <f t="shared" si="192"/>
        <v>33.717367000000003</v>
      </c>
      <c r="C3091">
        <f t="shared" si="193"/>
        <v>-117.847031</v>
      </c>
      <c r="D3091">
        <f t="shared" si="194"/>
        <v>70</v>
      </c>
      <c r="E3091">
        <v>37.5</v>
      </c>
      <c r="F3091">
        <f t="shared" si="195"/>
        <v>32.5</v>
      </c>
      <c r="G3091">
        <v>18.75</v>
      </c>
      <c r="H3091">
        <v>0.59499999999999997</v>
      </c>
      <c r="I3091">
        <v>3.173</v>
      </c>
      <c r="J3091">
        <v>5</v>
      </c>
      <c r="K3091">
        <v>9</v>
      </c>
      <c r="L3091">
        <v>5</v>
      </c>
      <c r="M3091">
        <v>1.097</v>
      </c>
    </row>
    <row r="3092" spans="1:13" ht="15" customHeight="1">
      <c r="A3092" t="s">
        <v>38</v>
      </c>
      <c r="B3092">
        <f t="shared" si="192"/>
        <v>33.717367000000003</v>
      </c>
      <c r="C3092">
        <f t="shared" si="193"/>
        <v>-117.847031</v>
      </c>
      <c r="D3092">
        <f t="shared" si="194"/>
        <v>70</v>
      </c>
      <c r="E3092">
        <v>38.5</v>
      </c>
      <c r="F3092">
        <f t="shared" si="195"/>
        <v>31.5</v>
      </c>
      <c r="G3092">
        <v>29.082999999999998</v>
      </c>
      <c r="H3092">
        <v>0.89500000000000002</v>
      </c>
      <c r="I3092">
        <v>3.0760000000000001</v>
      </c>
      <c r="J3092">
        <v>5</v>
      </c>
      <c r="K3092">
        <v>14</v>
      </c>
      <c r="L3092">
        <v>8</v>
      </c>
      <c r="M3092">
        <v>1.7829999999999999</v>
      </c>
    </row>
    <row r="3093" spans="1:13" ht="15" customHeight="1">
      <c r="A3093" t="s">
        <v>38</v>
      </c>
      <c r="B3093">
        <f t="shared" si="192"/>
        <v>33.717367000000003</v>
      </c>
      <c r="C3093">
        <f t="shared" si="193"/>
        <v>-117.847031</v>
      </c>
      <c r="D3093">
        <f t="shared" si="194"/>
        <v>70</v>
      </c>
      <c r="E3093">
        <v>39.5</v>
      </c>
      <c r="F3093">
        <f t="shared" si="195"/>
        <v>30.5</v>
      </c>
      <c r="G3093">
        <v>36.65</v>
      </c>
      <c r="H3093">
        <v>1.415</v>
      </c>
      <c r="I3093">
        <v>3.8610000000000002</v>
      </c>
      <c r="J3093">
        <v>5</v>
      </c>
      <c r="K3093">
        <v>18</v>
      </c>
      <c r="L3093">
        <v>11</v>
      </c>
      <c r="M3093">
        <v>2.282</v>
      </c>
    </row>
    <row r="3094" spans="1:13" ht="15" customHeight="1">
      <c r="A3094" t="s">
        <v>38</v>
      </c>
      <c r="B3094">
        <f t="shared" si="192"/>
        <v>33.717367000000003</v>
      </c>
      <c r="C3094">
        <f t="shared" si="193"/>
        <v>-117.847031</v>
      </c>
      <c r="D3094">
        <f t="shared" si="194"/>
        <v>70</v>
      </c>
      <c r="E3094">
        <v>40.5</v>
      </c>
      <c r="F3094">
        <f t="shared" si="195"/>
        <v>29.5</v>
      </c>
      <c r="G3094">
        <v>30.632999999999999</v>
      </c>
      <c r="H3094">
        <v>1.2070000000000001</v>
      </c>
      <c r="I3094">
        <v>3.9409999999999998</v>
      </c>
      <c r="J3094">
        <v>4</v>
      </c>
      <c r="K3094">
        <v>20</v>
      </c>
      <c r="L3094">
        <v>12</v>
      </c>
      <c r="M3094">
        <v>1.8759999999999999</v>
      </c>
    </row>
    <row r="3095" spans="1:13" ht="15" customHeight="1">
      <c r="A3095" t="s">
        <v>38</v>
      </c>
      <c r="B3095">
        <f t="shared" si="192"/>
        <v>33.717367000000003</v>
      </c>
      <c r="C3095">
        <f t="shared" si="193"/>
        <v>-117.847031</v>
      </c>
      <c r="D3095">
        <f t="shared" si="194"/>
        <v>70</v>
      </c>
      <c r="E3095">
        <v>41.499000000000002</v>
      </c>
      <c r="F3095">
        <f t="shared" si="195"/>
        <v>28.500999999999998</v>
      </c>
      <c r="G3095">
        <v>38.557000000000002</v>
      </c>
      <c r="H3095">
        <v>1.587</v>
      </c>
      <c r="I3095">
        <v>4.1210000000000004</v>
      </c>
      <c r="J3095">
        <v>4</v>
      </c>
      <c r="K3095">
        <v>25</v>
      </c>
      <c r="L3095">
        <v>15</v>
      </c>
      <c r="M3095">
        <v>2.3980000000000001</v>
      </c>
    </row>
    <row r="3096" spans="1:13" ht="15" customHeight="1">
      <c r="A3096" t="s">
        <v>38</v>
      </c>
      <c r="B3096">
        <f t="shared" si="192"/>
        <v>33.717367000000003</v>
      </c>
      <c r="C3096">
        <f t="shared" si="193"/>
        <v>-117.847031</v>
      </c>
      <c r="D3096">
        <f t="shared" si="194"/>
        <v>70</v>
      </c>
      <c r="E3096">
        <v>42.499000000000002</v>
      </c>
      <c r="F3096">
        <f t="shared" si="195"/>
        <v>27.500999999999998</v>
      </c>
      <c r="G3096">
        <v>41.917000000000002</v>
      </c>
      <c r="H3096">
        <v>1.89</v>
      </c>
      <c r="I3096">
        <v>4.5129999999999999</v>
      </c>
      <c r="J3096">
        <v>4</v>
      </c>
      <c r="K3096">
        <v>27</v>
      </c>
      <c r="L3096">
        <v>15</v>
      </c>
      <c r="M3096">
        <v>2.6190000000000002</v>
      </c>
    </row>
    <row r="3097" spans="1:13" ht="15" customHeight="1">
      <c r="A3097" t="s">
        <v>38</v>
      </c>
      <c r="B3097">
        <f t="shared" si="192"/>
        <v>33.717367000000003</v>
      </c>
      <c r="C3097">
        <f t="shared" si="193"/>
        <v>-117.847031</v>
      </c>
      <c r="D3097">
        <f t="shared" si="194"/>
        <v>70</v>
      </c>
      <c r="E3097">
        <v>43.499000000000002</v>
      </c>
      <c r="F3097">
        <f t="shared" si="195"/>
        <v>26.500999999999998</v>
      </c>
      <c r="G3097">
        <v>33.216999999999999</v>
      </c>
      <c r="H3097">
        <v>1.51</v>
      </c>
      <c r="I3097">
        <v>4.5460000000000003</v>
      </c>
      <c r="J3097">
        <v>4</v>
      </c>
      <c r="K3097">
        <v>21</v>
      </c>
      <c r="L3097">
        <v>12</v>
      </c>
      <c r="M3097">
        <v>2.0369999999999999</v>
      </c>
    </row>
    <row r="3098" spans="1:13" ht="15" customHeight="1">
      <c r="A3098" t="s">
        <v>38</v>
      </c>
      <c r="B3098">
        <f t="shared" si="192"/>
        <v>33.717367000000003</v>
      </c>
      <c r="C3098">
        <f t="shared" si="193"/>
        <v>-117.847031</v>
      </c>
      <c r="D3098">
        <f t="shared" si="194"/>
        <v>70</v>
      </c>
      <c r="E3098">
        <v>44.499000000000002</v>
      </c>
      <c r="F3098">
        <f t="shared" si="195"/>
        <v>25.500999999999998</v>
      </c>
      <c r="G3098">
        <v>41.232999999999997</v>
      </c>
      <c r="H3098">
        <v>2.0720000000000001</v>
      </c>
      <c r="I3098">
        <v>5.024</v>
      </c>
      <c r="J3098">
        <v>3</v>
      </c>
      <c r="K3098">
        <v>39</v>
      </c>
      <c r="L3098">
        <v>22</v>
      </c>
      <c r="M3098">
        <v>2.5670000000000002</v>
      </c>
    </row>
    <row r="3099" spans="1:13" ht="15" customHeight="1">
      <c r="A3099" t="s">
        <v>38</v>
      </c>
      <c r="B3099">
        <f t="shared" si="192"/>
        <v>33.717367000000003</v>
      </c>
      <c r="C3099">
        <f t="shared" si="193"/>
        <v>-117.847031</v>
      </c>
      <c r="D3099">
        <f t="shared" si="194"/>
        <v>70</v>
      </c>
      <c r="E3099">
        <v>45.499000000000002</v>
      </c>
      <c r="F3099">
        <f t="shared" si="195"/>
        <v>24.500999999999998</v>
      </c>
      <c r="G3099">
        <v>31.433</v>
      </c>
      <c r="H3099">
        <v>1.7130000000000001</v>
      </c>
      <c r="I3099">
        <v>5.21</v>
      </c>
      <c r="J3099">
        <v>3</v>
      </c>
      <c r="K3099">
        <v>31</v>
      </c>
      <c r="L3099">
        <v>17</v>
      </c>
      <c r="M3099">
        <v>2.0059999999999998</v>
      </c>
    </row>
    <row r="3100" spans="1:13" ht="15" customHeight="1">
      <c r="A3100" t="s">
        <v>38</v>
      </c>
      <c r="B3100">
        <f t="shared" si="192"/>
        <v>33.717367000000003</v>
      </c>
      <c r="C3100">
        <f t="shared" si="193"/>
        <v>-117.847031</v>
      </c>
      <c r="D3100">
        <f t="shared" si="194"/>
        <v>70</v>
      </c>
      <c r="E3100">
        <v>46.499000000000002</v>
      </c>
      <c r="F3100">
        <f t="shared" si="195"/>
        <v>23.500999999999998</v>
      </c>
      <c r="G3100">
        <v>47.732999999999997</v>
      </c>
      <c r="H3100">
        <v>2.1019999999999999</v>
      </c>
      <c r="I3100">
        <v>2.4420000000000002</v>
      </c>
      <c r="J3100">
        <v>6</v>
      </c>
      <c r="K3100">
        <v>33</v>
      </c>
      <c r="L3100">
        <v>18</v>
      </c>
      <c r="M3100">
        <v>5.5469999999999997</v>
      </c>
    </row>
    <row r="3101" spans="1:13" ht="15" customHeight="1">
      <c r="A3101" t="s">
        <v>38</v>
      </c>
      <c r="B3101">
        <f t="shared" si="192"/>
        <v>33.717367000000003</v>
      </c>
      <c r="C3101">
        <f t="shared" si="193"/>
        <v>-117.847031</v>
      </c>
      <c r="D3101">
        <f t="shared" si="194"/>
        <v>70</v>
      </c>
      <c r="E3101">
        <v>47.499000000000002</v>
      </c>
      <c r="F3101">
        <f t="shared" si="195"/>
        <v>22.500999999999998</v>
      </c>
      <c r="G3101">
        <v>68.150000000000006</v>
      </c>
      <c r="H3101">
        <v>2.6669999999999998</v>
      </c>
      <c r="I3101">
        <v>3.8919999999999999</v>
      </c>
      <c r="J3101">
        <v>5</v>
      </c>
      <c r="K3101">
        <v>33</v>
      </c>
      <c r="L3101">
        <v>18</v>
      </c>
      <c r="M3101">
        <v>4.3730000000000002</v>
      </c>
    </row>
    <row r="3102" spans="1:13" ht="15" customHeight="1">
      <c r="A3102" t="s">
        <v>38</v>
      </c>
      <c r="B3102">
        <f t="shared" si="192"/>
        <v>33.717367000000003</v>
      </c>
      <c r="C3102">
        <f t="shared" si="193"/>
        <v>-117.847031</v>
      </c>
      <c r="D3102">
        <f t="shared" si="194"/>
        <v>70</v>
      </c>
      <c r="E3102">
        <v>48.499000000000002</v>
      </c>
      <c r="F3102">
        <f t="shared" si="195"/>
        <v>21.500999999999998</v>
      </c>
      <c r="G3102">
        <v>53.567</v>
      </c>
      <c r="H3102">
        <v>2.33</v>
      </c>
      <c r="I3102">
        <v>4.298</v>
      </c>
      <c r="J3102">
        <v>5</v>
      </c>
      <c r="K3102">
        <v>26</v>
      </c>
      <c r="L3102">
        <v>14</v>
      </c>
      <c r="M3102">
        <v>3.4159999999999999</v>
      </c>
    </row>
    <row r="3103" spans="1:13" ht="15" customHeight="1">
      <c r="A3103" t="s">
        <v>38</v>
      </c>
      <c r="B3103">
        <f t="shared" si="192"/>
        <v>33.717367000000003</v>
      </c>
      <c r="C3103">
        <f t="shared" si="193"/>
        <v>-117.847031</v>
      </c>
      <c r="D3103">
        <f t="shared" si="194"/>
        <v>70</v>
      </c>
      <c r="E3103">
        <v>49.499000000000002</v>
      </c>
      <c r="F3103">
        <f t="shared" si="195"/>
        <v>20.500999999999998</v>
      </c>
      <c r="G3103">
        <v>56.783000000000001</v>
      </c>
      <c r="H3103">
        <v>2.54</v>
      </c>
      <c r="I3103">
        <v>4.43</v>
      </c>
      <c r="J3103">
        <v>4</v>
      </c>
      <c r="K3103">
        <v>37</v>
      </c>
      <c r="L3103">
        <v>20</v>
      </c>
      <c r="M3103">
        <v>3.6190000000000002</v>
      </c>
    </row>
    <row r="3104" spans="1:13" ht="15" customHeight="1">
      <c r="A3104" t="s">
        <v>38</v>
      </c>
      <c r="B3104">
        <f t="shared" si="192"/>
        <v>33.717367000000003</v>
      </c>
      <c r="C3104">
        <f t="shared" si="193"/>
        <v>-117.847031</v>
      </c>
      <c r="D3104">
        <f t="shared" si="194"/>
        <v>70</v>
      </c>
      <c r="E3104">
        <v>50.499000000000002</v>
      </c>
      <c r="F3104">
        <f t="shared" si="195"/>
        <v>19.500999999999998</v>
      </c>
      <c r="G3104">
        <v>106.883</v>
      </c>
      <c r="H3104">
        <v>5.3029999999999999</v>
      </c>
      <c r="I3104">
        <v>4.944</v>
      </c>
      <c r="J3104">
        <v>11</v>
      </c>
      <c r="K3104">
        <v>103</v>
      </c>
      <c r="L3104">
        <v>54</v>
      </c>
      <c r="M3104" s="1">
        <v>9000000000</v>
      </c>
    </row>
    <row r="3105" spans="1:13" ht="15" customHeight="1">
      <c r="A3105" t="s">
        <v>38</v>
      </c>
      <c r="B3105">
        <f t="shared" si="192"/>
        <v>33.717367000000003</v>
      </c>
      <c r="C3105">
        <f t="shared" si="193"/>
        <v>-117.847031</v>
      </c>
      <c r="D3105">
        <f t="shared" si="194"/>
        <v>70</v>
      </c>
      <c r="E3105">
        <v>51.499000000000002</v>
      </c>
      <c r="F3105">
        <f t="shared" si="195"/>
        <v>18.500999999999998</v>
      </c>
      <c r="G3105">
        <v>228.61699999999999</v>
      </c>
      <c r="H3105">
        <v>11.087</v>
      </c>
      <c r="I3105">
        <v>4.8360000000000003</v>
      </c>
      <c r="J3105">
        <v>11</v>
      </c>
      <c r="K3105">
        <v>220</v>
      </c>
      <c r="L3105">
        <v>114</v>
      </c>
      <c r="M3105" s="1">
        <v>9000000000</v>
      </c>
    </row>
    <row r="3106" spans="1:13" ht="15" customHeight="1">
      <c r="A3106" t="s">
        <v>38</v>
      </c>
      <c r="B3106">
        <f t="shared" si="192"/>
        <v>33.717367000000003</v>
      </c>
      <c r="C3106">
        <f t="shared" si="193"/>
        <v>-117.847031</v>
      </c>
      <c r="D3106">
        <f t="shared" si="194"/>
        <v>70</v>
      </c>
      <c r="E3106">
        <v>52.499000000000002</v>
      </c>
      <c r="F3106">
        <f t="shared" si="195"/>
        <v>17.500999999999998</v>
      </c>
      <c r="G3106">
        <v>108.714</v>
      </c>
      <c r="H3106">
        <v>4.133</v>
      </c>
      <c r="I3106">
        <v>3.7690000000000001</v>
      </c>
      <c r="J3106">
        <v>6</v>
      </c>
      <c r="K3106">
        <v>42</v>
      </c>
      <c r="L3106">
        <v>22</v>
      </c>
      <c r="M3106">
        <v>7.0940000000000003</v>
      </c>
    </row>
    <row r="3107" spans="1:13" ht="15" customHeight="1">
      <c r="A3107" t="s">
        <v>38</v>
      </c>
      <c r="B3107">
        <f t="shared" si="192"/>
        <v>33.717367000000003</v>
      </c>
      <c r="C3107">
        <f t="shared" si="193"/>
        <v>-117.847031</v>
      </c>
      <c r="D3107">
        <f t="shared" si="194"/>
        <v>70</v>
      </c>
      <c r="E3107">
        <v>53.499000000000002</v>
      </c>
      <c r="F3107">
        <f t="shared" si="195"/>
        <v>16.500999999999998</v>
      </c>
      <c r="G3107">
        <v>202.4</v>
      </c>
      <c r="H3107">
        <v>3.0129999999999999</v>
      </c>
      <c r="I3107">
        <v>1.4059999999999999</v>
      </c>
      <c r="J3107">
        <v>8</v>
      </c>
      <c r="K3107">
        <v>51</v>
      </c>
      <c r="L3107">
        <v>26</v>
      </c>
      <c r="M3107" s="1">
        <v>9000000000</v>
      </c>
    </row>
    <row r="3108" spans="1:13" ht="15" customHeight="1">
      <c r="A3108" t="s">
        <v>38</v>
      </c>
      <c r="B3108">
        <f t="shared" si="192"/>
        <v>33.717367000000003</v>
      </c>
      <c r="C3108">
        <f t="shared" si="193"/>
        <v>-117.847031</v>
      </c>
      <c r="D3108">
        <f t="shared" si="194"/>
        <v>70</v>
      </c>
      <c r="E3108">
        <v>54.499000000000002</v>
      </c>
      <c r="F3108">
        <f t="shared" si="195"/>
        <v>15.500999999999998</v>
      </c>
      <c r="G3108">
        <v>238.2</v>
      </c>
      <c r="H3108">
        <v>5.6980000000000004</v>
      </c>
      <c r="I3108">
        <v>1.9390000000000001</v>
      </c>
      <c r="J3108">
        <v>8</v>
      </c>
      <c r="K3108">
        <v>70</v>
      </c>
      <c r="L3108">
        <v>35</v>
      </c>
      <c r="M3108" s="1">
        <v>9000000000</v>
      </c>
    </row>
    <row r="3109" spans="1:13" ht="15" customHeight="1">
      <c r="A3109" t="s">
        <v>38</v>
      </c>
      <c r="B3109">
        <f t="shared" si="192"/>
        <v>33.717367000000003</v>
      </c>
      <c r="C3109">
        <f t="shared" si="193"/>
        <v>-117.847031</v>
      </c>
      <c r="D3109">
        <f t="shared" si="194"/>
        <v>70</v>
      </c>
      <c r="E3109">
        <v>55.499000000000002</v>
      </c>
      <c r="F3109">
        <f t="shared" si="195"/>
        <v>14.500999999999998</v>
      </c>
      <c r="G3109">
        <v>148.6</v>
      </c>
      <c r="H3109">
        <v>3.83</v>
      </c>
      <c r="I3109">
        <v>2.0419999999999998</v>
      </c>
      <c r="J3109">
        <v>7</v>
      </c>
      <c r="K3109">
        <v>60</v>
      </c>
      <c r="L3109">
        <v>30</v>
      </c>
      <c r="M3109" s="1">
        <v>9000000000</v>
      </c>
    </row>
    <row r="3110" spans="1:13" ht="15" customHeight="1">
      <c r="A3110" t="s">
        <v>38</v>
      </c>
      <c r="B3110">
        <f t="shared" si="192"/>
        <v>33.717367000000003</v>
      </c>
      <c r="C3110">
        <f t="shared" si="193"/>
        <v>-117.847031</v>
      </c>
      <c r="D3110">
        <f t="shared" si="194"/>
        <v>70</v>
      </c>
      <c r="E3110">
        <v>56.499000000000002</v>
      </c>
      <c r="F3110">
        <f t="shared" si="195"/>
        <v>13.500999999999998</v>
      </c>
      <c r="G3110">
        <v>167.017</v>
      </c>
      <c r="H3110">
        <v>4.88</v>
      </c>
      <c r="I3110">
        <v>2.5590000000000002</v>
      </c>
      <c r="J3110">
        <v>7</v>
      </c>
      <c r="K3110">
        <v>61</v>
      </c>
      <c r="L3110">
        <v>31</v>
      </c>
      <c r="M3110" s="1">
        <v>9000000000</v>
      </c>
    </row>
    <row r="3111" spans="1:13" ht="15" customHeight="1">
      <c r="A3111" t="s">
        <v>38</v>
      </c>
      <c r="B3111">
        <f t="shared" si="192"/>
        <v>33.717367000000003</v>
      </c>
      <c r="C3111">
        <f t="shared" si="193"/>
        <v>-117.847031</v>
      </c>
      <c r="D3111">
        <f t="shared" si="194"/>
        <v>70</v>
      </c>
      <c r="E3111">
        <v>57.499000000000002</v>
      </c>
      <c r="F3111">
        <f t="shared" si="195"/>
        <v>12.500999999999998</v>
      </c>
      <c r="G3111">
        <v>318.233</v>
      </c>
      <c r="H3111">
        <v>5.48</v>
      </c>
      <c r="I3111">
        <v>1.6739999999999999</v>
      </c>
      <c r="J3111">
        <v>8</v>
      </c>
      <c r="K3111">
        <v>78</v>
      </c>
      <c r="L3111">
        <v>39</v>
      </c>
      <c r="M3111" s="1">
        <v>9000000000</v>
      </c>
    </row>
    <row r="3112" spans="1:13" ht="15" customHeight="1">
      <c r="A3112" t="s">
        <v>38</v>
      </c>
      <c r="B3112">
        <f t="shared" si="192"/>
        <v>33.717367000000003</v>
      </c>
      <c r="C3112">
        <f t="shared" si="193"/>
        <v>-117.847031</v>
      </c>
      <c r="D3112">
        <f t="shared" si="194"/>
        <v>70</v>
      </c>
      <c r="E3112">
        <v>58.499000000000002</v>
      </c>
      <c r="F3112">
        <f t="shared" si="195"/>
        <v>11.500999999999998</v>
      </c>
      <c r="G3112">
        <v>332.4</v>
      </c>
      <c r="H3112">
        <v>5.0049999999999999</v>
      </c>
      <c r="I3112">
        <v>1.4690000000000001</v>
      </c>
      <c r="J3112">
        <v>9</v>
      </c>
      <c r="K3112">
        <v>65</v>
      </c>
      <c r="L3112">
        <v>33</v>
      </c>
      <c r="M3112" s="1">
        <v>9000000000</v>
      </c>
    </row>
    <row r="3113" spans="1:13" ht="15" customHeight="1">
      <c r="A3113" t="s">
        <v>38</v>
      </c>
      <c r="B3113">
        <f t="shared" si="192"/>
        <v>33.717367000000003</v>
      </c>
      <c r="C3113">
        <f t="shared" si="193"/>
        <v>-117.847031</v>
      </c>
      <c r="D3113">
        <f t="shared" si="194"/>
        <v>70</v>
      </c>
      <c r="E3113">
        <v>59.499000000000002</v>
      </c>
      <c r="F3113">
        <f t="shared" si="195"/>
        <v>10.500999999999998</v>
      </c>
      <c r="G3113">
        <v>352.93299999999999</v>
      </c>
      <c r="H3113">
        <v>7.45</v>
      </c>
      <c r="I3113">
        <v>1.897</v>
      </c>
      <c r="J3113">
        <v>8</v>
      </c>
      <c r="K3113">
        <v>94</v>
      </c>
      <c r="L3113">
        <v>47</v>
      </c>
      <c r="M3113" s="1">
        <v>9000000000</v>
      </c>
    </row>
    <row r="3114" spans="1:13" ht="15" customHeight="1">
      <c r="A3114" t="s">
        <v>38</v>
      </c>
      <c r="B3114">
        <f t="shared" si="192"/>
        <v>33.717367000000003</v>
      </c>
      <c r="C3114">
        <f t="shared" si="193"/>
        <v>-117.847031</v>
      </c>
      <c r="D3114">
        <f t="shared" si="194"/>
        <v>70</v>
      </c>
      <c r="E3114">
        <v>60.499000000000002</v>
      </c>
      <c r="F3114">
        <f t="shared" si="195"/>
        <v>9.5009999999999977</v>
      </c>
      <c r="G3114">
        <v>368.38299999999998</v>
      </c>
      <c r="H3114">
        <v>8.9819999999999993</v>
      </c>
      <c r="I3114">
        <v>2.2890000000000001</v>
      </c>
      <c r="J3114">
        <v>8</v>
      </c>
      <c r="K3114">
        <v>94</v>
      </c>
      <c r="L3114">
        <v>47</v>
      </c>
      <c r="M3114" s="1">
        <v>9000000000</v>
      </c>
    </row>
    <row r="3115" spans="1:13" ht="15" customHeight="1">
      <c r="A3115" t="s">
        <v>38</v>
      </c>
      <c r="B3115">
        <f t="shared" si="192"/>
        <v>33.717367000000003</v>
      </c>
      <c r="C3115">
        <f t="shared" si="193"/>
        <v>-117.847031</v>
      </c>
      <c r="D3115">
        <f t="shared" si="194"/>
        <v>70</v>
      </c>
      <c r="E3115">
        <v>61.499000000000002</v>
      </c>
      <c r="F3115">
        <f t="shared" si="195"/>
        <v>8.5009999999999977</v>
      </c>
      <c r="G3115">
        <v>223.46700000000001</v>
      </c>
      <c r="H3115">
        <v>5.0830000000000002</v>
      </c>
      <c r="I3115">
        <v>1.8919999999999999</v>
      </c>
      <c r="J3115">
        <v>8</v>
      </c>
      <c r="K3115">
        <v>64</v>
      </c>
      <c r="L3115">
        <v>32</v>
      </c>
      <c r="M3115" s="1">
        <v>9000000000</v>
      </c>
    </row>
    <row r="3116" spans="1:13" ht="15" customHeight="1">
      <c r="A3116" t="s">
        <v>38</v>
      </c>
      <c r="B3116">
        <f t="shared" si="192"/>
        <v>33.717367000000003</v>
      </c>
      <c r="C3116">
        <f t="shared" si="193"/>
        <v>-117.847031</v>
      </c>
      <c r="D3116">
        <f t="shared" si="194"/>
        <v>70</v>
      </c>
      <c r="E3116">
        <v>62.499000000000002</v>
      </c>
      <c r="F3116">
        <f t="shared" si="195"/>
        <v>7.5009999999999977</v>
      </c>
      <c r="G3116">
        <v>42.8</v>
      </c>
      <c r="H3116">
        <v>1.417</v>
      </c>
      <c r="I3116">
        <v>1.4359999999999999</v>
      </c>
      <c r="J3116">
        <v>8</v>
      </c>
      <c r="K3116">
        <v>24</v>
      </c>
      <c r="L3116">
        <v>12</v>
      </c>
      <c r="M3116" s="1">
        <v>9000000000</v>
      </c>
    </row>
    <row r="3117" spans="1:13" ht="15" customHeight="1">
      <c r="A3117" t="s">
        <v>38</v>
      </c>
      <c r="B3117">
        <f t="shared" si="192"/>
        <v>33.717367000000003</v>
      </c>
      <c r="C3117">
        <f t="shared" si="193"/>
        <v>-117.847031</v>
      </c>
      <c r="D3117">
        <f t="shared" si="194"/>
        <v>70</v>
      </c>
      <c r="E3117">
        <v>63.499000000000002</v>
      </c>
      <c r="F3117">
        <f t="shared" si="195"/>
        <v>6.5009999999999977</v>
      </c>
      <c r="G3117">
        <v>35.383000000000003</v>
      </c>
      <c r="H3117">
        <v>0.99</v>
      </c>
      <c r="I3117">
        <v>1.0840000000000001</v>
      </c>
      <c r="J3117">
        <v>8</v>
      </c>
      <c r="K3117">
        <v>22</v>
      </c>
      <c r="L3117">
        <v>11</v>
      </c>
      <c r="M3117" s="1">
        <v>9000000000</v>
      </c>
    </row>
    <row r="3118" spans="1:13" ht="15" customHeight="1">
      <c r="A3118" t="s">
        <v>38</v>
      </c>
      <c r="B3118">
        <f t="shared" si="192"/>
        <v>33.717367000000003</v>
      </c>
      <c r="C3118">
        <f t="shared" si="193"/>
        <v>-117.847031</v>
      </c>
      <c r="D3118">
        <f t="shared" si="194"/>
        <v>70</v>
      </c>
      <c r="E3118">
        <v>64.498999999999995</v>
      </c>
      <c r="F3118">
        <f t="shared" si="195"/>
        <v>5.5010000000000048</v>
      </c>
      <c r="G3118">
        <v>33.35</v>
      </c>
      <c r="H3118">
        <v>0.877</v>
      </c>
      <c r="I3118">
        <v>0.98099999999999998</v>
      </c>
      <c r="J3118">
        <v>8</v>
      </c>
      <c r="K3118">
        <v>21</v>
      </c>
      <c r="L3118">
        <v>11</v>
      </c>
      <c r="M3118" s="1">
        <v>9000000000</v>
      </c>
    </row>
    <row r="3119" spans="1:13" ht="15" customHeight="1">
      <c r="A3119" t="s">
        <v>38</v>
      </c>
      <c r="B3119">
        <f t="shared" si="192"/>
        <v>33.717367000000003</v>
      </c>
      <c r="C3119">
        <f t="shared" si="193"/>
        <v>-117.847031</v>
      </c>
      <c r="D3119">
        <f t="shared" si="194"/>
        <v>70</v>
      </c>
      <c r="E3119">
        <v>65.498999999999995</v>
      </c>
      <c r="F3119">
        <f t="shared" si="195"/>
        <v>4.5010000000000048</v>
      </c>
      <c r="G3119">
        <v>34.950000000000003</v>
      </c>
      <c r="H3119">
        <v>1.0269999999999999</v>
      </c>
      <c r="I3119">
        <v>1.129</v>
      </c>
      <c r="J3119">
        <v>8</v>
      </c>
      <c r="K3119">
        <v>22</v>
      </c>
      <c r="L3119">
        <v>11</v>
      </c>
      <c r="M3119" s="1">
        <v>9000000000</v>
      </c>
    </row>
    <row r="3120" spans="1:13" ht="15" customHeight="1">
      <c r="A3120" t="s">
        <v>38</v>
      </c>
      <c r="B3120">
        <f t="shared" si="192"/>
        <v>33.717367000000003</v>
      </c>
      <c r="C3120">
        <f t="shared" si="193"/>
        <v>-117.847031</v>
      </c>
      <c r="D3120">
        <f t="shared" si="194"/>
        <v>70</v>
      </c>
      <c r="E3120">
        <v>66.498999999999995</v>
      </c>
      <c r="F3120">
        <f t="shared" si="195"/>
        <v>3.5010000000000048</v>
      </c>
      <c r="G3120">
        <v>30.15</v>
      </c>
      <c r="H3120">
        <v>0.86799999999999999</v>
      </c>
      <c r="I3120">
        <v>1.0089999999999999</v>
      </c>
      <c r="J3120">
        <v>8</v>
      </c>
      <c r="K3120">
        <v>21</v>
      </c>
      <c r="L3120">
        <v>11</v>
      </c>
      <c r="M3120" s="1">
        <v>9000000000</v>
      </c>
    </row>
    <row r="3121" spans="1:13" ht="15" customHeight="1">
      <c r="A3121" t="s">
        <v>38</v>
      </c>
      <c r="B3121">
        <f t="shared" si="192"/>
        <v>33.717367000000003</v>
      </c>
      <c r="C3121">
        <f t="shared" si="193"/>
        <v>-117.847031</v>
      </c>
      <c r="D3121">
        <f t="shared" si="194"/>
        <v>70</v>
      </c>
      <c r="E3121">
        <v>67.498999999999995</v>
      </c>
      <c r="F3121">
        <f t="shared" si="195"/>
        <v>2.5010000000000048</v>
      </c>
      <c r="G3121">
        <v>47.466999999999999</v>
      </c>
      <c r="H3121">
        <v>2.1669999999999998</v>
      </c>
      <c r="I3121">
        <v>2.0939999999999999</v>
      </c>
      <c r="J3121">
        <v>7</v>
      </c>
      <c r="K3121">
        <v>33</v>
      </c>
      <c r="L3121">
        <v>17</v>
      </c>
      <c r="M3121" s="1">
        <v>9000000000</v>
      </c>
    </row>
    <row r="3122" spans="1:13" ht="15" customHeight="1">
      <c r="A3122" t="s">
        <v>38</v>
      </c>
      <c r="B3122">
        <f t="shared" si="192"/>
        <v>33.717367000000003</v>
      </c>
      <c r="C3122">
        <f t="shared" si="193"/>
        <v>-117.847031</v>
      </c>
      <c r="D3122">
        <f t="shared" si="194"/>
        <v>70</v>
      </c>
      <c r="E3122">
        <v>68.498999999999995</v>
      </c>
      <c r="F3122">
        <f t="shared" si="195"/>
        <v>1.5010000000000048</v>
      </c>
      <c r="G3122">
        <v>43.582999999999998</v>
      </c>
      <c r="H3122">
        <v>1.6719999999999999</v>
      </c>
      <c r="I3122">
        <v>1.679</v>
      </c>
      <c r="J3122">
        <v>7</v>
      </c>
      <c r="K3122">
        <v>32</v>
      </c>
      <c r="L3122">
        <v>16</v>
      </c>
      <c r="M3122" s="1">
        <v>9000000000</v>
      </c>
    </row>
    <row r="3123" spans="1:13" ht="15" customHeight="1">
      <c r="A3123" t="s">
        <v>38</v>
      </c>
      <c r="B3123">
        <f t="shared" si="192"/>
        <v>33.717367000000003</v>
      </c>
      <c r="C3123">
        <f t="shared" si="193"/>
        <v>-117.847031</v>
      </c>
      <c r="D3123">
        <f t="shared" si="194"/>
        <v>70</v>
      </c>
      <c r="E3123">
        <v>69.498999999999995</v>
      </c>
      <c r="F3123">
        <f t="shared" si="195"/>
        <v>0.50100000000000477</v>
      </c>
      <c r="G3123">
        <v>176.017</v>
      </c>
      <c r="H3123">
        <v>5.7770000000000001</v>
      </c>
      <c r="I3123">
        <v>2.4900000000000002</v>
      </c>
      <c r="J3123">
        <v>7</v>
      </c>
      <c r="K3123">
        <v>74</v>
      </c>
      <c r="L3123">
        <v>37</v>
      </c>
      <c r="M3123" s="1">
        <v>9000000000</v>
      </c>
    </row>
    <row r="3124" spans="1:13" ht="15" customHeight="1">
      <c r="A3124" t="s">
        <v>38</v>
      </c>
      <c r="B3124">
        <f t="shared" si="192"/>
        <v>33.717367000000003</v>
      </c>
      <c r="C3124">
        <f t="shared" si="193"/>
        <v>-117.847031</v>
      </c>
      <c r="D3124">
        <f t="shared" si="194"/>
        <v>70</v>
      </c>
      <c r="E3124">
        <v>70.498999999999995</v>
      </c>
      <c r="F3124">
        <f t="shared" si="195"/>
        <v>-0.49899999999999523</v>
      </c>
      <c r="G3124">
        <v>59.75</v>
      </c>
      <c r="H3124">
        <v>2.165</v>
      </c>
      <c r="I3124">
        <v>1.871</v>
      </c>
      <c r="J3124">
        <v>7</v>
      </c>
      <c r="K3124">
        <v>37</v>
      </c>
      <c r="L3124">
        <v>19</v>
      </c>
      <c r="M3124" s="1">
        <v>9000000000</v>
      </c>
    </row>
    <row r="3125" spans="1:13" ht="15" customHeight="1">
      <c r="A3125" t="s">
        <v>38</v>
      </c>
      <c r="B3125">
        <f t="shared" si="192"/>
        <v>33.717367000000003</v>
      </c>
      <c r="C3125">
        <f t="shared" si="193"/>
        <v>-117.847031</v>
      </c>
      <c r="D3125">
        <f t="shared" si="194"/>
        <v>70</v>
      </c>
      <c r="E3125">
        <v>71.498999999999995</v>
      </c>
      <c r="F3125">
        <f t="shared" si="195"/>
        <v>-1.4989999999999952</v>
      </c>
      <c r="G3125">
        <v>29.317</v>
      </c>
      <c r="H3125">
        <v>0.877</v>
      </c>
      <c r="I3125">
        <v>1.4179999999999999</v>
      </c>
      <c r="J3125">
        <v>7</v>
      </c>
      <c r="K3125">
        <v>20</v>
      </c>
      <c r="L3125">
        <v>10</v>
      </c>
      <c r="M3125" s="1">
        <v>9000000000</v>
      </c>
    </row>
    <row r="3126" spans="1:13" ht="15" customHeight="1">
      <c r="A3126" t="s">
        <v>38</v>
      </c>
      <c r="B3126">
        <f t="shared" si="192"/>
        <v>33.717367000000003</v>
      </c>
      <c r="C3126">
        <f t="shared" si="193"/>
        <v>-117.847031</v>
      </c>
      <c r="D3126">
        <f t="shared" si="194"/>
        <v>70</v>
      </c>
      <c r="E3126">
        <v>72.498999999999995</v>
      </c>
      <c r="F3126">
        <f t="shared" si="195"/>
        <v>-2.4989999999999952</v>
      </c>
      <c r="G3126">
        <v>26.143000000000001</v>
      </c>
      <c r="H3126">
        <v>0.93600000000000005</v>
      </c>
      <c r="I3126">
        <v>3.5230000000000001</v>
      </c>
      <c r="J3126">
        <v>5</v>
      </c>
      <c r="K3126">
        <v>13</v>
      </c>
      <c r="L3126">
        <v>7</v>
      </c>
      <c r="M3126">
        <v>1.472</v>
      </c>
    </row>
    <row r="3127" spans="1:13" ht="15" customHeight="1">
      <c r="A3127" t="s">
        <v>38</v>
      </c>
      <c r="B3127">
        <f t="shared" si="192"/>
        <v>33.717367000000003</v>
      </c>
      <c r="C3127">
        <f t="shared" si="193"/>
        <v>-117.847031</v>
      </c>
      <c r="D3127">
        <f t="shared" si="194"/>
        <v>70</v>
      </c>
      <c r="E3127">
        <v>73.498999999999995</v>
      </c>
      <c r="F3127">
        <f t="shared" si="195"/>
        <v>-3.4989999999999952</v>
      </c>
      <c r="G3127">
        <v>90.582999999999998</v>
      </c>
      <c r="H3127">
        <v>3.0529999999999999</v>
      </c>
      <c r="I3127">
        <v>3.3330000000000002</v>
      </c>
      <c r="J3127">
        <v>6</v>
      </c>
      <c r="K3127">
        <v>35</v>
      </c>
      <c r="L3127">
        <v>18</v>
      </c>
      <c r="M3127">
        <v>5.8049999999999997</v>
      </c>
    </row>
    <row r="3128" spans="1:13" ht="15" customHeight="1">
      <c r="A3128" t="s">
        <v>38</v>
      </c>
      <c r="B3128">
        <f t="shared" si="192"/>
        <v>33.717367000000003</v>
      </c>
      <c r="C3128">
        <f t="shared" si="193"/>
        <v>-117.847031</v>
      </c>
      <c r="D3128">
        <f t="shared" si="194"/>
        <v>70</v>
      </c>
      <c r="E3128">
        <v>74.498999999999995</v>
      </c>
      <c r="F3128">
        <f t="shared" si="195"/>
        <v>-4.4989999999999952</v>
      </c>
      <c r="G3128">
        <v>62.917000000000002</v>
      </c>
      <c r="H3128">
        <v>3.2629999999999999</v>
      </c>
      <c r="I3128">
        <v>3.8140000000000001</v>
      </c>
      <c r="J3128">
        <v>5</v>
      </c>
      <c r="K3128">
        <v>41</v>
      </c>
      <c r="L3128">
        <v>21</v>
      </c>
      <c r="M3128">
        <v>5.3979999999999997</v>
      </c>
    </row>
    <row r="3129" spans="1:13" ht="15" customHeight="1">
      <c r="A3129" t="s">
        <v>38</v>
      </c>
      <c r="B3129">
        <f t="shared" si="192"/>
        <v>33.717367000000003</v>
      </c>
      <c r="C3129">
        <f t="shared" si="193"/>
        <v>-117.847031</v>
      </c>
      <c r="D3129">
        <f t="shared" si="194"/>
        <v>70</v>
      </c>
      <c r="E3129">
        <v>75.498999999999995</v>
      </c>
      <c r="F3129">
        <f t="shared" si="195"/>
        <v>-5.4989999999999952</v>
      </c>
      <c r="G3129">
        <v>68.650000000000006</v>
      </c>
      <c r="H3129">
        <v>3.29</v>
      </c>
      <c r="I3129">
        <v>3.1240000000000001</v>
      </c>
      <c r="J3129">
        <v>6</v>
      </c>
      <c r="K3129">
        <v>40</v>
      </c>
      <c r="L3129">
        <v>20</v>
      </c>
      <c r="M3129">
        <v>6.7089999999999996</v>
      </c>
    </row>
    <row r="3130" spans="1:13" ht="15" customHeight="1">
      <c r="A3130" t="s">
        <v>38</v>
      </c>
      <c r="B3130">
        <f t="shared" si="192"/>
        <v>33.717367000000003</v>
      </c>
      <c r="C3130">
        <f t="shared" si="193"/>
        <v>-117.847031</v>
      </c>
      <c r="D3130">
        <f t="shared" si="194"/>
        <v>70</v>
      </c>
      <c r="E3130">
        <v>76.498999999999995</v>
      </c>
      <c r="F3130">
        <f t="shared" si="195"/>
        <v>-6.4989999999999952</v>
      </c>
      <c r="G3130">
        <v>20.332999999999998</v>
      </c>
      <c r="H3130">
        <v>0.7</v>
      </c>
      <c r="I3130">
        <v>1.0469999999999999</v>
      </c>
      <c r="J3130">
        <v>8</v>
      </c>
      <c r="K3130">
        <v>16</v>
      </c>
      <c r="L3130">
        <v>8</v>
      </c>
      <c r="M3130" s="1">
        <v>9000000000</v>
      </c>
    </row>
    <row r="3131" spans="1:13" ht="15" customHeight="1">
      <c r="A3131" t="s">
        <v>38</v>
      </c>
      <c r="B3131">
        <f t="shared" si="192"/>
        <v>33.717367000000003</v>
      </c>
      <c r="C3131">
        <f t="shared" si="193"/>
        <v>-117.847031</v>
      </c>
      <c r="D3131">
        <f t="shared" si="194"/>
        <v>70</v>
      </c>
      <c r="E3131">
        <v>77.498999999999995</v>
      </c>
      <c r="F3131">
        <f t="shared" si="195"/>
        <v>-7.4989999999999952</v>
      </c>
      <c r="G3131">
        <v>21.9</v>
      </c>
      <c r="H3131">
        <v>0.70199999999999996</v>
      </c>
      <c r="I3131">
        <v>1.149</v>
      </c>
      <c r="J3131">
        <v>7</v>
      </c>
      <c r="K3131">
        <v>20</v>
      </c>
      <c r="L3131">
        <v>10</v>
      </c>
      <c r="M3131" s="1">
        <v>9000000000</v>
      </c>
    </row>
    <row r="3132" spans="1:13" ht="15" customHeight="1">
      <c r="A3132" t="s">
        <v>38</v>
      </c>
      <c r="B3132">
        <f t="shared" si="192"/>
        <v>33.717367000000003</v>
      </c>
      <c r="C3132">
        <f t="shared" si="193"/>
        <v>-117.847031</v>
      </c>
      <c r="D3132">
        <f t="shared" si="194"/>
        <v>70</v>
      </c>
      <c r="E3132">
        <v>78.498999999999995</v>
      </c>
      <c r="F3132">
        <f t="shared" si="195"/>
        <v>-8.4989999999999952</v>
      </c>
      <c r="G3132">
        <v>24.483000000000001</v>
      </c>
      <c r="H3132">
        <v>0.79800000000000004</v>
      </c>
      <c r="I3132">
        <v>1.5780000000000001</v>
      </c>
      <c r="J3132">
        <v>7</v>
      </c>
      <c r="K3132">
        <v>16</v>
      </c>
      <c r="L3132">
        <v>8</v>
      </c>
      <c r="M3132" s="1">
        <v>9000000000</v>
      </c>
    </row>
    <row r="3133" spans="1:13" ht="15" customHeight="1">
      <c r="A3133" t="s">
        <v>38</v>
      </c>
      <c r="B3133">
        <f t="shared" si="192"/>
        <v>33.717367000000003</v>
      </c>
      <c r="C3133">
        <f t="shared" si="193"/>
        <v>-117.847031</v>
      </c>
      <c r="D3133">
        <f t="shared" si="194"/>
        <v>70</v>
      </c>
      <c r="E3133">
        <v>79.498999999999995</v>
      </c>
      <c r="F3133">
        <f t="shared" si="195"/>
        <v>-9.4989999999999952</v>
      </c>
      <c r="G3133">
        <v>51.167000000000002</v>
      </c>
      <c r="H3133">
        <v>1.25</v>
      </c>
      <c r="I3133">
        <v>2.0219999999999998</v>
      </c>
      <c r="J3133">
        <v>7</v>
      </c>
      <c r="K3133">
        <v>20</v>
      </c>
      <c r="L3133">
        <v>10</v>
      </c>
      <c r="M3133" s="1">
        <v>9000000000</v>
      </c>
    </row>
    <row r="3134" spans="1:13" ht="15" customHeight="1">
      <c r="A3134" t="s">
        <v>38</v>
      </c>
      <c r="B3134">
        <f t="shared" si="192"/>
        <v>33.717367000000003</v>
      </c>
      <c r="C3134">
        <f t="shared" si="193"/>
        <v>-117.847031</v>
      </c>
      <c r="D3134">
        <f t="shared" si="194"/>
        <v>70</v>
      </c>
      <c r="E3134">
        <v>80.498999999999995</v>
      </c>
      <c r="F3134">
        <f t="shared" si="195"/>
        <v>-10.498999999999995</v>
      </c>
      <c r="G3134">
        <v>184.517</v>
      </c>
      <c r="H3134">
        <v>3.008</v>
      </c>
      <c r="I3134">
        <v>1.49</v>
      </c>
      <c r="J3134">
        <v>8</v>
      </c>
      <c r="K3134">
        <v>48</v>
      </c>
      <c r="L3134">
        <v>24</v>
      </c>
      <c r="M3134" s="1">
        <v>9000000000</v>
      </c>
    </row>
    <row r="3135" spans="1:13" ht="15" customHeight="1">
      <c r="A3135" t="s">
        <v>38</v>
      </c>
      <c r="B3135">
        <f t="shared" si="192"/>
        <v>33.717367000000003</v>
      </c>
      <c r="C3135">
        <f t="shared" si="193"/>
        <v>-117.847031</v>
      </c>
      <c r="D3135">
        <f t="shared" si="194"/>
        <v>70</v>
      </c>
      <c r="E3135">
        <v>81.498999999999995</v>
      </c>
      <c r="F3135">
        <f t="shared" si="195"/>
        <v>-11.498999999999995</v>
      </c>
      <c r="G3135">
        <v>131.333</v>
      </c>
      <c r="H3135">
        <v>3.722</v>
      </c>
      <c r="I3135">
        <v>2.42</v>
      </c>
      <c r="J3135">
        <v>7</v>
      </c>
      <c r="K3135">
        <v>49</v>
      </c>
      <c r="L3135">
        <v>25</v>
      </c>
      <c r="M3135" s="1">
        <v>9000000000</v>
      </c>
    </row>
    <row r="3136" spans="1:13" ht="15" customHeight="1">
      <c r="A3136" t="s">
        <v>38</v>
      </c>
      <c r="B3136">
        <f t="shared" si="192"/>
        <v>33.717367000000003</v>
      </c>
      <c r="C3136">
        <f t="shared" si="193"/>
        <v>-117.847031</v>
      </c>
      <c r="D3136">
        <f t="shared" si="194"/>
        <v>70</v>
      </c>
      <c r="E3136">
        <v>82.498999999999995</v>
      </c>
      <c r="F3136">
        <f t="shared" si="195"/>
        <v>-12.498999999999995</v>
      </c>
      <c r="G3136">
        <v>133.43299999999999</v>
      </c>
      <c r="H3136">
        <v>2.4580000000000002</v>
      </c>
      <c r="I3136">
        <v>1.591</v>
      </c>
      <c r="J3136">
        <v>8</v>
      </c>
      <c r="K3136">
        <v>37</v>
      </c>
      <c r="L3136">
        <v>19</v>
      </c>
      <c r="M3136" s="1">
        <v>9000000000</v>
      </c>
    </row>
    <row r="3137" spans="1:13" ht="15" customHeight="1">
      <c r="A3137" t="s">
        <v>38</v>
      </c>
      <c r="B3137">
        <f t="shared" si="192"/>
        <v>33.717367000000003</v>
      </c>
      <c r="C3137">
        <f t="shared" si="193"/>
        <v>-117.847031</v>
      </c>
      <c r="D3137">
        <f t="shared" si="194"/>
        <v>70</v>
      </c>
      <c r="E3137">
        <v>83.498999999999995</v>
      </c>
      <c r="F3137">
        <f t="shared" si="195"/>
        <v>-13.498999999999995</v>
      </c>
      <c r="G3137">
        <v>73.213999999999999</v>
      </c>
      <c r="H3137">
        <v>2.2469999999999999</v>
      </c>
      <c r="I3137">
        <v>2.16</v>
      </c>
      <c r="J3137">
        <v>7</v>
      </c>
      <c r="K3137">
        <v>33</v>
      </c>
      <c r="L3137">
        <v>17</v>
      </c>
      <c r="M3137" s="1">
        <v>9000000000</v>
      </c>
    </row>
    <row r="3138" spans="1:13" ht="15" customHeight="1">
      <c r="A3138" t="s">
        <v>38</v>
      </c>
      <c r="B3138">
        <f t="shared" ref="B3138:B3201" si="196">VLOOKUP(A3138,XYdata,3,FALSE)</f>
        <v>33.717367000000003</v>
      </c>
      <c r="C3138">
        <f t="shared" ref="C3138:C3201" si="197">VLOOKUP(A3138,XYdata,2,FALSE)</f>
        <v>-117.847031</v>
      </c>
      <c r="D3138">
        <f t="shared" ref="D3138:D3201" si="198">VLOOKUP(A3138,Elevation,2,FALSE)</f>
        <v>70</v>
      </c>
      <c r="E3138">
        <v>84.498999999999995</v>
      </c>
      <c r="F3138">
        <f t="shared" si="195"/>
        <v>-14.498999999999995</v>
      </c>
      <c r="G3138">
        <v>37.533000000000001</v>
      </c>
      <c r="H3138">
        <v>1.673</v>
      </c>
      <c r="I3138">
        <v>2.222</v>
      </c>
      <c r="J3138">
        <v>7</v>
      </c>
      <c r="K3138">
        <v>24</v>
      </c>
      <c r="L3138">
        <v>12</v>
      </c>
      <c r="M3138" s="1">
        <v>9000000000</v>
      </c>
    </row>
    <row r="3139" spans="1:13" ht="15" customHeight="1">
      <c r="A3139" t="s">
        <v>38</v>
      </c>
      <c r="B3139">
        <f t="shared" si="196"/>
        <v>33.717367000000003</v>
      </c>
      <c r="C3139">
        <f t="shared" si="197"/>
        <v>-117.847031</v>
      </c>
      <c r="D3139">
        <f t="shared" si="198"/>
        <v>70</v>
      </c>
      <c r="E3139">
        <v>85.498999999999995</v>
      </c>
      <c r="F3139">
        <f t="shared" ref="F3139:F3202" si="199">D3139-E3139</f>
        <v>-15.498999999999995</v>
      </c>
      <c r="G3139">
        <v>29.067</v>
      </c>
      <c r="H3139">
        <v>1.052</v>
      </c>
      <c r="I3139">
        <v>2.0259999999999998</v>
      </c>
      <c r="J3139">
        <v>6</v>
      </c>
      <c r="K3139">
        <v>20</v>
      </c>
      <c r="L3139">
        <v>10</v>
      </c>
      <c r="M3139">
        <v>3.11</v>
      </c>
    </row>
    <row r="3140" spans="1:13" ht="15" customHeight="1">
      <c r="A3140" t="s">
        <v>38</v>
      </c>
      <c r="B3140">
        <f t="shared" si="196"/>
        <v>33.717367000000003</v>
      </c>
      <c r="C3140">
        <f t="shared" si="197"/>
        <v>-117.847031</v>
      </c>
      <c r="D3140">
        <f t="shared" si="198"/>
        <v>70</v>
      </c>
      <c r="E3140">
        <v>86.498999999999995</v>
      </c>
      <c r="F3140">
        <f t="shared" si="199"/>
        <v>-16.498999999999995</v>
      </c>
      <c r="G3140">
        <v>24.132999999999999</v>
      </c>
      <c r="H3140">
        <v>0.66200000000000003</v>
      </c>
      <c r="I3140">
        <v>1.6319999999999999</v>
      </c>
      <c r="J3140">
        <v>7</v>
      </c>
      <c r="K3140">
        <v>13</v>
      </c>
      <c r="L3140">
        <v>7</v>
      </c>
      <c r="M3140" s="1">
        <v>9000000000</v>
      </c>
    </row>
    <row r="3141" spans="1:13" ht="15" customHeight="1">
      <c r="A3141" t="s">
        <v>38</v>
      </c>
      <c r="B3141">
        <f t="shared" si="196"/>
        <v>33.717367000000003</v>
      </c>
      <c r="C3141">
        <f t="shared" si="197"/>
        <v>-117.847031</v>
      </c>
      <c r="D3141">
        <f t="shared" si="198"/>
        <v>70</v>
      </c>
      <c r="E3141">
        <v>87.498999999999995</v>
      </c>
      <c r="F3141">
        <f t="shared" si="199"/>
        <v>-17.498999999999995</v>
      </c>
      <c r="G3141">
        <v>22.582999999999998</v>
      </c>
      <c r="H3141">
        <v>0.56999999999999995</v>
      </c>
      <c r="I3141">
        <v>1.2849999999999999</v>
      </c>
      <c r="J3141">
        <v>7</v>
      </c>
      <c r="K3141">
        <v>14</v>
      </c>
      <c r="L3141">
        <v>7</v>
      </c>
      <c r="M3141" s="1">
        <v>9000000000</v>
      </c>
    </row>
    <row r="3142" spans="1:13" ht="15" customHeight="1">
      <c r="A3142" t="s">
        <v>38</v>
      </c>
      <c r="B3142">
        <f t="shared" si="196"/>
        <v>33.717367000000003</v>
      </c>
      <c r="C3142">
        <f t="shared" si="197"/>
        <v>-117.847031</v>
      </c>
      <c r="D3142">
        <f t="shared" si="198"/>
        <v>70</v>
      </c>
      <c r="E3142">
        <v>88.498999999999995</v>
      </c>
      <c r="F3142">
        <f t="shared" si="199"/>
        <v>-18.498999999999995</v>
      </c>
      <c r="G3142">
        <v>27.033000000000001</v>
      </c>
      <c r="H3142">
        <v>0.83</v>
      </c>
      <c r="I3142">
        <v>1.81</v>
      </c>
      <c r="J3142">
        <v>7</v>
      </c>
      <c r="K3142">
        <v>15</v>
      </c>
      <c r="L3142">
        <v>8</v>
      </c>
      <c r="M3142" s="1">
        <v>9000000000</v>
      </c>
    </row>
    <row r="3143" spans="1:13" ht="15" customHeight="1">
      <c r="A3143" t="s">
        <v>38</v>
      </c>
      <c r="B3143">
        <f t="shared" si="196"/>
        <v>33.717367000000003</v>
      </c>
      <c r="C3143">
        <f t="shared" si="197"/>
        <v>-117.847031</v>
      </c>
      <c r="D3143">
        <f t="shared" si="198"/>
        <v>70</v>
      </c>
      <c r="E3143">
        <v>89.498999999999995</v>
      </c>
      <c r="F3143">
        <f t="shared" si="199"/>
        <v>-19.498999999999995</v>
      </c>
      <c r="G3143">
        <v>36.450000000000003</v>
      </c>
      <c r="H3143">
        <v>1.27</v>
      </c>
      <c r="I3143">
        <v>2.2330000000000001</v>
      </c>
      <c r="J3143">
        <v>6</v>
      </c>
      <c r="K3143">
        <v>22</v>
      </c>
      <c r="L3143">
        <v>11</v>
      </c>
      <c r="M3143">
        <v>3.4249999999999998</v>
      </c>
    </row>
    <row r="3144" spans="1:13" ht="15" customHeight="1">
      <c r="A3144" t="s">
        <v>38</v>
      </c>
      <c r="B3144">
        <f t="shared" si="196"/>
        <v>33.717367000000003</v>
      </c>
      <c r="C3144">
        <f t="shared" si="197"/>
        <v>-117.847031</v>
      </c>
      <c r="D3144">
        <f t="shared" si="198"/>
        <v>70</v>
      </c>
      <c r="E3144">
        <v>90.498999999999995</v>
      </c>
      <c r="F3144">
        <f t="shared" si="199"/>
        <v>-20.498999999999995</v>
      </c>
      <c r="G3144">
        <v>41.366999999999997</v>
      </c>
      <c r="H3144">
        <v>2.145</v>
      </c>
      <c r="I3144">
        <v>4.069</v>
      </c>
      <c r="J3144">
        <v>5</v>
      </c>
      <c r="K3144">
        <v>25</v>
      </c>
      <c r="L3144">
        <v>13</v>
      </c>
      <c r="M3144">
        <v>3.1429999999999998</v>
      </c>
    </row>
    <row r="3145" spans="1:13" ht="15" customHeight="1">
      <c r="A3145" t="s">
        <v>38</v>
      </c>
      <c r="B3145">
        <f t="shared" si="196"/>
        <v>33.717367000000003</v>
      </c>
      <c r="C3145">
        <f t="shared" si="197"/>
        <v>-117.847031</v>
      </c>
      <c r="D3145">
        <f t="shared" si="198"/>
        <v>70</v>
      </c>
      <c r="E3145">
        <v>91.498999999999995</v>
      </c>
      <c r="F3145">
        <f t="shared" si="199"/>
        <v>-21.498999999999995</v>
      </c>
      <c r="G3145">
        <v>70.283000000000001</v>
      </c>
      <c r="H3145">
        <v>2.83</v>
      </c>
      <c r="I3145">
        <v>3.4460000000000002</v>
      </c>
      <c r="J3145">
        <v>6</v>
      </c>
      <c r="K3145">
        <v>31</v>
      </c>
      <c r="L3145">
        <v>16</v>
      </c>
      <c r="M3145">
        <v>5.0999999999999996</v>
      </c>
    </row>
    <row r="3146" spans="1:13" ht="15" customHeight="1">
      <c r="A3146" t="s">
        <v>38</v>
      </c>
      <c r="B3146">
        <f t="shared" si="196"/>
        <v>33.717367000000003</v>
      </c>
      <c r="C3146">
        <f t="shared" si="197"/>
        <v>-117.847031</v>
      </c>
      <c r="D3146">
        <f t="shared" si="198"/>
        <v>70</v>
      </c>
      <c r="E3146">
        <v>92.498999999999995</v>
      </c>
      <c r="F3146">
        <f t="shared" si="199"/>
        <v>-22.498999999999995</v>
      </c>
      <c r="G3146">
        <v>111.367</v>
      </c>
      <c r="H3146">
        <v>3.9870000000000001</v>
      </c>
      <c r="I3146">
        <v>3.1019999999999999</v>
      </c>
      <c r="J3146">
        <v>6</v>
      </c>
      <c r="K3146">
        <v>49</v>
      </c>
      <c r="L3146">
        <v>25</v>
      </c>
      <c r="M3146">
        <v>8.1890000000000001</v>
      </c>
    </row>
    <row r="3147" spans="1:13" ht="15" customHeight="1">
      <c r="A3147" t="s">
        <v>38</v>
      </c>
      <c r="B3147">
        <f t="shared" si="196"/>
        <v>33.717367000000003</v>
      </c>
      <c r="C3147">
        <f t="shared" si="197"/>
        <v>-117.847031</v>
      </c>
      <c r="D3147">
        <f t="shared" si="198"/>
        <v>70</v>
      </c>
      <c r="E3147">
        <v>93.498999999999995</v>
      </c>
      <c r="F3147">
        <f t="shared" si="199"/>
        <v>-23.498999999999995</v>
      </c>
      <c r="G3147">
        <v>82.242999999999995</v>
      </c>
      <c r="H3147">
        <v>2.5129999999999999</v>
      </c>
      <c r="I3147">
        <v>2.5779999999999998</v>
      </c>
      <c r="J3147">
        <v>6</v>
      </c>
      <c r="K3147">
        <v>37</v>
      </c>
      <c r="L3147">
        <v>19</v>
      </c>
      <c r="M3147">
        <v>6.1150000000000002</v>
      </c>
    </row>
    <row r="3148" spans="1:13" ht="15" customHeight="1">
      <c r="A3148" t="s">
        <v>38</v>
      </c>
      <c r="B3148">
        <f t="shared" si="196"/>
        <v>33.717367000000003</v>
      </c>
      <c r="C3148">
        <f t="shared" si="197"/>
        <v>-117.847031</v>
      </c>
      <c r="D3148">
        <f t="shared" si="198"/>
        <v>70</v>
      </c>
      <c r="E3148">
        <v>94.498999999999995</v>
      </c>
      <c r="F3148">
        <f t="shared" si="199"/>
        <v>-24.498999999999995</v>
      </c>
      <c r="G3148">
        <v>33.1</v>
      </c>
      <c r="H3148">
        <v>1.1299999999999999</v>
      </c>
      <c r="I3148">
        <v>3.4159999999999999</v>
      </c>
      <c r="J3148">
        <v>5</v>
      </c>
      <c r="K3148">
        <v>16</v>
      </c>
      <c r="L3148">
        <v>8</v>
      </c>
      <c r="M3148">
        <v>1.8169999999999999</v>
      </c>
    </row>
    <row r="3149" spans="1:13" ht="15" customHeight="1">
      <c r="A3149" t="s">
        <v>38</v>
      </c>
      <c r="B3149">
        <f t="shared" si="196"/>
        <v>33.717367000000003</v>
      </c>
      <c r="C3149">
        <f t="shared" si="197"/>
        <v>-117.847031</v>
      </c>
      <c r="D3149">
        <f t="shared" si="198"/>
        <v>70</v>
      </c>
      <c r="E3149">
        <v>95.498999999999995</v>
      </c>
      <c r="F3149">
        <f t="shared" si="199"/>
        <v>-25.498999999999995</v>
      </c>
      <c r="G3149">
        <v>27.466999999999999</v>
      </c>
      <c r="H3149">
        <v>0.82499999999999996</v>
      </c>
      <c r="I3149">
        <v>2.9169999999999998</v>
      </c>
      <c r="J3149">
        <v>5</v>
      </c>
      <c r="K3149">
        <v>14</v>
      </c>
      <c r="L3149">
        <v>7</v>
      </c>
      <c r="M3149">
        <v>1.4930000000000001</v>
      </c>
    </row>
    <row r="3150" spans="1:13" ht="15" customHeight="1">
      <c r="A3150" t="s">
        <v>38</v>
      </c>
      <c r="B3150">
        <f t="shared" si="196"/>
        <v>33.717367000000003</v>
      </c>
      <c r="C3150">
        <f t="shared" si="197"/>
        <v>-117.847031</v>
      </c>
      <c r="D3150">
        <f t="shared" si="198"/>
        <v>70</v>
      </c>
      <c r="E3150">
        <v>96.498999999999995</v>
      </c>
      <c r="F3150">
        <f t="shared" si="199"/>
        <v>-26.498999999999995</v>
      </c>
      <c r="G3150">
        <v>25.7</v>
      </c>
      <c r="H3150">
        <v>0.70199999999999996</v>
      </c>
      <c r="I3150">
        <v>2.4649999999999999</v>
      </c>
      <c r="J3150">
        <v>6</v>
      </c>
      <c r="K3150">
        <v>11</v>
      </c>
      <c r="L3150">
        <v>6</v>
      </c>
      <c r="M3150">
        <v>1.5009999999999999</v>
      </c>
    </row>
    <row r="3151" spans="1:13" ht="15" customHeight="1">
      <c r="A3151" t="s">
        <v>38</v>
      </c>
      <c r="B3151">
        <f t="shared" si="196"/>
        <v>33.717367000000003</v>
      </c>
      <c r="C3151">
        <f t="shared" si="197"/>
        <v>-117.847031</v>
      </c>
      <c r="D3151">
        <f t="shared" si="198"/>
        <v>70</v>
      </c>
      <c r="E3151">
        <v>97.498999999999995</v>
      </c>
      <c r="F3151">
        <f t="shared" si="199"/>
        <v>-27.498999999999995</v>
      </c>
      <c r="G3151">
        <v>31.7</v>
      </c>
      <c r="H3151">
        <v>1.0920000000000001</v>
      </c>
      <c r="I3151">
        <v>2.8079999999999998</v>
      </c>
      <c r="J3151">
        <v>6</v>
      </c>
      <c r="K3151">
        <v>15</v>
      </c>
      <c r="L3151">
        <v>8</v>
      </c>
      <c r="M3151">
        <v>2.1909999999999998</v>
      </c>
    </row>
    <row r="3152" spans="1:13" ht="15" customHeight="1">
      <c r="A3152" t="s">
        <v>38</v>
      </c>
      <c r="B3152">
        <f t="shared" si="196"/>
        <v>33.717367000000003</v>
      </c>
      <c r="C3152">
        <f t="shared" si="197"/>
        <v>-117.847031</v>
      </c>
      <c r="D3152">
        <f t="shared" si="198"/>
        <v>70</v>
      </c>
      <c r="E3152">
        <v>98.498999999999995</v>
      </c>
      <c r="F3152">
        <f t="shared" si="199"/>
        <v>-28.498999999999995</v>
      </c>
      <c r="G3152">
        <v>29.016999999999999</v>
      </c>
      <c r="H3152">
        <v>0.83499999999999996</v>
      </c>
      <c r="I3152">
        <v>2.2549999999999999</v>
      </c>
      <c r="J3152">
        <v>6</v>
      </c>
      <c r="K3152">
        <v>14</v>
      </c>
      <c r="L3152">
        <v>7</v>
      </c>
      <c r="M3152">
        <v>2.0640000000000001</v>
      </c>
    </row>
    <row r="3153" spans="1:13" ht="15" customHeight="1">
      <c r="A3153" t="s">
        <v>38</v>
      </c>
      <c r="B3153">
        <f t="shared" si="196"/>
        <v>33.717367000000003</v>
      </c>
      <c r="C3153">
        <f t="shared" si="197"/>
        <v>-117.847031</v>
      </c>
      <c r="D3153">
        <f t="shared" si="198"/>
        <v>70</v>
      </c>
      <c r="E3153">
        <v>99.498999999999995</v>
      </c>
      <c r="F3153">
        <f t="shared" si="199"/>
        <v>-29.498999999999995</v>
      </c>
      <c r="G3153">
        <v>31.733000000000001</v>
      </c>
      <c r="H3153">
        <v>0.98799999999999999</v>
      </c>
      <c r="I3153">
        <v>2.4489999999999998</v>
      </c>
      <c r="J3153">
        <v>6</v>
      </c>
      <c r="K3153">
        <v>15</v>
      </c>
      <c r="L3153">
        <v>8</v>
      </c>
      <c r="M3153">
        <v>2.2810000000000001</v>
      </c>
    </row>
    <row r="3154" spans="1:13" ht="15" customHeight="1">
      <c r="A3154" t="s">
        <v>38</v>
      </c>
      <c r="B3154">
        <f t="shared" si="196"/>
        <v>33.717367000000003</v>
      </c>
      <c r="C3154">
        <f t="shared" si="197"/>
        <v>-117.847031</v>
      </c>
      <c r="D3154">
        <f t="shared" si="198"/>
        <v>70</v>
      </c>
      <c r="E3154">
        <v>100.499</v>
      </c>
      <c r="F3154">
        <f t="shared" si="199"/>
        <v>-30.498999999999995</v>
      </c>
      <c r="G3154">
        <v>28.817</v>
      </c>
      <c r="H3154">
        <v>0.85499999999999998</v>
      </c>
      <c r="I3154">
        <v>2.2589999999999999</v>
      </c>
      <c r="J3154">
        <v>6</v>
      </c>
      <c r="K3154">
        <v>15</v>
      </c>
      <c r="L3154">
        <v>8</v>
      </c>
      <c r="M3154">
        <v>2.11</v>
      </c>
    </row>
    <row r="3155" spans="1:13" ht="15" customHeight="1">
      <c r="A3155" t="s">
        <v>38</v>
      </c>
      <c r="B3155">
        <f t="shared" si="196"/>
        <v>33.717367000000003</v>
      </c>
      <c r="C3155">
        <f t="shared" si="197"/>
        <v>-117.847031</v>
      </c>
      <c r="D3155">
        <f t="shared" si="198"/>
        <v>70</v>
      </c>
      <c r="E3155">
        <v>101.499</v>
      </c>
      <c r="F3155">
        <f t="shared" si="199"/>
        <v>-31.498999999999995</v>
      </c>
      <c r="G3155">
        <v>61.3</v>
      </c>
      <c r="H3155">
        <v>2.9950000000000001</v>
      </c>
      <c r="I3155">
        <v>4.2270000000000003</v>
      </c>
      <c r="J3155">
        <v>5</v>
      </c>
      <c r="K3155">
        <v>34</v>
      </c>
      <c r="L3155">
        <v>17</v>
      </c>
      <c r="M3155">
        <v>4.306</v>
      </c>
    </row>
    <row r="3156" spans="1:13" ht="15" customHeight="1">
      <c r="A3156" t="s">
        <v>38</v>
      </c>
      <c r="B3156">
        <f t="shared" si="196"/>
        <v>33.717367000000003</v>
      </c>
      <c r="C3156">
        <f t="shared" si="197"/>
        <v>-117.847031</v>
      </c>
      <c r="D3156">
        <f t="shared" si="198"/>
        <v>70</v>
      </c>
      <c r="E3156">
        <v>102.499</v>
      </c>
      <c r="F3156">
        <f t="shared" si="199"/>
        <v>-32.498999999999995</v>
      </c>
      <c r="G3156">
        <v>38.75</v>
      </c>
      <c r="H3156">
        <v>1.9019999999999999</v>
      </c>
      <c r="I3156">
        <v>3.9489999999999998</v>
      </c>
      <c r="J3156">
        <v>5</v>
      </c>
      <c r="K3156">
        <v>23</v>
      </c>
      <c r="L3156">
        <v>12</v>
      </c>
      <c r="M3156">
        <v>2.7879999999999998</v>
      </c>
    </row>
    <row r="3157" spans="1:13" ht="15" customHeight="1">
      <c r="A3157" t="s">
        <v>38</v>
      </c>
      <c r="B3157">
        <f t="shared" si="196"/>
        <v>33.717367000000003</v>
      </c>
      <c r="C3157">
        <f t="shared" si="197"/>
        <v>-117.847031</v>
      </c>
      <c r="D3157">
        <f t="shared" si="198"/>
        <v>70</v>
      </c>
      <c r="E3157">
        <v>103.499</v>
      </c>
      <c r="F3157">
        <f t="shared" si="199"/>
        <v>-33.498999999999995</v>
      </c>
      <c r="G3157">
        <v>65.150000000000006</v>
      </c>
      <c r="H3157">
        <v>3.2170000000000001</v>
      </c>
      <c r="I3157">
        <v>4.2229999999999999</v>
      </c>
      <c r="J3157">
        <v>5</v>
      </c>
      <c r="K3157">
        <v>36</v>
      </c>
      <c r="L3157">
        <v>18</v>
      </c>
      <c r="M3157">
        <v>4.6520000000000001</v>
      </c>
    </row>
    <row r="3158" spans="1:13" ht="15" customHeight="1">
      <c r="A3158" t="s">
        <v>38</v>
      </c>
      <c r="B3158">
        <f t="shared" si="196"/>
        <v>33.717367000000003</v>
      </c>
      <c r="C3158">
        <f t="shared" si="197"/>
        <v>-117.847031</v>
      </c>
      <c r="D3158">
        <f t="shared" si="198"/>
        <v>70</v>
      </c>
      <c r="E3158">
        <v>104.499</v>
      </c>
      <c r="F3158">
        <f t="shared" si="199"/>
        <v>-34.498999999999995</v>
      </c>
      <c r="G3158">
        <v>43.014000000000003</v>
      </c>
      <c r="H3158">
        <v>2.0270000000000001</v>
      </c>
      <c r="I3158">
        <v>3.827</v>
      </c>
      <c r="J3158">
        <v>5</v>
      </c>
      <c r="K3158">
        <v>25</v>
      </c>
      <c r="L3158">
        <v>13</v>
      </c>
      <c r="M3158">
        <v>3.101</v>
      </c>
    </row>
    <row r="3159" spans="1:13" ht="15" customHeight="1">
      <c r="A3159" t="s">
        <v>38</v>
      </c>
      <c r="B3159">
        <f t="shared" si="196"/>
        <v>33.717367000000003</v>
      </c>
      <c r="C3159">
        <f t="shared" si="197"/>
        <v>-117.847031</v>
      </c>
      <c r="D3159">
        <f t="shared" si="198"/>
        <v>70</v>
      </c>
      <c r="E3159">
        <v>105.499</v>
      </c>
      <c r="F3159">
        <f t="shared" si="199"/>
        <v>-35.498999999999995</v>
      </c>
      <c r="G3159">
        <v>29.75</v>
      </c>
      <c r="H3159">
        <v>1.002</v>
      </c>
      <c r="I3159">
        <v>2.5129999999999999</v>
      </c>
      <c r="J3159">
        <v>6</v>
      </c>
      <c r="K3159">
        <v>15</v>
      </c>
      <c r="L3159">
        <v>8</v>
      </c>
      <c r="M3159">
        <v>2.2240000000000002</v>
      </c>
    </row>
    <row r="3160" spans="1:13" ht="15" customHeight="1">
      <c r="A3160" t="s">
        <v>38</v>
      </c>
      <c r="B3160">
        <f t="shared" si="196"/>
        <v>33.717367000000003</v>
      </c>
      <c r="C3160">
        <f t="shared" si="197"/>
        <v>-117.847031</v>
      </c>
      <c r="D3160">
        <f t="shared" si="198"/>
        <v>70</v>
      </c>
      <c r="E3160">
        <v>106.499</v>
      </c>
      <c r="F3160">
        <f t="shared" si="199"/>
        <v>-36.498999999999995</v>
      </c>
      <c r="G3160">
        <v>35.466999999999999</v>
      </c>
      <c r="H3160">
        <v>1.4279999999999999</v>
      </c>
      <c r="I3160">
        <v>3.1309999999999998</v>
      </c>
      <c r="J3160">
        <v>6</v>
      </c>
      <c r="K3160">
        <v>17</v>
      </c>
      <c r="L3160">
        <v>9</v>
      </c>
      <c r="M3160">
        <v>2.6030000000000002</v>
      </c>
    </row>
    <row r="3161" spans="1:13" ht="15" customHeight="1">
      <c r="A3161" t="s">
        <v>38</v>
      </c>
      <c r="B3161">
        <f t="shared" si="196"/>
        <v>33.717367000000003</v>
      </c>
      <c r="C3161">
        <f t="shared" si="197"/>
        <v>-117.847031</v>
      </c>
      <c r="D3161">
        <f t="shared" si="198"/>
        <v>70</v>
      </c>
      <c r="E3161">
        <v>107.499</v>
      </c>
      <c r="F3161">
        <f t="shared" si="199"/>
        <v>-37.498999999999995</v>
      </c>
      <c r="G3161">
        <v>33.25</v>
      </c>
      <c r="H3161">
        <v>1.133</v>
      </c>
      <c r="I3161">
        <v>2.5710000000000002</v>
      </c>
      <c r="J3161">
        <v>6</v>
      </c>
      <c r="K3161">
        <v>17</v>
      </c>
      <c r="L3161">
        <v>9</v>
      </c>
      <c r="M3161">
        <v>2.496</v>
      </c>
    </row>
    <row r="3162" spans="1:13" ht="15" customHeight="1">
      <c r="A3162" t="s">
        <v>38</v>
      </c>
      <c r="B3162">
        <f t="shared" si="196"/>
        <v>33.717367000000003</v>
      </c>
      <c r="C3162">
        <f t="shared" si="197"/>
        <v>-117.847031</v>
      </c>
      <c r="D3162">
        <f t="shared" si="198"/>
        <v>70</v>
      </c>
      <c r="E3162">
        <v>108.499</v>
      </c>
      <c r="F3162">
        <f t="shared" si="199"/>
        <v>-38.498999999999995</v>
      </c>
      <c r="G3162">
        <v>30.35</v>
      </c>
      <c r="H3162">
        <v>1.1819999999999999</v>
      </c>
      <c r="I3162">
        <v>2.3119999999999998</v>
      </c>
      <c r="J3162">
        <v>6</v>
      </c>
      <c r="K3162">
        <v>20</v>
      </c>
      <c r="L3162">
        <v>10</v>
      </c>
      <c r="M3162">
        <v>2.96</v>
      </c>
    </row>
    <row r="3163" spans="1:13" ht="15" customHeight="1">
      <c r="A3163" t="s">
        <v>38</v>
      </c>
      <c r="B3163">
        <f t="shared" si="196"/>
        <v>33.717367000000003</v>
      </c>
      <c r="C3163">
        <f t="shared" si="197"/>
        <v>-117.847031</v>
      </c>
      <c r="D3163">
        <f t="shared" si="198"/>
        <v>70</v>
      </c>
      <c r="E3163">
        <v>109.499</v>
      </c>
      <c r="F3163">
        <f t="shared" si="199"/>
        <v>-39.498999999999995</v>
      </c>
      <c r="G3163">
        <v>36.116999999999997</v>
      </c>
      <c r="H3163">
        <v>1.5229999999999999</v>
      </c>
      <c r="I3163">
        <v>2.2269999999999999</v>
      </c>
      <c r="J3163">
        <v>7</v>
      </c>
      <c r="K3163">
        <v>22</v>
      </c>
      <c r="L3163">
        <v>11</v>
      </c>
      <c r="M3163" s="1">
        <v>9000000000</v>
      </c>
    </row>
    <row r="3164" spans="1:13" ht="15" customHeight="1">
      <c r="A3164" t="s">
        <v>38</v>
      </c>
      <c r="B3164">
        <f t="shared" si="196"/>
        <v>33.717367000000003</v>
      </c>
      <c r="C3164">
        <f t="shared" si="197"/>
        <v>-117.847031</v>
      </c>
      <c r="D3164">
        <f t="shared" si="198"/>
        <v>70</v>
      </c>
      <c r="E3164">
        <v>110.499</v>
      </c>
      <c r="F3164">
        <f t="shared" si="199"/>
        <v>-40.498999999999995</v>
      </c>
      <c r="G3164">
        <v>34.466999999999999</v>
      </c>
      <c r="H3164">
        <v>1.355</v>
      </c>
      <c r="I3164">
        <v>1.546</v>
      </c>
      <c r="J3164">
        <v>7</v>
      </c>
      <c r="K3164">
        <v>28</v>
      </c>
      <c r="L3164">
        <v>14</v>
      </c>
      <c r="M3164" s="1">
        <v>9000000000</v>
      </c>
    </row>
    <row r="3165" spans="1:13" ht="15" customHeight="1">
      <c r="A3165" t="s">
        <v>38</v>
      </c>
      <c r="B3165">
        <f t="shared" si="196"/>
        <v>33.717367000000003</v>
      </c>
      <c r="C3165">
        <f t="shared" si="197"/>
        <v>-117.847031</v>
      </c>
      <c r="D3165">
        <f t="shared" si="198"/>
        <v>70</v>
      </c>
      <c r="E3165">
        <v>111.499</v>
      </c>
      <c r="F3165">
        <f t="shared" si="199"/>
        <v>-41.498999999999995</v>
      </c>
      <c r="G3165">
        <v>31.132999999999999</v>
      </c>
      <c r="H3165">
        <v>1.105</v>
      </c>
      <c r="I3165">
        <v>1.292</v>
      </c>
      <c r="J3165">
        <v>8</v>
      </c>
      <c r="K3165">
        <v>20</v>
      </c>
      <c r="L3165">
        <v>10</v>
      </c>
      <c r="M3165" s="1">
        <v>9000000000</v>
      </c>
    </row>
    <row r="3166" spans="1:13" ht="15" customHeight="1">
      <c r="A3166" t="s">
        <v>38</v>
      </c>
      <c r="B3166">
        <f t="shared" si="196"/>
        <v>33.717367000000003</v>
      </c>
      <c r="C3166">
        <f t="shared" si="197"/>
        <v>-117.847031</v>
      </c>
      <c r="D3166">
        <f t="shared" si="198"/>
        <v>70</v>
      </c>
      <c r="E3166">
        <v>112.499</v>
      </c>
      <c r="F3166">
        <f t="shared" si="199"/>
        <v>-42.498999999999995</v>
      </c>
      <c r="G3166">
        <v>34.133000000000003</v>
      </c>
      <c r="H3166">
        <v>1.1830000000000001</v>
      </c>
      <c r="I3166">
        <v>1.33</v>
      </c>
      <c r="J3166">
        <v>8</v>
      </c>
      <c r="K3166">
        <v>21</v>
      </c>
      <c r="L3166">
        <v>11</v>
      </c>
      <c r="M3166" s="1">
        <v>9000000000</v>
      </c>
    </row>
    <row r="3167" spans="1:13" ht="15" customHeight="1">
      <c r="A3167" t="s">
        <v>38</v>
      </c>
      <c r="B3167">
        <f t="shared" si="196"/>
        <v>33.717367000000003</v>
      </c>
      <c r="C3167">
        <f t="shared" si="197"/>
        <v>-117.847031</v>
      </c>
      <c r="D3167">
        <f t="shared" si="198"/>
        <v>70</v>
      </c>
      <c r="E3167">
        <v>113.499</v>
      </c>
      <c r="F3167">
        <f t="shared" si="199"/>
        <v>-43.498999999999995</v>
      </c>
      <c r="G3167">
        <v>31.882999999999999</v>
      </c>
      <c r="H3167">
        <v>1.353</v>
      </c>
      <c r="I3167">
        <v>1.5509999999999999</v>
      </c>
      <c r="J3167">
        <v>7</v>
      </c>
      <c r="K3167">
        <v>28</v>
      </c>
      <c r="L3167">
        <v>14</v>
      </c>
      <c r="M3167" s="1">
        <v>9000000000</v>
      </c>
    </row>
    <row r="3168" spans="1:13" ht="15" customHeight="1">
      <c r="A3168" t="s">
        <v>38</v>
      </c>
      <c r="B3168">
        <f t="shared" si="196"/>
        <v>33.717367000000003</v>
      </c>
      <c r="C3168">
        <f t="shared" si="197"/>
        <v>-117.847031</v>
      </c>
      <c r="D3168">
        <f t="shared" si="198"/>
        <v>70</v>
      </c>
      <c r="E3168">
        <v>114.499</v>
      </c>
      <c r="F3168">
        <f t="shared" si="199"/>
        <v>-44.498999999999995</v>
      </c>
      <c r="G3168">
        <v>28.242999999999999</v>
      </c>
      <c r="H3168">
        <v>1.0069999999999999</v>
      </c>
      <c r="I3168">
        <v>1.196</v>
      </c>
      <c r="J3168">
        <v>8</v>
      </c>
      <c r="K3168">
        <v>20</v>
      </c>
      <c r="L3168">
        <v>10</v>
      </c>
      <c r="M3168" s="1">
        <v>9000000000</v>
      </c>
    </row>
    <row r="3169" spans="1:13" ht="15" customHeight="1">
      <c r="A3169" t="s">
        <v>38</v>
      </c>
      <c r="B3169">
        <f t="shared" si="196"/>
        <v>33.717367000000003</v>
      </c>
      <c r="C3169">
        <f t="shared" si="197"/>
        <v>-117.847031</v>
      </c>
      <c r="D3169">
        <f t="shared" si="198"/>
        <v>70</v>
      </c>
      <c r="E3169">
        <v>115.499</v>
      </c>
      <c r="F3169">
        <f t="shared" si="199"/>
        <v>-45.498999999999995</v>
      </c>
      <c r="G3169">
        <v>30.85</v>
      </c>
      <c r="H3169">
        <v>0.753</v>
      </c>
      <c r="I3169">
        <v>0.86799999999999999</v>
      </c>
      <c r="J3169">
        <v>8</v>
      </c>
      <c r="K3169">
        <v>21</v>
      </c>
      <c r="L3169">
        <v>11</v>
      </c>
      <c r="M3169" s="1">
        <v>9000000000</v>
      </c>
    </row>
    <row r="3170" spans="1:13" ht="15" customHeight="1">
      <c r="A3170" t="s">
        <v>38</v>
      </c>
      <c r="B3170">
        <f t="shared" si="196"/>
        <v>33.717367000000003</v>
      </c>
      <c r="C3170">
        <f t="shared" si="197"/>
        <v>-117.847031</v>
      </c>
      <c r="D3170">
        <f t="shared" si="198"/>
        <v>70</v>
      </c>
      <c r="E3170">
        <v>116.499</v>
      </c>
      <c r="F3170">
        <f t="shared" si="199"/>
        <v>-46.498999999999995</v>
      </c>
      <c r="G3170">
        <v>47.75</v>
      </c>
      <c r="H3170">
        <v>1.8979999999999999</v>
      </c>
      <c r="I3170">
        <v>1.83</v>
      </c>
      <c r="J3170">
        <v>7</v>
      </c>
      <c r="K3170">
        <v>33</v>
      </c>
      <c r="L3170">
        <v>17</v>
      </c>
      <c r="M3170" s="1">
        <v>9000000000</v>
      </c>
    </row>
    <row r="3171" spans="1:13" ht="15" customHeight="1">
      <c r="A3171" t="s">
        <v>38</v>
      </c>
      <c r="B3171">
        <f t="shared" si="196"/>
        <v>33.717367000000003</v>
      </c>
      <c r="C3171">
        <f t="shared" si="197"/>
        <v>-117.847031</v>
      </c>
      <c r="D3171">
        <f t="shared" si="198"/>
        <v>70</v>
      </c>
      <c r="E3171">
        <v>117.498</v>
      </c>
      <c r="F3171">
        <f t="shared" si="199"/>
        <v>-47.498000000000005</v>
      </c>
      <c r="G3171">
        <v>56.55</v>
      </c>
      <c r="H3171">
        <v>2.2930000000000001</v>
      </c>
      <c r="I3171">
        <v>2.0379999999999998</v>
      </c>
      <c r="J3171">
        <v>7</v>
      </c>
      <c r="K3171">
        <v>36</v>
      </c>
      <c r="L3171">
        <v>18</v>
      </c>
      <c r="M3171" s="1">
        <v>9000000000</v>
      </c>
    </row>
    <row r="3172" spans="1:13" ht="15" customHeight="1">
      <c r="A3172" t="s">
        <v>38</v>
      </c>
      <c r="B3172">
        <f t="shared" si="196"/>
        <v>33.717367000000003</v>
      </c>
      <c r="C3172">
        <f t="shared" si="197"/>
        <v>-117.847031</v>
      </c>
      <c r="D3172">
        <f t="shared" si="198"/>
        <v>70</v>
      </c>
      <c r="E3172">
        <v>118.498</v>
      </c>
      <c r="F3172">
        <f t="shared" si="199"/>
        <v>-48.498000000000005</v>
      </c>
      <c r="G3172">
        <v>212.1</v>
      </c>
      <c r="H3172">
        <v>8.6829999999999998</v>
      </c>
      <c r="I3172">
        <v>3.2389999999999999</v>
      </c>
      <c r="J3172">
        <v>12</v>
      </c>
      <c r="K3172">
        <v>128</v>
      </c>
      <c r="L3172">
        <v>64</v>
      </c>
      <c r="M3172" s="1">
        <v>9000000000</v>
      </c>
    </row>
    <row r="3173" spans="1:13" ht="15" customHeight="1">
      <c r="A3173" t="s">
        <v>38</v>
      </c>
      <c r="B3173">
        <f t="shared" si="196"/>
        <v>33.717367000000003</v>
      </c>
      <c r="C3173">
        <f t="shared" si="197"/>
        <v>-117.847031</v>
      </c>
      <c r="D3173">
        <f t="shared" si="198"/>
        <v>70</v>
      </c>
      <c r="E3173">
        <v>119.498</v>
      </c>
      <c r="F3173">
        <f t="shared" si="199"/>
        <v>-49.498000000000005</v>
      </c>
      <c r="G3173">
        <v>258.66699999999997</v>
      </c>
      <c r="H3173">
        <v>9.85</v>
      </c>
      <c r="I3173">
        <v>3.13</v>
      </c>
      <c r="J3173">
        <v>12</v>
      </c>
      <c r="K3173">
        <v>151</v>
      </c>
      <c r="L3173">
        <v>76</v>
      </c>
      <c r="M3173" s="1">
        <v>9000000000</v>
      </c>
    </row>
    <row r="3174" spans="1:13" ht="15" customHeight="1">
      <c r="A3174" t="s">
        <v>38</v>
      </c>
      <c r="B3174">
        <f t="shared" si="196"/>
        <v>33.717367000000003</v>
      </c>
      <c r="C3174">
        <f t="shared" si="197"/>
        <v>-117.847031</v>
      </c>
      <c r="D3174">
        <f t="shared" si="198"/>
        <v>70</v>
      </c>
      <c r="E3174">
        <v>120.498</v>
      </c>
      <c r="F3174">
        <f t="shared" si="199"/>
        <v>-50.498000000000005</v>
      </c>
      <c r="G3174">
        <v>348.53300000000002</v>
      </c>
      <c r="H3174">
        <v>8.5719999999999992</v>
      </c>
      <c r="I3174">
        <v>2.1560000000000001</v>
      </c>
      <c r="J3174">
        <v>8</v>
      </c>
      <c r="K3174">
        <v>95</v>
      </c>
      <c r="L3174">
        <v>48</v>
      </c>
      <c r="M3174" s="1">
        <v>9000000000</v>
      </c>
    </row>
    <row r="3175" spans="1:13" ht="15" customHeight="1">
      <c r="A3175" t="s">
        <v>38</v>
      </c>
      <c r="B3175">
        <f t="shared" si="196"/>
        <v>33.717367000000003</v>
      </c>
      <c r="C3175">
        <f t="shared" si="197"/>
        <v>-117.847031</v>
      </c>
      <c r="D3175">
        <f t="shared" si="198"/>
        <v>70</v>
      </c>
      <c r="E3175">
        <v>121.498</v>
      </c>
      <c r="F3175">
        <f t="shared" si="199"/>
        <v>-51.498000000000005</v>
      </c>
      <c r="G3175">
        <v>109.06699999999999</v>
      </c>
      <c r="H3175">
        <v>4.4249999999999998</v>
      </c>
      <c r="I3175">
        <v>2.9729999999999999</v>
      </c>
      <c r="J3175">
        <v>6</v>
      </c>
      <c r="K3175">
        <v>57</v>
      </c>
      <c r="L3175">
        <v>29</v>
      </c>
      <c r="M3175">
        <v>9.4209999999999994</v>
      </c>
    </row>
    <row r="3176" spans="1:13" ht="15" customHeight="1">
      <c r="A3176" t="s">
        <v>38</v>
      </c>
      <c r="B3176">
        <f t="shared" si="196"/>
        <v>33.717367000000003</v>
      </c>
      <c r="C3176">
        <f t="shared" si="197"/>
        <v>-117.847031</v>
      </c>
      <c r="D3176">
        <f t="shared" si="198"/>
        <v>70</v>
      </c>
      <c r="E3176">
        <v>122.498</v>
      </c>
      <c r="F3176">
        <f t="shared" si="199"/>
        <v>-52.498000000000005</v>
      </c>
      <c r="G3176">
        <v>45.982999999999997</v>
      </c>
      <c r="H3176">
        <v>1.508</v>
      </c>
      <c r="I3176">
        <v>1.48</v>
      </c>
      <c r="J3176">
        <v>8</v>
      </c>
      <c r="K3176">
        <v>24</v>
      </c>
      <c r="L3176">
        <v>12</v>
      </c>
      <c r="M3176" s="1">
        <v>9000000000</v>
      </c>
    </row>
    <row r="3177" spans="1:13" ht="15" customHeight="1">
      <c r="A3177" t="s">
        <v>38</v>
      </c>
      <c r="B3177">
        <f t="shared" si="196"/>
        <v>33.717367000000003</v>
      </c>
      <c r="C3177">
        <f t="shared" si="197"/>
        <v>-117.847031</v>
      </c>
      <c r="D3177">
        <f t="shared" si="198"/>
        <v>70</v>
      </c>
      <c r="E3177">
        <v>123.498</v>
      </c>
      <c r="F3177">
        <f t="shared" si="199"/>
        <v>-53.498000000000005</v>
      </c>
      <c r="G3177">
        <v>36.6</v>
      </c>
      <c r="H3177">
        <v>1.117</v>
      </c>
      <c r="I3177">
        <v>1.2070000000000001</v>
      </c>
      <c r="J3177">
        <v>8</v>
      </c>
      <c r="K3177">
        <v>22</v>
      </c>
      <c r="L3177">
        <v>11</v>
      </c>
      <c r="M3177" s="1">
        <v>9000000000</v>
      </c>
    </row>
    <row r="3178" spans="1:13" ht="15" customHeight="1">
      <c r="A3178" t="s">
        <v>38</v>
      </c>
      <c r="B3178">
        <f t="shared" si="196"/>
        <v>33.717367000000003</v>
      </c>
      <c r="C3178">
        <f t="shared" si="197"/>
        <v>-117.847031</v>
      </c>
      <c r="D3178">
        <f t="shared" si="198"/>
        <v>70</v>
      </c>
      <c r="E3178">
        <v>124.498</v>
      </c>
      <c r="F3178">
        <f t="shared" si="199"/>
        <v>-54.498000000000005</v>
      </c>
      <c r="G3178">
        <v>39.017000000000003</v>
      </c>
      <c r="H3178">
        <v>1.1619999999999999</v>
      </c>
      <c r="I3178">
        <v>1.2230000000000001</v>
      </c>
      <c r="J3178">
        <v>8</v>
      </c>
      <c r="K3178">
        <v>23</v>
      </c>
      <c r="L3178">
        <v>12</v>
      </c>
      <c r="M3178" s="1">
        <v>9000000000</v>
      </c>
    </row>
    <row r="3179" spans="1:13" ht="15" customHeight="1">
      <c r="A3179" t="s">
        <v>38</v>
      </c>
      <c r="B3179">
        <f t="shared" si="196"/>
        <v>33.717367000000003</v>
      </c>
      <c r="C3179">
        <f t="shared" si="197"/>
        <v>-117.847031</v>
      </c>
      <c r="D3179">
        <f t="shared" si="198"/>
        <v>70</v>
      </c>
      <c r="E3179">
        <v>125.498</v>
      </c>
      <c r="F3179">
        <f t="shared" si="199"/>
        <v>-55.498000000000005</v>
      </c>
      <c r="G3179">
        <v>80.543000000000006</v>
      </c>
      <c r="H3179">
        <v>4.0529999999999999</v>
      </c>
      <c r="I3179">
        <v>2.9689999999999999</v>
      </c>
      <c r="J3179">
        <v>6</v>
      </c>
      <c r="K3179">
        <v>52</v>
      </c>
      <c r="L3179">
        <v>26</v>
      </c>
      <c r="M3179">
        <v>8.5839999999999996</v>
      </c>
    </row>
    <row r="3180" spans="1:13" ht="15" customHeight="1">
      <c r="A3180" t="s">
        <v>38</v>
      </c>
      <c r="B3180">
        <f t="shared" si="196"/>
        <v>33.717367000000003</v>
      </c>
      <c r="C3180">
        <f t="shared" si="197"/>
        <v>-117.847031</v>
      </c>
      <c r="D3180">
        <f t="shared" si="198"/>
        <v>70</v>
      </c>
      <c r="E3180">
        <v>126.498</v>
      </c>
      <c r="F3180">
        <f t="shared" si="199"/>
        <v>-56.498000000000005</v>
      </c>
      <c r="G3180">
        <v>165.43299999999999</v>
      </c>
      <c r="H3180">
        <v>5.42</v>
      </c>
      <c r="I3180">
        <v>2.448</v>
      </c>
      <c r="J3180">
        <v>7</v>
      </c>
      <c r="K3180">
        <v>71</v>
      </c>
      <c r="L3180">
        <v>36</v>
      </c>
      <c r="M3180" s="1">
        <v>9000000000</v>
      </c>
    </row>
    <row r="3181" spans="1:13" ht="15" customHeight="1">
      <c r="A3181" t="s">
        <v>38</v>
      </c>
      <c r="B3181">
        <f t="shared" si="196"/>
        <v>33.717367000000003</v>
      </c>
      <c r="C3181">
        <f t="shared" si="197"/>
        <v>-117.847031</v>
      </c>
      <c r="D3181">
        <f t="shared" si="198"/>
        <v>70</v>
      </c>
      <c r="E3181">
        <v>127.498</v>
      </c>
      <c r="F3181">
        <f t="shared" si="199"/>
        <v>-57.498000000000005</v>
      </c>
      <c r="G3181">
        <v>67.966999999999999</v>
      </c>
      <c r="H3181">
        <v>3.5720000000000001</v>
      </c>
      <c r="I3181">
        <v>2.8820000000000001</v>
      </c>
      <c r="J3181">
        <v>6</v>
      </c>
      <c r="K3181">
        <v>47</v>
      </c>
      <c r="L3181">
        <v>24</v>
      </c>
      <c r="M3181">
        <v>7.7350000000000003</v>
      </c>
    </row>
    <row r="3182" spans="1:13" ht="15" customHeight="1">
      <c r="A3182" t="s">
        <v>38</v>
      </c>
      <c r="B3182">
        <f t="shared" si="196"/>
        <v>33.717367000000003</v>
      </c>
      <c r="C3182">
        <f t="shared" si="197"/>
        <v>-117.847031</v>
      </c>
      <c r="D3182">
        <f t="shared" si="198"/>
        <v>70</v>
      </c>
      <c r="E3182">
        <v>128.49799999999999</v>
      </c>
      <c r="F3182">
        <f t="shared" si="199"/>
        <v>-58.49799999999999</v>
      </c>
      <c r="G3182">
        <v>44.15</v>
      </c>
      <c r="H3182">
        <v>2.0619999999999998</v>
      </c>
      <c r="I3182">
        <v>2.06</v>
      </c>
      <c r="J3182">
        <v>7</v>
      </c>
      <c r="K3182">
        <v>32</v>
      </c>
      <c r="L3182">
        <v>16</v>
      </c>
      <c r="M3182" s="1">
        <v>9000000000</v>
      </c>
    </row>
    <row r="3183" spans="1:13" ht="15" customHeight="1">
      <c r="A3183" t="s">
        <v>38</v>
      </c>
      <c r="B3183">
        <f t="shared" si="196"/>
        <v>33.717367000000003</v>
      </c>
      <c r="C3183">
        <f t="shared" si="197"/>
        <v>-117.847031</v>
      </c>
      <c r="D3183">
        <f t="shared" si="198"/>
        <v>70</v>
      </c>
      <c r="E3183">
        <v>129.49799999999999</v>
      </c>
      <c r="F3183">
        <f t="shared" si="199"/>
        <v>-59.49799999999999</v>
      </c>
      <c r="G3183">
        <v>244.733</v>
      </c>
      <c r="H3183">
        <v>5.51</v>
      </c>
      <c r="I3183">
        <v>1.833</v>
      </c>
      <c r="J3183">
        <v>8</v>
      </c>
      <c r="K3183">
        <v>72</v>
      </c>
      <c r="L3183">
        <v>36</v>
      </c>
      <c r="M3183" s="1">
        <v>9000000000</v>
      </c>
    </row>
    <row r="3184" spans="1:13" ht="15" customHeight="1">
      <c r="A3184" t="s">
        <v>38</v>
      </c>
      <c r="B3184">
        <f t="shared" si="196"/>
        <v>33.717367000000003</v>
      </c>
      <c r="C3184">
        <f t="shared" si="197"/>
        <v>-117.847031</v>
      </c>
      <c r="D3184">
        <f t="shared" si="198"/>
        <v>70</v>
      </c>
      <c r="E3184">
        <v>130.49799999999999</v>
      </c>
      <c r="F3184">
        <f t="shared" si="199"/>
        <v>-60.49799999999999</v>
      </c>
      <c r="G3184">
        <v>218</v>
      </c>
      <c r="H3184">
        <v>0</v>
      </c>
      <c r="I3184">
        <v>0</v>
      </c>
      <c r="J3184">
        <v>10</v>
      </c>
      <c r="K3184" s="1">
        <v>9000000000</v>
      </c>
      <c r="L3184" s="1">
        <v>9000000000</v>
      </c>
      <c r="M3184" s="1">
        <v>9000000000</v>
      </c>
    </row>
    <row r="3185" spans="1:13" ht="15" customHeight="1">
      <c r="A3185" t="s">
        <v>39</v>
      </c>
      <c r="B3185">
        <f t="shared" si="196"/>
        <v>33.718240999999999</v>
      </c>
      <c r="C3185">
        <f t="shared" si="197"/>
        <v>-117.84579100000001</v>
      </c>
      <c r="D3185">
        <f t="shared" si="198"/>
        <v>72</v>
      </c>
      <c r="E3185">
        <v>0.5</v>
      </c>
      <c r="F3185">
        <f t="shared" si="199"/>
        <v>71.5</v>
      </c>
      <c r="G3185">
        <v>0.26700000000000002</v>
      </c>
      <c r="H3185">
        <v>8.0000000000000002E-3</v>
      </c>
      <c r="I3185">
        <v>3.125</v>
      </c>
      <c r="J3185">
        <v>2</v>
      </c>
      <c r="K3185">
        <v>0</v>
      </c>
      <c r="L3185">
        <v>0</v>
      </c>
      <c r="M3185">
        <v>1.6E-2</v>
      </c>
    </row>
    <row r="3186" spans="1:13" ht="15" customHeight="1">
      <c r="A3186" t="s">
        <v>39</v>
      </c>
      <c r="B3186">
        <f t="shared" si="196"/>
        <v>33.718240999999999</v>
      </c>
      <c r="C3186">
        <f t="shared" si="197"/>
        <v>-117.84579100000001</v>
      </c>
      <c r="D3186">
        <f t="shared" si="198"/>
        <v>72</v>
      </c>
      <c r="E3186">
        <v>1.5</v>
      </c>
      <c r="F3186">
        <f t="shared" si="199"/>
        <v>70.5</v>
      </c>
      <c r="G3186">
        <v>7.6</v>
      </c>
      <c r="H3186">
        <v>0.35499999999999998</v>
      </c>
      <c r="I3186">
        <v>4.6710000000000003</v>
      </c>
      <c r="J3186">
        <v>3</v>
      </c>
      <c r="K3186">
        <v>7</v>
      </c>
      <c r="L3186">
        <v>11</v>
      </c>
      <c r="M3186">
        <v>0.502</v>
      </c>
    </row>
    <row r="3187" spans="1:13" ht="15" customHeight="1">
      <c r="A3187" t="s">
        <v>39</v>
      </c>
      <c r="B3187">
        <f t="shared" si="196"/>
        <v>33.718240999999999</v>
      </c>
      <c r="C3187">
        <f t="shared" si="197"/>
        <v>-117.84579100000001</v>
      </c>
      <c r="D3187">
        <f t="shared" si="198"/>
        <v>72</v>
      </c>
      <c r="E3187">
        <v>2.5</v>
      </c>
      <c r="F3187">
        <f t="shared" si="199"/>
        <v>69.5</v>
      </c>
      <c r="G3187">
        <v>7.35</v>
      </c>
      <c r="H3187">
        <v>0.29299999999999998</v>
      </c>
      <c r="I3187">
        <v>3.9550000000000001</v>
      </c>
      <c r="J3187">
        <v>3</v>
      </c>
      <c r="K3187">
        <v>7</v>
      </c>
      <c r="L3187">
        <v>11</v>
      </c>
      <c r="M3187">
        <v>0.48599999999999999</v>
      </c>
    </row>
    <row r="3188" spans="1:13" ht="15" customHeight="1">
      <c r="A3188" t="s">
        <v>39</v>
      </c>
      <c r="B3188">
        <f t="shared" si="196"/>
        <v>33.718240999999999</v>
      </c>
      <c r="C3188">
        <f t="shared" si="197"/>
        <v>-117.84579100000001</v>
      </c>
      <c r="D3188">
        <f t="shared" si="198"/>
        <v>72</v>
      </c>
      <c r="E3188">
        <v>3.5</v>
      </c>
      <c r="F3188">
        <f t="shared" si="199"/>
        <v>68.5</v>
      </c>
      <c r="G3188">
        <v>5.5670000000000002</v>
      </c>
      <c r="H3188">
        <v>0.26</v>
      </c>
      <c r="I3188">
        <v>4.6849999999999996</v>
      </c>
      <c r="J3188">
        <v>3</v>
      </c>
      <c r="K3188">
        <v>5</v>
      </c>
      <c r="L3188">
        <v>8</v>
      </c>
      <c r="M3188">
        <v>0.35699999999999998</v>
      </c>
    </row>
    <row r="3189" spans="1:13" ht="15" customHeight="1">
      <c r="A3189" t="s">
        <v>39</v>
      </c>
      <c r="B3189">
        <f t="shared" si="196"/>
        <v>33.718240999999999</v>
      </c>
      <c r="C3189">
        <f t="shared" si="197"/>
        <v>-117.84579100000001</v>
      </c>
      <c r="D3189">
        <f t="shared" si="198"/>
        <v>72</v>
      </c>
      <c r="E3189">
        <v>4.5</v>
      </c>
      <c r="F3189">
        <f t="shared" si="199"/>
        <v>67.5</v>
      </c>
      <c r="G3189">
        <v>6.4</v>
      </c>
      <c r="H3189">
        <v>0.318</v>
      </c>
      <c r="I3189">
        <v>5</v>
      </c>
      <c r="J3189">
        <v>3</v>
      </c>
      <c r="K3189">
        <v>6</v>
      </c>
      <c r="L3189">
        <v>9</v>
      </c>
      <c r="M3189">
        <v>0.40799999999999997</v>
      </c>
    </row>
    <row r="3190" spans="1:13" ht="15" customHeight="1">
      <c r="A3190" t="s">
        <v>39</v>
      </c>
      <c r="B3190">
        <f t="shared" si="196"/>
        <v>33.718240999999999</v>
      </c>
      <c r="C3190">
        <f t="shared" si="197"/>
        <v>-117.84579100000001</v>
      </c>
      <c r="D3190">
        <f t="shared" si="198"/>
        <v>72</v>
      </c>
      <c r="E3190">
        <v>5.5</v>
      </c>
      <c r="F3190">
        <f t="shared" si="199"/>
        <v>66.5</v>
      </c>
      <c r="G3190">
        <v>7.6829999999999998</v>
      </c>
      <c r="H3190">
        <v>0.377</v>
      </c>
      <c r="I3190">
        <v>4.9450000000000003</v>
      </c>
      <c r="J3190">
        <v>3</v>
      </c>
      <c r="K3190">
        <v>7</v>
      </c>
      <c r="L3190">
        <v>11</v>
      </c>
      <c r="M3190">
        <v>0.48699999999999999</v>
      </c>
    </row>
    <row r="3191" spans="1:13" ht="15" customHeight="1">
      <c r="A3191" t="s">
        <v>39</v>
      </c>
      <c r="B3191">
        <f t="shared" si="196"/>
        <v>33.718240999999999</v>
      </c>
      <c r="C3191">
        <f t="shared" si="197"/>
        <v>-117.84579100000001</v>
      </c>
      <c r="D3191">
        <f t="shared" si="198"/>
        <v>72</v>
      </c>
      <c r="E3191">
        <v>6.5</v>
      </c>
      <c r="F3191">
        <f t="shared" si="199"/>
        <v>65.5</v>
      </c>
      <c r="G3191">
        <v>4.7169999999999996</v>
      </c>
      <c r="H3191">
        <v>0.26</v>
      </c>
      <c r="I3191">
        <v>5.6319999999999997</v>
      </c>
      <c r="J3191">
        <v>3</v>
      </c>
      <c r="K3191">
        <v>4</v>
      </c>
      <c r="L3191">
        <v>6</v>
      </c>
      <c r="M3191">
        <v>0.28299999999999997</v>
      </c>
    </row>
    <row r="3192" spans="1:13" ht="15" customHeight="1">
      <c r="A3192" t="s">
        <v>39</v>
      </c>
      <c r="B3192">
        <f t="shared" si="196"/>
        <v>33.718240999999999</v>
      </c>
      <c r="C3192">
        <f t="shared" si="197"/>
        <v>-117.84579100000001</v>
      </c>
      <c r="D3192">
        <f t="shared" si="198"/>
        <v>72</v>
      </c>
      <c r="E3192">
        <v>7.5</v>
      </c>
      <c r="F3192">
        <f t="shared" si="199"/>
        <v>64.5</v>
      </c>
      <c r="G3192">
        <v>5.2169999999999996</v>
      </c>
      <c r="H3192">
        <v>0.27800000000000002</v>
      </c>
      <c r="I3192">
        <v>5.4050000000000002</v>
      </c>
      <c r="J3192">
        <v>3</v>
      </c>
      <c r="K3192">
        <v>5</v>
      </c>
      <c r="L3192">
        <v>8</v>
      </c>
      <c r="M3192">
        <v>0.314</v>
      </c>
    </row>
    <row r="3193" spans="1:13" ht="15" customHeight="1">
      <c r="A3193" t="s">
        <v>39</v>
      </c>
      <c r="B3193">
        <f t="shared" si="196"/>
        <v>33.718240999999999</v>
      </c>
      <c r="C3193">
        <f t="shared" si="197"/>
        <v>-117.84579100000001</v>
      </c>
      <c r="D3193">
        <f t="shared" si="198"/>
        <v>72</v>
      </c>
      <c r="E3193">
        <v>8.5</v>
      </c>
      <c r="F3193">
        <f t="shared" si="199"/>
        <v>63.5</v>
      </c>
      <c r="G3193">
        <v>13.016999999999999</v>
      </c>
      <c r="H3193">
        <v>0.56499999999999995</v>
      </c>
      <c r="I3193">
        <v>4.33</v>
      </c>
      <c r="J3193">
        <v>3</v>
      </c>
      <c r="K3193">
        <v>13</v>
      </c>
      <c r="L3193">
        <v>20</v>
      </c>
      <c r="M3193">
        <v>0.83699999999999997</v>
      </c>
    </row>
    <row r="3194" spans="1:13" ht="15" customHeight="1">
      <c r="A3194" t="s">
        <v>39</v>
      </c>
      <c r="B3194">
        <f t="shared" si="196"/>
        <v>33.718240999999999</v>
      </c>
      <c r="C3194">
        <f t="shared" si="197"/>
        <v>-117.84579100000001</v>
      </c>
      <c r="D3194">
        <f t="shared" si="198"/>
        <v>72</v>
      </c>
      <c r="E3194">
        <v>9.5</v>
      </c>
      <c r="F3194">
        <f t="shared" si="199"/>
        <v>62.5</v>
      </c>
      <c r="G3194">
        <v>13.382999999999999</v>
      </c>
      <c r="H3194">
        <v>0.59</v>
      </c>
      <c r="I3194">
        <v>4.4080000000000004</v>
      </c>
      <c r="J3194">
        <v>3</v>
      </c>
      <c r="K3194">
        <v>13</v>
      </c>
      <c r="L3194">
        <v>20</v>
      </c>
      <c r="M3194">
        <v>0.85499999999999998</v>
      </c>
    </row>
    <row r="3195" spans="1:13" ht="15" customHeight="1">
      <c r="A3195" t="s">
        <v>39</v>
      </c>
      <c r="B3195">
        <f t="shared" si="196"/>
        <v>33.718240999999999</v>
      </c>
      <c r="C3195">
        <f t="shared" si="197"/>
        <v>-117.84579100000001</v>
      </c>
      <c r="D3195">
        <f t="shared" si="198"/>
        <v>72</v>
      </c>
      <c r="E3195">
        <v>10.5</v>
      </c>
      <c r="F3195">
        <f t="shared" si="199"/>
        <v>61.5</v>
      </c>
      <c r="G3195">
        <v>8.4860000000000007</v>
      </c>
      <c r="H3195">
        <v>0.377</v>
      </c>
      <c r="I3195">
        <v>4.4669999999999996</v>
      </c>
      <c r="J3195">
        <v>3</v>
      </c>
      <c r="K3195">
        <v>8</v>
      </c>
      <c r="L3195">
        <v>12</v>
      </c>
      <c r="M3195">
        <v>0.52200000000000002</v>
      </c>
    </row>
    <row r="3196" spans="1:13" ht="15" customHeight="1">
      <c r="A3196" t="s">
        <v>39</v>
      </c>
      <c r="B3196">
        <f t="shared" si="196"/>
        <v>33.718240999999999</v>
      </c>
      <c r="C3196">
        <f t="shared" si="197"/>
        <v>-117.84579100000001</v>
      </c>
      <c r="D3196">
        <f t="shared" si="198"/>
        <v>72</v>
      </c>
      <c r="E3196">
        <v>11.5</v>
      </c>
      <c r="F3196">
        <f t="shared" si="199"/>
        <v>60.5</v>
      </c>
      <c r="G3196">
        <v>7.2830000000000004</v>
      </c>
      <c r="H3196">
        <v>0.40799999999999997</v>
      </c>
      <c r="I3196">
        <v>5.6580000000000004</v>
      </c>
      <c r="J3196">
        <v>3</v>
      </c>
      <c r="K3196">
        <v>7</v>
      </c>
      <c r="L3196">
        <v>9</v>
      </c>
      <c r="M3196">
        <v>0.436</v>
      </c>
    </row>
    <row r="3197" spans="1:13" ht="15" customHeight="1">
      <c r="A3197" t="s">
        <v>39</v>
      </c>
      <c r="B3197">
        <f t="shared" si="196"/>
        <v>33.718240999999999</v>
      </c>
      <c r="C3197">
        <f t="shared" si="197"/>
        <v>-117.84579100000001</v>
      </c>
      <c r="D3197">
        <f t="shared" si="198"/>
        <v>72</v>
      </c>
      <c r="E3197">
        <v>12.5</v>
      </c>
      <c r="F3197">
        <f t="shared" si="199"/>
        <v>59.5</v>
      </c>
      <c r="G3197">
        <v>7.2</v>
      </c>
      <c r="H3197">
        <v>0.378</v>
      </c>
      <c r="I3197">
        <v>5.242</v>
      </c>
      <c r="J3197">
        <v>3</v>
      </c>
      <c r="K3197">
        <v>7</v>
      </c>
      <c r="L3197">
        <v>9</v>
      </c>
      <c r="M3197">
        <v>0.432</v>
      </c>
    </row>
    <row r="3198" spans="1:13" ht="15" customHeight="1">
      <c r="A3198" t="s">
        <v>39</v>
      </c>
      <c r="B3198">
        <f t="shared" si="196"/>
        <v>33.718240999999999</v>
      </c>
      <c r="C3198">
        <f t="shared" si="197"/>
        <v>-117.84579100000001</v>
      </c>
      <c r="D3198">
        <f t="shared" si="198"/>
        <v>72</v>
      </c>
      <c r="E3198">
        <v>13.5</v>
      </c>
      <c r="F3198">
        <f t="shared" si="199"/>
        <v>58.5</v>
      </c>
      <c r="G3198">
        <v>6.55</v>
      </c>
      <c r="H3198">
        <v>0.32800000000000001</v>
      </c>
      <c r="I3198">
        <v>4.9749999999999996</v>
      </c>
      <c r="J3198">
        <v>3</v>
      </c>
      <c r="K3198">
        <v>6</v>
      </c>
      <c r="L3198">
        <v>7</v>
      </c>
      <c r="M3198">
        <v>0.38700000000000001</v>
      </c>
    </row>
    <row r="3199" spans="1:13" ht="15" customHeight="1">
      <c r="A3199" t="s">
        <v>39</v>
      </c>
      <c r="B3199">
        <f t="shared" si="196"/>
        <v>33.718240999999999</v>
      </c>
      <c r="C3199">
        <f t="shared" si="197"/>
        <v>-117.84579100000001</v>
      </c>
      <c r="D3199">
        <f t="shared" si="198"/>
        <v>72</v>
      </c>
      <c r="E3199">
        <v>14.5</v>
      </c>
      <c r="F3199">
        <f t="shared" si="199"/>
        <v>57.5</v>
      </c>
      <c r="G3199">
        <v>7.0830000000000002</v>
      </c>
      <c r="H3199">
        <v>0.31</v>
      </c>
      <c r="I3199">
        <v>4.3460000000000001</v>
      </c>
      <c r="J3199">
        <v>3</v>
      </c>
      <c r="K3199">
        <v>7</v>
      </c>
      <c r="L3199">
        <v>8</v>
      </c>
      <c r="M3199">
        <v>0.41799999999999998</v>
      </c>
    </row>
    <row r="3200" spans="1:13" ht="15" customHeight="1">
      <c r="A3200" t="s">
        <v>39</v>
      </c>
      <c r="B3200">
        <f t="shared" si="196"/>
        <v>33.718240999999999</v>
      </c>
      <c r="C3200">
        <f t="shared" si="197"/>
        <v>-117.84579100000001</v>
      </c>
      <c r="D3200">
        <f t="shared" si="198"/>
        <v>72</v>
      </c>
      <c r="E3200">
        <v>15.5</v>
      </c>
      <c r="F3200">
        <f t="shared" si="199"/>
        <v>56.5</v>
      </c>
      <c r="G3200">
        <v>7.55</v>
      </c>
      <c r="H3200">
        <v>0.33200000000000002</v>
      </c>
      <c r="I3200">
        <v>4.3739999999999997</v>
      </c>
      <c r="J3200">
        <v>3</v>
      </c>
      <c r="K3200">
        <v>7</v>
      </c>
      <c r="L3200">
        <v>7</v>
      </c>
      <c r="M3200">
        <v>0.44400000000000001</v>
      </c>
    </row>
    <row r="3201" spans="1:13" ht="15" customHeight="1">
      <c r="A3201" t="s">
        <v>39</v>
      </c>
      <c r="B3201">
        <f t="shared" si="196"/>
        <v>33.718240999999999</v>
      </c>
      <c r="C3201">
        <f t="shared" si="197"/>
        <v>-117.84579100000001</v>
      </c>
      <c r="D3201">
        <f t="shared" si="198"/>
        <v>72</v>
      </c>
      <c r="E3201">
        <v>16.5</v>
      </c>
      <c r="F3201">
        <f t="shared" si="199"/>
        <v>55.5</v>
      </c>
      <c r="G3201">
        <v>6.9169999999999998</v>
      </c>
      <c r="H3201">
        <v>0.28000000000000003</v>
      </c>
      <c r="I3201">
        <v>4.048</v>
      </c>
      <c r="J3201">
        <v>3</v>
      </c>
      <c r="K3201">
        <v>7</v>
      </c>
      <c r="L3201">
        <v>7</v>
      </c>
      <c r="M3201">
        <v>0.39600000000000002</v>
      </c>
    </row>
    <row r="3202" spans="1:13" ht="15" customHeight="1">
      <c r="A3202" t="s">
        <v>39</v>
      </c>
      <c r="B3202">
        <f t="shared" ref="B3202:B3265" si="200">VLOOKUP(A3202,XYdata,3,FALSE)</f>
        <v>33.718240999999999</v>
      </c>
      <c r="C3202">
        <f t="shared" ref="C3202:C3265" si="201">VLOOKUP(A3202,XYdata,2,FALSE)</f>
        <v>-117.84579100000001</v>
      </c>
      <c r="D3202">
        <f t="shared" ref="D3202:D3265" si="202">VLOOKUP(A3202,Elevation,2,FALSE)</f>
        <v>72</v>
      </c>
      <c r="E3202">
        <v>17.5</v>
      </c>
      <c r="F3202">
        <f t="shared" si="199"/>
        <v>54.5</v>
      </c>
      <c r="G3202">
        <v>8.1170000000000009</v>
      </c>
      <c r="H3202">
        <v>0.28999999999999998</v>
      </c>
      <c r="I3202">
        <v>3.573</v>
      </c>
      <c r="J3202">
        <v>3</v>
      </c>
      <c r="K3202">
        <v>8</v>
      </c>
      <c r="L3202">
        <v>8</v>
      </c>
      <c r="M3202">
        <v>0.47199999999999998</v>
      </c>
    </row>
    <row r="3203" spans="1:13" ht="15" customHeight="1">
      <c r="A3203" t="s">
        <v>39</v>
      </c>
      <c r="B3203">
        <f t="shared" si="200"/>
        <v>33.718240999999999</v>
      </c>
      <c r="C3203">
        <f t="shared" si="201"/>
        <v>-117.84579100000001</v>
      </c>
      <c r="D3203">
        <f t="shared" si="202"/>
        <v>72</v>
      </c>
      <c r="E3203">
        <v>18.5</v>
      </c>
      <c r="F3203">
        <f t="shared" ref="F3203:F3266" si="203">D3203-E3203</f>
        <v>53.5</v>
      </c>
      <c r="G3203">
        <v>8.65</v>
      </c>
      <c r="H3203">
        <v>0.32200000000000001</v>
      </c>
      <c r="I3203">
        <v>3.7189999999999999</v>
      </c>
      <c r="J3203">
        <v>3</v>
      </c>
      <c r="K3203">
        <v>8</v>
      </c>
      <c r="L3203">
        <v>7</v>
      </c>
      <c r="M3203">
        <v>0.503</v>
      </c>
    </row>
    <row r="3204" spans="1:13" ht="15" customHeight="1">
      <c r="A3204" t="s">
        <v>39</v>
      </c>
      <c r="B3204">
        <f t="shared" si="200"/>
        <v>33.718240999999999</v>
      </c>
      <c r="C3204">
        <f t="shared" si="201"/>
        <v>-117.84579100000001</v>
      </c>
      <c r="D3204">
        <f t="shared" si="202"/>
        <v>72</v>
      </c>
      <c r="E3204">
        <v>19.5</v>
      </c>
      <c r="F3204">
        <f t="shared" si="203"/>
        <v>52.5</v>
      </c>
      <c r="G3204">
        <v>22.4</v>
      </c>
      <c r="H3204">
        <v>0.46300000000000002</v>
      </c>
      <c r="I3204">
        <v>2.0680000000000001</v>
      </c>
      <c r="J3204">
        <v>6</v>
      </c>
      <c r="K3204">
        <v>9</v>
      </c>
      <c r="L3204">
        <v>8</v>
      </c>
      <c r="M3204">
        <v>1.4159999999999999</v>
      </c>
    </row>
    <row r="3205" spans="1:13" ht="15" customHeight="1">
      <c r="A3205" t="s">
        <v>39</v>
      </c>
      <c r="B3205">
        <f t="shared" si="200"/>
        <v>33.718240999999999</v>
      </c>
      <c r="C3205">
        <f t="shared" si="201"/>
        <v>-117.84579100000001</v>
      </c>
      <c r="D3205">
        <f t="shared" si="202"/>
        <v>72</v>
      </c>
      <c r="E3205">
        <v>20.5</v>
      </c>
      <c r="F3205">
        <f t="shared" si="203"/>
        <v>51.5</v>
      </c>
      <c r="G3205">
        <v>92.7</v>
      </c>
      <c r="H3205">
        <v>0.54</v>
      </c>
      <c r="I3205">
        <v>0.58299999999999996</v>
      </c>
      <c r="J3205">
        <v>8</v>
      </c>
      <c r="K3205">
        <v>22</v>
      </c>
      <c r="L3205">
        <v>19</v>
      </c>
      <c r="M3205" s="1">
        <v>9000000000</v>
      </c>
    </row>
    <row r="3206" spans="1:13" ht="15" customHeight="1">
      <c r="A3206" t="s">
        <v>39</v>
      </c>
      <c r="B3206">
        <f t="shared" si="200"/>
        <v>33.718240999999999</v>
      </c>
      <c r="C3206">
        <f t="shared" si="201"/>
        <v>-117.84579100000001</v>
      </c>
      <c r="D3206">
        <f t="shared" si="202"/>
        <v>72</v>
      </c>
      <c r="E3206">
        <v>21.5</v>
      </c>
      <c r="F3206">
        <f t="shared" si="203"/>
        <v>50.5</v>
      </c>
      <c r="G3206">
        <v>125.81699999999999</v>
      </c>
      <c r="H3206">
        <v>0.872</v>
      </c>
      <c r="I3206">
        <v>0.69399999999999995</v>
      </c>
      <c r="J3206">
        <v>9</v>
      </c>
      <c r="K3206">
        <v>24</v>
      </c>
      <c r="L3206">
        <v>20</v>
      </c>
      <c r="M3206" s="1">
        <v>9000000000</v>
      </c>
    </row>
    <row r="3207" spans="1:13" ht="15" customHeight="1">
      <c r="A3207" t="s">
        <v>39</v>
      </c>
      <c r="B3207">
        <f t="shared" si="200"/>
        <v>33.718240999999999</v>
      </c>
      <c r="C3207">
        <f t="shared" si="201"/>
        <v>-117.84579100000001</v>
      </c>
      <c r="D3207">
        <f t="shared" si="202"/>
        <v>72</v>
      </c>
      <c r="E3207">
        <v>22.5</v>
      </c>
      <c r="F3207">
        <f t="shared" si="203"/>
        <v>49.5</v>
      </c>
      <c r="G3207">
        <v>109.68300000000001</v>
      </c>
      <c r="H3207">
        <v>0.79700000000000004</v>
      </c>
      <c r="I3207">
        <v>0.72699999999999998</v>
      </c>
      <c r="J3207">
        <v>8</v>
      </c>
      <c r="K3207">
        <v>26</v>
      </c>
      <c r="L3207">
        <v>21</v>
      </c>
      <c r="M3207" s="1">
        <v>9000000000</v>
      </c>
    </row>
    <row r="3208" spans="1:13" ht="15" customHeight="1">
      <c r="A3208" t="s">
        <v>39</v>
      </c>
      <c r="B3208">
        <f t="shared" si="200"/>
        <v>33.718240999999999</v>
      </c>
      <c r="C3208">
        <f t="shared" si="201"/>
        <v>-117.84579100000001</v>
      </c>
      <c r="D3208">
        <f t="shared" si="202"/>
        <v>72</v>
      </c>
      <c r="E3208">
        <v>23.5</v>
      </c>
      <c r="F3208">
        <f t="shared" si="203"/>
        <v>48.5</v>
      </c>
      <c r="G3208">
        <v>88.05</v>
      </c>
      <c r="H3208">
        <v>1.3480000000000001</v>
      </c>
      <c r="I3208">
        <v>1.5349999999999999</v>
      </c>
      <c r="J3208">
        <v>7</v>
      </c>
      <c r="K3208">
        <v>28</v>
      </c>
      <c r="L3208">
        <v>22</v>
      </c>
      <c r="M3208" s="1">
        <v>9000000000</v>
      </c>
    </row>
    <row r="3209" spans="1:13" ht="15" customHeight="1">
      <c r="A3209" t="s">
        <v>39</v>
      </c>
      <c r="B3209">
        <f t="shared" si="200"/>
        <v>33.718240999999999</v>
      </c>
      <c r="C3209">
        <f t="shared" si="201"/>
        <v>-117.84579100000001</v>
      </c>
      <c r="D3209">
        <f t="shared" si="202"/>
        <v>72</v>
      </c>
      <c r="E3209">
        <v>24.5</v>
      </c>
      <c r="F3209">
        <f t="shared" si="203"/>
        <v>47.5</v>
      </c>
      <c r="G3209">
        <v>52.966999999999999</v>
      </c>
      <c r="H3209">
        <v>1.5</v>
      </c>
      <c r="I3209">
        <v>2.843</v>
      </c>
      <c r="J3209">
        <v>6</v>
      </c>
      <c r="K3209">
        <v>20</v>
      </c>
      <c r="L3209">
        <v>15</v>
      </c>
      <c r="M3209">
        <v>3.42</v>
      </c>
    </row>
    <row r="3210" spans="1:13" ht="15" customHeight="1">
      <c r="A3210" t="s">
        <v>39</v>
      </c>
      <c r="B3210">
        <f t="shared" si="200"/>
        <v>33.718240999999999</v>
      </c>
      <c r="C3210">
        <f t="shared" si="201"/>
        <v>-117.84579100000001</v>
      </c>
      <c r="D3210">
        <f t="shared" si="202"/>
        <v>72</v>
      </c>
      <c r="E3210">
        <v>25.5</v>
      </c>
      <c r="F3210">
        <f t="shared" si="203"/>
        <v>46.5</v>
      </c>
      <c r="G3210">
        <v>16.483000000000001</v>
      </c>
      <c r="H3210">
        <v>0.55800000000000005</v>
      </c>
      <c r="I3210">
        <v>3.4289999999999998</v>
      </c>
      <c r="J3210">
        <v>4</v>
      </c>
      <c r="K3210">
        <v>10</v>
      </c>
      <c r="L3210">
        <v>7</v>
      </c>
      <c r="M3210">
        <v>0.98399999999999999</v>
      </c>
    </row>
    <row r="3211" spans="1:13" ht="15" customHeight="1">
      <c r="A3211" t="s">
        <v>39</v>
      </c>
      <c r="B3211">
        <f t="shared" si="200"/>
        <v>33.718240999999999</v>
      </c>
      <c r="C3211">
        <f t="shared" si="201"/>
        <v>-117.84579100000001</v>
      </c>
      <c r="D3211">
        <f t="shared" si="202"/>
        <v>72</v>
      </c>
      <c r="E3211">
        <v>26.5</v>
      </c>
      <c r="F3211">
        <f t="shared" si="203"/>
        <v>45.5</v>
      </c>
      <c r="G3211">
        <v>47.65</v>
      </c>
      <c r="H3211">
        <v>2.1150000000000002</v>
      </c>
      <c r="I3211">
        <v>4.4560000000000004</v>
      </c>
      <c r="J3211">
        <v>4</v>
      </c>
      <c r="K3211">
        <v>30</v>
      </c>
      <c r="L3211">
        <v>21</v>
      </c>
      <c r="M3211">
        <v>3.0579999999999998</v>
      </c>
    </row>
    <row r="3212" spans="1:13" ht="15" customHeight="1">
      <c r="A3212" t="s">
        <v>39</v>
      </c>
      <c r="B3212">
        <f t="shared" si="200"/>
        <v>33.718240999999999</v>
      </c>
      <c r="C3212">
        <f t="shared" si="201"/>
        <v>-117.84579100000001</v>
      </c>
      <c r="D3212">
        <f t="shared" si="202"/>
        <v>72</v>
      </c>
      <c r="E3212">
        <v>27.5</v>
      </c>
      <c r="F3212">
        <f t="shared" si="203"/>
        <v>44.5</v>
      </c>
      <c r="G3212">
        <v>29.5</v>
      </c>
      <c r="H3212">
        <v>1.502</v>
      </c>
      <c r="I3212">
        <v>5.1139999999999999</v>
      </c>
      <c r="J3212">
        <v>3</v>
      </c>
      <c r="K3212">
        <v>28</v>
      </c>
      <c r="L3212">
        <v>20</v>
      </c>
      <c r="M3212">
        <v>1.847</v>
      </c>
    </row>
    <row r="3213" spans="1:13" ht="15" customHeight="1">
      <c r="A3213" t="s">
        <v>39</v>
      </c>
      <c r="B3213">
        <f t="shared" si="200"/>
        <v>33.718240999999999</v>
      </c>
      <c r="C3213">
        <f t="shared" si="201"/>
        <v>-117.84579100000001</v>
      </c>
      <c r="D3213">
        <f t="shared" si="202"/>
        <v>72</v>
      </c>
      <c r="E3213">
        <v>28.5</v>
      </c>
      <c r="F3213">
        <f t="shared" si="203"/>
        <v>43.5</v>
      </c>
      <c r="G3213">
        <v>16.082999999999998</v>
      </c>
      <c r="H3213">
        <v>0.84199999999999997</v>
      </c>
      <c r="I3213">
        <v>5.2329999999999997</v>
      </c>
      <c r="J3213">
        <v>3</v>
      </c>
      <c r="K3213">
        <v>15</v>
      </c>
      <c r="L3213">
        <v>10</v>
      </c>
      <c r="M3213">
        <v>0.95799999999999996</v>
      </c>
    </row>
    <row r="3214" spans="1:13" ht="15" customHeight="1">
      <c r="A3214" t="s">
        <v>39</v>
      </c>
      <c r="B3214">
        <f t="shared" si="200"/>
        <v>33.718240999999999</v>
      </c>
      <c r="C3214">
        <f t="shared" si="201"/>
        <v>-117.84579100000001</v>
      </c>
      <c r="D3214">
        <f t="shared" si="202"/>
        <v>72</v>
      </c>
      <c r="E3214">
        <v>29.5</v>
      </c>
      <c r="F3214">
        <f t="shared" si="203"/>
        <v>42.5</v>
      </c>
      <c r="G3214">
        <v>13.45</v>
      </c>
      <c r="H3214">
        <v>0.44500000000000001</v>
      </c>
      <c r="I3214">
        <v>3.2879999999999998</v>
      </c>
      <c r="J3214">
        <v>4</v>
      </c>
      <c r="K3214">
        <v>9</v>
      </c>
      <c r="L3214">
        <v>6</v>
      </c>
      <c r="M3214">
        <v>0.78400000000000003</v>
      </c>
    </row>
    <row r="3215" spans="1:13" ht="15" customHeight="1">
      <c r="A3215" t="s">
        <v>39</v>
      </c>
      <c r="B3215">
        <f t="shared" si="200"/>
        <v>33.718240999999999</v>
      </c>
      <c r="C3215">
        <f t="shared" si="201"/>
        <v>-117.84579100000001</v>
      </c>
      <c r="D3215">
        <f t="shared" si="202"/>
        <v>72</v>
      </c>
      <c r="E3215">
        <v>30.5</v>
      </c>
      <c r="F3215">
        <f t="shared" si="203"/>
        <v>41.5</v>
      </c>
      <c r="G3215">
        <v>12.817</v>
      </c>
      <c r="H3215">
        <v>0.41299999999999998</v>
      </c>
      <c r="I3215">
        <v>3.2080000000000002</v>
      </c>
      <c r="J3215">
        <v>4</v>
      </c>
      <c r="K3215">
        <v>8</v>
      </c>
      <c r="L3215">
        <v>5</v>
      </c>
      <c r="M3215">
        <v>0.73599999999999999</v>
      </c>
    </row>
    <row r="3216" spans="1:13" ht="15" customHeight="1">
      <c r="A3216" t="s">
        <v>39</v>
      </c>
      <c r="B3216">
        <f t="shared" si="200"/>
        <v>33.718240999999999</v>
      </c>
      <c r="C3216">
        <f t="shared" si="201"/>
        <v>-117.84579100000001</v>
      </c>
      <c r="D3216">
        <f t="shared" si="202"/>
        <v>72</v>
      </c>
      <c r="E3216">
        <v>31.5</v>
      </c>
      <c r="F3216">
        <f t="shared" si="203"/>
        <v>40.5</v>
      </c>
      <c r="G3216">
        <v>11.856999999999999</v>
      </c>
      <c r="H3216">
        <v>0.38300000000000001</v>
      </c>
      <c r="I3216">
        <v>3.21</v>
      </c>
      <c r="J3216">
        <v>4</v>
      </c>
      <c r="K3216">
        <v>8</v>
      </c>
      <c r="L3216">
        <v>5</v>
      </c>
      <c r="M3216">
        <v>0.66900000000000004</v>
      </c>
    </row>
    <row r="3217" spans="1:13" ht="15" customHeight="1">
      <c r="A3217" t="s">
        <v>39</v>
      </c>
      <c r="B3217">
        <f t="shared" si="200"/>
        <v>33.718240999999999</v>
      </c>
      <c r="C3217">
        <f t="shared" si="201"/>
        <v>-117.84579100000001</v>
      </c>
      <c r="D3217">
        <f t="shared" si="202"/>
        <v>72</v>
      </c>
      <c r="E3217">
        <v>32.5</v>
      </c>
      <c r="F3217">
        <f t="shared" si="203"/>
        <v>39.5</v>
      </c>
      <c r="G3217">
        <v>22.667000000000002</v>
      </c>
      <c r="H3217">
        <v>0.90500000000000003</v>
      </c>
      <c r="I3217">
        <v>3.9750000000000001</v>
      </c>
      <c r="J3217">
        <v>4</v>
      </c>
      <c r="K3217">
        <v>15</v>
      </c>
      <c r="L3217">
        <v>10</v>
      </c>
      <c r="M3217">
        <v>1.387</v>
      </c>
    </row>
    <row r="3218" spans="1:13" ht="15" customHeight="1">
      <c r="A3218" t="s">
        <v>39</v>
      </c>
      <c r="B3218">
        <f t="shared" si="200"/>
        <v>33.718240999999999</v>
      </c>
      <c r="C3218">
        <f t="shared" si="201"/>
        <v>-117.84579100000001</v>
      </c>
      <c r="D3218">
        <f t="shared" si="202"/>
        <v>72</v>
      </c>
      <c r="E3218">
        <v>33.5</v>
      </c>
      <c r="F3218">
        <f t="shared" si="203"/>
        <v>38.5</v>
      </c>
      <c r="G3218">
        <v>28.85</v>
      </c>
      <c r="H3218">
        <v>1.327</v>
      </c>
      <c r="I3218">
        <v>4.5979999999999999</v>
      </c>
      <c r="J3218">
        <v>3</v>
      </c>
      <c r="K3218">
        <v>28</v>
      </c>
      <c r="L3218">
        <v>18</v>
      </c>
      <c r="M3218">
        <v>1.7889999999999999</v>
      </c>
    </row>
    <row r="3219" spans="1:13" ht="15" customHeight="1">
      <c r="A3219" t="s">
        <v>39</v>
      </c>
      <c r="B3219">
        <f t="shared" si="200"/>
        <v>33.718240999999999</v>
      </c>
      <c r="C3219">
        <f t="shared" si="201"/>
        <v>-117.84579100000001</v>
      </c>
      <c r="D3219">
        <f t="shared" si="202"/>
        <v>72</v>
      </c>
      <c r="E3219">
        <v>34.5</v>
      </c>
      <c r="F3219">
        <f t="shared" si="203"/>
        <v>37.5</v>
      </c>
      <c r="G3219">
        <v>17.233000000000001</v>
      </c>
      <c r="H3219">
        <v>0.84199999999999997</v>
      </c>
      <c r="I3219">
        <v>4.8840000000000003</v>
      </c>
      <c r="J3219">
        <v>3</v>
      </c>
      <c r="K3219">
        <v>17</v>
      </c>
      <c r="L3219">
        <v>11</v>
      </c>
      <c r="M3219">
        <v>1.01</v>
      </c>
    </row>
    <row r="3220" spans="1:13" ht="15" customHeight="1">
      <c r="A3220" t="s">
        <v>39</v>
      </c>
      <c r="B3220">
        <f t="shared" si="200"/>
        <v>33.718240999999999</v>
      </c>
      <c r="C3220">
        <f t="shared" si="201"/>
        <v>-117.84579100000001</v>
      </c>
      <c r="D3220">
        <f t="shared" si="202"/>
        <v>72</v>
      </c>
      <c r="E3220">
        <v>35.5</v>
      </c>
      <c r="F3220">
        <f t="shared" si="203"/>
        <v>36.5</v>
      </c>
      <c r="G3220">
        <v>18.832999999999998</v>
      </c>
      <c r="H3220">
        <v>0.78200000000000003</v>
      </c>
      <c r="I3220">
        <v>4.1429999999999998</v>
      </c>
      <c r="J3220">
        <v>4</v>
      </c>
      <c r="K3220">
        <v>12</v>
      </c>
      <c r="L3220">
        <v>8</v>
      </c>
      <c r="M3220">
        <v>1.115</v>
      </c>
    </row>
    <row r="3221" spans="1:13" ht="15" customHeight="1">
      <c r="A3221" t="s">
        <v>39</v>
      </c>
      <c r="B3221">
        <f t="shared" si="200"/>
        <v>33.718240999999999</v>
      </c>
      <c r="C3221">
        <f t="shared" si="201"/>
        <v>-117.84579100000001</v>
      </c>
      <c r="D3221">
        <f t="shared" si="202"/>
        <v>72</v>
      </c>
      <c r="E3221">
        <v>36.5</v>
      </c>
      <c r="F3221">
        <f t="shared" si="203"/>
        <v>35.5</v>
      </c>
      <c r="G3221">
        <v>31.317</v>
      </c>
      <c r="H3221">
        <v>1.0169999999999999</v>
      </c>
      <c r="I3221">
        <v>3.246</v>
      </c>
      <c r="J3221">
        <v>5</v>
      </c>
      <c r="K3221">
        <v>15</v>
      </c>
      <c r="L3221">
        <v>9</v>
      </c>
      <c r="M3221">
        <v>1.9410000000000001</v>
      </c>
    </row>
    <row r="3222" spans="1:13" ht="15" customHeight="1">
      <c r="A3222" t="s">
        <v>39</v>
      </c>
      <c r="B3222">
        <f t="shared" si="200"/>
        <v>33.718240999999999</v>
      </c>
      <c r="C3222">
        <f t="shared" si="201"/>
        <v>-117.84579100000001</v>
      </c>
      <c r="D3222">
        <f t="shared" si="202"/>
        <v>72</v>
      </c>
      <c r="E3222">
        <v>37.5</v>
      </c>
      <c r="F3222">
        <f t="shared" si="203"/>
        <v>34.5</v>
      </c>
      <c r="G3222">
        <v>16.632999999999999</v>
      </c>
      <c r="H3222">
        <v>0.63300000000000001</v>
      </c>
      <c r="I3222">
        <v>3.8079999999999998</v>
      </c>
      <c r="J3222">
        <v>4</v>
      </c>
      <c r="K3222">
        <v>11</v>
      </c>
      <c r="L3222">
        <v>7</v>
      </c>
      <c r="M3222">
        <v>0.95799999999999996</v>
      </c>
    </row>
    <row r="3223" spans="1:13" ht="15" customHeight="1">
      <c r="A3223" t="s">
        <v>39</v>
      </c>
      <c r="B3223">
        <f t="shared" si="200"/>
        <v>33.718240999999999</v>
      </c>
      <c r="C3223">
        <f t="shared" si="201"/>
        <v>-117.84579100000001</v>
      </c>
      <c r="D3223">
        <f t="shared" si="202"/>
        <v>72</v>
      </c>
      <c r="E3223">
        <v>38.5</v>
      </c>
      <c r="F3223">
        <f t="shared" si="203"/>
        <v>33.5</v>
      </c>
      <c r="G3223">
        <v>28.35</v>
      </c>
      <c r="H3223">
        <v>1.282</v>
      </c>
      <c r="I3223">
        <v>4.5209999999999999</v>
      </c>
      <c r="J3223">
        <v>4</v>
      </c>
      <c r="K3223">
        <v>18</v>
      </c>
      <c r="L3223">
        <v>11</v>
      </c>
      <c r="M3223">
        <v>1.7350000000000001</v>
      </c>
    </row>
    <row r="3224" spans="1:13" ht="15" customHeight="1">
      <c r="A3224" t="s">
        <v>39</v>
      </c>
      <c r="B3224">
        <f t="shared" si="200"/>
        <v>33.718240999999999</v>
      </c>
      <c r="C3224">
        <f t="shared" si="201"/>
        <v>-117.84579100000001</v>
      </c>
      <c r="D3224">
        <f t="shared" si="202"/>
        <v>72</v>
      </c>
      <c r="E3224">
        <v>39.5</v>
      </c>
      <c r="F3224">
        <f t="shared" si="203"/>
        <v>32.5</v>
      </c>
      <c r="G3224">
        <v>52.433</v>
      </c>
      <c r="H3224">
        <v>2.4769999999999999</v>
      </c>
      <c r="I3224">
        <v>4.7279999999999998</v>
      </c>
      <c r="J3224">
        <v>4</v>
      </c>
      <c r="K3224">
        <v>33</v>
      </c>
      <c r="L3224">
        <v>20</v>
      </c>
      <c r="M3224">
        <v>3.3330000000000002</v>
      </c>
    </row>
    <row r="3225" spans="1:13" ht="15" customHeight="1">
      <c r="A3225" t="s">
        <v>39</v>
      </c>
      <c r="B3225">
        <f t="shared" si="200"/>
        <v>33.718240999999999</v>
      </c>
      <c r="C3225">
        <f t="shared" si="201"/>
        <v>-117.84579100000001</v>
      </c>
      <c r="D3225">
        <f t="shared" si="202"/>
        <v>72</v>
      </c>
      <c r="E3225">
        <v>40.5</v>
      </c>
      <c r="F3225">
        <f t="shared" si="203"/>
        <v>31.5</v>
      </c>
      <c r="G3225">
        <v>29.5</v>
      </c>
      <c r="H3225">
        <v>1.04</v>
      </c>
      <c r="I3225">
        <v>3.5449999999999999</v>
      </c>
      <c r="J3225">
        <v>5</v>
      </c>
      <c r="K3225">
        <v>14</v>
      </c>
      <c r="L3225">
        <v>8</v>
      </c>
      <c r="M3225">
        <v>1.792</v>
      </c>
    </row>
    <row r="3226" spans="1:13" ht="15" customHeight="1">
      <c r="A3226" t="s">
        <v>39</v>
      </c>
      <c r="B3226">
        <f t="shared" si="200"/>
        <v>33.718240999999999</v>
      </c>
      <c r="C3226">
        <f t="shared" si="201"/>
        <v>-117.84579100000001</v>
      </c>
      <c r="D3226">
        <f t="shared" si="202"/>
        <v>72</v>
      </c>
      <c r="E3226">
        <v>41.499000000000002</v>
      </c>
      <c r="F3226">
        <f t="shared" si="203"/>
        <v>30.500999999999998</v>
      </c>
      <c r="G3226">
        <v>35.343000000000004</v>
      </c>
      <c r="H3226">
        <v>1.45</v>
      </c>
      <c r="I3226">
        <v>4.1230000000000002</v>
      </c>
      <c r="J3226">
        <v>4</v>
      </c>
      <c r="K3226">
        <v>22</v>
      </c>
      <c r="L3226">
        <v>13</v>
      </c>
      <c r="M3226">
        <v>2.177</v>
      </c>
    </row>
    <row r="3227" spans="1:13" ht="15" customHeight="1">
      <c r="A3227" t="s">
        <v>39</v>
      </c>
      <c r="B3227">
        <f t="shared" si="200"/>
        <v>33.718240999999999</v>
      </c>
      <c r="C3227">
        <f t="shared" si="201"/>
        <v>-117.84579100000001</v>
      </c>
      <c r="D3227">
        <f t="shared" si="202"/>
        <v>72</v>
      </c>
      <c r="E3227">
        <v>42.499000000000002</v>
      </c>
      <c r="F3227">
        <f t="shared" si="203"/>
        <v>29.500999999999998</v>
      </c>
      <c r="G3227">
        <v>37.582999999999998</v>
      </c>
      <c r="H3227">
        <v>1.5569999999999999</v>
      </c>
      <c r="I3227">
        <v>4.1529999999999996</v>
      </c>
      <c r="J3227">
        <v>4</v>
      </c>
      <c r="K3227">
        <v>24</v>
      </c>
      <c r="L3227">
        <v>14</v>
      </c>
      <c r="M3227">
        <v>2.327</v>
      </c>
    </row>
    <row r="3228" spans="1:13" ht="15" customHeight="1">
      <c r="A3228" t="s">
        <v>39</v>
      </c>
      <c r="B3228">
        <f t="shared" si="200"/>
        <v>33.718240999999999</v>
      </c>
      <c r="C3228">
        <f t="shared" si="201"/>
        <v>-117.84579100000001</v>
      </c>
      <c r="D3228">
        <f t="shared" si="202"/>
        <v>72</v>
      </c>
      <c r="E3228">
        <v>43.499000000000002</v>
      </c>
      <c r="F3228">
        <f t="shared" si="203"/>
        <v>28.500999999999998</v>
      </c>
      <c r="G3228">
        <v>45.383000000000003</v>
      </c>
      <c r="H3228">
        <v>1.835</v>
      </c>
      <c r="I3228">
        <v>4.0519999999999996</v>
      </c>
      <c r="J3228">
        <v>5</v>
      </c>
      <c r="K3228">
        <v>22</v>
      </c>
      <c r="L3228">
        <v>13</v>
      </c>
      <c r="M3228">
        <v>2.843</v>
      </c>
    </row>
    <row r="3229" spans="1:13" ht="15" customHeight="1">
      <c r="A3229" t="s">
        <v>39</v>
      </c>
      <c r="B3229">
        <f t="shared" si="200"/>
        <v>33.718240999999999</v>
      </c>
      <c r="C3229">
        <f t="shared" si="201"/>
        <v>-117.84579100000001</v>
      </c>
      <c r="D3229">
        <f t="shared" si="202"/>
        <v>72</v>
      </c>
      <c r="E3229">
        <v>44.499000000000002</v>
      </c>
      <c r="F3229">
        <f t="shared" si="203"/>
        <v>27.500999999999998</v>
      </c>
      <c r="G3229">
        <v>41.616999999999997</v>
      </c>
      <c r="H3229">
        <v>1.9630000000000001</v>
      </c>
      <c r="I3229">
        <v>4.7290000000000001</v>
      </c>
      <c r="J3229">
        <v>4</v>
      </c>
      <c r="K3229">
        <v>27</v>
      </c>
      <c r="L3229">
        <v>15</v>
      </c>
      <c r="M3229">
        <v>2.5870000000000002</v>
      </c>
    </row>
    <row r="3230" spans="1:13" ht="15" customHeight="1">
      <c r="A3230" t="s">
        <v>39</v>
      </c>
      <c r="B3230">
        <f t="shared" si="200"/>
        <v>33.718240999999999</v>
      </c>
      <c r="C3230">
        <f t="shared" si="201"/>
        <v>-117.84579100000001</v>
      </c>
      <c r="D3230">
        <f t="shared" si="202"/>
        <v>72</v>
      </c>
      <c r="E3230">
        <v>45.499000000000002</v>
      </c>
      <c r="F3230">
        <f t="shared" si="203"/>
        <v>26.500999999999998</v>
      </c>
      <c r="G3230">
        <v>31.55</v>
      </c>
      <c r="H3230">
        <v>1.518</v>
      </c>
      <c r="I3230">
        <v>4.8280000000000003</v>
      </c>
      <c r="J3230">
        <v>3</v>
      </c>
      <c r="K3230">
        <v>30</v>
      </c>
      <c r="L3230">
        <v>17</v>
      </c>
      <c r="M3230">
        <v>1.9119999999999999</v>
      </c>
    </row>
    <row r="3231" spans="1:13" ht="15" customHeight="1">
      <c r="A3231" t="s">
        <v>39</v>
      </c>
      <c r="B3231">
        <f t="shared" si="200"/>
        <v>33.718240999999999</v>
      </c>
      <c r="C3231">
        <f t="shared" si="201"/>
        <v>-117.84579100000001</v>
      </c>
      <c r="D3231">
        <f t="shared" si="202"/>
        <v>72</v>
      </c>
      <c r="E3231">
        <v>46.499000000000002</v>
      </c>
      <c r="F3231">
        <f t="shared" si="203"/>
        <v>25.500999999999998</v>
      </c>
      <c r="G3231">
        <v>28.05</v>
      </c>
      <c r="H3231">
        <v>1.3120000000000001</v>
      </c>
      <c r="I3231">
        <v>4.6929999999999996</v>
      </c>
      <c r="J3231">
        <v>3</v>
      </c>
      <c r="K3231">
        <v>27</v>
      </c>
      <c r="L3231">
        <v>15</v>
      </c>
      <c r="M3231">
        <v>1.675</v>
      </c>
    </row>
    <row r="3232" spans="1:13" ht="15" customHeight="1">
      <c r="A3232" t="s">
        <v>39</v>
      </c>
      <c r="B3232">
        <f t="shared" si="200"/>
        <v>33.718240999999999</v>
      </c>
      <c r="C3232">
        <f t="shared" si="201"/>
        <v>-117.84579100000001</v>
      </c>
      <c r="D3232">
        <f t="shared" si="202"/>
        <v>72</v>
      </c>
      <c r="E3232">
        <v>47.499000000000002</v>
      </c>
      <c r="F3232">
        <f t="shared" si="203"/>
        <v>24.500999999999998</v>
      </c>
      <c r="G3232">
        <v>64.966999999999999</v>
      </c>
      <c r="H3232">
        <v>2.585</v>
      </c>
      <c r="I3232">
        <v>3.9870000000000001</v>
      </c>
      <c r="J3232">
        <v>5</v>
      </c>
      <c r="K3232">
        <v>31</v>
      </c>
      <c r="L3232">
        <v>17</v>
      </c>
      <c r="M3232">
        <v>4.1289999999999996</v>
      </c>
    </row>
    <row r="3233" spans="1:13" ht="15" customHeight="1">
      <c r="A3233" t="s">
        <v>39</v>
      </c>
      <c r="B3233">
        <f t="shared" si="200"/>
        <v>33.718240999999999</v>
      </c>
      <c r="C3233">
        <f t="shared" si="201"/>
        <v>-117.84579100000001</v>
      </c>
      <c r="D3233">
        <f t="shared" si="202"/>
        <v>72</v>
      </c>
      <c r="E3233">
        <v>48.499000000000002</v>
      </c>
      <c r="F3233">
        <f t="shared" si="203"/>
        <v>23.500999999999998</v>
      </c>
      <c r="G3233">
        <v>37.232999999999997</v>
      </c>
      <c r="H3233">
        <v>1.9279999999999999</v>
      </c>
      <c r="I3233">
        <v>5.1929999999999996</v>
      </c>
      <c r="J3233">
        <v>3</v>
      </c>
      <c r="K3233">
        <v>36</v>
      </c>
      <c r="L3233">
        <v>19</v>
      </c>
      <c r="M3233">
        <v>2.2789999999999999</v>
      </c>
    </row>
    <row r="3234" spans="1:13" ht="15" customHeight="1">
      <c r="A3234" t="s">
        <v>39</v>
      </c>
      <c r="B3234">
        <f t="shared" si="200"/>
        <v>33.718240999999999</v>
      </c>
      <c r="C3234">
        <f t="shared" si="201"/>
        <v>-117.84579100000001</v>
      </c>
      <c r="D3234">
        <f t="shared" si="202"/>
        <v>72</v>
      </c>
      <c r="E3234">
        <v>49.499000000000002</v>
      </c>
      <c r="F3234">
        <f t="shared" si="203"/>
        <v>22.500999999999998</v>
      </c>
      <c r="G3234">
        <v>26.417000000000002</v>
      </c>
      <c r="H3234">
        <v>0.95799999999999996</v>
      </c>
      <c r="I3234">
        <v>3.6440000000000001</v>
      </c>
      <c r="J3234">
        <v>5</v>
      </c>
      <c r="K3234">
        <v>13</v>
      </c>
      <c r="L3234">
        <v>7</v>
      </c>
      <c r="M3234">
        <v>1.552</v>
      </c>
    </row>
    <row r="3235" spans="1:13" ht="15" customHeight="1">
      <c r="A3235" t="s">
        <v>39</v>
      </c>
      <c r="B3235">
        <f t="shared" si="200"/>
        <v>33.718240999999999</v>
      </c>
      <c r="C3235">
        <f t="shared" si="201"/>
        <v>-117.84579100000001</v>
      </c>
      <c r="D3235">
        <f t="shared" si="202"/>
        <v>72</v>
      </c>
      <c r="E3235">
        <v>50.499000000000002</v>
      </c>
      <c r="F3235">
        <f t="shared" si="203"/>
        <v>21.500999999999998</v>
      </c>
      <c r="G3235">
        <v>72.117000000000004</v>
      </c>
      <c r="H3235">
        <v>2.5270000000000001</v>
      </c>
      <c r="I3235">
        <v>3.508</v>
      </c>
      <c r="J3235">
        <v>5</v>
      </c>
      <c r="K3235">
        <v>34</v>
      </c>
      <c r="L3235">
        <v>18</v>
      </c>
      <c r="M3235">
        <v>4.5960000000000001</v>
      </c>
    </row>
    <row r="3236" spans="1:13" ht="15" customHeight="1">
      <c r="A3236" t="s">
        <v>39</v>
      </c>
      <c r="B3236">
        <f t="shared" si="200"/>
        <v>33.718240999999999</v>
      </c>
      <c r="C3236">
        <f t="shared" si="201"/>
        <v>-117.84579100000001</v>
      </c>
      <c r="D3236">
        <f t="shared" si="202"/>
        <v>72</v>
      </c>
      <c r="E3236">
        <v>51.499000000000002</v>
      </c>
      <c r="F3236">
        <f t="shared" si="203"/>
        <v>20.500999999999998</v>
      </c>
      <c r="G3236">
        <v>119.85</v>
      </c>
      <c r="H3236">
        <v>6.66</v>
      </c>
      <c r="I3236">
        <v>5.5620000000000003</v>
      </c>
      <c r="J3236">
        <v>11</v>
      </c>
      <c r="K3236">
        <v>115</v>
      </c>
      <c r="L3236">
        <v>60</v>
      </c>
      <c r="M3236" s="1">
        <v>9000000000</v>
      </c>
    </row>
    <row r="3237" spans="1:13" ht="15" customHeight="1">
      <c r="A3237" t="s">
        <v>39</v>
      </c>
      <c r="B3237">
        <f t="shared" si="200"/>
        <v>33.718240999999999</v>
      </c>
      <c r="C3237">
        <f t="shared" si="201"/>
        <v>-117.84579100000001</v>
      </c>
      <c r="D3237">
        <f t="shared" si="202"/>
        <v>72</v>
      </c>
      <c r="E3237">
        <v>52.499000000000002</v>
      </c>
      <c r="F3237">
        <f t="shared" si="203"/>
        <v>19.500999999999998</v>
      </c>
      <c r="G3237">
        <v>124.6</v>
      </c>
      <c r="H3237">
        <v>4.2160000000000002</v>
      </c>
      <c r="I3237">
        <v>3.3860000000000001</v>
      </c>
      <c r="J3237">
        <v>6</v>
      </c>
      <c r="K3237">
        <v>48</v>
      </c>
      <c r="L3237">
        <v>25</v>
      </c>
      <c r="M3237">
        <v>8.0860000000000003</v>
      </c>
    </row>
    <row r="3238" spans="1:13" ht="15" customHeight="1">
      <c r="A3238" t="s">
        <v>39</v>
      </c>
      <c r="B3238">
        <f t="shared" si="200"/>
        <v>33.718240999999999</v>
      </c>
      <c r="C3238">
        <f t="shared" si="201"/>
        <v>-117.84579100000001</v>
      </c>
      <c r="D3238">
        <f t="shared" si="202"/>
        <v>72</v>
      </c>
      <c r="E3238">
        <v>53.499000000000002</v>
      </c>
      <c r="F3238">
        <f t="shared" si="203"/>
        <v>18.500999999999998</v>
      </c>
      <c r="G3238">
        <v>106.68300000000001</v>
      </c>
      <c r="H3238">
        <v>5.6929999999999996</v>
      </c>
      <c r="I3238">
        <v>5.343</v>
      </c>
      <c r="J3238">
        <v>11</v>
      </c>
      <c r="K3238">
        <v>102</v>
      </c>
      <c r="L3238">
        <v>52</v>
      </c>
      <c r="M3238" s="1">
        <v>9000000000</v>
      </c>
    </row>
    <row r="3239" spans="1:13" ht="15" customHeight="1">
      <c r="A3239" t="s">
        <v>39</v>
      </c>
      <c r="B3239">
        <f t="shared" si="200"/>
        <v>33.718240999999999</v>
      </c>
      <c r="C3239">
        <f t="shared" si="201"/>
        <v>-117.84579100000001</v>
      </c>
      <c r="D3239">
        <f t="shared" si="202"/>
        <v>72</v>
      </c>
      <c r="E3239">
        <v>54.499000000000002</v>
      </c>
      <c r="F3239">
        <f t="shared" si="203"/>
        <v>17.500999999999998</v>
      </c>
      <c r="G3239">
        <v>223.083</v>
      </c>
      <c r="H3239">
        <v>4.6779999999999999</v>
      </c>
      <c r="I3239">
        <v>2.0979999999999999</v>
      </c>
      <c r="J3239">
        <v>7</v>
      </c>
      <c r="K3239">
        <v>71</v>
      </c>
      <c r="L3239">
        <v>36</v>
      </c>
      <c r="M3239" s="1">
        <v>9000000000</v>
      </c>
    </row>
    <row r="3240" spans="1:13" ht="15" customHeight="1">
      <c r="A3240" t="s">
        <v>39</v>
      </c>
      <c r="B3240">
        <f t="shared" si="200"/>
        <v>33.718240999999999</v>
      </c>
      <c r="C3240">
        <f t="shared" si="201"/>
        <v>-117.84579100000001</v>
      </c>
      <c r="D3240">
        <f t="shared" si="202"/>
        <v>72</v>
      </c>
      <c r="E3240">
        <v>55.499000000000002</v>
      </c>
      <c r="F3240">
        <f t="shared" si="203"/>
        <v>16.500999999999998</v>
      </c>
      <c r="G3240">
        <v>252.017</v>
      </c>
      <c r="H3240">
        <v>9.0920000000000005</v>
      </c>
      <c r="I3240">
        <v>3.609</v>
      </c>
      <c r="J3240">
        <v>12</v>
      </c>
      <c r="K3240">
        <v>121</v>
      </c>
      <c r="L3240">
        <v>61</v>
      </c>
      <c r="M3240" s="1">
        <v>9000000000</v>
      </c>
    </row>
    <row r="3241" spans="1:13" ht="15" customHeight="1">
      <c r="A3241" t="s">
        <v>39</v>
      </c>
      <c r="B3241">
        <f t="shared" si="200"/>
        <v>33.718240999999999</v>
      </c>
      <c r="C3241">
        <f t="shared" si="201"/>
        <v>-117.84579100000001</v>
      </c>
      <c r="D3241">
        <f t="shared" si="202"/>
        <v>72</v>
      </c>
      <c r="E3241">
        <v>56.499000000000002</v>
      </c>
      <c r="F3241">
        <f t="shared" si="203"/>
        <v>15.500999999999998</v>
      </c>
      <c r="G3241">
        <v>249.417</v>
      </c>
      <c r="H3241">
        <v>8.7129999999999992</v>
      </c>
      <c r="I3241">
        <v>3.496</v>
      </c>
      <c r="J3241">
        <v>12</v>
      </c>
      <c r="K3241">
        <v>119</v>
      </c>
      <c r="L3241">
        <v>60</v>
      </c>
      <c r="M3241" s="1">
        <v>9000000000</v>
      </c>
    </row>
    <row r="3242" spans="1:13" ht="15" customHeight="1">
      <c r="A3242" t="s">
        <v>39</v>
      </c>
      <c r="B3242">
        <f t="shared" si="200"/>
        <v>33.718240999999999</v>
      </c>
      <c r="C3242">
        <f t="shared" si="201"/>
        <v>-117.84579100000001</v>
      </c>
      <c r="D3242">
        <f t="shared" si="202"/>
        <v>72</v>
      </c>
      <c r="E3242">
        <v>57.499000000000002</v>
      </c>
      <c r="F3242">
        <f t="shared" si="203"/>
        <v>14.500999999999998</v>
      </c>
      <c r="G3242">
        <v>207.05</v>
      </c>
      <c r="H3242">
        <v>7.9870000000000001</v>
      </c>
      <c r="I3242">
        <v>3.86</v>
      </c>
      <c r="J3242">
        <v>12</v>
      </c>
      <c r="K3242">
        <v>99</v>
      </c>
      <c r="L3242">
        <v>50</v>
      </c>
      <c r="M3242" s="1">
        <v>9000000000</v>
      </c>
    </row>
    <row r="3243" spans="1:13" ht="15" customHeight="1">
      <c r="A3243" t="s">
        <v>39</v>
      </c>
      <c r="B3243">
        <f t="shared" si="200"/>
        <v>33.718240999999999</v>
      </c>
      <c r="C3243">
        <f t="shared" si="201"/>
        <v>-117.84579100000001</v>
      </c>
      <c r="D3243">
        <f t="shared" si="202"/>
        <v>72</v>
      </c>
      <c r="E3243">
        <v>58.499000000000002</v>
      </c>
      <c r="F3243">
        <f t="shared" si="203"/>
        <v>13.500999999999998</v>
      </c>
      <c r="G3243">
        <v>250.31700000000001</v>
      </c>
      <c r="H3243">
        <v>8.1219999999999999</v>
      </c>
      <c r="I3243">
        <v>3.2469999999999999</v>
      </c>
      <c r="J3243">
        <v>12</v>
      </c>
      <c r="K3243">
        <v>120</v>
      </c>
      <c r="L3243">
        <v>60</v>
      </c>
      <c r="M3243" s="1">
        <v>9000000000</v>
      </c>
    </row>
    <row r="3244" spans="1:13" ht="15" customHeight="1">
      <c r="A3244" t="s">
        <v>39</v>
      </c>
      <c r="B3244">
        <f t="shared" si="200"/>
        <v>33.718240999999999</v>
      </c>
      <c r="C3244">
        <f t="shared" si="201"/>
        <v>-117.84579100000001</v>
      </c>
      <c r="D3244">
        <f t="shared" si="202"/>
        <v>72</v>
      </c>
      <c r="E3244">
        <v>59.499000000000002</v>
      </c>
      <c r="F3244">
        <f t="shared" si="203"/>
        <v>12.500999999999998</v>
      </c>
      <c r="G3244">
        <v>151.583</v>
      </c>
      <c r="H3244">
        <v>5.8869999999999996</v>
      </c>
      <c r="I3244">
        <v>3.8879999999999999</v>
      </c>
      <c r="J3244">
        <v>12</v>
      </c>
      <c r="K3244">
        <v>73</v>
      </c>
      <c r="L3244">
        <v>37</v>
      </c>
      <c r="M3244" s="1">
        <v>9000000000</v>
      </c>
    </row>
    <row r="3245" spans="1:13" ht="15" customHeight="1">
      <c r="A3245" t="s">
        <v>39</v>
      </c>
      <c r="B3245">
        <f t="shared" si="200"/>
        <v>33.718240999999999</v>
      </c>
      <c r="C3245">
        <f t="shared" si="201"/>
        <v>-117.84579100000001</v>
      </c>
      <c r="D3245">
        <f t="shared" si="202"/>
        <v>72</v>
      </c>
      <c r="E3245">
        <v>60.499000000000002</v>
      </c>
      <c r="F3245">
        <f t="shared" si="203"/>
        <v>11.500999999999998</v>
      </c>
      <c r="G3245">
        <v>22.067</v>
      </c>
      <c r="H3245">
        <v>1.05</v>
      </c>
      <c r="I3245">
        <v>4.7949999999999999</v>
      </c>
      <c r="J3245">
        <v>3</v>
      </c>
      <c r="K3245">
        <v>21</v>
      </c>
      <c r="L3245">
        <v>11</v>
      </c>
      <c r="M3245">
        <v>1.2110000000000001</v>
      </c>
    </row>
    <row r="3246" spans="1:13" ht="15" customHeight="1">
      <c r="A3246" t="s">
        <v>39</v>
      </c>
      <c r="B3246">
        <f t="shared" si="200"/>
        <v>33.718240999999999</v>
      </c>
      <c r="C3246">
        <f t="shared" si="201"/>
        <v>-117.84579100000001</v>
      </c>
      <c r="D3246">
        <f t="shared" si="202"/>
        <v>72</v>
      </c>
      <c r="E3246">
        <v>61.499000000000002</v>
      </c>
      <c r="F3246">
        <f t="shared" si="203"/>
        <v>10.500999999999998</v>
      </c>
      <c r="G3246">
        <v>17.332999999999998</v>
      </c>
      <c r="H3246">
        <v>0.442</v>
      </c>
      <c r="I3246">
        <v>2.5649999999999999</v>
      </c>
      <c r="J3246">
        <v>5</v>
      </c>
      <c r="K3246">
        <v>8</v>
      </c>
      <c r="L3246">
        <v>4</v>
      </c>
      <c r="M3246">
        <v>0.89500000000000002</v>
      </c>
    </row>
    <row r="3247" spans="1:13" ht="15" customHeight="1">
      <c r="A3247" t="s">
        <v>39</v>
      </c>
      <c r="B3247">
        <f t="shared" si="200"/>
        <v>33.718240999999999</v>
      </c>
      <c r="C3247">
        <f t="shared" si="201"/>
        <v>-117.84579100000001</v>
      </c>
      <c r="D3247">
        <f t="shared" si="202"/>
        <v>72</v>
      </c>
      <c r="E3247">
        <v>62.499000000000002</v>
      </c>
      <c r="F3247">
        <f t="shared" si="203"/>
        <v>9.5009999999999977</v>
      </c>
      <c r="G3247">
        <v>20.428999999999998</v>
      </c>
      <c r="H3247">
        <v>0.70599999999999996</v>
      </c>
      <c r="I3247">
        <v>3.476</v>
      </c>
      <c r="J3247">
        <v>5</v>
      </c>
      <c r="K3247">
        <v>10</v>
      </c>
      <c r="L3247">
        <v>5</v>
      </c>
      <c r="M3247">
        <v>1.0960000000000001</v>
      </c>
    </row>
    <row r="3248" spans="1:13" ht="15" customHeight="1">
      <c r="A3248" t="s">
        <v>39</v>
      </c>
      <c r="B3248">
        <f t="shared" si="200"/>
        <v>33.718240999999999</v>
      </c>
      <c r="C3248">
        <f t="shared" si="201"/>
        <v>-117.84579100000001</v>
      </c>
      <c r="D3248">
        <f t="shared" si="202"/>
        <v>72</v>
      </c>
      <c r="E3248">
        <v>63.499000000000002</v>
      </c>
      <c r="F3248">
        <f t="shared" si="203"/>
        <v>8.5009999999999977</v>
      </c>
      <c r="G3248">
        <v>43.232999999999997</v>
      </c>
      <c r="H3248">
        <v>1.968</v>
      </c>
      <c r="I3248">
        <v>4.5629999999999997</v>
      </c>
      <c r="J3248">
        <v>4</v>
      </c>
      <c r="K3248">
        <v>28</v>
      </c>
      <c r="L3248">
        <v>14</v>
      </c>
      <c r="M3248">
        <v>2.6139999999999999</v>
      </c>
    </row>
    <row r="3249" spans="1:13" ht="15" customHeight="1">
      <c r="A3249" t="s">
        <v>39</v>
      </c>
      <c r="B3249">
        <f t="shared" si="200"/>
        <v>33.718240999999999</v>
      </c>
      <c r="C3249">
        <f t="shared" si="201"/>
        <v>-117.84579100000001</v>
      </c>
      <c r="D3249">
        <f t="shared" si="202"/>
        <v>72</v>
      </c>
      <c r="E3249">
        <v>64.498999999999995</v>
      </c>
      <c r="F3249">
        <f t="shared" si="203"/>
        <v>7.5010000000000048</v>
      </c>
      <c r="G3249">
        <v>27.216999999999999</v>
      </c>
      <c r="H3249">
        <v>1.5049999999999999</v>
      </c>
      <c r="I3249">
        <v>5.5540000000000003</v>
      </c>
      <c r="J3249">
        <v>3</v>
      </c>
      <c r="K3249">
        <v>26</v>
      </c>
      <c r="L3249">
        <v>13</v>
      </c>
      <c r="M3249">
        <v>1.5409999999999999</v>
      </c>
    </row>
    <row r="3250" spans="1:13" ht="15" customHeight="1">
      <c r="A3250" t="s">
        <v>39</v>
      </c>
      <c r="B3250">
        <f t="shared" si="200"/>
        <v>33.718240999999999</v>
      </c>
      <c r="C3250">
        <f t="shared" si="201"/>
        <v>-117.84579100000001</v>
      </c>
      <c r="D3250">
        <f t="shared" si="202"/>
        <v>72</v>
      </c>
      <c r="E3250">
        <v>65.498999999999995</v>
      </c>
      <c r="F3250">
        <f t="shared" si="203"/>
        <v>6.5010000000000048</v>
      </c>
      <c r="G3250">
        <v>21.183</v>
      </c>
      <c r="H3250">
        <v>0.80300000000000005</v>
      </c>
      <c r="I3250">
        <v>3.81</v>
      </c>
      <c r="J3250">
        <v>4</v>
      </c>
      <c r="K3250">
        <v>13</v>
      </c>
      <c r="L3250">
        <v>7</v>
      </c>
      <c r="M3250">
        <v>1.1359999999999999</v>
      </c>
    </row>
    <row r="3251" spans="1:13" ht="15" customHeight="1">
      <c r="A3251" t="s">
        <v>39</v>
      </c>
      <c r="B3251">
        <f t="shared" si="200"/>
        <v>33.718240999999999</v>
      </c>
      <c r="C3251">
        <f t="shared" si="201"/>
        <v>-117.84579100000001</v>
      </c>
      <c r="D3251">
        <f t="shared" si="202"/>
        <v>72</v>
      </c>
      <c r="E3251">
        <v>66.498999999999995</v>
      </c>
      <c r="F3251">
        <f t="shared" si="203"/>
        <v>5.5010000000000048</v>
      </c>
      <c r="G3251">
        <v>16.716999999999999</v>
      </c>
      <c r="H3251">
        <v>0.56699999999999995</v>
      </c>
      <c r="I3251">
        <v>3.407</v>
      </c>
      <c r="J3251">
        <v>4</v>
      </c>
      <c r="K3251">
        <v>11</v>
      </c>
      <c r="L3251">
        <v>6</v>
      </c>
      <c r="M3251">
        <v>0.83499999999999996</v>
      </c>
    </row>
    <row r="3252" spans="1:13" ht="15" customHeight="1">
      <c r="A3252" t="s">
        <v>39</v>
      </c>
      <c r="B3252">
        <f t="shared" si="200"/>
        <v>33.718240999999999</v>
      </c>
      <c r="C3252">
        <f t="shared" si="201"/>
        <v>-117.84579100000001</v>
      </c>
      <c r="D3252">
        <f t="shared" si="202"/>
        <v>72</v>
      </c>
      <c r="E3252">
        <v>67.498999999999995</v>
      </c>
      <c r="F3252">
        <f t="shared" si="203"/>
        <v>4.5010000000000048</v>
      </c>
      <c r="G3252">
        <v>55.4</v>
      </c>
      <c r="H3252">
        <v>2.7370000000000001</v>
      </c>
      <c r="I3252">
        <v>4.9489999999999998</v>
      </c>
      <c r="J3252">
        <v>4</v>
      </c>
      <c r="K3252">
        <v>35</v>
      </c>
      <c r="L3252">
        <v>18</v>
      </c>
      <c r="M3252">
        <v>3.4089999999999998</v>
      </c>
    </row>
    <row r="3253" spans="1:13" ht="15" customHeight="1">
      <c r="A3253" t="s">
        <v>39</v>
      </c>
      <c r="B3253">
        <f t="shared" si="200"/>
        <v>33.718240999999999</v>
      </c>
      <c r="C3253">
        <f t="shared" si="201"/>
        <v>-117.84579100000001</v>
      </c>
      <c r="D3253">
        <f t="shared" si="202"/>
        <v>72</v>
      </c>
      <c r="E3253">
        <v>68.498999999999995</v>
      </c>
      <c r="F3253">
        <f t="shared" si="203"/>
        <v>3.5010000000000048</v>
      </c>
      <c r="G3253">
        <v>67.95</v>
      </c>
      <c r="H3253">
        <v>4.548</v>
      </c>
      <c r="I3253">
        <v>6.7039999999999997</v>
      </c>
      <c r="J3253">
        <v>11</v>
      </c>
      <c r="K3253">
        <v>65</v>
      </c>
      <c r="L3253">
        <v>33</v>
      </c>
      <c r="M3253" s="1">
        <v>9000000000</v>
      </c>
    </row>
    <row r="3254" spans="1:13" ht="15" customHeight="1">
      <c r="A3254" t="s">
        <v>39</v>
      </c>
      <c r="B3254">
        <f t="shared" si="200"/>
        <v>33.718240999999999</v>
      </c>
      <c r="C3254">
        <f t="shared" si="201"/>
        <v>-117.84579100000001</v>
      </c>
      <c r="D3254">
        <f t="shared" si="202"/>
        <v>72</v>
      </c>
      <c r="E3254">
        <v>69.498999999999995</v>
      </c>
      <c r="F3254">
        <f t="shared" si="203"/>
        <v>2.5010000000000048</v>
      </c>
      <c r="G3254">
        <v>108.233</v>
      </c>
      <c r="H3254">
        <v>5.3380000000000001</v>
      </c>
      <c r="I3254">
        <v>4.9370000000000003</v>
      </c>
      <c r="J3254">
        <v>11</v>
      </c>
      <c r="K3254">
        <v>104</v>
      </c>
      <c r="L3254">
        <v>52</v>
      </c>
      <c r="M3254" s="1">
        <v>9000000000</v>
      </c>
    </row>
    <row r="3255" spans="1:13" ht="15" customHeight="1">
      <c r="A3255" t="s">
        <v>39</v>
      </c>
      <c r="B3255">
        <f t="shared" si="200"/>
        <v>33.718240999999999</v>
      </c>
      <c r="C3255">
        <f t="shared" si="201"/>
        <v>-117.84579100000001</v>
      </c>
      <c r="D3255">
        <f t="shared" si="202"/>
        <v>72</v>
      </c>
      <c r="E3255">
        <v>70.498999999999995</v>
      </c>
      <c r="F3255">
        <f t="shared" si="203"/>
        <v>1.5010000000000048</v>
      </c>
      <c r="G3255">
        <v>67.400000000000006</v>
      </c>
      <c r="H3255">
        <v>4.0199999999999996</v>
      </c>
      <c r="I3255">
        <v>5.9729999999999999</v>
      </c>
      <c r="J3255">
        <v>11</v>
      </c>
      <c r="K3255">
        <v>64</v>
      </c>
      <c r="L3255">
        <v>32</v>
      </c>
      <c r="M3255" s="1">
        <v>9000000000</v>
      </c>
    </row>
    <row r="3256" spans="1:13" ht="15" customHeight="1">
      <c r="A3256" t="s">
        <v>39</v>
      </c>
      <c r="B3256">
        <f t="shared" si="200"/>
        <v>33.718240999999999</v>
      </c>
      <c r="C3256">
        <f t="shared" si="201"/>
        <v>-117.84579100000001</v>
      </c>
      <c r="D3256">
        <f t="shared" si="202"/>
        <v>72</v>
      </c>
      <c r="E3256">
        <v>71.498999999999995</v>
      </c>
      <c r="F3256">
        <f t="shared" si="203"/>
        <v>0.50100000000000477</v>
      </c>
      <c r="G3256">
        <v>29.4</v>
      </c>
      <c r="H3256">
        <v>1.022</v>
      </c>
      <c r="I3256">
        <v>3.4870000000000001</v>
      </c>
      <c r="J3256">
        <v>5</v>
      </c>
      <c r="K3256">
        <v>14</v>
      </c>
      <c r="L3256">
        <v>7</v>
      </c>
      <c r="M3256">
        <v>1.6579999999999999</v>
      </c>
    </row>
    <row r="3257" spans="1:13" ht="15" customHeight="1">
      <c r="A3257" t="s">
        <v>39</v>
      </c>
      <c r="B3257">
        <f t="shared" si="200"/>
        <v>33.718240999999999</v>
      </c>
      <c r="C3257">
        <f t="shared" si="201"/>
        <v>-117.84579100000001</v>
      </c>
      <c r="D3257">
        <f t="shared" si="202"/>
        <v>72</v>
      </c>
      <c r="E3257">
        <v>72.498999999999995</v>
      </c>
      <c r="F3257">
        <f t="shared" si="203"/>
        <v>-0.49899999999999523</v>
      </c>
      <c r="G3257">
        <v>101.2</v>
      </c>
      <c r="H3257">
        <v>3.903</v>
      </c>
      <c r="I3257">
        <v>3.859</v>
      </c>
      <c r="J3257">
        <v>5</v>
      </c>
      <c r="K3257">
        <v>48</v>
      </c>
      <c r="L3257">
        <v>24</v>
      </c>
      <c r="M3257">
        <v>6.4420000000000002</v>
      </c>
    </row>
    <row r="3258" spans="1:13" ht="15" customHeight="1">
      <c r="A3258" t="s">
        <v>39</v>
      </c>
      <c r="B3258">
        <f t="shared" si="200"/>
        <v>33.718240999999999</v>
      </c>
      <c r="C3258">
        <f t="shared" si="201"/>
        <v>-117.84579100000001</v>
      </c>
      <c r="D3258">
        <f t="shared" si="202"/>
        <v>72</v>
      </c>
      <c r="E3258">
        <v>73.498999999999995</v>
      </c>
      <c r="F3258">
        <f t="shared" si="203"/>
        <v>-1.4989999999999952</v>
      </c>
      <c r="G3258">
        <v>94.867000000000004</v>
      </c>
      <c r="H3258">
        <v>4.5819999999999999</v>
      </c>
      <c r="I3258">
        <v>4.8360000000000003</v>
      </c>
      <c r="J3258">
        <v>11</v>
      </c>
      <c r="K3258">
        <v>91</v>
      </c>
      <c r="L3258">
        <v>46</v>
      </c>
      <c r="M3258" s="1">
        <v>9000000000</v>
      </c>
    </row>
    <row r="3259" spans="1:13" ht="15" customHeight="1">
      <c r="A3259" t="s">
        <v>39</v>
      </c>
      <c r="B3259">
        <f t="shared" si="200"/>
        <v>33.718240999999999</v>
      </c>
      <c r="C3259">
        <f t="shared" si="201"/>
        <v>-117.84579100000001</v>
      </c>
      <c r="D3259">
        <f t="shared" si="202"/>
        <v>72</v>
      </c>
      <c r="E3259">
        <v>74.498999999999995</v>
      </c>
      <c r="F3259">
        <f t="shared" si="203"/>
        <v>-2.4989999999999952</v>
      </c>
      <c r="G3259">
        <v>59.7</v>
      </c>
      <c r="H3259">
        <v>2.5430000000000001</v>
      </c>
      <c r="I3259">
        <v>4.2690000000000001</v>
      </c>
      <c r="J3259">
        <v>5</v>
      </c>
      <c r="K3259">
        <v>29</v>
      </c>
      <c r="L3259">
        <v>15</v>
      </c>
      <c r="M3259">
        <v>3.6640000000000001</v>
      </c>
    </row>
    <row r="3260" spans="1:13" ht="15" customHeight="1">
      <c r="A3260" t="s">
        <v>39</v>
      </c>
      <c r="B3260">
        <f t="shared" si="200"/>
        <v>33.718240999999999</v>
      </c>
      <c r="C3260">
        <f t="shared" si="201"/>
        <v>-117.84579100000001</v>
      </c>
      <c r="D3260">
        <f t="shared" si="202"/>
        <v>72</v>
      </c>
      <c r="E3260">
        <v>75.498999999999995</v>
      </c>
      <c r="F3260">
        <f t="shared" si="203"/>
        <v>-3.4989999999999952</v>
      </c>
      <c r="G3260">
        <v>25.367000000000001</v>
      </c>
      <c r="H3260">
        <v>0.79800000000000004</v>
      </c>
      <c r="I3260">
        <v>3.16</v>
      </c>
      <c r="J3260">
        <v>5</v>
      </c>
      <c r="K3260">
        <v>12</v>
      </c>
      <c r="L3260">
        <v>6</v>
      </c>
      <c r="M3260">
        <v>1.3720000000000001</v>
      </c>
    </row>
    <row r="3261" spans="1:13" ht="15" customHeight="1">
      <c r="A3261" t="s">
        <v>39</v>
      </c>
      <c r="B3261">
        <f t="shared" si="200"/>
        <v>33.718240999999999</v>
      </c>
      <c r="C3261">
        <f t="shared" si="201"/>
        <v>-117.84579100000001</v>
      </c>
      <c r="D3261">
        <f t="shared" si="202"/>
        <v>72</v>
      </c>
      <c r="E3261">
        <v>76.498999999999995</v>
      </c>
      <c r="F3261">
        <f t="shared" si="203"/>
        <v>-4.4989999999999952</v>
      </c>
      <c r="G3261">
        <v>26.933</v>
      </c>
      <c r="H3261">
        <v>0.85699999999999998</v>
      </c>
      <c r="I3261">
        <v>3.1909999999999998</v>
      </c>
      <c r="J3261">
        <v>5</v>
      </c>
      <c r="K3261">
        <v>13</v>
      </c>
      <c r="L3261">
        <v>7</v>
      </c>
      <c r="M3261">
        <v>1.4730000000000001</v>
      </c>
    </row>
    <row r="3262" spans="1:13" ht="15" customHeight="1">
      <c r="A3262" t="s">
        <v>39</v>
      </c>
      <c r="B3262">
        <f t="shared" si="200"/>
        <v>33.718240999999999</v>
      </c>
      <c r="C3262">
        <f t="shared" si="201"/>
        <v>-117.84579100000001</v>
      </c>
      <c r="D3262">
        <f t="shared" si="202"/>
        <v>72</v>
      </c>
      <c r="E3262">
        <v>77.498999999999995</v>
      </c>
      <c r="F3262">
        <f t="shared" si="203"/>
        <v>-5.4989999999999952</v>
      </c>
      <c r="G3262">
        <v>29.983000000000001</v>
      </c>
      <c r="H3262">
        <v>1.34</v>
      </c>
      <c r="I3262">
        <v>4.4790000000000001</v>
      </c>
      <c r="J3262">
        <v>4</v>
      </c>
      <c r="K3262">
        <v>19</v>
      </c>
      <c r="L3262">
        <v>10</v>
      </c>
      <c r="M3262">
        <v>1.6739999999999999</v>
      </c>
    </row>
    <row r="3263" spans="1:13" ht="15" customHeight="1">
      <c r="A3263" t="s">
        <v>39</v>
      </c>
      <c r="B3263">
        <f t="shared" si="200"/>
        <v>33.718240999999999</v>
      </c>
      <c r="C3263">
        <f t="shared" si="201"/>
        <v>-117.84579100000001</v>
      </c>
      <c r="D3263">
        <f t="shared" si="202"/>
        <v>72</v>
      </c>
      <c r="E3263">
        <v>78.498999999999995</v>
      </c>
      <c r="F3263">
        <f t="shared" si="203"/>
        <v>-6.4989999999999952</v>
      </c>
      <c r="G3263">
        <v>28.15</v>
      </c>
      <c r="H3263">
        <v>1.077</v>
      </c>
      <c r="I3263">
        <v>3.8359999999999999</v>
      </c>
      <c r="J3263">
        <v>4</v>
      </c>
      <c r="K3263">
        <v>18</v>
      </c>
      <c r="L3263">
        <v>9</v>
      </c>
      <c r="M3263">
        <v>1.546</v>
      </c>
    </row>
    <row r="3264" spans="1:13" ht="15" customHeight="1">
      <c r="A3264" t="s">
        <v>39</v>
      </c>
      <c r="B3264">
        <f t="shared" si="200"/>
        <v>33.718240999999999</v>
      </c>
      <c r="C3264">
        <f t="shared" si="201"/>
        <v>-117.84579100000001</v>
      </c>
      <c r="D3264">
        <f t="shared" si="202"/>
        <v>72</v>
      </c>
      <c r="E3264">
        <v>79.498999999999995</v>
      </c>
      <c r="F3264">
        <f t="shared" si="203"/>
        <v>-7.4989999999999952</v>
      </c>
      <c r="G3264">
        <v>40.75</v>
      </c>
      <c r="H3264">
        <v>1.1599999999999999</v>
      </c>
      <c r="I3264">
        <v>2.851</v>
      </c>
      <c r="J3264">
        <v>6</v>
      </c>
      <c r="K3264">
        <v>16</v>
      </c>
      <c r="L3264">
        <v>8</v>
      </c>
      <c r="M3264">
        <v>2.383</v>
      </c>
    </row>
    <row r="3265" spans="1:13" ht="15" customHeight="1">
      <c r="A3265" t="s">
        <v>39</v>
      </c>
      <c r="B3265">
        <f t="shared" si="200"/>
        <v>33.718240999999999</v>
      </c>
      <c r="C3265">
        <f t="shared" si="201"/>
        <v>-117.84579100000001</v>
      </c>
      <c r="D3265">
        <f t="shared" si="202"/>
        <v>72</v>
      </c>
      <c r="E3265">
        <v>80.498999999999995</v>
      </c>
      <c r="F3265">
        <f t="shared" si="203"/>
        <v>-8.4989999999999952</v>
      </c>
      <c r="G3265">
        <v>105.81699999999999</v>
      </c>
      <c r="H3265">
        <v>3.3919999999999999</v>
      </c>
      <c r="I3265">
        <v>3.2080000000000002</v>
      </c>
      <c r="J3265">
        <v>6</v>
      </c>
      <c r="K3265">
        <v>41</v>
      </c>
      <c r="L3265">
        <v>21</v>
      </c>
      <c r="M3265">
        <v>6.7140000000000004</v>
      </c>
    </row>
    <row r="3266" spans="1:13" ht="15" customHeight="1">
      <c r="A3266" t="s">
        <v>39</v>
      </c>
      <c r="B3266">
        <f t="shared" ref="B3266:B3329" si="204">VLOOKUP(A3266,XYdata,3,FALSE)</f>
        <v>33.718240999999999</v>
      </c>
      <c r="C3266">
        <f t="shared" ref="C3266:C3329" si="205">VLOOKUP(A3266,XYdata,2,FALSE)</f>
        <v>-117.84579100000001</v>
      </c>
      <c r="D3266">
        <f t="shared" ref="D3266:D3329" si="206">VLOOKUP(A3266,Elevation,2,FALSE)</f>
        <v>72</v>
      </c>
      <c r="E3266">
        <v>81.498999999999995</v>
      </c>
      <c r="F3266">
        <f t="shared" si="203"/>
        <v>-9.4989999999999952</v>
      </c>
      <c r="G3266">
        <v>40.450000000000003</v>
      </c>
      <c r="H3266">
        <v>1.9450000000000001</v>
      </c>
      <c r="I3266">
        <v>4.82</v>
      </c>
      <c r="J3266">
        <v>4</v>
      </c>
      <c r="K3266">
        <v>26</v>
      </c>
      <c r="L3266">
        <v>13</v>
      </c>
      <c r="M3266">
        <v>2.3519999999999999</v>
      </c>
    </row>
    <row r="3267" spans="1:13" ht="15" customHeight="1">
      <c r="A3267" t="s">
        <v>39</v>
      </c>
      <c r="B3267">
        <f t="shared" si="204"/>
        <v>33.718240999999999</v>
      </c>
      <c r="C3267">
        <f t="shared" si="205"/>
        <v>-117.84579100000001</v>
      </c>
      <c r="D3267">
        <f t="shared" si="206"/>
        <v>72</v>
      </c>
      <c r="E3267">
        <v>82.498999999999995</v>
      </c>
      <c r="F3267">
        <f t="shared" ref="F3267:F3330" si="207">D3267-E3267</f>
        <v>-10.498999999999995</v>
      </c>
      <c r="G3267">
        <v>36.283000000000001</v>
      </c>
      <c r="H3267">
        <v>1.3420000000000001</v>
      </c>
      <c r="I3267">
        <v>3.7010000000000001</v>
      </c>
      <c r="J3267">
        <v>5</v>
      </c>
      <c r="K3267">
        <v>17</v>
      </c>
      <c r="L3267">
        <v>9</v>
      </c>
      <c r="M3267">
        <v>2.0750000000000002</v>
      </c>
    </row>
    <row r="3268" spans="1:13" ht="15" customHeight="1">
      <c r="A3268" t="s">
        <v>39</v>
      </c>
      <c r="B3268">
        <f t="shared" si="204"/>
        <v>33.718240999999999</v>
      </c>
      <c r="C3268">
        <f t="shared" si="205"/>
        <v>-117.84579100000001</v>
      </c>
      <c r="D3268">
        <f t="shared" si="206"/>
        <v>72</v>
      </c>
      <c r="E3268">
        <v>83.498999999999995</v>
      </c>
      <c r="F3268">
        <f t="shared" si="207"/>
        <v>-11.498999999999995</v>
      </c>
      <c r="G3268">
        <v>183.44300000000001</v>
      </c>
      <c r="H3268">
        <v>2.6040000000000001</v>
      </c>
      <c r="I3268">
        <v>1.42</v>
      </c>
      <c r="J3268">
        <v>8</v>
      </c>
      <c r="K3268">
        <v>44</v>
      </c>
      <c r="L3268">
        <v>22</v>
      </c>
      <c r="M3268" s="1">
        <v>9000000000</v>
      </c>
    </row>
    <row r="3269" spans="1:13" ht="15" customHeight="1">
      <c r="A3269" t="s">
        <v>39</v>
      </c>
      <c r="B3269">
        <f t="shared" si="204"/>
        <v>33.718240999999999</v>
      </c>
      <c r="C3269">
        <f t="shared" si="205"/>
        <v>-117.84579100000001</v>
      </c>
      <c r="D3269">
        <f t="shared" si="206"/>
        <v>72</v>
      </c>
      <c r="E3269">
        <v>84.498999999999995</v>
      </c>
      <c r="F3269">
        <f t="shared" si="207"/>
        <v>-12.498999999999995</v>
      </c>
      <c r="G3269">
        <v>378</v>
      </c>
      <c r="H3269">
        <v>3.14</v>
      </c>
      <c r="I3269">
        <v>0.83099999999999996</v>
      </c>
      <c r="J3269">
        <v>10</v>
      </c>
      <c r="K3269">
        <v>60</v>
      </c>
      <c r="L3269">
        <v>30</v>
      </c>
      <c r="M3269" s="1">
        <v>9000000000</v>
      </c>
    </row>
    <row r="3270" spans="1:13" ht="15" customHeight="1">
      <c r="A3270" t="s">
        <v>39</v>
      </c>
      <c r="B3270">
        <f t="shared" si="204"/>
        <v>33.718240999999999</v>
      </c>
      <c r="C3270">
        <f t="shared" si="205"/>
        <v>-117.84579100000001</v>
      </c>
      <c r="D3270">
        <f t="shared" si="206"/>
        <v>72</v>
      </c>
      <c r="E3270">
        <v>85.498999999999995</v>
      </c>
      <c r="F3270">
        <f t="shared" si="207"/>
        <v>-13.498999999999995</v>
      </c>
      <c r="G3270">
        <v>398.7</v>
      </c>
      <c r="H3270">
        <v>3.5249999999999999</v>
      </c>
      <c r="I3270">
        <v>0.88400000000000001</v>
      </c>
      <c r="J3270">
        <v>9</v>
      </c>
      <c r="K3270">
        <v>76</v>
      </c>
      <c r="L3270">
        <v>38</v>
      </c>
      <c r="M3270" s="1">
        <v>9000000000</v>
      </c>
    </row>
    <row r="3271" spans="1:13" ht="15" customHeight="1">
      <c r="A3271" t="s">
        <v>39</v>
      </c>
      <c r="B3271">
        <f t="shared" si="204"/>
        <v>33.718240999999999</v>
      </c>
      <c r="C3271">
        <f t="shared" si="205"/>
        <v>-117.84579100000001</v>
      </c>
      <c r="D3271">
        <f t="shared" si="206"/>
        <v>72</v>
      </c>
      <c r="E3271">
        <v>86.498999999999995</v>
      </c>
      <c r="F3271">
        <f t="shared" si="207"/>
        <v>-14.498999999999995</v>
      </c>
      <c r="G3271">
        <v>247.517</v>
      </c>
      <c r="H3271">
        <v>4.157</v>
      </c>
      <c r="I3271">
        <v>1.68</v>
      </c>
      <c r="J3271">
        <v>8</v>
      </c>
      <c r="K3271">
        <v>59</v>
      </c>
      <c r="L3271">
        <v>30</v>
      </c>
      <c r="M3271" s="1">
        <v>9000000000</v>
      </c>
    </row>
    <row r="3272" spans="1:13" ht="15" customHeight="1">
      <c r="A3272" t="s">
        <v>39</v>
      </c>
      <c r="B3272">
        <f t="shared" si="204"/>
        <v>33.718240999999999</v>
      </c>
      <c r="C3272">
        <f t="shared" si="205"/>
        <v>-117.84579100000001</v>
      </c>
      <c r="D3272">
        <f t="shared" si="206"/>
        <v>72</v>
      </c>
      <c r="E3272">
        <v>87.498999999999995</v>
      </c>
      <c r="F3272">
        <f t="shared" si="207"/>
        <v>-15.498999999999995</v>
      </c>
      <c r="G3272">
        <v>110.367</v>
      </c>
      <c r="H3272">
        <v>3.27</v>
      </c>
      <c r="I3272">
        <v>2.9649999999999999</v>
      </c>
      <c r="J3272">
        <v>6</v>
      </c>
      <c r="K3272">
        <v>42</v>
      </c>
      <c r="L3272">
        <v>21</v>
      </c>
      <c r="M3272">
        <v>6.99</v>
      </c>
    </row>
    <row r="3273" spans="1:13" ht="15" customHeight="1">
      <c r="A3273" t="s">
        <v>39</v>
      </c>
      <c r="B3273">
        <f t="shared" si="204"/>
        <v>33.718240999999999</v>
      </c>
      <c r="C3273">
        <f t="shared" si="205"/>
        <v>-117.84579100000001</v>
      </c>
      <c r="D3273">
        <f t="shared" si="206"/>
        <v>72</v>
      </c>
      <c r="E3273">
        <v>88.498999999999995</v>
      </c>
      <c r="F3273">
        <f t="shared" si="207"/>
        <v>-16.498999999999995</v>
      </c>
      <c r="G3273">
        <v>71.650000000000006</v>
      </c>
      <c r="H3273">
        <v>3.1080000000000001</v>
      </c>
      <c r="I3273">
        <v>4.335</v>
      </c>
      <c r="J3273">
        <v>5</v>
      </c>
      <c r="K3273">
        <v>34</v>
      </c>
      <c r="L3273">
        <v>17</v>
      </c>
      <c r="M3273">
        <v>4.4130000000000003</v>
      </c>
    </row>
    <row r="3274" spans="1:13" ht="15" customHeight="1">
      <c r="A3274" t="s">
        <v>39</v>
      </c>
      <c r="B3274">
        <f t="shared" si="204"/>
        <v>33.718240999999999</v>
      </c>
      <c r="C3274">
        <f t="shared" si="205"/>
        <v>-117.84579100000001</v>
      </c>
      <c r="D3274">
        <f t="shared" si="206"/>
        <v>72</v>
      </c>
      <c r="E3274">
        <v>89.498999999999995</v>
      </c>
      <c r="F3274">
        <f t="shared" si="207"/>
        <v>-17.498999999999995</v>
      </c>
      <c r="G3274">
        <v>103.2</v>
      </c>
      <c r="H3274">
        <v>4.8680000000000003</v>
      </c>
      <c r="I3274">
        <v>4.72</v>
      </c>
      <c r="J3274">
        <v>11</v>
      </c>
      <c r="K3274">
        <v>99</v>
      </c>
      <c r="L3274">
        <v>50</v>
      </c>
      <c r="M3274" s="1">
        <v>9000000000</v>
      </c>
    </row>
    <row r="3275" spans="1:13" ht="15" customHeight="1">
      <c r="A3275" t="s">
        <v>39</v>
      </c>
      <c r="B3275">
        <f t="shared" si="204"/>
        <v>33.718240999999999</v>
      </c>
      <c r="C3275">
        <f t="shared" si="205"/>
        <v>-117.84579100000001</v>
      </c>
      <c r="D3275">
        <f t="shared" si="206"/>
        <v>72</v>
      </c>
      <c r="E3275">
        <v>90.498999999999995</v>
      </c>
      <c r="F3275">
        <f t="shared" si="207"/>
        <v>-18.498999999999995</v>
      </c>
      <c r="G3275">
        <v>70.25</v>
      </c>
      <c r="H3275">
        <v>4.37</v>
      </c>
      <c r="I3275">
        <v>6.2240000000000002</v>
      </c>
      <c r="J3275">
        <v>11</v>
      </c>
      <c r="K3275">
        <v>67</v>
      </c>
      <c r="L3275">
        <v>34</v>
      </c>
      <c r="M3275" s="1">
        <v>9000000000</v>
      </c>
    </row>
    <row r="3276" spans="1:13" ht="15" customHeight="1">
      <c r="A3276" t="s">
        <v>39</v>
      </c>
      <c r="B3276">
        <f t="shared" si="204"/>
        <v>33.718240999999999</v>
      </c>
      <c r="C3276">
        <f t="shared" si="205"/>
        <v>-117.84579100000001</v>
      </c>
      <c r="D3276">
        <f t="shared" si="206"/>
        <v>72</v>
      </c>
      <c r="E3276">
        <v>91.498999999999995</v>
      </c>
      <c r="F3276">
        <f t="shared" si="207"/>
        <v>-19.498999999999995</v>
      </c>
      <c r="G3276">
        <v>527.45000000000005</v>
      </c>
      <c r="H3276">
        <v>4.9329999999999998</v>
      </c>
      <c r="I3276">
        <v>0.93500000000000005</v>
      </c>
      <c r="J3276">
        <v>10</v>
      </c>
      <c r="K3276">
        <v>84</v>
      </c>
      <c r="L3276">
        <v>42</v>
      </c>
      <c r="M3276" s="1">
        <v>9000000000</v>
      </c>
    </row>
    <row r="3277" spans="1:13" ht="15" customHeight="1">
      <c r="A3277" t="s">
        <v>39</v>
      </c>
      <c r="B3277">
        <f t="shared" si="204"/>
        <v>33.718240999999999</v>
      </c>
      <c r="C3277">
        <f t="shared" si="205"/>
        <v>-117.84579100000001</v>
      </c>
      <c r="D3277">
        <f t="shared" si="206"/>
        <v>72</v>
      </c>
      <c r="E3277">
        <v>92.498999999999995</v>
      </c>
      <c r="F3277">
        <f t="shared" si="207"/>
        <v>-20.498999999999995</v>
      </c>
      <c r="G3277">
        <v>478.2</v>
      </c>
      <c r="H3277">
        <v>4.47</v>
      </c>
      <c r="I3277">
        <v>0.93500000000000005</v>
      </c>
      <c r="J3277">
        <v>9</v>
      </c>
      <c r="K3277">
        <v>92</v>
      </c>
      <c r="L3277">
        <v>46</v>
      </c>
      <c r="M3277" s="1">
        <v>9000000000</v>
      </c>
    </row>
    <row r="3278" spans="1:13" ht="15" customHeight="1">
      <c r="A3278" t="s">
        <v>40</v>
      </c>
      <c r="B3278">
        <f t="shared" si="204"/>
        <v>33.718850000000003</v>
      </c>
      <c r="C3278">
        <f t="shared" si="205"/>
        <v>-117.843943</v>
      </c>
      <c r="D3278">
        <f t="shared" si="206"/>
        <v>74</v>
      </c>
      <c r="E3278">
        <v>0.5</v>
      </c>
      <c r="F3278">
        <f t="shared" si="207"/>
        <v>73.5</v>
      </c>
      <c r="G3278">
        <v>1.05</v>
      </c>
      <c r="H3278">
        <v>2.3E-2</v>
      </c>
      <c r="I3278">
        <v>2.222</v>
      </c>
      <c r="J3278">
        <v>1</v>
      </c>
      <c r="K3278">
        <v>1</v>
      </c>
      <c r="L3278">
        <v>2</v>
      </c>
      <c r="M3278">
        <v>6.8000000000000005E-2</v>
      </c>
    </row>
    <row r="3279" spans="1:13" ht="15" customHeight="1">
      <c r="A3279" t="s">
        <v>40</v>
      </c>
      <c r="B3279">
        <f t="shared" si="204"/>
        <v>33.718850000000003</v>
      </c>
      <c r="C3279">
        <f t="shared" si="205"/>
        <v>-117.843943</v>
      </c>
      <c r="D3279">
        <f t="shared" si="206"/>
        <v>74</v>
      </c>
      <c r="E3279">
        <v>1.5</v>
      </c>
      <c r="F3279">
        <f t="shared" si="207"/>
        <v>72.5</v>
      </c>
      <c r="G3279">
        <v>23.917000000000002</v>
      </c>
      <c r="H3279">
        <v>0.86299999999999999</v>
      </c>
      <c r="I3279">
        <v>3.61</v>
      </c>
      <c r="J3279">
        <v>5</v>
      </c>
      <c r="K3279">
        <v>11</v>
      </c>
      <c r="L3279">
        <v>17</v>
      </c>
      <c r="M3279">
        <v>1.589</v>
      </c>
    </row>
    <row r="3280" spans="1:13" ht="15" customHeight="1">
      <c r="A3280" t="s">
        <v>40</v>
      </c>
      <c r="B3280">
        <f t="shared" si="204"/>
        <v>33.718850000000003</v>
      </c>
      <c r="C3280">
        <f t="shared" si="205"/>
        <v>-117.843943</v>
      </c>
      <c r="D3280">
        <f t="shared" si="206"/>
        <v>74</v>
      </c>
      <c r="E3280">
        <v>2.5</v>
      </c>
      <c r="F3280">
        <f t="shared" si="207"/>
        <v>71.5</v>
      </c>
      <c r="G3280">
        <v>9.4329999999999998</v>
      </c>
      <c r="H3280">
        <v>0.35799999999999998</v>
      </c>
      <c r="I3280">
        <v>3.7989999999999999</v>
      </c>
      <c r="J3280">
        <v>3</v>
      </c>
      <c r="K3280">
        <v>9</v>
      </c>
      <c r="L3280">
        <v>14</v>
      </c>
      <c r="M3280">
        <v>0.61899999999999999</v>
      </c>
    </row>
    <row r="3281" spans="1:13" ht="15" customHeight="1">
      <c r="A3281" t="s">
        <v>40</v>
      </c>
      <c r="B3281">
        <f t="shared" si="204"/>
        <v>33.718850000000003</v>
      </c>
      <c r="C3281">
        <f t="shared" si="205"/>
        <v>-117.843943</v>
      </c>
      <c r="D3281">
        <f t="shared" si="206"/>
        <v>74</v>
      </c>
      <c r="E3281">
        <v>3.5</v>
      </c>
      <c r="F3281">
        <f t="shared" si="207"/>
        <v>70.5</v>
      </c>
      <c r="G3281">
        <v>12.2</v>
      </c>
      <c r="H3281">
        <v>0.48499999999999999</v>
      </c>
      <c r="I3281">
        <v>3.9809999999999999</v>
      </c>
      <c r="J3281">
        <v>3</v>
      </c>
      <c r="K3281">
        <v>12</v>
      </c>
      <c r="L3281">
        <v>18</v>
      </c>
      <c r="M3281">
        <v>0.79900000000000004</v>
      </c>
    </row>
    <row r="3282" spans="1:13" ht="15" customHeight="1">
      <c r="A3282" t="s">
        <v>40</v>
      </c>
      <c r="B3282">
        <f t="shared" si="204"/>
        <v>33.718850000000003</v>
      </c>
      <c r="C3282">
        <f t="shared" si="205"/>
        <v>-117.843943</v>
      </c>
      <c r="D3282">
        <f t="shared" si="206"/>
        <v>74</v>
      </c>
      <c r="E3282">
        <v>4.5</v>
      </c>
      <c r="F3282">
        <f t="shared" si="207"/>
        <v>69.5</v>
      </c>
      <c r="G3282">
        <v>11.55</v>
      </c>
      <c r="H3282">
        <v>0.48699999999999999</v>
      </c>
      <c r="I3282">
        <v>4.2140000000000004</v>
      </c>
      <c r="J3282">
        <v>3</v>
      </c>
      <c r="K3282">
        <v>11</v>
      </c>
      <c r="L3282">
        <v>17</v>
      </c>
      <c r="M3282">
        <v>0.752</v>
      </c>
    </row>
    <row r="3283" spans="1:13" ht="15" customHeight="1">
      <c r="A3283" t="s">
        <v>40</v>
      </c>
      <c r="B3283">
        <f t="shared" si="204"/>
        <v>33.718850000000003</v>
      </c>
      <c r="C3283">
        <f t="shared" si="205"/>
        <v>-117.843943</v>
      </c>
      <c r="D3283">
        <f t="shared" si="206"/>
        <v>74</v>
      </c>
      <c r="E3283">
        <v>5.5</v>
      </c>
      <c r="F3283">
        <f t="shared" si="207"/>
        <v>68.5</v>
      </c>
      <c r="G3283">
        <v>8.0670000000000002</v>
      </c>
      <c r="H3283">
        <v>0.29499999999999998</v>
      </c>
      <c r="I3283">
        <v>3.6269999999999998</v>
      </c>
      <c r="J3283">
        <v>3</v>
      </c>
      <c r="K3283">
        <v>8</v>
      </c>
      <c r="L3283">
        <v>12</v>
      </c>
      <c r="M3283">
        <v>0.52</v>
      </c>
    </row>
    <row r="3284" spans="1:13" ht="15" customHeight="1">
      <c r="A3284" t="s">
        <v>40</v>
      </c>
      <c r="B3284">
        <f t="shared" si="204"/>
        <v>33.718850000000003</v>
      </c>
      <c r="C3284">
        <f t="shared" si="205"/>
        <v>-117.843943</v>
      </c>
      <c r="D3284">
        <f t="shared" si="206"/>
        <v>74</v>
      </c>
      <c r="E3284">
        <v>6.5</v>
      </c>
      <c r="F3284">
        <f t="shared" si="207"/>
        <v>67.5</v>
      </c>
      <c r="G3284">
        <v>21.283000000000001</v>
      </c>
      <c r="H3284">
        <v>0.66200000000000003</v>
      </c>
      <c r="I3284">
        <v>3.109</v>
      </c>
      <c r="J3284">
        <v>5</v>
      </c>
      <c r="K3284">
        <v>10</v>
      </c>
      <c r="L3284">
        <v>15</v>
      </c>
      <c r="M3284">
        <v>1.393</v>
      </c>
    </row>
    <row r="3285" spans="1:13" ht="15" customHeight="1">
      <c r="A3285" t="s">
        <v>40</v>
      </c>
      <c r="B3285">
        <f t="shared" si="204"/>
        <v>33.718850000000003</v>
      </c>
      <c r="C3285">
        <f t="shared" si="205"/>
        <v>-117.843943</v>
      </c>
      <c r="D3285">
        <f t="shared" si="206"/>
        <v>74</v>
      </c>
      <c r="E3285">
        <v>7.5</v>
      </c>
      <c r="F3285">
        <f t="shared" si="207"/>
        <v>66.5</v>
      </c>
      <c r="G3285">
        <v>16.516999999999999</v>
      </c>
      <c r="H3285">
        <v>0.56699999999999995</v>
      </c>
      <c r="I3285">
        <v>3.4340000000000002</v>
      </c>
      <c r="J3285">
        <v>4</v>
      </c>
      <c r="K3285">
        <v>11</v>
      </c>
      <c r="L3285">
        <v>17</v>
      </c>
      <c r="M3285">
        <v>1.07</v>
      </c>
    </row>
    <row r="3286" spans="1:13" ht="15" customHeight="1">
      <c r="A3286" t="s">
        <v>40</v>
      </c>
      <c r="B3286">
        <f t="shared" si="204"/>
        <v>33.718850000000003</v>
      </c>
      <c r="C3286">
        <f t="shared" si="205"/>
        <v>-117.843943</v>
      </c>
      <c r="D3286">
        <f t="shared" si="206"/>
        <v>74</v>
      </c>
      <c r="E3286">
        <v>8.5</v>
      </c>
      <c r="F3286">
        <f t="shared" si="207"/>
        <v>65.5</v>
      </c>
      <c r="G3286">
        <v>21</v>
      </c>
      <c r="H3286">
        <v>0.67</v>
      </c>
      <c r="I3286">
        <v>3.19</v>
      </c>
      <c r="J3286">
        <v>5</v>
      </c>
      <c r="K3286">
        <v>10</v>
      </c>
      <c r="L3286">
        <v>15</v>
      </c>
      <c r="M3286">
        <v>1.3660000000000001</v>
      </c>
    </row>
    <row r="3287" spans="1:13" ht="15" customHeight="1">
      <c r="A3287" t="s">
        <v>40</v>
      </c>
      <c r="B3287">
        <f t="shared" si="204"/>
        <v>33.718850000000003</v>
      </c>
      <c r="C3287">
        <f t="shared" si="205"/>
        <v>-117.843943</v>
      </c>
      <c r="D3287">
        <f t="shared" si="206"/>
        <v>74</v>
      </c>
      <c r="E3287">
        <v>9.5</v>
      </c>
      <c r="F3287">
        <f t="shared" si="207"/>
        <v>64.5</v>
      </c>
      <c r="G3287">
        <v>36.482999999999997</v>
      </c>
      <c r="H3287">
        <v>1.2629999999999999</v>
      </c>
      <c r="I3287">
        <v>3.4630000000000001</v>
      </c>
      <c r="J3287">
        <v>5</v>
      </c>
      <c r="K3287">
        <v>17</v>
      </c>
      <c r="L3287">
        <v>26</v>
      </c>
      <c r="M3287">
        <v>2.3940000000000001</v>
      </c>
    </row>
    <row r="3288" spans="1:13" ht="15" customHeight="1">
      <c r="A3288" t="s">
        <v>40</v>
      </c>
      <c r="B3288">
        <f t="shared" si="204"/>
        <v>33.718850000000003</v>
      </c>
      <c r="C3288">
        <f t="shared" si="205"/>
        <v>-117.843943</v>
      </c>
      <c r="D3288">
        <f t="shared" si="206"/>
        <v>74</v>
      </c>
      <c r="E3288">
        <v>10.5</v>
      </c>
      <c r="F3288">
        <f t="shared" si="207"/>
        <v>63.5</v>
      </c>
      <c r="G3288">
        <v>60.170999999999999</v>
      </c>
      <c r="H3288">
        <v>1.399</v>
      </c>
      <c r="I3288">
        <v>2.327</v>
      </c>
      <c r="J3288">
        <v>6</v>
      </c>
      <c r="K3288">
        <v>23</v>
      </c>
      <c r="L3288">
        <v>33</v>
      </c>
      <c r="M3288">
        <v>3.964</v>
      </c>
    </row>
    <row r="3289" spans="1:13" ht="15" customHeight="1">
      <c r="A3289" t="s">
        <v>40</v>
      </c>
      <c r="B3289">
        <f t="shared" si="204"/>
        <v>33.718850000000003</v>
      </c>
      <c r="C3289">
        <f t="shared" si="205"/>
        <v>-117.843943</v>
      </c>
      <c r="D3289">
        <f t="shared" si="206"/>
        <v>74</v>
      </c>
      <c r="E3289">
        <v>11.5</v>
      </c>
      <c r="F3289">
        <f t="shared" si="207"/>
        <v>62.5</v>
      </c>
      <c r="G3289">
        <v>24.567</v>
      </c>
      <c r="H3289">
        <v>0.91500000000000004</v>
      </c>
      <c r="I3289">
        <v>3.7269999999999999</v>
      </c>
      <c r="J3289">
        <v>4</v>
      </c>
      <c r="K3289">
        <v>16</v>
      </c>
      <c r="L3289">
        <v>21</v>
      </c>
      <c r="M3289">
        <v>1.59</v>
      </c>
    </row>
    <row r="3290" spans="1:13" ht="15" customHeight="1">
      <c r="A3290" t="s">
        <v>40</v>
      </c>
      <c r="B3290">
        <f t="shared" si="204"/>
        <v>33.718850000000003</v>
      </c>
      <c r="C3290">
        <f t="shared" si="205"/>
        <v>-117.843943</v>
      </c>
      <c r="D3290">
        <f t="shared" si="206"/>
        <v>74</v>
      </c>
      <c r="E3290">
        <v>12.5</v>
      </c>
      <c r="F3290">
        <f t="shared" si="207"/>
        <v>61.5</v>
      </c>
      <c r="G3290">
        <v>22.067</v>
      </c>
      <c r="H3290">
        <v>0.51700000000000002</v>
      </c>
      <c r="I3290">
        <v>2.3450000000000002</v>
      </c>
      <c r="J3290">
        <v>6</v>
      </c>
      <c r="K3290">
        <v>8</v>
      </c>
      <c r="L3290">
        <v>10</v>
      </c>
      <c r="M3290">
        <v>1.4179999999999999</v>
      </c>
    </row>
    <row r="3291" spans="1:13" ht="15" customHeight="1">
      <c r="A3291" t="s">
        <v>40</v>
      </c>
      <c r="B3291">
        <f t="shared" si="204"/>
        <v>33.718850000000003</v>
      </c>
      <c r="C3291">
        <f t="shared" si="205"/>
        <v>-117.843943</v>
      </c>
      <c r="D3291">
        <f t="shared" si="206"/>
        <v>74</v>
      </c>
      <c r="E3291">
        <v>13.5</v>
      </c>
      <c r="F3291">
        <f t="shared" si="207"/>
        <v>60.5</v>
      </c>
      <c r="G3291">
        <v>35.966999999999999</v>
      </c>
      <c r="H3291">
        <v>0.50700000000000001</v>
      </c>
      <c r="I3291">
        <v>1.409</v>
      </c>
      <c r="J3291">
        <v>7</v>
      </c>
      <c r="K3291">
        <v>11</v>
      </c>
      <c r="L3291">
        <v>13</v>
      </c>
      <c r="M3291" s="1">
        <v>9000000000</v>
      </c>
    </row>
    <row r="3292" spans="1:13" ht="15" customHeight="1">
      <c r="A3292" t="s">
        <v>40</v>
      </c>
      <c r="B3292">
        <f t="shared" si="204"/>
        <v>33.718850000000003</v>
      </c>
      <c r="C3292">
        <f t="shared" si="205"/>
        <v>-117.843943</v>
      </c>
      <c r="D3292">
        <f t="shared" si="206"/>
        <v>74</v>
      </c>
      <c r="E3292">
        <v>14.5</v>
      </c>
      <c r="F3292">
        <f t="shared" si="207"/>
        <v>59.5</v>
      </c>
      <c r="G3292">
        <v>6.6669999999999998</v>
      </c>
      <c r="H3292">
        <v>0.23499999999999999</v>
      </c>
      <c r="I3292">
        <v>3.49</v>
      </c>
      <c r="J3292">
        <v>3</v>
      </c>
      <c r="K3292">
        <v>6</v>
      </c>
      <c r="L3292">
        <v>7</v>
      </c>
      <c r="M3292">
        <v>0.39</v>
      </c>
    </row>
    <row r="3293" spans="1:13" ht="15" customHeight="1">
      <c r="A3293" t="s">
        <v>40</v>
      </c>
      <c r="B3293">
        <f t="shared" si="204"/>
        <v>33.718850000000003</v>
      </c>
      <c r="C3293">
        <f t="shared" si="205"/>
        <v>-117.843943</v>
      </c>
      <c r="D3293">
        <f t="shared" si="206"/>
        <v>74</v>
      </c>
      <c r="E3293">
        <v>15.5</v>
      </c>
      <c r="F3293">
        <f t="shared" si="207"/>
        <v>58.5</v>
      </c>
      <c r="G3293">
        <v>7.7169999999999996</v>
      </c>
      <c r="H3293">
        <v>0.29799999999999999</v>
      </c>
      <c r="I3293">
        <v>3.8170000000000002</v>
      </c>
      <c r="J3293">
        <v>3</v>
      </c>
      <c r="K3293">
        <v>7</v>
      </c>
      <c r="L3293">
        <v>7</v>
      </c>
      <c r="M3293">
        <v>0.45800000000000002</v>
      </c>
    </row>
    <row r="3294" spans="1:13" ht="15" customHeight="1">
      <c r="A3294" t="s">
        <v>40</v>
      </c>
      <c r="B3294">
        <f t="shared" si="204"/>
        <v>33.718850000000003</v>
      </c>
      <c r="C3294">
        <f t="shared" si="205"/>
        <v>-117.843943</v>
      </c>
      <c r="D3294">
        <f t="shared" si="206"/>
        <v>74</v>
      </c>
      <c r="E3294">
        <v>16.5</v>
      </c>
      <c r="F3294">
        <f t="shared" si="207"/>
        <v>57.5</v>
      </c>
      <c r="G3294">
        <v>7.85</v>
      </c>
      <c r="H3294">
        <v>0.32700000000000001</v>
      </c>
      <c r="I3294">
        <v>4.1260000000000003</v>
      </c>
      <c r="J3294">
        <v>3</v>
      </c>
      <c r="K3294">
        <v>8</v>
      </c>
      <c r="L3294">
        <v>8</v>
      </c>
      <c r="M3294">
        <v>0.46100000000000002</v>
      </c>
    </row>
    <row r="3295" spans="1:13" ht="15" customHeight="1">
      <c r="A3295" t="s">
        <v>40</v>
      </c>
      <c r="B3295">
        <f t="shared" si="204"/>
        <v>33.718850000000003</v>
      </c>
      <c r="C3295">
        <f t="shared" si="205"/>
        <v>-117.843943</v>
      </c>
      <c r="D3295">
        <f t="shared" si="206"/>
        <v>74</v>
      </c>
      <c r="E3295">
        <v>17.5</v>
      </c>
      <c r="F3295">
        <f t="shared" si="207"/>
        <v>56.5</v>
      </c>
      <c r="G3295">
        <v>7.05</v>
      </c>
      <c r="H3295">
        <v>0.22800000000000001</v>
      </c>
      <c r="I3295">
        <v>3.2080000000000002</v>
      </c>
      <c r="J3295">
        <v>3</v>
      </c>
      <c r="K3295">
        <v>7</v>
      </c>
      <c r="L3295">
        <v>7</v>
      </c>
      <c r="M3295">
        <v>0.40400000000000003</v>
      </c>
    </row>
    <row r="3296" spans="1:13" ht="15" customHeight="1">
      <c r="A3296" t="s">
        <v>40</v>
      </c>
      <c r="B3296">
        <f t="shared" si="204"/>
        <v>33.718850000000003</v>
      </c>
      <c r="C3296">
        <f t="shared" si="205"/>
        <v>-117.843943</v>
      </c>
      <c r="D3296">
        <f t="shared" si="206"/>
        <v>74</v>
      </c>
      <c r="E3296">
        <v>18.5</v>
      </c>
      <c r="F3296">
        <f t="shared" si="207"/>
        <v>55.5</v>
      </c>
      <c r="G3296">
        <v>7.5170000000000003</v>
      </c>
      <c r="H3296">
        <v>0.20499999999999999</v>
      </c>
      <c r="I3296">
        <v>2.7090000000000001</v>
      </c>
      <c r="J3296">
        <v>4</v>
      </c>
      <c r="K3296">
        <v>5</v>
      </c>
      <c r="L3296">
        <v>5</v>
      </c>
      <c r="M3296">
        <v>0.43</v>
      </c>
    </row>
    <row r="3297" spans="1:13" ht="15" customHeight="1">
      <c r="A3297" t="s">
        <v>40</v>
      </c>
      <c r="B3297">
        <f t="shared" si="204"/>
        <v>33.718850000000003</v>
      </c>
      <c r="C3297">
        <f t="shared" si="205"/>
        <v>-117.843943</v>
      </c>
      <c r="D3297">
        <f t="shared" si="206"/>
        <v>74</v>
      </c>
      <c r="E3297">
        <v>19.5</v>
      </c>
      <c r="F3297">
        <f t="shared" si="207"/>
        <v>54.5</v>
      </c>
      <c r="G3297">
        <v>9.3000000000000007</v>
      </c>
      <c r="H3297">
        <v>0.28299999999999997</v>
      </c>
      <c r="I3297">
        <v>3.0249999999999999</v>
      </c>
      <c r="J3297">
        <v>4</v>
      </c>
      <c r="K3297">
        <v>6</v>
      </c>
      <c r="L3297">
        <v>5</v>
      </c>
      <c r="M3297">
        <v>0.54600000000000004</v>
      </c>
    </row>
    <row r="3298" spans="1:13" ht="15" customHeight="1">
      <c r="A3298" t="s">
        <v>40</v>
      </c>
      <c r="B3298">
        <f t="shared" si="204"/>
        <v>33.718850000000003</v>
      </c>
      <c r="C3298">
        <f t="shared" si="205"/>
        <v>-117.843943</v>
      </c>
      <c r="D3298">
        <f t="shared" si="206"/>
        <v>74</v>
      </c>
      <c r="E3298">
        <v>20.5</v>
      </c>
      <c r="F3298">
        <f t="shared" si="207"/>
        <v>53.5</v>
      </c>
      <c r="G3298">
        <v>11.757</v>
      </c>
      <c r="H3298">
        <v>0.38300000000000001</v>
      </c>
      <c r="I3298">
        <v>3.2410000000000001</v>
      </c>
      <c r="J3298">
        <v>4</v>
      </c>
      <c r="K3298">
        <v>8</v>
      </c>
      <c r="L3298">
        <v>7</v>
      </c>
      <c r="M3298">
        <v>0.70499999999999996</v>
      </c>
    </row>
    <row r="3299" spans="1:13" ht="15" customHeight="1">
      <c r="A3299" t="s">
        <v>40</v>
      </c>
      <c r="B3299">
        <f t="shared" si="204"/>
        <v>33.718850000000003</v>
      </c>
      <c r="C3299">
        <f t="shared" si="205"/>
        <v>-117.843943</v>
      </c>
      <c r="D3299">
        <f t="shared" si="206"/>
        <v>74</v>
      </c>
      <c r="E3299">
        <v>21.5</v>
      </c>
      <c r="F3299">
        <f t="shared" si="207"/>
        <v>52.5</v>
      </c>
      <c r="G3299">
        <v>10.35</v>
      </c>
      <c r="H3299">
        <v>0.24299999999999999</v>
      </c>
      <c r="I3299">
        <v>2.3319999999999999</v>
      </c>
      <c r="J3299">
        <v>5</v>
      </c>
      <c r="K3299">
        <v>5</v>
      </c>
      <c r="L3299">
        <v>4</v>
      </c>
      <c r="M3299">
        <v>0.60899999999999999</v>
      </c>
    </row>
    <row r="3300" spans="1:13" ht="15" customHeight="1">
      <c r="A3300" t="s">
        <v>40</v>
      </c>
      <c r="B3300">
        <f t="shared" si="204"/>
        <v>33.718850000000003</v>
      </c>
      <c r="C3300">
        <f t="shared" si="205"/>
        <v>-117.843943</v>
      </c>
      <c r="D3300">
        <f t="shared" si="206"/>
        <v>74</v>
      </c>
      <c r="E3300">
        <v>22.5</v>
      </c>
      <c r="F3300">
        <f t="shared" si="207"/>
        <v>51.5</v>
      </c>
      <c r="G3300">
        <v>10.9</v>
      </c>
      <c r="H3300">
        <v>0.28499999999999998</v>
      </c>
      <c r="I3300">
        <v>2.5910000000000002</v>
      </c>
      <c r="J3300">
        <v>4</v>
      </c>
      <c r="K3300">
        <v>7</v>
      </c>
      <c r="L3300">
        <v>6</v>
      </c>
      <c r="M3300">
        <v>0.64200000000000002</v>
      </c>
    </row>
    <row r="3301" spans="1:13" ht="15" customHeight="1">
      <c r="A3301" t="s">
        <v>40</v>
      </c>
      <c r="B3301">
        <f t="shared" si="204"/>
        <v>33.718850000000003</v>
      </c>
      <c r="C3301">
        <f t="shared" si="205"/>
        <v>-117.843943</v>
      </c>
      <c r="D3301">
        <f t="shared" si="206"/>
        <v>74</v>
      </c>
      <c r="E3301">
        <v>23.5</v>
      </c>
      <c r="F3301">
        <f t="shared" si="207"/>
        <v>50.5</v>
      </c>
      <c r="G3301">
        <v>20.382999999999999</v>
      </c>
      <c r="H3301">
        <v>0.64500000000000002</v>
      </c>
      <c r="I3301">
        <v>3.1539999999999999</v>
      </c>
      <c r="J3301">
        <v>5</v>
      </c>
      <c r="K3301">
        <v>10</v>
      </c>
      <c r="L3301">
        <v>8</v>
      </c>
      <c r="M3301">
        <v>1.268</v>
      </c>
    </row>
    <row r="3302" spans="1:13" ht="15" customHeight="1">
      <c r="A3302" t="s">
        <v>40</v>
      </c>
      <c r="B3302">
        <f t="shared" si="204"/>
        <v>33.718850000000003</v>
      </c>
      <c r="C3302">
        <f t="shared" si="205"/>
        <v>-117.843943</v>
      </c>
      <c r="D3302">
        <f t="shared" si="206"/>
        <v>74</v>
      </c>
      <c r="E3302">
        <v>24.5</v>
      </c>
      <c r="F3302">
        <f t="shared" si="207"/>
        <v>49.5</v>
      </c>
      <c r="G3302">
        <v>40.299999999999997</v>
      </c>
      <c r="H3302">
        <v>0.623</v>
      </c>
      <c r="I3302">
        <v>1.548</v>
      </c>
      <c r="J3302">
        <v>7</v>
      </c>
      <c r="K3302">
        <v>13</v>
      </c>
      <c r="L3302">
        <v>10</v>
      </c>
      <c r="M3302" s="1">
        <v>9000000000</v>
      </c>
    </row>
    <row r="3303" spans="1:13" ht="15" customHeight="1">
      <c r="A3303" t="s">
        <v>40</v>
      </c>
      <c r="B3303">
        <f t="shared" si="204"/>
        <v>33.718850000000003</v>
      </c>
      <c r="C3303">
        <f t="shared" si="205"/>
        <v>-117.843943</v>
      </c>
      <c r="D3303">
        <f t="shared" si="206"/>
        <v>74</v>
      </c>
      <c r="E3303">
        <v>25.5</v>
      </c>
      <c r="F3303">
        <f t="shared" si="207"/>
        <v>48.5</v>
      </c>
      <c r="G3303">
        <v>44.317</v>
      </c>
      <c r="H3303">
        <v>0.622</v>
      </c>
      <c r="I3303">
        <v>1.407</v>
      </c>
      <c r="J3303">
        <v>7</v>
      </c>
      <c r="K3303">
        <v>14</v>
      </c>
      <c r="L3303">
        <v>10</v>
      </c>
      <c r="M3303" s="1">
        <v>9000000000</v>
      </c>
    </row>
    <row r="3304" spans="1:13" ht="15" customHeight="1">
      <c r="A3304" t="s">
        <v>40</v>
      </c>
      <c r="B3304">
        <f t="shared" si="204"/>
        <v>33.718850000000003</v>
      </c>
      <c r="C3304">
        <f t="shared" si="205"/>
        <v>-117.843943</v>
      </c>
      <c r="D3304">
        <f t="shared" si="206"/>
        <v>74</v>
      </c>
      <c r="E3304">
        <v>26.5</v>
      </c>
      <c r="F3304">
        <f t="shared" si="207"/>
        <v>47.5</v>
      </c>
      <c r="G3304">
        <v>19.55</v>
      </c>
      <c r="H3304">
        <v>0.53800000000000003</v>
      </c>
      <c r="I3304">
        <v>2.754</v>
      </c>
      <c r="J3304">
        <v>5</v>
      </c>
      <c r="K3304">
        <v>9</v>
      </c>
      <c r="L3304">
        <v>6</v>
      </c>
      <c r="M3304">
        <v>1.196</v>
      </c>
    </row>
    <row r="3305" spans="1:13" ht="15" customHeight="1">
      <c r="A3305" t="s">
        <v>40</v>
      </c>
      <c r="B3305">
        <f t="shared" si="204"/>
        <v>33.718850000000003</v>
      </c>
      <c r="C3305">
        <f t="shared" si="205"/>
        <v>-117.843943</v>
      </c>
      <c r="D3305">
        <f t="shared" si="206"/>
        <v>74</v>
      </c>
      <c r="E3305">
        <v>27.5</v>
      </c>
      <c r="F3305">
        <f t="shared" si="207"/>
        <v>46.5</v>
      </c>
      <c r="G3305">
        <v>103.65</v>
      </c>
      <c r="H3305">
        <v>1.698</v>
      </c>
      <c r="I3305">
        <v>1.64</v>
      </c>
      <c r="J3305">
        <v>7</v>
      </c>
      <c r="K3305">
        <v>33</v>
      </c>
      <c r="L3305">
        <v>23</v>
      </c>
      <c r="M3305" s="1">
        <v>9000000000</v>
      </c>
    </row>
    <row r="3306" spans="1:13" ht="15" customHeight="1">
      <c r="A3306" t="s">
        <v>40</v>
      </c>
      <c r="B3306">
        <f t="shared" si="204"/>
        <v>33.718850000000003</v>
      </c>
      <c r="C3306">
        <f t="shared" si="205"/>
        <v>-117.843943</v>
      </c>
      <c r="D3306">
        <f t="shared" si="206"/>
        <v>74</v>
      </c>
      <c r="E3306">
        <v>28.5</v>
      </c>
      <c r="F3306">
        <f t="shared" si="207"/>
        <v>45.5</v>
      </c>
      <c r="G3306">
        <v>139.767</v>
      </c>
      <c r="H3306">
        <v>1.752</v>
      </c>
      <c r="I3306">
        <v>1.2549999999999999</v>
      </c>
      <c r="J3306">
        <v>8</v>
      </c>
      <c r="K3306">
        <v>33</v>
      </c>
      <c r="L3306">
        <v>23</v>
      </c>
      <c r="M3306" s="1">
        <v>9000000000</v>
      </c>
    </row>
    <row r="3307" spans="1:13" ht="15" customHeight="1">
      <c r="A3307" t="s">
        <v>40</v>
      </c>
      <c r="B3307">
        <f t="shared" si="204"/>
        <v>33.718850000000003</v>
      </c>
      <c r="C3307">
        <f t="shared" si="205"/>
        <v>-117.843943</v>
      </c>
      <c r="D3307">
        <f t="shared" si="206"/>
        <v>74</v>
      </c>
      <c r="E3307">
        <v>29.5</v>
      </c>
      <c r="F3307">
        <f t="shared" si="207"/>
        <v>44.5</v>
      </c>
      <c r="G3307">
        <v>70.599999999999994</v>
      </c>
      <c r="H3307">
        <v>1.0049999999999999</v>
      </c>
      <c r="I3307">
        <v>1.4279999999999999</v>
      </c>
      <c r="J3307">
        <v>7</v>
      </c>
      <c r="K3307">
        <v>22</v>
      </c>
      <c r="L3307">
        <v>15</v>
      </c>
      <c r="M3307" s="1">
        <v>9000000000</v>
      </c>
    </row>
    <row r="3308" spans="1:13" ht="15" customHeight="1">
      <c r="A3308" t="s">
        <v>40</v>
      </c>
      <c r="B3308">
        <f t="shared" si="204"/>
        <v>33.718850000000003</v>
      </c>
      <c r="C3308">
        <f t="shared" si="205"/>
        <v>-117.843943</v>
      </c>
      <c r="D3308">
        <f t="shared" si="206"/>
        <v>74</v>
      </c>
      <c r="E3308">
        <v>30.5</v>
      </c>
      <c r="F3308">
        <f t="shared" si="207"/>
        <v>43.5</v>
      </c>
      <c r="G3308">
        <v>19.033000000000001</v>
      </c>
      <c r="H3308">
        <v>0.57999999999999996</v>
      </c>
      <c r="I3308">
        <v>3.08</v>
      </c>
      <c r="J3308">
        <v>5</v>
      </c>
      <c r="K3308">
        <v>9</v>
      </c>
      <c r="L3308">
        <v>6</v>
      </c>
      <c r="M3308">
        <v>1.133</v>
      </c>
    </row>
    <row r="3309" spans="1:13" ht="15" customHeight="1">
      <c r="A3309" t="s">
        <v>40</v>
      </c>
      <c r="B3309">
        <f t="shared" si="204"/>
        <v>33.718850000000003</v>
      </c>
      <c r="C3309">
        <f t="shared" si="205"/>
        <v>-117.843943</v>
      </c>
      <c r="D3309">
        <f t="shared" si="206"/>
        <v>74</v>
      </c>
      <c r="E3309">
        <v>31.5</v>
      </c>
      <c r="F3309">
        <f t="shared" si="207"/>
        <v>42.5</v>
      </c>
      <c r="G3309">
        <v>11.071</v>
      </c>
      <c r="H3309">
        <v>0.23899999999999999</v>
      </c>
      <c r="I3309">
        <v>2.194</v>
      </c>
      <c r="J3309">
        <v>5</v>
      </c>
      <c r="K3309">
        <v>5</v>
      </c>
      <c r="L3309">
        <v>3</v>
      </c>
      <c r="M3309">
        <v>0.59799999999999998</v>
      </c>
    </row>
    <row r="3310" spans="1:13" ht="15" customHeight="1">
      <c r="A3310" t="s">
        <v>40</v>
      </c>
      <c r="B3310">
        <f t="shared" si="204"/>
        <v>33.718850000000003</v>
      </c>
      <c r="C3310">
        <f t="shared" si="205"/>
        <v>-117.843943</v>
      </c>
      <c r="D3310">
        <f t="shared" si="206"/>
        <v>74</v>
      </c>
      <c r="E3310">
        <v>32.5</v>
      </c>
      <c r="F3310">
        <f t="shared" si="207"/>
        <v>41.5</v>
      </c>
      <c r="G3310">
        <v>13.632999999999999</v>
      </c>
      <c r="H3310">
        <v>0.377</v>
      </c>
      <c r="I3310">
        <v>2.7970000000000002</v>
      </c>
      <c r="J3310">
        <v>5</v>
      </c>
      <c r="K3310">
        <v>6</v>
      </c>
      <c r="L3310">
        <v>4</v>
      </c>
      <c r="M3310">
        <v>0.76700000000000002</v>
      </c>
    </row>
    <row r="3311" spans="1:13" ht="15" customHeight="1">
      <c r="A3311" t="s">
        <v>40</v>
      </c>
      <c r="B3311">
        <f t="shared" si="204"/>
        <v>33.718850000000003</v>
      </c>
      <c r="C3311">
        <f t="shared" si="205"/>
        <v>-117.843943</v>
      </c>
      <c r="D3311">
        <f t="shared" si="206"/>
        <v>74</v>
      </c>
      <c r="E3311">
        <v>33.5</v>
      </c>
      <c r="F3311">
        <f t="shared" si="207"/>
        <v>40.5</v>
      </c>
      <c r="G3311">
        <v>17.2</v>
      </c>
      <c r="H3311">
        <v>0.61</v>
      </c>
      <c r="I3311">
        <v>3.5880000000000001</v>
      </c>
      <c r="J3311">
        <v>4</v>
      </c>
      <c r="K3311">
        <v>11</v>
      </c>
      <c r="L3311">
        <v>7</v>
      </c>
      <c r="M3311">
        <v>0.998</v>
      </c>
    </row>
    <row r="3312" spans="1:13" ht="15" customHeight="1">
      <c r="A3312" t="s">
        <v>40</v>
      </c>
      <c r="B3312">
        <f t="shared" si="204"/>
        <v>33.718850000000003</v>
      </c>
      <c r="C3312">
        <f t="shared" si="205"/>
        <v>-117.843943</v>
      </c>
      <c r="D3312">
        <f t="shared" si="206"/>
        <v>74</v>
      </c>
      <c r="E3312">
        <v>34.5</v>
      </c>
      <c r="F3312">
        <f t="shared" si="207"/>
        <v>39.5</v>
      </c>
      <c r="G3312">
        <v>18.966999999999999</v>
      </c>
      <c r="H3312">
        <v>0.65</v>
      </c>
      <c r="I3312">
        <v>3.464</v>
      </c>
      <c r="J3312">
        <v>4</v>
      </c>
      <c r="K3312">
        <v>12</v>
      </c>
      <c r="L3312">
        <v>8</v>
      </c>
      <c r="M3312">
        <v>1.1120000000000001</v>
      </c>
    </row>
    <row r="3313" spans="1:13" ht="15" customHeight="1">
      <c r="A3313" t="s">
        <v>40</v>
      </c>
      <c r="B3313">
        <f t="shared" si="204"/>
        <v>33.718850000000003</v>
      </c>
      <c r="C3313">
        <f t="shared" si="205"/>
        <v>-117.843943</v>
      </c>
      <c r="D3313">
        <f t="shared" si="206"/>
        <v>74</v>
      </c>
      <c r="E3313">
        <v>35.5</v>
      </c>
      <c r="F3313">
        <f t="shared" si="207"/>
        <v>38.5</v>
      </c>
      <c r="G3313">
        <v>19.25</v>
      </c>
      <c r="H3313">
        <v>0.44500000000000001</v>
      </c>
      <c r="I3313">
        <v>2.3319999999999999</v>
      </c>
      <c r="J3313">
        <v>5</v>
      </c>
      <c r="K3313">
        <v>9</v>
      </c>
      <c r="L3313">
        <v>6</v>
      </c>
      <c r="M3313">
        <v>1.129</v>
      </c>
    </row>
    <row r="3314" spans="1:13" ht="15" customHeight="1">
      <c r="A3314" t="s">
        <v>40</v>
      </c>
      <c r="B3314">
        <f t="shared" si="204"/>
        <v>33.718850000000003</v>
      </c>
      <c r="C3314">
        <f t="shared" si="205"/>
        <v>-117.843943</v>
      </c>
      <c r="D3314">
        <f t="shared" si="206"/>
        <v>74</v>
      </c>
      <c r="E3314">
        <v>36.5</v>
      </c>
      <c r="F3314">
        <f t="shared" si="207"/>
        <v>37.5</v>
      </c>
      <c r="G3314">
        <v>27.466999999999999</v>
      </c>
      <c r="H3314">
        <v>0.76500000000000001</v>
      </c>
      <c r="I3314">
        <v>2.8039999999999998</v>
      </c>
      <c r="J3314">
        <v>5</v>
      </c>
      <c r="K3314">
        <v>13</v>
      </c>
      <c r="L3314">
        <v>8</v>
      </c>
      <c r="M3314">
        <v>1.6719999999999999</v>
      </c>
    </row>
    <row r="3315" spans="1:13" ht="15" customHeight="1">
      <c r="A3315" t="s">
        <v>40</v>
      </c>
      <c r="B3315">
        <f t="shared" si="204"/>
        <v>33.718850000000003</v>
      </c>
      <c r="C3315">
        <f t="shared" si="205"/>
        <v>-117.843943</v>
      </c>
      <c r="D3315">
        <f t="shared" si="206"/>
        <v>74</v>
      </c>
      <c r="E3315">
        <v>37.5</v>
      </c>
      <c r="F3315">
        <f t="shared" si="207"/>
        <v>36.5</v>
      </c>
      <c r="G3315">
        <v>58.116999999999997</v>
      </c>
      <c r="H3315">
        <v>1.7470000000000001</v>
      </c>
      <c r="I3315">
        <v>3.0139999999999998</v>
      </c>
      <c r="J3315">
        <v>6</v>
      </c>
      <c r="K3315">
        <v>22</v>
      </c>
      <c r="L3315">
        <v>14</v>
      </c>
      <c r="M3315">
        <v>3.7120000000000002</v>
      </c>
    </row>
    <row r="3316" spans="1:13" ht="15" customHeight="1">
      <c r="A3316" t="s">
        <v>40</v>
      </c>
      <c r="B3316">
        <f t="shared" si="204"/>
        <v>33.718850000000003</v>
      </c>
      <c r="C3316">
        <f t="shared" si="205"/>
        <v>-117.843943</v>
      </c>
      <c r="D3316">
        <f t="shared" si="206"/>
        <v>74</v>
      </c>
      <c r="E3316">
        <v>38.5</v>
      </c>
      <c r="F3316">
        <f t="shared" si="207"/>
        <v>35.5</v>
      </c>
      <c r="G3316">
        <v>38.067</v>
      </c>
      <c r="H3316">
        <v>1.593</v>
      </c>
      <c r="I3316">
        <v>4.2080000000000002</v>
      </c>
      <c r="J3316">
        <v>4</v>
      </c>
      <c r="K3316">
        <v>24</v>
      </c>
      <c r="L3316">
        <v>15</v>
      </c>
      <c r="M3316">
        <v>2.3690000000000002</v>
      </c>
    </row>
    <row r="3317" spans="1:13" ht="15" customHeight="1">
      <c r="A3317" t="s">
        <v>40</v>
      </c>
      <c r="B3317">
        <f t="shared" si="204"/>
        <v>33.718850000000003</v>
      </c>
      <c r="C3317">
        <f t="shared" si="205"/>
        <v>-117.843943</v>
      </c>
      <c r="D3317">
        <f t="shared" si="206"/>
        <v>74</v>
      </c>
      <c r="E3317">
        <v>39.5</v>
      </c>
      <c r="F3317">
        <f t="shared" si="207"/>
        <v>34.5</v>
      </c>
      <c r="G3317">
        <v>21.4</v>
      </c>
      <c r="H3317">
        <v>0.59199999999999997</v>
      </c>
      <c r="I3317">
        <v>2.7909999999999999</v>
      </c>
      <c r="J3317">
        <v>5</v>
      </c>
      <c r="K3317">
        <v>10</v>
      </c>
      <c r="L3317">
        <v>6</v>
      </c>
      <c r="M3317">
        <v>1.254</v>
      </c>
    </row>
    <row r="3318" spans="1:13" ht="15" customHeight="1">
      <c r="A3318" t="s">
        <v>40</v>
      </c>
      <c r="B3318">
        <f t="shared" si="204"/>
        <v>33.718850000000003</v>
      </c>
      <c r="C3318">
        <f t="shared" si="205"/>
        <v>-117.843943</v>
      </c>
      <c r="D3318">
        <f t="shared" si="206"/>
        <v>74</v>
      </c>
      <c r="E3318">
        <v>40.5</v>
      </c>
      <c r="F3318">
        <f t="shared" si="207"/>
        <v>33.5</v>
      </c>
      <c r="G3318">
        <v>31.9</v>
      </c>
      <c r="H3318">
        <v>1.175</v>
      </c>
      <c r="I3318">
        <v>3.7069999999999999</v>
      </c>
      <c r="J3318">
        <v>5</v>
      </c>
      <c r="K3318">
        <v>15</v>
      </c>
      <c r="L3318">
        <v>9</v>
      </c>
      <c r="M3318">
        <v>1.95</v>
      </c>
    </row>
    <row r="3319" spans="1:13" ht="15" customHeight="1">
      <c r="A3319" t="s">
        <v>40</v>
      </c>
      <c r="B3319">
        <f t="shared" si="204"/>
        <v>33.718850000000003</v>
      </c>
      <c r="C3319">
        <f t="shared" si="205"/>
        <v>-117.843943</v>
      </c>
      <c r="D3319">
        <f t="shared" si="206"/>
        <v>74</v>
      </c>
      <c r="E3319">
        <v>41.499000000000002</v>
      </c>
      <c r="F3319">
        <f t="shared" si="207"/>
        <v>32.500999999999998</v>
      </c>
      <c r="G3319">
        <v>33.470999999999997</v>
      </c>
      <c r="H3319">
        <v>1.407</v>
      </c>
      <c r="I3319">
        <v>4.2240000000000002</v>
      </c>
      <c r="J3319">
        <v>4</v>
      </c>
      <c r="K3319">
        <v>21</v>
      </c>
      <c r="L3319">
        <v>12</v>
      </c>
      <c r="M3319">
        <v>2.0529999999999999</v>
      </c>
    </row>
    <row r="3320" spans="1:13" ht="15" customHeight="1">
      <c r="A3320" t="s">
        <v>40</v>
      </c>
      <c r="B3320">
        <f t="shared" si="204"/>
        <v>33.718850000000003</v>
      </c>
      <c r="C3320">
        <f t="shared" si="205"/>
        <v>-117.843943</v>
      </c>
      <c r="D3320">
        <f t="shared" si="206"/>
        <v>74</v>
      </c>
      <c r="E3320">
        <v>42.499000000000002</v>
      </c>
      <c r="F3320">
        <f t="shared" si="207"/>
        <v>31.500999999999998</v>
      </c>
      <c r="G3320">
        <v>38.917000000000002</v>
      </c>
      <c r="H3320">
        <v>1.58</v>
      </c>
      <c r="I3320">
        <v>4.0810000000000004</v>
      </c>
      <c r="J3320">
        <v>4</v>
      </c>
      <c r="K3320">
        <v>25</v>
      </c>
      <c r="L3320">
        <v>14</v>
      </c>
      <c r="M3320">
        <v>2.4089999999999998</v>
      </c>
    </row>
    <row r="3321" spans="1:13" ht="15" customHeight="1">
      <c r="A3321" t="s">
        <v>40</v>
      </c>
      <c r="B3321">
        <f t="shared" si="204"/>
        <v>33.718850000000003</v>
      </c>
      <c r="C3321">
        <f t="shared" si="205"/>
        <v>-117.843943</v>
      </c>
      <c r="D3321">
        <f t="shared" si="206"/>
        <v>74</v>
      </c>
      <c r="E3321">
        <v>43.499000000000002</v>
      </c>
      <c r="F3321">
        <f t="shared" si="207"/>
        <v>30.500999999999998</v>
      </c>
      <c r="G3321">
        <v>45.982999999999997</v>
      </c>
      <c r="H3321">
        <v>1.518</v>
      </c>
      <c r="I3321">
        <v>3.3149999999999999</v>
      </c>
      <c r="J3321">
        <v>5</v>
      </c>
      <c r="K3321">
        <v>22</v>
      </c>
      <c r="L3321">
        <v>13</v>
      </c>
      <c r="M3321">
        <v>2.8769999999999998</v>
      </c>
    </row>
    <row r="3322" spans="1:13" ht="15" customHeight="1">
      <c r="A3322" t="s">
        <v>40</v>
      </c>
      <c r="B3322">
        <f t="shared" si="204"/>
        <v>33.718850000000003</v>
      </c>
      <c r="C3322">
        <f t="shared" si="205"/>
        <v>-117.843943</v>
      </c>
      <c r="D3322">
        <f t="shared" si="206"/>
        <v>74</v>
      </c>
      <c r="E3322">
        <v>44.499000000000002</v>
      </c>
      <c r="F3322">
        <f t="shared" si="207"/>
        <v>29.500999999999998</v>
      </c>
      <c r="G3322">
        <v>45.866999999999997</v>
      </c>
      <c r="H3322">
        <v>1.7450000000000001</v>
      </c>
      <c r="I3322">
        <v>3.82</v>
      </c>
      <c r="J3322">
        <v>5</v>
      </c>
      <c r="K3322">
        <v>22</v>
      </c>
      <c r="L3322">
        <v>12</v>
      </c>
      <c r="M3322">
        <v>2.8650000000000002</v>
      </c>
    </row>
    <row r="3323" spans="1:13" ht="15" customHeight="1">
      <c r="A3323" t="s">
        <v>40</v>
      </c>
      <c r="B3323">
        <f t="shared" si="204"/>
        <v>33.718850000000003</v>
      </c>
      <c r="C3323">
        <f t="shared" si="205"/>
        <v>-117.843943</v>
      </c>
      <c r="D3323">
        <f t="shared" si="206"/>
        <v>74</v>
      </c>
      <c r="E3323">
        <v>45.499000000000002</v>
      </c>
      <c r="F3323">
        <f t="shared" si="207"/>
        <v>28.500999999999998</v>
      </c>
      <c r="G3323">
        <v>16.466999999999999</v>
      </c>
      <c r="H3323">
        <v>0.5</v>
      </c>
      <c r="I3323">
        <v>3.0739999999999998</v>
      </c>
      <c r="J3323">
        <v>5</v>
      </c>
      <c r="K3323">
        <v>8</v>
      </c>
      <c r="L3323">
        <v>4</v>
      </c>
      <c r="M3323">
        <v>0.9</v>
      </c>
    </row>
    <row r="3324" spans="1:13" ht="15" customHeight="1">
      <c r="A3324" t="s">
        <v>40</v>
      </c>
      <c r="B3324">
        <f t="shared" si="204"/>
        <v>33.718850000000003</v>
      </c>
      <c r="C3324">
        <f t="shared" si="205"/>
        <v>-117.843943</v>
      </c>
      <c r="D3324">
        <f t="shared" si="206"/>
        <v>74</v>
      </c>
      <c r="E3324">
        <v>46.499000000000002</v>
      </c>
      <c r="F3324">
        <f t="shared" si="207"/>
        <v>27.500999999999998</v>
      </c>
      <c r="G3324">
        <v>13.95</v>
      </c>
      <c r="H3324">
        <v>0.28199999999999997</v>
      </c>
      <c r="I3324">
        <v>2.0459999999999998</v>
      </c>
      <c r="J3324">
        <v>5</v>
      </c>
      <c r="K3324">
        <v>7</v>
      </c>
      <c r="L3324">
        <v>4</v>
      </c>
      <c r="M3324">
        <v>0.72899999999999998</v>
      </c>
    </row>
    <row r="3325" spans="1:13" ht="15" customHeight="1">
      <c r="A3325" t="s">
        <v>40</v>
      </c>
      <c r="B3325">
        <f t="shared" si="204"/>
        <v>33.718850000000003</v>
      </c>
      <c r="C3325">
        <f t="shared" si="205"/>
        <v>-117.843943</v>
      </c>
      <c r="D3325">
        <f t="shared" si="206"/>
        <v>74</v>
      </c>
      <c r="E3325">
        <v>47.499000000000002</v>
      </c>
      <c r="F3325">
        <f t="shared" si="207"/>
        <v>26.500999999999998</v>
      </c>
      <c r="G3325">
        <v>33.049999999999997</v>
      </c>
      <c r="H3325">
        <v>1.2370000000000001</v>
      </c>
      <c r="I3325">
        <v>3.7650000000000001</v>
      </c>
      <c r="J3325">
        <v>5</v>
      </c>
      <c r="K3325">
        <v>16</v>
      </c>
      <c r="L3325">
        <v>9</v>
      </c>
      <c r="M3325">
        <v>1.9970000000000001</v>
      </c>
    </row>
    <row r="3326" spans="1:13" ht="15" customHeight="1">
      <c r="A3326" t="s">
        <v>40</v>
      </c>
      <c r="B3326">
        <f t="shared" si="204"/>
        <v>33.718850000000003</v>
      </c>
      <c r="C3326">
        <f t="shared" si="205"/>
        <v>-117.843943</v>
      </c>
      <c r="D3326">
        <f t="shared" si="206"/>
        <v>74</v>
      </c>
      <c r="E3326">
        <v>48.499000000000002</v>
      </c>
      <c r="F3326">
        <f t="shared" si="207"/>
        <v>25.500999999999998</v>
      </c>
      <c r="G3326">
        <v>59.683</v>
      </c>
      <c r="H3326">
        <v>2.282</v>
      </c>
      <c r="I3326">
        <v>3.8359999999999999</v>
      </c>
      <c r="J3326">
        <v>5</v>
      </c>
      <c r="K3326">
        <v>28</v>
      </c>
      <c r="L3326">
        <v>15</v>
      </c>
      <c r="M3326">
        <v>3.7690000000000001</v>
      </c>
    </row>
    <row r="3327" spans="1:13" ht="15" customHeight="1">
      <c r="A3327" t="s">
        <v>40</v>
      </c>
      <c r="B3327">
        <f t="shared" si="204"/>
        <v>33.718850000000003</v>
      </c>
      <c r="C3327">
        <f t="shared" si="205"/>
        <v>-117.843943</v>
      </c>
      <c r="D3327">
        <f t="shared" si="206"/>
        <v>74</v>
      </c>
      <c r="E3327">
        <v>49.499000000000002</v>
      </c>
      <c r="F3327">
        <f t="shared" si="207"/>
        <v>24.500999999999998</v>
      </c>
      <c r="G3327">
        <v>54.616999999999997</v>
      </c>
      <c r="H3327">
        <v>2.0779999999999998</v>
      </c>
      <c r="I3327">
        <v>3.8180000000000001</v>
      </c>
      <c r="J3327">
        <v>5</v>
      </c>
      <c r="K3327">
        <v>26</v>
      </c>
      <c r="L3327">
        <v>14</v>
      </c>
      <c r="M3327">
        <v>3.4279999999999999</v>
      </c>
    </row>
    <row r="3328" spans="1:13" ht="15" customHeight="1">
      <c r="A3328" t="s">
        <v>40</v>
      </c>
      <c r="B3328">
        <f t="shared" si="204"/>
        <v>33.718850000000003</v>
      </c>
      <c r="C3328">
        <f t="shared" si="205"/>
        <v>-117.843943</v>
      </c>
      <c r="D3328">
        <f t="shared" si="206"/>
        <v>74</v>
      </c>
      <c r="E3328">
        <v>50.499000000000002</v>
      </c>
      <c r="F3328">
        <f t="shared" si="207"/>
        <v>23.500999999999998</v>
      </c>
      <c r="G3328">
        <v>58.567</v>
      </c>
      <c r="H3328">
        <v>2.3719999999999999</v>
      </c>
      <c r="I3328">
        <v>4.0620000000000003</v>
      </c>
      <c r="J3328">
        <v>5</v>
      </c>
      <c r="K3328">
        <v>28</v>
      </c>
      <c r="L3328">
        <v>15</v>
      </c>
      <c r="M3328">
        <v>3.6869999999999998</v>
      </c>
    </row>
    <row r="3329" spans="1:13" ht="15" customHeight="1">
      <c r="A3329" t="s">
        <v>40</v>
      </c>
      <c r="B3329">
        <f t="shared" si="204"/>
        <v>33.718850000000003</v>
      </c>
      <c r="C3329">
        <f t="shared" si="205"/>
        <v>-117.843943</v>
      </c>
      <c r="D3329">
        <f t="shared" si="206"/>
        <v>74</v>
      </c>
      <c r="E3329">
        <v>51.499000000000002</v>
      </c>
      <c r="F3329">
        <f t="shared" si="207"/>
        <v>22.500999999999998</v>
      </c>
      <c r="G3329">
        <v>78.3</v>
      </c>
      <c r="H3329">
        <v>3.637</v>
      </c>
      <c r="I3329">
        <v>4.6539999999999999</v>
      </c>
      <c r="J3329">
        <v>11</v>
      </c>
      <c r="K3329">
        <v>75</v>
      </c>
      <c r="L3329">
        <v>39</v>
      </c>
      <c r="M3329" s="1">
        <v>9000000000</v>
      </c>
    </row>
    <row r="3330" spans="1:13" ht="15" customHeight="1">
      <c r="A3330" t="s">
        <v>40</v>
      </c>
      <c r="B3330">
        <f t="shared" ref="B3330:B3393" si="208">VLOOKUP(A3330,XYdata,3,FALSE)</f>
        <v>33.718850000000003</v>
      </c>
      <c r="C3330">
        <f t="shared" ref="C3330:C3393" si="209">VLOOKUP(A3330,XYdata,2,FALSE)</f>
        <v>-117.843943</v>
      </c>
      <c r="D3330">
        <f t="shared" ref="D3330:D3393" si="210">VLOOKUP(A3330,Elevation,2,FALSE)</f>
        <v>74</v>
      </c>
      <c r="E3330">
        <v>52.499000000000002</v>
      </c>
      <c r="F3330">
        <f t="shared" si="207"/>
        <v>21.500999999999998</v>
      </c>
      <c r="G3330">
        <v>179.786</v>
      </c>
      <c r="H3330">
        <v>4.8760000000000003</v>
      </c>
      <c r="I3330">
        <v>2.7149999999999999</v>
      </c>
      <c r="J3330">
        <v>7</v>
      </c>
      <c r="K3330">
        <v>57</v>
      </c>
      <c r="L3330">
        <v>30</v>
      </c>
      <c r="M3330" s="1">
        <v>9000000000</v>
      </c>
    </row>
    <row r="3331" spans="1:13" ht="15" customHeight="1">
      <c r="A3331" t="s">
        <v>40</v>
      </c>
      <c r="B3331">
        <f t="shared" si="208"/>
        <v>33.718850000000003</v>
      </c>
      <c r="C3331">
        <f t="shared" si="209"/>
        <v>-117.843943</v>
      </c>
      <c r="D3331">
        <f t="shared" si="210"/>
        <v>74</v>
      </c>
      <c r="E3331">
        <v>53.499000000000002</v>
      </c>
      <c r="F3331">
        <f t="shared" ref="F3331:F3394" si="211">D3331-E3331</f>
        <v>20.500999999999998</v>
      </c>
      <c r="G3331">
        <v>146.81700000000001</v>
      </c>
      <c r="H3331">
        <v>3.6549999999999998</v>
      </c>
      <c r="I3331">
        <v>2.4929999999999999</v>
      </c>
      <c r="J3331">
        <v>7</v>
      </c>
      <c r="K3331">
        <v>47</v>
      </c>
      <c r="L3331">
        <v>24</v>
      </c>
      <c r="M3331" s="1">
        <v>9000000000</v>
      </c>
    </row>
    <row r="3332" spans="1:13" ht="15" customHeight="1">
      <c r="A3332" t="s">
        <v>40</v>
      </c>
      <c r="B3332">
        <f t="shared" si="208"/>
        <v>33.718850000000003</v>
      </c>
      <c r="C3332">
        <f t="shared" si="209"/>
        <v>-117.843943</v>
      </c>
      <c r="D3332">
        <f t="shared" si="210"/>
        <v>74</v>
      </c>
      <c r="E3332">
        <v>54.499000000000002</v>
      </c>
      <c r="F3332">
        <f t="shared" si="211"/>
        <v>19.500999999999998</v>
      </c>
      <c r="G3332">
        <v>152.75</v>
      </c>
      <c r="H3332">
        <v>3.198</v>
      </c>
      <c r="I3332">
        <v>2.097</v>
      </c>
      <c r="J3332">
        <v>7</v>
      </c>
      <c r="K3332">
        <v>49</v>
      </c>
      <c r="L3332">
        <v>25</v>
      </c>
      <c r="M3332" s="1">
        <v>9000000000</v>
      </c>
    </row>
    <row r="3333" spans="1:13" ht="15" customHeight="1">
      <c r="A3333" t="s">
        <v>40</v>
      </c>
      <c r="B3333">
        <f t="shared" si="208"/>
        <v>33.718850000000003</v>
      </c>
      <c r="C3333">
        <f t="shared" si="209"/>
        <v>-117.843943</v>
      </c>
      <c r="D3333">
        <f t="shared" si="210"/>
        <v>74</v>
      </c>
      <c r="E3333">
        <v>55.499000000000002</v>
      </c>
      <c r="F3333">
        <f t="shared" si="211"/>
        <v>18.500999999999998</v>
      </c>
      <c r="G3333">
        <v>103.05</v>
      </c>
      <c r="H3333">
        <v>3.9119999999999999</v>
      </c>
      <c r="I3333">
        <v>3.8029999999999999</v>
      </c>
      <c r="J3333">
        <v>5</v>
      </c>
      <c r="K3333">
        <v>49</v>
      </c>
      <c r="L3333">
        <v>25</v>
      </c>
      <c r="M3333">
        <v>6.6310000000000002</v>
      </c>
    </row>
    <row r="3334" spans="1:13" ht="15" customHeight="1">
      <c r="A3334" t="s">
        <v>40</v>
      </c>
      <c r="B3334">
        <f t="shared" si="208"/>
        <v>33.718850000000003</v>
      </c>
      <c r="C3334">
        <f t="shared" si="209"/>
        <v>-117.843943</v>
      </c>
      <c r="D3334">
        <f t="shared" si="210"/>
        <v>74</v>
      </c>
      <c r="E3334">
        <v>56.499000000000002</v>
      </c>
      <c r="F3334">
        <f t="shared" si="211"/>
        <v>17.500999999999998</v>
      </c>
      <c r="G3334">
        <v>113.31699999999999</v>
      </c>
      <c r="H3334">
        <v>3.05</v>
      </c>
      <c r="I3334">
        <v>2.6970000000000001</v>
      </c>
      <c r="J3334">
        <v>6</v>
      </c>
      <c r="K3334">
        <v>43</v>
      </c>
      <c r="L3334">
        <v>22</v>
      </c>
      <c r="M3334">
        <v>7.31</v>
      </c>
    </row>
    <row r="3335" spans="1:13" ht="15" customHeight="1">
      <c r="A3335" t="s">
        <v>40</v>
      </c>
      <c r="B3335">
        <f t="shared" si="208"/>
        <v>33.718850000000003</v>
      </c>
      <c r="C3335">
        <f t="shared" si="209"/>
        <v>-117.843943</v>
      </c>
      <c r="D3335">
        <f t="shared" si="210"/>
        <v>74</v>
      </c>
      <c r="E3335">
        <v>57.499000000000002</v>
      </c>
      <c r="F3335">
        <f t="shared" si="211"/>
        <v>16.500999999999998</v>
      </c>
      <c r="G3335">
        <v>121.6</v>
      </c>
      <c r="H3335">
        <v>2.597</v>
      </c>
      <c r="I3335">
        <v>2.1389999999999998</v>
      </c>
      <c r="J3335">
        <v>7</v>
      </c>
      <c r="K3335">
        <v>39</v>
      </c>
      <c r="L3335">
        <v>20</v>
      </c>
      <c r="M3335" s="1">
        <v>9000000000</v>
      </c>
    </row>
    <row r="3336" spans="1:13" ht="15" customHeight="1">
      <c r="A3336" t="s">
        <v>40</v>
      </c>
      <c r="B3336">
        <f t="shared" si="208"/>
        <v>33.718850000000003</v>
      </c>
      <c r="C3336">
        <f t="shared" si="209"/>
        <v>-117.843943</v>
      </c>
      <c r="D3336">
        <f t="shared" si="210"/>
        <v>74</v>
      </c>
      <c r="E3336">
        <v>58.499000000000002</v>
      </c>
      <c r="F3336">
        <f t="shared" si="211"/>
        <v>15.500999999999998</v>
      </c>
      <c r="G3336">
        <v>65.566999999999993</v>
      </c>
      <c r="H3336">
        <v>1.9650000000000001</v>
      </c>
      <c r="I3336">
        <v>3.0059999999999998</v>
      </c>
      <c r="J3336">
        <v>6</v>
      </c>
      <c r="K3336">
        <v>25</v>
      </c>
      <c r="L3336">
        <v>13</v>
      </c>
      <c r="M3336">
        <v>4.12</v>
      </c>
    </row>
    <row r="3337" spans="1:13" ht="15" customHeight="1">
      <c r="A3337" t="s">
        <v>40</v>
      </c>
      <c r="B3337">
        <f t="shared" si="208"/>
        <v>33.718850000000003</v>
      </c>
      <c r="C3337">
        <f t="shared" si="209"/>
        <v>-117.843943</v>
      </c>
      <c r="D3337">
        <f t="shared" si="210"/>
        <v>74</v>
      </c>
      <c r="E3337">
        <v>59.499000000000002</v>
      </c>
      <c r="F3337">
        <f t="shared" si="211"/>
        <v>14.500999999999998</v>
      </c>
      <c r="G3337">
        <v>30.85</v>
      </c>
      <c r="H3337">
        <v>1.133</v>
      </c>
      <c r="I3337">
        <v>3.6960000000000002</v>
      </c>
      <c r="J3337">
        <v>5</v>
      </c>
      <c r="K3337">
        <v>15</v>
      </c>
      <c r="L3337">
        <v>8</v>
      </c>
      <c r="M3337">
        <v>1.802</v>
      </c>
    </row>
    <row r="3338" spans="1:13" ht="15" customHeight="1">
      <c r="A3338" t="s">
        <v>40</v>
      </c>
      <c r="B3338">
        <f t="shared" si="208"/>
        <v>33.718850000000003</v>
      </c>
      <c r="C3338">
        <f t="shared" si="209"/>
        <v>-117.843943</v>
      </c>
      <c r="D3338">
        <f t="shared" si="210"/>
        <v>74</v>
      </c>
      <c r="E3338">
        <v>60.499000000000002</v>
      </c>
      <c r="F3338">
        <f t="shared" si="211"/>
        <v>13.500999999999998</v>
      </c>
      <c r="G3338">
        <v>21.533000000000001</v>
      </c>
      <c r="H3338">
        <v>0.71799999999999997</v>
      </c>
      <c r="I3338">
        <v>3.367</v>
      </c>
      <c r="J3338">
        <v>5</v>
      </c>
      <c r="K3338">
        <v>10</v>
      </c>
      <c r="L3338">
        <v>5</v>
      </c>
      <c r="M3338">
        <v>1.1759999999999999</v>
      </c>
    </row>
    <row r="3339" spans="1:13" ht="15" customHeight="1">
      <c r="A3339" t="s">
        <v>40</v>
      </c>
      <c r="B3339">
        <f t="shared" si="208"/>
        <v>33.718850000000003</v>
      </c>
      <c r="C3339">
        <f t="shared" si="209"/>
        <v>-117.843943</v>
      </c>
      <c r="D3339">
        <f t="shared" si="210"/>
        <v>74</v>
      </c>
      <c r="E3339">
        <v>61.499000000000002</v>
      </c>
      <c r="F3339">
        <f t="shared" si="211"/>
        <v>12.500999999999998</v>
      </c>
      <c r="G3339">
        <v>18.667000000000002</v>
      </c>
      <c r="H3339">
        <v>0.67200000000000004</v>
      </c>
      <c r="I3339">
        <v>3.6309999999999998</v>
      </c>
      <c r="J3339">
        <v>4</v>
      </c>
      <c r="K3339">
        <v>12</v>
      </c>
      <c r="L3339">
        <v>6</v>
      </c>
      <c r="M3339">
        <v>0.98299999999999998</v>
      </c>
    </row>
    <row r="3340" spans="1:13" ht="15" customHeight="1">
      <c r="A3340" t="s">
        <v>40</v>
      </c>
      <c r="B3340">
        <f t="shared" si="208"/>
        <v>33.718850000000003</v>
      </c>
      <c r="C3340">
        <f t="shared" si="209"/>
        <v>-117.843943</v>
      </c>
      <c r="D3340">
        <f t="shared" si="210"/>
        <v>74</v>
      </c>
      <c r="E3340">
        <v>62.499000000000002</v>
      </c>
      <c r="F3340">
        <f t="shared" si="211"/>
        <v>11.500999999999998</v>
      </c>
      <c r="G3340">
        <v>14.385999999999999</v>
      </c>
      <c r="H3340">
        <v>0.41</v>
      </c>
      <c r="I3340">
        <v>2.8759999999999999</v>
      </c>
      <c r="J3340">
        <v>5</v>
      </c>
      <c r="K3340">
        <v>7</v>
      </c>
      <c r="L3340">
        <v>4</v>
      </c>
      <c r="M3340">
        <v>0.69599999999999995</v>
      </c>
    </row>
    <row r="3341" spans="1:13" ht="15" customHeight="1">
      <c r="A3341" t="s">
        <v>40</v>
      </c>
      <c r="B3341">
        <f t="shared" si="208"/>
        <v>33.718850000000003</v>
      </c>
      <c r="C3341">
        <f t="shared" si="209"/>
        <v>-117.843943</v>
      </c>
      <c r="D3341">
        <f t="shared" si="210"/>
        <v>74</v>
      </c>
      <c r="E3341">
        <v>63.499000000000002</v>
      </c>
      <c r="F3341">
        <f t="shared" si="211"/>
        <v>10.500999999999998</v>
      </c>
      <c r="G3341">
        <v>16.55</v>
      </c>
      <c r="H3341">
        <v>0.47699999999999998</v>
      </c>
      <c r="I3341">
        <v>2.9039999999999999</v>
      </c>
      <c r="J3341">
        <v>5</v>
      </c>
      <c r="K3341">
        <v>8</v>
      </c>
      <c r="L3341">
        <v>4</v>
      </c>
      <c r="M3341">
        <v>0.83599999999999997</v>
      </c>
    </row>
    <row r="3342" spans="1:13" ht="15" customHeight="1">
      <c r="A3342" t="s">
        <v>40</v>
      </c>
      <c r="B3342">
        <f t="shared" si="208"/>
        <v>33.718850000000003</v>
      </c>
      <c r="C3342">
        <f t="shared" si="209"/>
        <v>-117.843943</v>
      </c>
      <c r="D3342">
        <f t="shared" si="210"/>
        <v>74</v>
      </c>
      <c r="E3342">
        <v>64.498999999999995</v>
      </c>
      <c r="F3342">
        <f t="shared" si="211"/>
        <v>9.5010000000000048</v>
      </c>
      <c r="G3342">
        <v>17.582999999999998</v>
      </c>
      <c r="H3342">
        <v>0.61699999999999999</v>
      </c>
      <c r="I3342">
        <v>3.52</v>
      </c>
      <c r="J3342">
        <v>4</v>
      </c>
      <c r="K3342">
        <v>11</v>
      </c>
      <c r="L3342">
        <v>6</v>
      </c>
      <c r="M3342">
        <v>0.90500000000000003</v>
      </c>
    </row>
    <row r="3343" spans="1:13" ht="15" customHeight="1">
      <c r="A3343" t="s">
        <v>40</v>
      </c>
      <c r="B3343">
        <f t="shared" si="208"/>
        <v>33.718850000000003</v>
      </c>
      <c r="C3343">
        <f t="shared" si="209"/>
        <v>-117.843943</v>
      </c>
      <c r="D3343">
        <f t="shared" si="210"/>
        <v>74</v>
      </c>
      <c r="E3343">
        <v>65.498999999999995</v>
      </c>
      <c r="F3343">
        <f t="shared" si="211"/>
        <v>8.5010000000000048</v>
      </c>
      <c r="G3343">
        <v>28.783000000000001</v>
      </c>
      <c r="H3343">
        <v>0.95</v>
      </c>
      <c r="I3343">
        <v>3.3039999999999998</v>
      </c>
      <c r="J3343">
        <v>5</v>
      </c>
      <c r="K3343">
        <v>14</v>
      </c>
      <c r="L3343">
        <v>7</v>
      </c>
      <c r="M3343">
        <v>1.65</v>
      </c>
    </row>
    <row r="3344" spans="1:13" ht="15" customHeight="1">
      <c r="A3344" t="s">
        <v>40</v>
      </c>
      <c r="B3344">
        <f t="shared" si="208"/>
        <v>33.718850000000003</v>
      </c>
      <c r="C3344">
        <f t="shared" si="209"/>
        <v>-117.843943</v>
      </c>
      <c r="D3344">
        <f t="shared" si="210"/>
        <v>74</v>
      </c>
      <c r="E3344">
        <v>66.498999999999995</v>
      </c>
      <c r="F3344">
        <f t="shared" si="211"/>
        <v>7.5010000000000048</v>
      </c>
      <c r="G3344">
        <v>41.533000000000001</v>
      </c>
      <c r="H3344">
        <v>1.1579999999999999</v>
      </c>
      <c r="I3344">
        <v>2.802</v>
      </c>
      <c r="J3344">
        <v>6</v>
      </c>
      <c r="K3344">
        <v>16</v>
      </c>
      <c r="L3344">
        <v>8</v>
      </c>
      <c r="M3344">
        <v>2.4849999999999999</v>
      </c>
    </row>
    <row r="3345" spans="1:13" ht="15" customHeight="1">
      <c r="A3345" t="s">
        <v>40</v>
      </c>
      <c r="B3345">
        <f t="shared" si="208"/>
        <v>33.718850000000003</v>
      </c>
      <c r="C3345">
        <f t="shared" si="209"/>
        <v>-117.843943</v>
      </c>
      <c r="D3345">
        <f t="shared" si="210"/>
        <v>74</v>
      </c>
      <c r="E3345">
        <v>67.498999999999995</v>
      </c>
      <c r="F3345">
        <f t="shared" si="211"/>
        <v>6.5010000000000048</v>
      </c>
      <c r="G3345">
        <v>42.683</v>
      </c>
      <c r="H3345">
        <v>2.0499999999999998</v>
      </c>
      <c r="I3345">
        <v>4.82</v>
      </c>
      <c r="J3345">
        <v>4</v>
      </c>
      <c r="K3345">
        <v>27</v>
      </c>
      <c r="L3345">
        <v>14</v>
      </c>
      <c r="M3345">
        <v>2.5609999999999999</v>
      </c>
    </row>
    <row r="3346" spans="1:13" ht="15" customHeight="1">
      <c r="A3346" t="s">
        <v>40</v>
      </c>
      <c r="B3346">
        <f t="shared" si="208"/>
        <v>33.718850000000003</v>
      </c>
      <c r="C3346">
        <f t="shared" si="209"/>
        <v>-117.843943</v>
      </c>
      <c r="D3346">
        <f t="shared" si="210"/>
        <v>74</v>
      </c>
      <c r="E3346">
        <v>68.498999999999995</v>
      </c>
      <c r="F3346">
        <f t="shared" si="211"/>
        <v>5.5010000000000048</v>
      </c>
      <c r="G3346">
        <v>25.45</v>
      </c>
      <c r="H3346">
        <v>0.75700000000000001</v>
      </c>
      <c r="I3346">
        <v>2.9950000000000001</v>
      </c>
      <c r="J3346">
        <v>5</v>
      </c>
      <c r="K3346">
        <v>12</v>
      </c>
      <c r="L3346">
        <v>6</v>
      </c>
      <c r="M3346">
        <v>1.405</v>
      </c>
    </row>
    <row r="3347" spans="1:13" ht="15" customHeight="1">
      <c r="A3347" t="s">
        <v>40</v>
      </c>
      <c r="B3347">
        <f t="shared" si="208"/>
        <v>33.718850000000003</v>
      </c>
      <c r="C3347">
        <f t="shared" si="209"/>
        <v>-117.843943</v>
      </c>
      <c r="D3347">
        <f t="shared" si="210"/>
        <v>74</v>
      </c>
      <c r="E3347">
        <v>69.498999999999995</v>
      </c>
      <c r="F3347">
        <f t="shared" si="211"/>
        <v>4.5010000000000048</v>
      </c>
      <c r="G3347">
        <v>44.5</v>
      </c>
      <c r="H3347">
        <v>1.82</v>
      </c>
      <c r="I3347">
        <v>4.101</v>
      </c>
      <c r="J3347">
        <v>5</v>
      </c>
      <c r="K3347">
        <v>21</v>
      </c>
      <c r="L3347">
        <v>11</v>
      </c>
      <c r="M3347">
        <v>2.6760000000000002</v>
      </c>
    </row>
    <row r="3348" spans="1:13" ht="15" customHeight="1">
      <c r="A3348" t="s">
        <v>40</v>
      </c>
      <c r="B3348">
        <f t="shared" si="208"/>
        <v>33.718850000000003</v>
      </c>
      <c r="C3348">
        <f t="shared" si="209"/>
        <v>-117.843943</v>
      </c>
      <c r="D3348">
        <f t="shared" si="210"/>
        <v>74</v>
      </c>
      <c r="E3348">
        <v>70.498999999999995</v>
      </c>
      <c r="F3348">
        <f t="shared" si="211"/>
        <v>3.5010000000000048</v>
      </c>
      <c r="G3348">
        <v>41.933</v>
      </c>
      <c r="H3348">
        <v>1.8720000000000001</v>
      </c>
      <c r="I3348">
        <v>4.4829999999999997</v>
      </c>
      <c r="J3348">
        <v>4</v>
      </c>
      <c r="K3348">
        <v>27</v>
      </c>
      <c r="L3348">
        <v>14</v>
      </c>
      <c r="M3348">
        <v>2.496</v>
      </c>
    </row>
    <row r="3349" spans="1:13" ht="15" customHeight="1">
      <c r="A3349" t="s">
        <v>40</v>
      </c>
      <c r="B3349">
        <f t="shared" si="208"/>
        <v>33.718850000000003</v>
      </c>
      <c r="C3349">
        <f t="shared" si="209"/>
        <v>-117.843943</v>
      </c>
      <c r="D3349">
        <f t="shared" si="210"/>
        <v>74</v>
      </c>
      <c r="E3349">
        <v>71.498999999999995</v>
      </c>
      <c r="F3349">
        <f t="shared" si="211"/>
        <v>2.5010000000000048</v>
      </c>
      <c r="G3349">
        <v>30.483000000000001</v>
      </c>
      <c r="H3349">
        <v>0.82499999999999996</v>
      </c>
      <c r="I3349">
        <v>2.7149999999999999</v>
      </c>
      <c r="J3349">
        <v>6</v>
      </c>
      <c r="K3349">
        <v>12</v>
      </c>
      <c r="L3349">
        <v>6</v>
      </c>
      <c r="M3349">
        <v>1.734</v>
      </c>
    </row>
    <row r="3350" spans="1:13" ht="15" customHeight="1">
      <c r="A3350" t="s">
        <v>40</v>
      </c>
      <c r="B3350">
        <f t="shared" si="208"/>
        <v>33.718850000000003</v>
      </c>
      <c r="C3350">
        <f t="shared" si="209"/>
        <v>-117.843943</v>
      </c>
      <c r="D3350">
        <f t="shared" si="210"/>
        <v>74</v>
      </c>
      <c r="E3350">
        <v>72.498999999999995</v>
      </c>
      <c r="F3350">
        <f t="shared" si="211"/>
        <v>1.5010000000000048</v>
      </c>
      <c r="G3350">
        <v>33.200000000000003</v>
      </c>
      <c r="H3350">
        <v>1.32</v>
      </c>
      <c r="I3350">
        <v>3.9809999999999999</v>
      </c>
      <c r="J3350">
        <v>4</v>
      </c>
      <c r="K3350">
        <v>21</v>
      </c>
      <c r="L3350">
        <v>11</v>
      </c>
      <c r="M3350">
        <v>1.915</v>
      </c>
    </row>
    <row r="3351" spans="1:13" ht="15" customHeight="1">
      <c r="A3351" t="s">
        <v>40</v>
      </c>
      <c r="B3351">
        <f t="shared" si="208"/>
        <v>33.718850000000003</v>
      </c>
      <c r="C3351">
        <f t="shared" si="209"/>
        <v>-117.843943</v>
      </c>
      <c r="D3351">
        <f t="shared" si="210"/>
        <v>74</v>
      </c>
      <c r="E3351">
        <v>73.498999999999995</v>
      </c>
      <c r="F3351">
        <f t="shared" si="211"/>
        <v>0.50100000000000477</v>
      </c>
      <c r="G3351">
        <v>49.1</v>
      </c>
      <c r="H3351">
        <v>1.8120000000000001</v>
      </c>
      <c r="I3351">
        <v>3.6949999999999998</v>
      </c>
      <c r="J3351">
        <v>5</v>
      </c>
      <c r="K3351">
        <v>23</v>
      </c>
      <c r="L3351">
        <v>12</v>
      </c>
      <c r="M3351">
        <v>2.9689999999999999</v>
      </c>
    </row>
    <row r="3352" spans="1:13" ht="15" customHeight="1">
      <c r="A3352" t="s">
        <v>40</v>
      </c>
      <c r="B3352">
        <f t="shared" si="208"/>
        <v>33.718850000000003</v>
      </c>
      <c r="C3352">
        <f t="shared" si="209"/>
        <v>-117.843943</v>
      </c>
      <c r="D3352">
        <f t="shared" si="210"/>
        <v>74</v>
      </c>
      <c r="E3352">
        <v>74.498999999999995</v>
      </c>
      <c r="F3352">
        <f t="shared" si="211"/>
        <v>-0.49899999999999523</v>
      </c>
      <c r="G3352">
        <v>102.6</v>
      </c>
      <c r="H3352">
        <v>3.3420000000000001</v>
      </c>
      <c r="I3352">
        <v>3.26</v>
      </c>
      <c r="J3352">
        <v>6</v>
      </c>
      <c r="K3352">
        <v>39</v>
      </c>
      <c r="L3352">
        <v>20</v>
      </c>
      <c r="M3352">
        <v>6.5289999999999999</v>
      </c>
    </row>
    <row r="3353" spans="1:13" ht="15" customHeight="1">
      <c r="A3353" t="s">
        <v>40</v>
      </c>
      <c r="B3353">
        <f t="shared" si="208"/>
        <v>33.718850000000003</v>
      </c>
      <c r="C3353">
        <f t="shared" si="209"/>
        <v>-117.843943</v>
      </c>
      <c r="D3353">
        <f t="shared" si="210"/>
        <v>74</v>
      </c>
      <c r="E3353">
        <v>75.498999999999995</v>
      </c>
      <c r="F3353">
        <f t="shared" si="211"/>
        <v>-1.4989999999999952</v>
      </c>
      <c r="G3353">
        <v>93.367000000000004</v>
      </c>
      <c r="H3353">
        <v>3.1669999999999998</v>
      </c>
      <c r="I3353">
        <v>3.3959999999999999</v>
      </c>
      <c r="J3353">
        <v>6</v>
      </c>
      <c r="K3353">
        <v>36</v>
      </c>
      <c r="L3353">
        <v>18</v>
      </c>
      <c r="M3353">
        <v>5.907</v>
      </c>
    </row>
    <row r="3354" spans="1:13" ht="15" customHeight="1">
      <c r="A3354" t="s">
        <v>40</v>
      </c>
      <c r="B3354">
        <f t="shared" si="208"/>
        <v>33.718850000000003</v>
      </c>
      <c r="C3354">
        <f t="shared" si="209"/>
        <v>-117.843943</v>
      </c>
      <c r="D3354">
        <f t="shared" si="210"/>
        <v>74</v>
      </c>
      <c r="E3354">
        <v>76.498999999999995</v>
      </c>
      <c r="F3354">
        <f t="shared" si="211"/>
        <v>-2.4989999999999952</v>
      </c>
      <c r="G3354">
        <v>96.516999999999996</v>
      </c>
      <c r="H3354">
        <v>3.0830000000000002</v>
      </c>
      <c r="I3354">
        <v>3.2010000000000001</v>
      </c>
      <c r="J3354">
        <v>6</v>
      </c>
      <c r="K3354">
        <v>37</v>
      </c>
      <c r="L3354">
        <v>19</v>
      </c>
      <c r="M3354">
        <v>6.109</v>
      </c>
    </row>
    <row r="3355" spans="1:13" ht="15" customHeight="1">
      <c r="A3355" t="s">
        <v>40</v>
      </c>
      <c r="B3355">
        <f t="shared" si="208"/>
        <v>33.718850000000003</v>
      </c>
      <c r="C3355">
        <f t="shared" si="209"/>
        <v>-117.843943</v>
      </c>
      <c r="D3355">
        <f t="shared" si="210"/>
        <v>74</v>
      </c>
      <c r="E3355">
        <v>77.498999999999995</v>
      </c>
      <c r="F3355">
        <f t="shared" si="211"/>
        <v>-3.4989999999999952</v>
      </c>
      <c r="G3355">
        <v>304.85000000000002</v>
      </c>
      <c r="H3355">
        <v>2.3849999999999998</v>
      </c>
      <c r="I3355">
        <v>0.78300000000000003</v>
      </c>
      <c r="J3355">
        <v>9</v>
      </c>
      <c r="K3355">
        <v>58</v>
      </c>
      <c r="L3355">
        <v>29</v>
      </c>
      <c r="M3355" s="1">
        <v>9000000000</v>
      </c>
    </row>
    <row r="3356" spans="1:13" ht="15" customHeight="1">
      <c r="A3356" t="s">
        <v>40</v>
      </c>
      <c r="B3356">
        <f t="shared" si="208"/>
        <v>33.718850000000003</v>
      </c>
      <c r="C3356">
        <f t="shared" si="209"/>
        <v>-117.843943</v>
      </c>
      <c r="D3356">
        <f t="shared" si="210"/>
        <v>74</v>
      </c>
      <c r="E3356">
        <v>78.498999999999995</v>
      </c>
      <c r="F3356">
        <f t="shared" si="211"/>
        <v>-4.4989999999999952</v>
      </c>
      <c r="G3356">
        <v>155.833</v>
      </c>
      <c r="H3356">
        <v>1.3169999999999999</v>
      </c>
      <c r="I3356">
        <v>0.84599999999999997</v>
      </c>
      <c r="J3356">
        <v>9</v>
      </c>
      <c r="K3356">
        <v>30</v>
      </c>
      <c r="L3356">
        <v>15</v>
      </c>
      <c r="M3356" s="1">
        <v>9000000000</v>
      </c>
    </row>
    <row r="3357" spans="1:13" ht="15" customHeight="1">
      <c r="A3357" t="s">
        <v>40</v>
      </c>
      <c r="B3357">
        <f t="shared" si="208"/>
        <v>33.718850000000003</v>
      </c>
      <c r="C3357">
        <f t="shared" si="209"/>
        <v>-117.843943</v>
      </c>
      <c r="D3357">
        <f t="shared" si="210"/>
        <v>74</v>
      </c>
      <c r="E3357">
        <v>79.498999999999995</v>
      </c>
      <c r="F3357">
        <f t="shared" si="211"/>
        <v>-5.4989999999999952</v>
      </c>
      <c r="G3357">
        <v>60.3</v>
      </c>
      <c r="H3357">
        <v>1.323</v>
      </c>
      <c r="I3357">
        <v>2.1989999999999998</v>
      </c>
      <c r="J3357">
        <v>6</v>
      </c>
      <c r="K3357">
        <v>23</v>
      </c>
      <c r="L3357">
        <v>12</v>
      </c>
      <c r="M3357">
        <v>3.6859999999999999</v>
      </c>
    </row>
    <row r="3358" spans="1:13" ht="15" customHeight="1">
      <c r="A3358" t="s">
        <v>40</v>
      </c>
      <c r="B3358">
        <f t="shared" si="208"/>
        <v>33.718850000000003</v>
      </c>
      <c r="C3358">
        <f t="shared" si="209"/>
        <v>-117.843943</v>
      </c>
      <c r="D3358">
        <f t="shared" si="210"/>
        <v>74</v>
      </c>
      <c r="E3358">
        <v>80.498999999999995</v>
      </c>
      <c r="F3358">
        <f t="shared" si="211"/>
        <v>-6.4989999999999952</v>
      </c>
      <c r="G3358">
        <v>270.14999999999998</v>
      </c>
      <c r="H3358">
        <v>2.7770000000000001</v>
      </c>
      <c r="I3358">
        <v>1.028</v>
      </c>
      <c r="J3358">
        <v>9</v>
      </c>
      <c r="K3358">
        <v>52</v>
      </c>
      <c r="L3358">
        <v>26</v>
      </c>
      <c r="M3358" s="1">
        <v>9000000000</v>
      </c>
    </row>
    <row r="3359" spans="1:13" ht="15" customHeight="1">
      <c r="A3359" t="s">
        <v>40</v>
      </c>
      <c r="B3359">
        <f t="shared" si="208"/>
        <v>33.718850000000003</v>
      </c>
      <c r="C3359">
        <f t="shared" si="209"/>
        <v>-117.843943</v>
      </c>
      <c r="D3359">
        <f t="shared" si="210"/>
        <v>74</v>
      </c>
      <c r="E3359">
        <v>81.498999999999995</v>
      </c>
      <c r="F3359">
        <f t="shared" si="211"/>
        <v>-7.4989999999999952</v>
      </c>
      <c r="G3359">
        <v>432.18299999999999</v>
      </c>
      <c r="H3359">
        <v>1.958</v>
      </c>
      <c r="I3359">
        <v>0.45300000000000001</v>
      </c>
      <c r="J3359">
        <v>10</v>
      </c>
      <c r="K3359">
        <v>69</v>
      </c>
      <c r="L3359">
        <v>35</v>
      </c>
      <c r="M3359" s="1">
        <v>9000000000</v>
      </c>
    </row>
    <row r="3360" spans="1:13" ht="15" customHeight="1">
      <c r="A3360" t="s">
        <v>40</v>
      </c>
      <c r="B3360">
        <f t="shared" si="208"/>
        <v>33.718850000000003</v>
      </c>
      <c r="C3360">
        <f t="shared" si="209"/>
        <v>-117.843943</v>
      </c>
      <c r="D3360">
        <f t="shared" si="210"/>
        <v>74</v>
      </c>
      <c r="E3360">
        <v>82.498999999999995</v>
      </c>
      <c r="F3360">
        <f t="shared" si="211"/>
        <v>-8.4989999999999952</v>
      </c>
      <c r="G3360">
        <v>369.2</v>
      </c>
      <c r="H3360">
        <v>2.1379999999999999</v>
      </c>
      <c r="I3360">
        <v>0.57899999999999996</v>
      </c>
      <c r="J3360">
        <v>10</v>
      </c>
      <c r="K3360">
        <v>59</v>
      </c>
      <c r="L3360">
        <v>30</v>
      </c>
      <c r="M3360" s="1">
        <v>9000000000</v>
      </c>
    </row>
    <row r="3361" spans="1:13" ht="15" customHeight="1">
      <c r="A3361" t="s">
        <v>40</v>
      </c>
      <c r="B3361">
        <f t="shared" si="208"/>
        <v>33.718850000000003</v>
      </c>
      <c r="C3361">
        <f t="shared" si="209"/>
        <v>-117.843943</v>
      </c>
      <c r="D3361">
        <f t="shared" si="210"/>
        <v>74</v>
      </c>
      <c r="E3361">
        <v>83.498999999999995</v>
      </c>
      <c r="F3361">
        <f t="shared" si="211"/>
        <v>-9.4989999999999952</v>
      </c>
      <c r="G3361">
        <v>416.07100000000003</v>
      </c>
      <c r="H3361">
        <v>1.486</v>
      </c>
      <c r="I3361">
        <v>0.35699999999999998</v>
      </c>
      <c r="J3361">
        <v>10</v>
      </c>
      <c r="K3361">
        <v>66</v>
      </c>
      <c r="L3361">
        <v>33</v>
      </c>
      <c r="M3361" s="1">
        <v>9000000000</v>
      </c>
    </row>
    <row r="3362" spans="1:13" ht="15" customHeight="1">
      <c r="A3362" t="s">
        <v>40</v>
      </c>
      <c r="B3362">
        <f t="shared" si="208"/>
        <v>33.718850000000003</v>
      </c>
      <c r="C3362">
        <f t="shared" si="209"/>
        <v>-117.843943</v>
      </c>
      <c r="D3362">
        <f t="shared" si="210"/>
        <v>74</v>
      </c>
      <c r="E3362">
        <v>84.498999999999995</v>
      </c>
      <c r="F3362">
        <f t="shared" si="211"/>
        <v>-10.498999999999995</v>
      </c>
      <c r="G3362">
        <v>486.43299999999999</v>
      </c>
      <c r="H3362">
        <v>2.04</v>
      </c>
      <c r="I3362">
        <v>0.42</v>
      </c>
      <c r="J3362">
        <v>10</v>
      </c>
      <c r="K3362">
        <v>78</v>
      </c>
      <c r="L3362">
        <v>39</v>
      </c>
      <c r="M3362" s="1">
        <v>9000000000</v>
      </c>
    </row>
    <row r="3363" spans="1:13" ht="15" customHeight="1">
      <c r="A3363" t="s">
        <v>40</v>
      </c>
      <c r="B3363">
        <f t="shared" si="208"/>
        <v>33.718850000000003</v>
      </c>
      <c r="C3363">
        <f t="shared" si="209"/>
        <v>-117.843943</v>
      </c>
      <c r="D3363">
        <f t="shared" si="210"/>
        <v>74</v>
      </c>
      <c r="E3363">
        <v>85.498999999999995</v>
      </c>
      <c r="F3363">
        <f t="shared" si="211"/>
        <v>-11.498999999999995</v>
      </c>
      <c r="G3363">
        <v>283.03300000000002</v>
      </c>
      <c r="H3363">
        <v>3.605</v>
      </c>
      <c r="I3363">
        <v>1.2749999999999999</v>
      </c>
      <c r="J3363">
        <v>9</v>
      </c>
      <c r="K3363">
        <v>54</v>
      </c>
      <c r="L3363">
        <v>27</v>
      </c>
      <c r="M3363" s="1">
        <v>9000000000</v>
      </c>
    </row>
    <row r="3364" spans="1:13" ht="15" customHeight="1">
      <c r="A3364" t="s">
        <v>40</v>
      </c>
      <c r="B3364">
        <f t="shared" si="208"/>
        <v>33.718850000000003</v>
      </c>
      <c r="C3364">
        <f t="shared" si="209"/>
        <v>-117.843943</v>
      </c>
      <c r="D3364">
        <f t="shared" si="210"/>
        <v>74</v>
      </c>
      <c r="E3364">
        <v>86.498999999999995</v>
      </c>
      <c r="F3364">
        <f t="shared" si="211"/>
        <v>-12.498999999999995</v>
      </c>
      <c r="G3364">
        <v>53.667000000000002</v>
      </c>
      <c r="H3364">
        <v>1.4950000000000001</v>
      </c>
      <c r="I3364">
        <v>2.7909999999999999</v>
      </c>
      <c r="J3364">
        <v>6</v>
      </c>
      <c r="K3364">
        <v>21</v>
      </c>
      <c r="L3364">
        <v>11</v>
      </c>
      <c r="M3364">
        <v>3.2160000000000002</v>
      </c>
    </row>
    <row r="3365" spans="1:13" ht="15" customHeight="1">
      <c r="A3365" t="s">
        <v>40</v>
      </c>
      <c r="B3365">
        <f t="shared" si="208"/>
        <v>33.718850000000003</v>
      </c>
      <c r="C3365">
        <f t="shared" si="209"/>
        <v>-117.843943</v>
      </c>
      <c r="D3365">
        <f t="shared" si="210"/>
        <v>74</v>
      </c>
      <c r="E3365">
        <v>87.498999999999995</v>
      </c>
      <c r="F3365">
        <f t="shared" si="211"/>
        <v>-13.498999999999995</v>
      </c>
      <c r="G3365">
        <v>33.232999999999997</v>
      </c>
      <c r="H3365">
        <v>0.85</v>
      </c>
      <c r="I3365">
        <v>2.5550000000000002</v>
      </c>
      <c r="J3365">
        <v>6</v>
      </c>
      <c r="K3365">
        <v>13</v>
      </c>
      <c r="L3365">
        <v>7</v>
      </c>
      <c r="M3365">
        <v>1.859</v>
      </c>
    </row>
    <row r="3366" spans="1:13" ht="15" customHeight="1">
      <c r="A3366" t="s">
        <v>40</v>
      </c>
      <c r="B3366">
        <f t="shared" si="208"/>
        <v>33.718850000000003</v>
      </c>
      <c r="C3366">
        <f t="shared" si="209"/>
        <v>-117.843943</v>
      </c>
      <c r="D3366">
        <f t="shared" si="210"/>
        <v>74</v>
      </c>
      <c r="E3366">
        <v>88.498999999999995</v>
      </c>
      <c r="F3366">
        <f t="shared" si="211"/>
        <v>-14.498999999999995</v>
      </c>
      <c r="G3366">
        <v>26.7</v>
      </c>
      <c r="H3366">
        <v>0.63300000000000001</v>
      </c>
      <c r="I3366">
        <v>2.347</v>
      </c>
      <c r="J3366">
        <v>6</v>
      </c>
      <c r="K3366">
        <v>10</v>
      </c>
      <c r="L3366">
        <v>5</v>
      </c>
      <c r="M3366">
        <v>1.4359999999999999</v>
      </c>
    </row>
    <row r="3367" spans="1:13" ht="15" customHeight="1">
      <c r="A3367" t="s">
        <v>40</v>
      </c>
      <c r="B3367">
        <f t="shared" si="208"/>
        <v>33.718850000000003</v>
      </c>
      <c r="C3367">
        <f t="shared" si="209"/>
        <v>-117.843943</v>
      </c>
      <c r="D3367">
        <f t="shared" si="210"/>
        <v>74</v>
      </c>
      <c r="E3367">
        <v>89.498999999999995</v>
      </c>
      <c r="F3367">
        <f t="shared" si="211"/>
        <v>-15.498999999999995</v>
      </c>
      <c r="G3367">
        <v>32.267000000000003</v>
      </c>
      <c r="H3367">
        <v>1.083</v>
      </c>
      <c r="I3367">
        <v>3.2629999999999999</v>
      </c>
      <c r="J3367">
        <v>5</v>
      </c>
      <c r="K3367">
        <v>16</v>
      </c>
      <c r="L3367">
        <v>8</v>
      </c>
      <c r="M3367">
        <v>1.8460000000000001</v>
      </c>
    </row>
    <row r="3368" spans="1:13" ht="15" customHeight="1">
      <c r="A3368" t="s">
        <v>40</v>
      </c>
      <c r="B3368">
        <f t="shared" si="208"/>
        <v>33.718850000000003</v>
      </c>
      <c r="C3368">
        <f t="shared" si="209"/>
        <v>-117.843943</v>
      </c>
      <c r="D3368">
        <f t="shared" si="210"/>
        <v>74</v>
      </c>
      <c r="E3368">
        <v>90.498999999999995</v>
      </c>
      <c r="F3368">
        <f t="shared" si="211"/>
        <v>-16.498999999999995</v>
      </c>
      <c r="G3368">
        <v>62</v>
      </c>
      <c r="H3368">
        <v>2.6</v>
      </c>
      <c r="I3368">
        <v>4.194</v>
      </c>
      <c r="J3368">
        <v>5</v>
      </c>
      <c r="K3368">
        <v>30</v>
      </c>
      <c r="L3368">
        <v>15</v>
      </c>
      <c r="M3368">
        <v>3.762</v>
      </c>
    </row>
    <row r="3369" spans="1:13" ht="15" customHeight="1">
      <c r="A3369" t="s">
        <v>40</v>
      </c>
      <c r="B3369">
        <f t="shared" si="208"/>
        <v>33.718850000000003</v>
      </c>
      <c r="C3369">
        <f t="shared" si="209"/>
        <v>-117.843943</v>
      </c>
      <c r="D3369">
        <f t="shared" si="210"/>
        <v>74</v>
      </c>
      <c r="E3369">
        <v>91.498999999999995</v>
      </c>
      <c r="F3369">
        <f t="shared" si="211"/>
        <v>-17.498999999999995</v>
      </c>
      <c r="G3369">
        <v>51.067</v>
      </c>
      <c r="H3369">
        <v>2.1</v>
      </c>
      <c r="I3369">
        <v>4.1159999999999997</v>
      </c>
      <c r="J3369">
        <v>5</v>
      </c>
      <c r="K3369">
        <v>24</v>
      </c>
      <c r="L3369">
        <v>12</v>
      </c>
      <c r="M3369">
        <v>3.0249999999999999</v>
      </c>
    </row>
    <row r="3370" spans="1:13" ht="15" customHeight="1">
      <c r="A3370" t="s">
        <v>40</v>
      </c>
      <c r="B3370">
        <f t="shared" si="208"/>
        <v>33.718850000000003</v>
      </c>
      <c r="C3370">
        <f t="shared" si="209"/>
        <v>-117.843943</v>
      </c>
      <c r="D3370">
        <f t="shared" si="210"/>
        <v>74</v>
      </c>
      <c r="E3370">
        <v>92.498999999999995</v>
      </c>
      <c r="F3370">
        <f t="shared" si="211"/>
        <v>-18.498999999999995</v>
      </c>
      <c r="G3370">
        <v>39.667000000000002</v>
      </c>
      <c r="H3370">
        <v>1.6</v>
      </c>
      <c r="I3370">
        <v>4.0490000000000004</v>
      </c>
      <c r="J3370">
        <v>5</v>
      </c>
      <c r="K3370">
        <v>19</v>
      </c>
      <c r="L3370">
        <v>10</v>
      </c>
      <c r="M3370">
        <v>2.2549999999999999</v>
      </c>
    </row>
    <row r="3371" spans="1:13" ht="15" customHeight="1">
      <c r="A3371" t="s">
        <v>40</v>
      </c>
      <c r="B3371">
        <f t="shared" si="208"/>
        <v>33.718850000000003</v>
      </c>
      <c r="C3371">
        <f t="shared" si="209"/>
        <v>-117.843943</v>
      </c>
      <c r="D3371">
        <f t="shared" si="210"/>
        <v>74</v>
      </c>
      <c r="E3371">
        <v>93.498999999999995</v>
      </c>
      <c r="F3371">
        <f t="shared" si="211"/>
        <v>-19.498999999999995</v>
      </c>
      <c r="G3371">
        <v>42.057000000000002</v>
      </c>
      <c r="H3371">
        <v>1.5569999999999999</v>
      </c>
      <c r="I3371">
        <v>3.7130000000000001</v>
      </c>
      <c r="J3371">
        <v>5</v>
      </c>
      <c r="K3371">
        <v>20</v>
      </c>
      <c r="L3371">
        <v>10</v>
      </c>
      <c r="M3371">
        <v>2.4119999999999999</v>
      </c>
    </row>
    <row r="3372" spans="1:13" ht="15" customHeight="1">
      <c r="A3372" t="s">
        <v>40</v>
      </c>
      <c r="B3372">
        <f t="shared" si="208"/>
        <v>33.718850000000003</v>
      </c>
      <c r="C3372">
        <f t="shared" si="209"/>
        <v>-117.843943</v>
      </c>
      <c r="D3372">
        <f t="shared" si="210"/>
        <v>74</v>
      </c>
      <c r="E3372">
        <v>94.498999999999995</v>
      </c>
      <c r="F3372">
        <f t="shared" si="211"/>
        <v>-20.498999999999995</v>
      </c>
      <c r="G3372">
        <v>31.016999999999999</v>
      </c>
      <c r="H3372">
        <v>0.92700000000000005</v>
      </c>
      <c r="I3372">
        <v>2.9889999999999999</v>
      </c>
      <c r="J3372">
        <v>5</v>
      </c>
      <c r="K3372">
        <v>15</v>
      </c>
      <c r="L3372">
        <v>8</v>
      </c>
      <c r="M3372">
        <v>1.6779999999999999</v>
      </c>
    </row>
    <row r="3373" spans="1:13" ht="15" customHeight="1">
      <c r="A3373" t="s">
        <v>40</v>
      </c>
      <c r="B3373">
        <f t="shared" si="208"/>
        <v>33.718850000000003</v>
      </c>
      <c r="C3373">
        <f t="shared" si="209"/>
        <v>-117.843943</v>
      </c>
      <c r="D3373">
        <f t="shared" si="210"/>
        <v>74</v>
      </c>
      <c r="E3373">
        <v>95.498999999999995</v>
      </c>
      <c r="F3373">
        <f t="shared" si="211"/>
        <v>-21.498999999999995</v>
      </c>
      <c r="G3373">
        <v>23.266999999999999</v>
      </c>
      <c r="H3373">
        <v>0.54700000000000004</v>
      </c>
      <c r="I3373">
        <v>2.35</v>
      </c>
      <c r="J3373">
        <v>6</v>
      </c>
      <c r="K3373">
        <v>9</v>
      </c>
      <c r="L3373">
        <v>5</v>
      </c>
      <c r="M3373">
        <v>1.159</v>
      </c>
    </row>
    <row r="3374" spans="1:13" ht="15" customHeight="1">
      <c r="A3374" t="s">
        <v>40</v>
      </c>
      <c r="B3374">
        <f t="shared" si="208"/>
        <v>33.718850000000003</v>
      </c>
      <c r="C3374">
        <f t="shared" si="209"/>
        <v>-117.843943</v>
      </c>
      <c r="D3374">
        <f t="shared" si="210"/>
        <v>74</v>
      </c>
      <c r="E3374">
        <v>96.498999999999995</v>
      </c>
      <c r="F3374">
        <f t="shared" si="211"/>
        <v>-22.498999999999995</v>
      </c>
      <c r="G3374">
        <v>25.917000000000002</v>
      </c>
      <c r="H3374">
        <v>0.71499999999999997</v>
      </c>
      <c r="I3374">
        <v>2.7389999999999999</v>
      </c>
      <c r="J3374">
        <v>5</v>
      </c>
      <c r="K3374">
        <v>13</v>
      </c>
      <c r="L3374">
        <v>7</v>
      </c>
      <c r="M3374">
        <v>1.343</v>
      </c>
    </row>
    <row r="3375" spans="1:13" ht="15" customHeight="1">
      <c r="A3375" t="s">
        <v>40</v>
      </c>
      <c r="B3375">
        <f t="shared" si="208"/>
        <v>33.718850000000003</v>
      </c>
      <c r="C3375">
        <f t="shared" si="209"/>
        <v>-117.843943</v>
      </c>
      <c r="D3375">
        <f t="shared" si="210"/>
        <v>74</v>
      </c>
      <c r="E3375">
        <v>97.498999999999995</v>
      </c>
      <c r="F3375">
        <f t="shared" si="211"/>
        <v>-23.498999999999995</v>
      </c>
      <c r="G3375">
        <v>34.482999999999997</v>
      </c>
      <c r="H3375">
        <v>1.095</v>
      </c>
      <c r="I3375">
        <v>3.13</v>
      </c>
      <c r="J3375">
        <v>5</v>
      </c>
      <c r="K3375">
        <v>17</v>
      </c>
      <c r="L3375">
        <v>9</v>
      </c>
      <c r="M3375">
        <v>1.931</v>
      </c>
    </row>
    <row r="3376" spans="1:13" ht="15" customHeight="1">
      <c r="A3376" t="s">
        <v>40</v>
      </c>
      <c r="B3376">
        <f t="shared" si="208"/>
        <v>33.718850000000003</v>
      </c>
      <c r="C3376">
        <f t="shared" si="209"/>
        <v>-117.843943</v>
      </c>
      <c r="D3376">
        <f t="shared" si="210"/>
        <v>74</v>
      </c>
      <c r="E3376">
        <v>98.498999999999995</v>
      </c>
      <c r="F3376">
        <f t="shared" si="211"/>
        <v>-24.498999999999995</v>
      </c>
      <c r="G3376">
        <v>165.7</v>
      </c>
      <c r="H3376">
        <v>1.873</v>
      </c>
      <c r="I3376">
        <v>1.1299999999999999</v>
      </c>
      <c r="J3376">
        <v>9</v>
      </c>
      <c r="K3376">
        <v>32</v>
      </c>
      <c r="L3376">
        <v>16</v>
      </c>
      <c r="M3376" s="1">
        <v>9000000000</v>
      </c>
    </row>
    <row r="3377" spans="1:13" ht="15" customHeight="1">
      <c r="A3377" t="s">
        <v>40</v>
      </c>
      <c r="B3377">
        <f t="shared" si="208"/>
        <v>33.718850000000003</v>
      </c>
      <c r="C3377">
        <f t="shared" si="209"/>
        <v>-117.843943</v>
      </c>
      <c r="D3377">
        <f t="shared" si="210"/>
        <v>74</v>
      </c>
      <c r="E3377">
        <v>99.498999999999995</v>
      </c>
      <c r="F3377">
        <f t="shared" si="211"/>
        <v>-25.498999999999995</v>
      </c>
      <c r="G3377">
        <v>192.28299999999999</v>
      </c>
      <c r="H3377">
        <v>2.2330000000000001</v>
      </c>
      <c r="I3377">
        <v>1.1619999999999999</v>
      </c>
      <c r="J3377">
        <v>9</v>
      </c>
      <c r="K3377">
        <v>37</v>
      </c>
      <c r="L3377">
        <v>19</v>
      </c>
      <c r="M3377" s="1">
        <v>9000000000</v>
      </c>
    </row>
    <row r="3378" spans="1:13" ht="15" customHeight="1">
      <c r="A3378" t="s">
        <v>40</v>
      </c>
      <c r="B3378">
        <f t="shared" si="208"/>
        <v>33.718850000000003</v>
      </c>
      <c r="C3378">
        <f t="shared" si="209"/>
        <v>-117.843943</v>
      </c>
      <c r="D3378">
        <f t="shared" si="210"/>
        <v>74</v>
      </c>
      <c r="E3378">
        <v>100.499</v>
      </c>
      <c r="F3378">
        <f t="shared" si="211"/>
        <v>-26.498999999999995</v>
      </c>
      <c r="G3378">
        <v>52.9</v>
      </c>
      <c r="H3378">
        <v>2.0920000000000001</v>
      </c>
      <c r="I3378">
        <v>3.9580000000000002</v>
      </c>
      <c r="J3378">
        <v>5</v>
      </c>
      <c r="K3378">
        <v>25</v>
      </c>
      <c r="L3378">
        <v>13</v>
      </c>
      <c r="M3378">
        <v>3.11</v>
      </c>
    </row>
    <row r="3379" spans="1:13" ht="15" customHeight="1">
      <c r="A3379" t="s">
        <v>40</v>
      </c>
      <c r="B3379">
        <f t="shared" si="208"/>
        <v>33.718850000000003</v>
      </c>
      <c r="C3379">
        <f t="shared" si="209"/>
        <v>-117.843943</v>
      </c>
      <c r="D3379">
        <f t="shared" si="210"/>
        <v>74</v>
      </c>
      <c r="E3379">
        <v>101.499</v>
      </c>
      <c r="F3379">
        <f t="shared" si="211"/>
        <v>-27.498999999999995</v>
      </c>
      <c r="G3379">
        <v>31.433</v>
      </c>
      <c r="H3379">
        <v>1.085</v>
      </c>
      <c r="I3379">
        <v>3.45</v>
      </c>
      <c r="J3379">
        <v>5</v>
      </c>
      <c r="K3379">
        <v>15</v>
      </c>
      <c r="L3379">
        <v>8</v>
      </c>
      <c r="M3379">
        <v>1.679</v>
      </c>
    </row>
    <row r="3380" spans="1:13" ht="15" customHeight="1">
      <c r="A3380" t="s">
        <v>40</v>
      </c>
      <c r="B3380">
        <f t="shared" si="208"/>
        <v>33.718850000000003</v>
      </c>
      <c r="C3380">
        <f t="shared" si="209"/>
        <v>-117.843943</v>
      </c>
      <c r="D3380">
        <f t="shared" si="210"/>
        <v>74</v>
      </c>
      <c r="E3380">
        <v>102.499</v>
      </c>
      <c r="F3380">
        <f t="shared" si="211"/>
        <v>-28.498999999999995</v>
      </c>
      <c r="G3380">
        <v>28.582999999999998</v>
      </c>
      <c r="H3380">
        <v>0.79200000000000004</v>
      </c>
      <c r="I3380">
        <v>2.762</v>
      </c>
      <c r="J3380">
        <v>6</v>
      </c>
      <c r="K3380">
        <v>11</v>
      </c>
      <c r="L3380">
        <v>6</v>
      </c>
      <c r="M3380">
        <v>1.49</v>
      </c>
    </row>
    <row r="3381" spans="1:13" ht="15" customHeight="1">
      <c r="A3381" t="s">
        <v>40</v>
      </c>
      <c r="B3381">
        <f t="shared" si="208"/>
        <v>33.718850000000003</v>
      </c>
      <c r="C3381">
        <f t="shared" si="209"/>
        <v>-117.843943</v>
      </c>
      <c r="D3381">
        <f t="shared" si="210"/>
        <v>74</v>
      </c>
      <c r="E3381">
        <v>103.499</v>
      </c>
      <c r="F3381">
        <f t="shared" si="211"/>
        <v>-29.498999999999995</v>
      </c>
      <c r="G3381">
        <v>33.533000000000001</v>
      </c>
      <c r="H3381">
        <v>0.95699999999999996</v>
      </c>
      <c r="I3381">
        <v>2.8149999999999999</v>
      </c>
      <c r="J3381">
        <v>6</v>
      </c>
      <c r="K3381">
        <v>13</v>
      </c>
      <c r="L3381">
        <v>7</v>
      </c>
      <c r="M3381">
        <v>1.84</v>
      </c>
    </row>
    <row r="3382" spans="1:13" ht="15" customHeight="1">
      <c r="A3382" t="s">
        <v>40</v>
      </c>
      <c r="B3382">
        <f t="shared" si="208"/>
        <v>33.718850000000003</v>
      </c>
      <c r="C3382">
        <f t="shared" si="209"/>
        <v>-117.843943</v>
      </c>
      <c r="D3382">
        <f t="shared" si="210"/>
        <v>74</v>
      </c>
      <c r="E3382">
        <v>104.499</v>
      </c>
      <c r="F3382">
        <f t="shared" si="211"/>
        <v>-30.498999999999995</v>
      </c>
      <c r="G3382">
        <v>64.429000000000002</v>
      </c>
      <c r="H3382">
        <v>2.6640000000000001</v>
      </c>
      <c r="I3382">
        <v>4.1130000000000004</v>
      </c>
      <c r="J3382">
        <v>5</v>
      </c>
      <c r="K3382">
        <v>31</v>
      </c>
      <c r="L3382">
        <v>16</v>
      </c>
      <c r="M3382">
        <v>3.8879999999999999</v>
      </c>
    </row>
    <row r="3383" spans="1:13" ht="15" customHeight="1">
      <c r="A3383" t="s">
        <v>40</v>
      </c>
      <c r="B3383">
        <f t="shared" si="208"/>
        <v>33.718850000000003</v>
      </c>
      <c r="C3383">
        <f t="shared" si="209"/>
        <v>-117.843943</v>
      </c>
      <c r="D3383">
        <f t="shared" si="210"/>
        <v>74</v>
      </c>
      <c r="E3383">
        <v>105.499</v>
      </c>
      <c r="F3383">
        <f t="shared" si="211"/>
        <v>-31.498999999999995</v>
      </c>
      <c r="G3383">
        <v>35.466999999999999</v>
      </c>
      <c r="H3383">
        <v>1.1679999999999999</v>
      </c>
      <c r="I3383">
        <v>3.3029999999999999</v>
      </c>
      <c r="J3383">
        <v>5</v>
      </c>
      <c r="K3383">
        <v>17</v>
      </c>
      <c r="L3383">
        <v>9</v>
      </c>
      <c r="M3383">
        <v>1.9239999999999999</v>
      </c>
    </row>
    <row r="3384" spans="1:13" ht="15" customHeight="1">
      <c r="A3384" t="s">
        <v>40</v>
      </c>
      <c r="B3384">
        <f t="shared" si="208"/>
        <v>33.718850000000003</v>
      </c>
      <c r="C3384">
        <f t="shared" si="209"/>
        <v>-117.843943</v>
      </c>
      <c r="D3384">
        <f t="shared" si="210"/>
        <v>74</v>
      </c>
      <c r="E3384">
        <v>106.499</v>
      </c>
      <c r="F3384">
        <f t="shared" si="211"/>
        <v>-32.498999999999995</v>
      </c>
      <c r="G3384">
        <v>39.917000000000002</v>
      </c>
      <c r="H3384">
        <v>1.302</v>
      </c>
      <c r="I3384">
        <v>3.2679999999999998</v>
      </c>
      <c r="J3384">
        <v>5</v>
      </c>
      <c r="K3384">
        <v>19</v>
      </c>
      <c r="L3384">
        <v>10</v>
      </c>
      <c r="M3384">
        <v>2.2170000000000001</v>
      </c>
    </row>
    <row r="3385" spans="1:13" ht="15" customHeight="1">
      <c r="A3385" t="s">
        <v>40</v>
      </c>
      <c r="B3385">
        <f t="shared" si="208"/>
        <v>33.718850000000003</v>
      </c>
      <c r="C3385">
        <f t="shared" si="209"/>
        <v>-117.843943</v>
      </c>
      <c r="D3385">
        <f t="shared" si="210"/>
        <v>74</v>
      </c>
      <c r="E3385">
        <v>107.499</v>
      </c>
      <c r="F3385">
        <f t="shared" si="211"/>
        <v>-33.498999999999995</v>
      </c>
      <c r="G3385">
        <v>35.332999999999998</v>
      </c>
      <c r="H3385">
        <v>1.052</v>
      </c>
      <c r="I3385">
        <v>2.9750000000000001</v>
      </c>
      <c r="J3385">
        <v>5</v>
      </c>
      <c r="K3385">
        <v>17</v>
      </c>
      <c r="L3385">
        <v>9</v>
      </c>
      <c r="M3385">
        <v>1.9139999999999999</v>
      </c>
    </row>
    <row r="3386" spans="1:13" ht="15" customHeight="1">
      <c r="A3386" t="s">
        <v>40</v>
      </c>
      <c r="B3386">
        <f t="shared" si="208"/>
        <v>33.718850000000003</v>
      </c>
      <c r="C3386">
        <f t="shared" si="209"/>
        <v>-117.843943</v>
      </c>
      <c r="D3386">
        <f t="shared" si="210"/>
        <v>74</v>
      </c>
      <c r="E3386">
        <v>108.499</v>
      </c>
      <c r="F3386">
        <f t="shared" si="211"/>
        <v>-34.498999999999995</v>
      </c>
      <c r="G3386">
        <v>40.332999999999998</v>
      </c>
      <c r="H3386">
        <v>1.7330000000000001</v>
      </c>
      <c r="I3386">
        <v>4.29</v>
      </c>
      <c r="J3386">
        <v>4</v>
      </c>
      <c r="K3386">
        <v>26</v>
      </c>
      <c r="L3386">
        <v>13</v>
      </c>
      <c r="M3386">
        <v>2.2469999999999999</v>
      </c>
    </row>
    <row r="3387" spans="1:13" ht="15" customHeight="1">
      <c r="A3387" t="s">
        <v>40</v>
      </c>
      <c r="B3387">
        <f t="shared" si="208"/>
        <v>33.718850000000003</v>
      </c>
      <c r="C3387">
        <f t="shared" si="209"/>
        <v>-117.843943</v>
      </c>
      <c r="D3387">
        <f t="shared" si="210"/>
        <v>74</v>
      </c>
      <c r="E3387">
        <v>109.499</v>
      </c>
      <c r="F3387">
        <f t="shared" si="211"/>
        <v>-35.498999999999995</v>
      </c>
      <c r="G3387">
        <v>32.517000000000003</v>
      </c>
      <c r="H3387">
        <v>1.3979999999999999</v>
      </c>
      <c r="I3387">
        <v>4.21</v>
      </c>
      <c r="J3387">
        <v>4</v>
      </c>
      <c r="K3387">
        <v>21</v>
      </c>
      <c r="L3387">
        <v>11</v>
      </c>
      <c r="M3387">
        <v>1.764</v>
      </c>
    </row>
    <row r="3388" spans="1:13" ht="15" customHeight="1">
      <c r="A3388" t="s">
        <v>40</v>
      </c>
      <c r="B3388">
        <f t="shared" si="208"/>
        <v>33.718850000000003</v>
      </c>
      <c r="C3388">
        <f t="shared" si="209"/>
        <v>-117.843943</v>
      </c>
      <c r="D3388">
        <f t="shared" si="210"/>
        <v>74</v>
      </c>
      <c r="E3388">
        <v>110.499</v>
      </c>
      <c r="F3388">
        <f t="shared" si="211"/>
        <v>-36.498999999999995</v>
      </c>
      <c r="G3388">
        <v>30.6</v>
      </c>
      <c r="H3388">
        <v>0.90200000000000002</v>
      </c>
      <c r="I3388">
        <v>2.7810000000000001</v>
      </c>
      <c r="J3388">
        <v>6</v>
      </c>
      <c r="K3388">
        <v>12</v>
      </c>
      <c r="L3388">
        <v>6</v>
      </c>
      <c r="M3388">
        <v>1.706</v>
      </c>
    </row>
    <row r="3389" spans="1:13" ht="15" customHeight="1">
      <c r="A3389" t="s">
        <v>40</v>
      </c>
      <c r="B3389">
        <f t="shared" si="208"/>
        <v>33.718850000000003</v>
      </c>
      <c r="C3389">
        <f t="shared" si="209"/>
        <v>-117.843943</v>
      </c>
      <c r="D3389">
        <f t="shared" si="210"/>
        <v>74</v>
      </c>
      <c r="E3389">
        <v>111.499</v>
      </c>
      <c r="F3389">
        <f t="shared" si="211"/>
        <v>-37.498999999999995</v>
      </c>
      <c r="G3389">
        <v>26.05</v>
      </c>
      <c r="H3389">
        <v>0.753</v>
      </c>
      <c r="I3389">
        <v>2.7029999999999998</v>
      </c>
      <c r="J3389">
        <v>6</v>
      </c>
      <c r="K3389">
        <v>11</v>
      </c>
      <c r="L3389">
        <v>6</v>
      </c>
      <c r="M3389">
        <v>1.399</v>
      </c>
    </row>
    <row r="3390" spans="1:13" ht="15" customHeight="1">
      <c r="A3390" t="s">
        <v>40</v>
      </c>
      <c r="B3390">
        <f t="shared" si="208"/>
        <v>33.718850000000003</v>
      </c>
      <c r="C3390">
        <f t="shared" si="209"/>
        <v>-117.843943</v>
      </c>
      <c r="D3390">
        <f t="shared" si="210"/>
        <v>74</v>
      </c>
      <c r="E3390">
        <v>112.499</v>
      </c>
      <c r="F3390">
        <f t="shared" si="211"/>
        <v>-38.498999999999995</v>
      </c>
      <c r="G3390">
        <v>26.283000000000001</v>
      </c>
      <c r="H3390">
        <v>0.84</v>
      </c>
      <c r="I3390">
        <v>2.9580000000000002</v>
      </c>
      <c r="J3390">
        <v>5</v>
      </c>
      <c r="K3390">
        <v>14</v>
      </c>
      <c r="L3390">
        <v>7</v>
      </c>
      <c r="M3390">
        <v>1.43</v>
      </c>
    </row>
    <row r="3391" spans="1:13" ht="15" customHeight="1">
      <c r="A3391" t="s">
        <v>40</v>
      </c>
      <c r="B3391">
        <f t="shared" si="208"/>
        <v>33.718850000000003</v>
      </c>
      <c r="C3391">
        <f t="shared" si="209"/>
        <v>-117.843943</v>
      </c>
      <c r="D3391">
        <f t="shared" si="210"/>
        <v>74</v>
      </c>
      <c r="E3391">
        <v>113.499</v>
      </c>
      <c r="F3391">
        <f t="shared" si="211"/>
        <v>-39.498999999999995</v>
      </c>
      <c r="G3391">
        <v>28.1</v>
      </c>
      <c r="H3391">
        <v>0.83699999999999997</v>
      </c>
      <c r="I3391">
        <v>2.8079999999999998</v>
      </c>
      <c r="J3391">
        <v>6</v>
      </c>
      <c r="K3391">
        <v>11</v>
      </c>
      <c r="L3391">
        <v>6</v>
      </c>
      <c r="M3391">
        <v>1.5189999999999999</v>
      </c>
    </row>
    <row r="3392" spans="1:13" ht="15" customHeight="1">
      <c r="A3392" t="s">
        <v>40</v>
      </c>
      <c r="B3392">
        <f t="shared" si="208"/>
        <v>33.718850000000003</v>
      </c>
      <c r="C3392">
        <f t="shared" si="209"/>
        <v>-117.843943</v>
      </c>
      <c r="D3392">
        <f t="shared" si="210"/>
        <v>74</v>
      </c>
      <c r="E3392">
        <v>114.499</v>
      </c>
      <c r="F3392">
        <f t="shared" si="211"/>
        <v>-40.498999999999995</v>
      </c>
      <c r="G3392">
        <v>28.129000000000001</v>
      </c>
      <c r="H3392">
        <v>0.83699999999999997</v>
      </c>
      <c r="I3392">
        <v>2.7690000000000001</v>
      </c>
      <c r="J3392">
        <v>6</v>
      </c>
      <c r="K3392">
        <v>12</v>
      </c>
      <c r="L3392">
        <v>6</v>
      </c>
      <c r="M3392">
        <v>1.544</v>
      </c>
    </row>
    <row r="3393" spans="1:13" ht="15" customHeight="1">
      <c r="A3393" t="s">
        <v>40</v>
      </c>
      <c r="B3393">
        <f t="shared" si="208"/>
        <v>33.718850000000003</v>
      </c>
      <c r="C3393">
        <f t="shared" si="209"/>
        <v>-117.843943</v>
      </c>
      <c r="D3393">
        <f t="shared" si="210"/>
        <v>74</v>
      </c>
      <c r="E3393">
        <v>115.499</v>
      </c>
      <c r="F3393">
        <f t="shared" si="211"/>
        <v>-41.498999999999995</v>
      </c>
      <c r="G3393">
        <v>29.25</v>
      </c>
      <c r="H3393">
        <v>0.86299999999999999</v>
      </c>
      <c r="I3393">
        <v>2.734</v>
      </c>
      <c r="J3393">
        <v>6</v>
      </c>
      <c r="K3393">
        <v>12</v>
      </c>
      <c r="L3393">
        <v>6</v>
      </c>
      <c r="M3393">
        <v>1.63</v>
      </c>
    </row>
    <row r="3394" spans="1:13" ht="15" customHeight="1">
      <c r="A3394" t="s">
        <v>40</v>
      </c>
      <c r="B3394">
        <f t="shared" ref="B3394:B3457" si="212">VLOOKUP(A3394,XYdata,3,FALSE)</f>
        <v>33.718850000000003</v>
      </c>
      <c r="C3394">
        <f t="shared" ref="C3394:C3457" si="213">VLOOKUP(A3394,XYdata,2,FALSE)</f>
        <v>-117.843943</v>
      </c>
      <c r="D3394">
        <f t="shared" ref="D3394:D3457" si="214">VLOOKUP(A3394,Elevation,2,FALSE)</f>
        <v>74</v>
      </c>
      <c r="E3394">
        <v>116.499</v>
      </c>
      <c r="F3394">
        <f t="shared" si="211"/>
        <v>-42.498999999999995</v>
      </c>
      <c r="G3394">
        <v>28.632999999999999</v>
      </c>
      <c r="H3394">
        <v>0.92700000000000005</v>
      </c>
      <c r="I3394">
        <v>3.048</v>
      </c>
      <c r="J3394">
        <v>5</v>
      </c>
      <c r="K3394">
        <v>15</v>
      </c>
      <c r="L3394">
        <v>8</v>
      </c>
      <c r="M3394">
        <v>1.5469999999999999</v>
      </c>
    </row>
    <row r="3395" spans="1:13" ht="15" customHeight="1">
      <c r="A3395" t="s">
        <v>40</v>
      </c>
      <c r="B3395">
        <f t="shared" si="212"/>
        <v>33.718850000000003</v>
      </c>
      <c r="C3395">
        <f t="shared" si="213"/>
        <v>-117.843943</v>
      </c>
      <c r="D3395">
        <f t="shared" si="214"/>
        <v>74</v>
      </c>
      <c r="E3395">
        <v>117.498</v>
      </c>
      <c r="F3395">
        <f t="shared" ref="F3395:F3458" si="215">D3395-E3395</f>
        <v>-43.498000000000005</v>
      </c>
      <c r="G3395">
        <v>30.117000000000001</v>
      </c>
      <c r="H3395">
        <v>1.1679999999999999</v>
      </c>
      <c r="I3395">
        <v>3.7309999999999999</v>
      </c>
      <c r="J3395">
        <v>5</v>
      </c>
      <c r="K3395">
        <v>15</v>
      </c>
      <c r="L3395">
        <v>8</v>
      </c>
      <c r="M3395">
        <v>1.6040000000000001</v>
      </c>
    </row>
    <row r="3396" spans="1:13" ht="15" customHeight="1">
      <c r="A3396" t="s">
        <v>40</v>
      </c>
      <c r="B3396">
        <f t="shared" si="212"/>
        <v>33.718850000000003</v>
      </c>
      <c r="C3396">
        <f t="shared" si="213"/>
        <v>-117.843943</v>
      </c>
      <c r="D3396">
        <f t="shared" si="214"/>
        <v>74</v>
      </c>
      <c r="E3396">
        <v>118.498</v>
      </c>
      <c r="F3396">
        <f t="shared" si="215"/>
        <v>-44.498000000000005</v>
      </c>
      <c r="G3396">
        <v>30.2</v>
      </c>
      <c r="H3396">
        <v>1.113</v>
      </c>
      <c r="I3396">
        <v>3.5190000000000001</v>
      </c>
      <c r="J3396">
        <v>5</v>
      </c>
      <c r="K3396">
        <v>15</v>
      </c>
      <c r="L3396">
        <v>8</v>
      </c>
      <c r="M3396">
        <v>1.621</v>
      </c>
    </row>
    <row r="3397" spans="1:13" ht="15" customHeight="1">
      <c r="A3397" t="s">
        <v>40</v>
      </c>
      <c r="B3397">
        <f t="shared" si="212"/>
        <v>33.718850000000003</v>
      </c>
      <c r="C3397">
        <f t="shared" si="213"/>
        <v>-117.843943</v>
      </c>
      <c r="D3397">
        <f t="shared" si="214"/>
        <v>74</v>
      </c>
      <c r="E3397">
        <v>119.498</v>
      </c>
      <c r="F3397">
        <f t="shared" si="215"/>
        <v>-45.498000000000005</v>
      </c>
      <c r="G3397">
        <v>29.917000000000002</v>
      </c>
      <c r="H3397">
        <v>0.94699999999999995</v>
      </c>
      <c r="I3397">
        <v>2.968</v>
      </c>
      <c r="J3397">
        <v>5</v>
      </c>
      <c r="K3397">
        <v>15</v>
      </c>
      <c r="L3397">
        <v>8</v>
      </c>
      <c r="M3397">
        <v>1.6339999999999999</v>
      </c>
    </row>
    <row r="3398" spans="1:13" ht="15" customHeight="1">
      <c r="A3398" t="s">
        <v>40</v>
      </c>
      <c r="B3398">
        <f t="shared" si="212"/>
        <v>33.718850000000003</v>
      </c>
      <c r="C3398">
        <f t="shared" si="213"/>
        <v>-117.843943</v>
      </c>
      <c r="D3398">
        <f t="shared" si="214"/>
        <v>74</v>
      </c>
      <c r="E3398">
        <v>120.498</v>
      </c>
      <c r="F3398">
        <f t="shared" si="215"/>
        <v>-46.498000000000005</v>
      </c>
      <c r="G3398">
        <v>29.582999999999998</v>
      </c>
      <c r="H3398">
        <v>0.81699999999999995</v>
      </c>
      <c r="I3398">
        <v>2.536</v>
      </c>
      <c r="J3398">
        <v>6</v>
      </c>
      <c r="K3398">
        <v>12</v>
      </c>
      <c r="L3398">
        <v>6</v>
      </c>
      <c r="M3398">
        <v>1.65</v>
      </c>
    </row>
    <row r="3399" spans="1:13" ht="15" customHeight="1">
      <c r="A3399" t="s">
        <v>40</v>
      </c>
      <c r="B3399">
        <f t="shared" si="212"/>
        <v>33.718850000000003</v>
      </c>
      <c r="C3399">
        <f t="shared" si="213"/>
        <v>-117.843943</v>
      </c>
      <c r="D3399">
        <f t="shared" si="214"/>
        <v>74</v>
      </c>
      <c r="E3399">
        <v>121.498</v>
      </c>
      <c r="F3399">
        <f t="shared" si="215"/>
        <v>-47.498000000000005</v>
      </c>
      <c r="G3399">
        <v>81.867000000000004</v>
      </c>
      <c r="H3399">
        <v>2.4550000000000001</v>
      </c>
      <c r="I3399">
        <v>2.9529999999999998</v>
      </c>
      <c r="J3399">
        <v>6</v>
      </c>
      <c r="K3399">
        <v>32</v>
      </c>
      <c r="L3399">
        <v>16</v>
      </c>
      <c r="M3399">
        <v>5.0410000000000004</v>
      </c>
    </row>
    <row r="3400" spans="1:13" ht="15" customHeight="1">
      <c r="A3400" t="s">
        <v>40</v>
      </c>
      <c r="B3400">
        <f t="shared" si="212"/>
        <v>33.718850000000003</v>
      </c>
      <c r="C3400">
        <f t="shared" si="213"/>
        <v>-117.843943</v>
      </c>
      <c r="D3400">
        <f t="shared" si="214"/>
        <v>74</v>
      </c>
      <c r="E3400">
        <v>122.498</v>
      </c>
      <c r="F3400">
        <f t="shared" si="215"/>
        <v>-48.498000000000005</v>
      </c>
      <c r="G3400">
        <v>40.966999999999999</v>
      </c>
      <c r="H3400">
        <v>1.8280000000000001</v>
      </c>
      <c r="I3400">
        <v>4.468</v>
      </c>
      <c r="J3400">
        <v>4</v>
      </c>
      <c r="K3400">
        <v>26</v>
      </c>
      <c r="L3400">
        <v>13</v>
      </c>
      <c r="M3400">
        <v>2.2229999999999999</v>
      </c>
    </row>
    <row r="3401" spans="1:13" ht="15" customHeight="1">
      <c r="A3401" t="s">
        <v>40</v>
      </c>
      <c r="B3401">
        <f t="shared" si="212"/>
        <v>33.718850000000003</v>
      </c>
      <c r="C3401">
        <f t="shared" si="213"/>
        <v>-117.843943</v>
      </c>
      <c r="D3401">
        <f t="shared" si="214"/>
        <v>74</v>
      </c>
      <c r="E3401">
        <v>123.498</v>
      </c>
      <c r="F3401">
        <f t="shared" si="215"/>
        <v>-49.498000000000005</v>
      </c>
      <c r="G3401">
        <v>34.232999999999997</v>
      </c>
      <c r="H3401">
        <v>0.98</v>
      </c>
      <c r="I3401">
        <v>2.863</v>
      </c>
      <c r="J3401">
        <v>6</v>
      </c>
      <c r="K3401">
        <v>13</v>
      </c>
      <c r="L3401">
        <v>7</v>
      </c>
      <c r="M3401">
        <v>1.7729999999999999</v>
      </c>
    </row>
    <row r="3402" spans="1:13" ht="15" customHeight="1">
      <c r="A3402" t="s">
        <v>40</v>
      </c>
      <c r="B3402">
        <f t="shared" si="212"/>
        <v>33.718850000000003</v>
      </c>
      <c r="C3402">
        <f t="shared" si="213"/>
        <v>-117.843943</v>
      </c>
      <c r="D3402">
        <f t="shared" si="214"/>
        <v>74</v>
      </c>
      <c r="E3402">
        <v>124.498</v>
      </c>
      <c r="F3402">
        <f t="shared" si="215"/>
        <v>-50.498000000000005</v>
      </c>
      <c r="G3402">
        <v>33.049999999999997</v>
      </c>
      <c r="H3402">
        <v>0.87</v>
      </c>
      <c r="I3402">
        <v>2.61</v>
      </c>
      <c r="J3402">
        <v>6</v>
      </c>
      <c r="K3402">
        <v>13</v>
      </c>
      <c r="L3402">
        <v>7</v>
      </c>
      <c r="M3402">
        <v>1.7090000000000001</v>
      </c>
    </row>
    <row r="3403" spans="1:13" ht="15" customHeight="1">
      <c r="A3403" t="s">
        <v>40</v>
      </c>
      <c r="B3403">
        <f t="shared" si="212"/>
        <v>33.718850000000003</v>
      </c>
      <c r="C3403">
        <f t="shared" si="213"/>
        <v>-117.843943</v>
      </c>
      <c r="D3403">
        <f t="shared" si="214"/>
        <v>74</v>
      </c>
      <c r="E3403">
        <v>125.498</v>
      </c>
      <c r="F3403">
        <f t="shared" si="215"/>
        <v>-51.498000000000005</v>
      </c>
      <c r="G3403">
        <v>38.314</v>
      </c>
      <c r="H3403">
        <v>1.139</v>
      </c>
      <c r="I3403">
        <v>2.8580000000000001</v>
      </c>
      <c r="J3403">
        <v>6</v>
      </c>
      <c r="K3403">
        <v>15</v>
      </c>
      <c r="L3403">
        <v>8</v>
      </c>
      <c r="M3403">
        <v>2.1389999999999998</v>
      </c>
    </row>
    <row r="3404" spans="1:13" ht="15" customHeight="1">
      <c r="A3404" t="s">
        <v>40</v>
      </c>
      <c r="B3404">
        <f t="shared" si="212"/>
        <v>33.718850000000003</v>
      </c>
      <c r="C3404">
        <f t="shared" si="213"/>
        <v>-117.843943</v>
      </c>
      <c r="D3404">
        <f t="shared" si="214"/>
        <v>74</v>
      </c>
      <c r="E3404">
        <v>126.498</v>
      </c>
      <c r="F3404">
        <f t="shared" si="215"/>
        <v>-52.498000000000005</v>
      </c>
      <c r="G3404">
        <v>38.966999999999999</v>
      </c>
      <c r="H3404">
        <v>0.96699999999999997</v>
      </c>
      <c r="I3404">
        <v>2.3719999999999999</v>
      </c>
      <c r="J3404">
        <v>6</v>
      </c>
      <c r="K3404">
        <v>16</v>
      </c>
      <c r="L3404">
        <v>8</v>
      </c>
      <c r="M3404">
        <v>2.1949999999999998</v>
      </c>
    </row>
    <row r="3405" spans="1:13" ht="15" customHeight="1">
      <c r="A3405" t="s">
        <v>40</v>
      </c>
      <c r="B3405">
        <f t="shared" si="212"/>
        <v>33.718850000000003</v>
      </c>
      <c r="C3405">
        <f t="shared" si="213"/>
        <v>-117.843943</v>
      </c>
      <c r="D3405">
        <f t="shared" si="214"/>
        <v>74</v>
      </c>
      <c r="E3405">
        <v>127.498</v>
      </c>
      <c r="F3405">
        <f t="shared" si="215"/>
        <v>-53.498000000000005</v>
      </c>
      <c r="G3405">
        <v>45.366999999999997</v>
      </c>
      <c r="H3405">
        <v>1.607</v>
      </c>
      <c r="I3405">
        <v>3.532</v>
      </c>
      <c r="J3405">
        <v>5</v>
      </c>
      <c r="K3405">
        <v>22</v>
      </c>
      <c r="L3405">
        <v>11</v>
      </c>
      <c r="M3405">
        <v>2.5059999999999998</v>
      </c>
    </row>
    <row r="3406" spans="1:13" ht="15" customHeight="1">
      <c r="A3406" t="s">
        <v>40</v>
      </c>
      <c r="B3406">
        <f t="shared" si="212"/>
        <v>33.718850000000003</v>
      </c>
      <c r="C3406">
        <f t="shared" si="213"/>
        <v>-117.843943</v>
      </c>
      <c r="D3406">
        <f t="shared" si="214"/>
        <v>74</v>
      </c>
      <c r="E3406">
        <v>128.49799999999999</v>
      </c>
      <c r="F3406">
        <f t="shared" si="215"/>
        <v>-54.49799999999999</v>
      </c>
      <c r="G3406">
        <v>62.582999999999998</v>
      </c>
      <c r="H3406">
        <v>3.14</v>
      </c>
      <c r="I3406">
        <v>4.9909999999999997</v>
      </c>
      <c r="J3406">
        <v>4</v>
      </c>
      <c r="K3406">
        <v>40</v>
      </c>
      <c r="L3406">
        <v>20</v>
      </c>
      <c r="M3406">
        <v>3.6640000000000001</v>
      </c>
    </row>
    <row r="3407" spans="1:13" ht="15" customHeight="1">
      <c r="A3407" t="s">
        <v>40</v>
      </c>
      <c r="B3407">
        <f t="shared" si="212"/>
        <v>33.718850000000003</v>
      </c>
      <c r="C3407">
        <f t="shared" si="213"/>
        <v>-117.843943</v>
      </c>
      <c r="D3407">
        <f t="shared" si="214"/>
        <v>74</v>
      </c>
      <c r="E3407">
        <v>129.49799999999999</v>
      </c>
      <c r="F3407">
        <f t="shared" si="215"/>
        <v>-55.49799999999999</v>
      </c>
      <c r="G3407">
        <v>87.2</v>
      </c>
      <c r="H3407">
        <v>2.645</v>
      </c>
      <c r="I3407">
        <v>3.0190000000000001</v>
      </c>
      <c r="J3407">
        <v>6</v>
      </c>
      <c r="K3407">
        <v>34</v>
      </c>
      <c r="L3407">
        <v>17</v>
      </c>
      <c r="M3407">
        <v>5.3070000000000004</v>
      </c>
    </row>
    <row r="3408" spans="1:13" ht="15" customHeight="1">
      <c r="A3408" t="s">
        <v>40</v>
      </c>
      <c r="B3408">
        <f t="shared" si="212"/>
        <v>33.718850000000003</v>
      </c>
      <c r="C3408">
        <f t="shared" si="213"/>
        <v>-117.843943</v>
      </c>
      <c r="D3408">
        <f t="shared" si="214"/>
        <v>74</v>
      </c>
      <c r="E3408">
        <v>130.49799999999999</v>
      </c>
      <c r="F3408">
        <f t="shared" si="215"/>
        <v>-56.49799999999999</v>
      </c>
      <c r="G3408">
        <v>95.8</v>
      </c>
      <c r="H3408">
        <v>5.12</v>
      </c>
      <c r="I3408">
        <v>5.3559999999999999</v>
      </c>
      <c r="J3408">
        <v>11</v>
      </c>
      <c r="K3408">
        <v>92</v>
      </c>
      <c r="L3408">
        <v>46</v>
      </c>
      <c r="M3408" s="1">
        <v>9000000000</v>
      </c>
    </row>
    <row r="3409" spans="1:13" ht="15" customHeight="1">
      <c r="A3409" t="s">
        <v>41</v>
      </c>
      <c r="B3409">
        <f t="shared" si="212"/>
        <v>33.716616999999999</v>
      </c>
      <c r="C3409">
        <f t="shared" si="213"/>
        <v>-117.844373</v>
      </c>
      <c r="D3409">
        <f t="shared" si="214"/>
        <v>70</v>
      </c>
      <c r="E3409">
        <v>0.5</v>
      </c>
      <c r="F3409">
        <f t="shared" si="215"/>
        <v>69.5</v>
      </c>
      <c r="G3409">
        <v>0.93300000000000005</v>
      </c>
      <c r="H3409">
        <v>2.1999999999999999E-2</v>
      </c>
      <c r="I3409">
        <v>2.3210000000000002</v>
      </c>
      <c r="J3409">
        <v>1</v>
      </c>
      <c r="K3409">
        <v>0</v>
      </c>
      <c r="L3409">
        <v>0</v>
      </c>
      <c r="M3409">
        <v>6.0999999999999999E-2</v>
      </c>
    </row>
    <row r="3410" spans="1:13" ht="15" customHeight="1">
      <c r="A3410" t="s">
        <v>41</v>
      </c>
      <c r="B3410">
        <f t="shared" si="212"/>
        <v>33.716616999999999</v>
      </c>
      <c r="C3410">
        <f t="shared" si="213"/>
        <v>-117.844373</v>
      </c>
      <c r="D3410">
        <f t="shared" si="214"/>
        <v>70</v>
      </c>
      <c r="E3410">
        <v>1.5</v>
      </c>
      <c r="F3410">
        <f t="shared" si="215"/>
        <v>68.5</v>
      </c>
      <c r="G3410">
        <v>27.832999999999998</v>
      </c>
      <c r="H3410">
        <v>0.66700000000000004</v>
      </c>
      <c r="I3410">
        <v>2.3889999999999998</v>
      </c>
      <c r="J3410">
        <v>6</v>
      </c>
      <c r="K3410">
        <v>11</v>
      </c>
      <c r="L3410">
        <v>17</v>
      </c>
      <c r="M3410">
        <v>1.855</v>
      </c>
    </row>
    <row r="3411" spans="1:13" ht="15" customHeight="1">
      <c r="A3411" t="s">
        <v>41</v>
      </c>
      <c r="B3411">
        <f t="shared" si="212"/>
        <v>33.716616999999999</v>
      </c>
      <c r="C3411">
        <f t="shared" si="213"/>
        <v>-117.844373</v>
      </c>
      <c r="D3411">
        <f t="shared" si="214"/>
        <v>70</v>
      </c>
      <c r="E3411">
        <v>2.5</v>
      </c>
      <c r="F3411">
        <f t="shared" si="215"/>
        <v>67.5</v>
      </c>
      <c r="G3411">
        <v>9.5670000000000002</v>
      </c>
      <c r="H3411">
        <v>0.35499999999999998</v>
      </c>
      <c r="I3411">
        <v>3.7170000000000001</v>
      </c>
      <c r="J3411">
        <v>3</v>
      </c>
      <c r="K3411">
        <v>9</v>
      </c>
      <c r="L3411">
        <v>14</v>
      </c>
      <c r="M3411">
        <v>0.627</v>
      </c>
    </row>
    <row r="3412" spans="1:13" ht="15" customHeight="1">
      <c r="A3412" t="s">
        <v>41</v>
      </c>
      <c r="B3412">
        <f t="shared" si="212"/>
        <v>33.716616999999999</v>
      </c>
      <c r="C3412">
        <f t="shared" si="213"/>
        <v>-117.844373</v>
      </c>
      <c r="D3412">
        <f t="shared" si="214"/>
        <v>70</v>
      </c>
      <c r="E3412">
        <v>3.5</v>
      </c>
      <c r="F3412">
        <f t="shared" si="215"/>
        <v>66.5</v>
      </c>
      <c r="G3412">
        <v>10.632999999999999</v>
      </c>
      <c r="H3412">
        <v>0.25700000000000001</v>
      </c>
      <c r="I3412">
        <v>2.4180000000000001</v>
      </c>
      <c r="J3412">
        <v>5</v>
      </c>
      <c r="K3412">
        <v>5</v>
      </c>
      <c r="L3412">
        <v>8</v>
      </c>
      <c r="M3412">
        <v>0.69399999999999995</v>
      </c>
    </row>
    <row r="3413" spans="1:13" ht="15" customHeight="1">
      <c r="A3413" t="s">
        <v>41</v>
      </c>
      <c r="B3413">
        <f t="shared" si="212"/>
        <v>33.716616999999999</v>
      </c>
      <c r="C3413">
        <f t="shared" si="213"/>
        <v>-117.844373</v>
      </c>
      <c r="D3413">
        <f t="shared" si="214"/>
        <v>70</v>
      </c>
      <c r="E3413">
        <v>4.5</v>
      </c>
      <c r="F3413">
        <f t="shared" si="215"/>
        <v>65.5</v>
      </c>
      <c r="G3413">
        <v>5</v>
      </c>
      <c r="H3413">
        <v>5.5E-2</v>
      </c>
      <c r="I3413">
        <v>1.107</v>
      </c>
      <c r="J3413">
        <v>1</v>
      </c>
      <c r="K3413">
        <v>2</v>
      </c>
      <c r="L3413">
        <v>3</v>
      </c>
      <c r="M3413">
        <v>0.314</v>
      </c>
    </row>
    <row r="3414" spans="1:13" ht="15" customHeight="1">
      <c r="A3414" t="s">
        <v>41</v>
      </c>
      <c r="B3414">
        <f t="shared" si="212"/>
        <v>33.716616999999999</v>
      </c>
      <c r="C3414">
        <f t="shared" si="213"/>
        <v>-117.844373</v>
      </c>
      <c r="D3414">
        <f t="shared" si="214"/>
        <v>70</v>
      </c>
      <c r="E3414">
        <v>5.5</v>
      </c>
      <c r="F3414">
        <f t="shared" si="215"/>
        <v>64.5</v>
      </c>
      <c r="G3414">
        <v>12.032999999999999</v>
      </c>
      <c r="H3414">
        <v>0.30299999999999999</v>
      </c>
      <c r="I3414">
        <v>2.5209999999999999</v>
      </c>
      <c r="J3414">
        <v>5</v>
      </c>
      <c r="K3414">
        <v>6</v>
      </c>
      <c r="L3414">
        <v>9</v>
      </c>
      <c r="M3414">
        <v>0.78100000000000003</v>
      </c>
    </row>
    <row r="3415" spans="1:13" ht="15" customHeight="1">
      <c r="A3415" t="s">
        <v>41</v>
      </c>
      <c r="B3415">
        <f t="shared" si="212"/>
        <v>33.716616999999999</v>
      </c>
      <c r="C3415">
        <f t="shared" si="213"/>
        <v>-117.844373</v>
      </c>
      <c r="D3415">
        <f t="shared" si="214"/>
        <v>70</v>
      </c>
      <c r="E3415">
        <v>6.5</v>
      </c>
      <c r="F3415">
        <f t="shared" si="215"/>
        <v>63.5</v>
      </c>
      <c r="G3415">
        <v>18.100000000000001</v>
      </c>
      <c r="H3415">
        <v>0.17699999999999999</v>
      </c>
      <c r="I3415">
        <v>0.97699999999999998</v>
      </c>
      <c r="J3415">
        <v>6</v>
      </c>
      <c r="K3415">
        <v>7</v>
      </c>
      <c r="L3415">
        <v>11</v>
      </c>
      <c r="M3415">
        <v>1.18</v>
      </c>
    </row>
    <row r="3416" spans="1:13" ht="15" customHeight="1">
      <c r="A3416" t="s">
        <v>41</v>
      </c>
      <c r="B3416">
        <f t="shared" si="212"/>
        <v>33.716616999999999</v>
      </c>
      <c r="C3416">
        <f t="shared" si="213"/>
        <v>-117.844373</v>
      </c>
      <c r="D3416">
        <f t="shared" si="214"/>
        <v>70</v>
      </c>
      <c r="E3416">
        <v>7.5</v>
      </c>
      <c r="F3416">
        <f t="shared" si="215"/>
        <v>62.5</v>
      </c>
      <c r="G3416">
        <v>17.5</v>
      </c>
      <c r="H3416">
        <v>0.245</v>
      </c>
      <c r="I3416">
        <v>1.403</v>
      </c>
      <c r="J3416">
        <v>6</v>
      </c>
      <c r="K3416">
        <v>7</v>
      </c>
      <c r="L3416">
        <v>11</v>
      </c>
      <c r="M3416">
        <v>1.135</v>
      </c>
    </row>
    <row r="3417" spans="1:13" ht="15" customHeight="1">
      <c r="A3417" t="s">
        <v>41</v>
      </c>
      <c r="B3417">
        <f t="shared" si="212"/>
        <v>33.716616999999999</v>
      </c>
      <c r="C3417">
        <f t="shared" si="213"/>
        <v>-117.844373</v>
      </c>
      <c r="D3417">
        <f t="shared" si="214"/>
        <v>70</v>
      </c>
      <c r="E3417">
        <v>8.5</v>
      </c>
      <c r="F3417">
        <f t="shared" si="215"/>
        <v>61.5</v>
      </c>
      <c r="G3417">
        <v>55.267000000000003</v>
      </c>
      <c r="H3417">
        <v>0.69799999999999995</v>
      </c>
      <c r="I3417">
        <v>1.264</v>
      </c>
      <c r="J3417">
        <v>7</v>
      </c>
      <c r="K3417">
        <v>18</v>
      </c>
      <c r="L3417">
        <v>27</v>
      </c>
      <c r="M3417" s="1">
        <v>9000000000</v>
      </c>
    </row>
    <row r="3418" spans="1:13" ht="15" customHeight="1">
      <c r="A3418" t="s">
        <v>41</v>
      </c>
      <c r="B3418">
        <f t="shared" si="212"/>
        <v>33.716616999999999</v>
      </c>
      <c r="C3418">
        <f t="shared" si="213"/>
        <v>-117.844373</v>
      </c>
      <c r="D3418">
        <f t="shared" si="214"/>
        <v>70</v>
      </c>
      <c r="E3418">
        <v>9.5</v>
      </c>
      <c r="F3418">
        <f t="shared" si="215"/>
        <v>60.5</v>
      </c>
      <c r="G3418">
        <v>43.466999999999999</v>
      </c>
      <c r="H3418">
        <v>0.61699999999999999</v>
      </c>
      <c r="I3418">
        <v>1.4179999999999999</v>
      </c>
      <c r="J3418">
        <v>7</v>
      </c>
      <c r="K3418">
        <v>14</v>
      </c>
      <c r="L3418">
        <v>21</v>
      </c>
      <c r="M3418" s="1">
        <v>9000000000</v>
      </c>
    </row>
    <row r="3419" spans="1:13" ht="15" customHeight="1">
      <c r="A3419" t="s">
        <v>41</v>
      </c>
      <c r="B3419">
        <f t="shared" si="212"/>
        <v>33.716616999999999</v>
      </c>
      <c r="C3419">
        <f t="shared" si="213"/>
        <v>-117.844373</v>
      </c>
      <c r="D3419">
        <f t="shared" si="214"/>
        <v>70</v>
      </c>
      <c r="E3419">
        <v>10.5</v>
      </c>
      <c r="F3419">
        <f t="shared" si="215"/>
        <v>59.5</v>
      </c>
      <c r="G3419">
        <v>6.0709999999999997</v>
      </c>
      <c r="H3419">
        <v>0.17699999999999999</v>
      </c>
      <c r="I3419">
        <v>2.8639999999999999</v>
      </c>
      <c r="J3419">
        <v>3</v>
      </c>
      <c r="K3419">
        <v>6</v>
      </c>
      <c r="L3419">
        <v>9</v>
      </c>
      <c r="M3419">
        <v>0.371</v>
      </c>
    </row>
    <row r="3420" spans="1:13" ht="15" customHeight="1">
      <c r="A3420" t="s">
        <v>41</v>
      </c>
      <c r="B3420">
        <f t="shared" si="212"/>
        <v>33.716616999999999</v>
      </c>
      <c r="C3420">
        <f t="shared" si="213"/>
        <v>-117.844373</v>
      </c>
      <c r="D3420">
        <f t="shared" si="214"/>
        <v>70</v>
      </c>
      <c r="E3420">
        <v>11.5</v>
      </c>
      <c r="F3420">
        <f t="shared" si="215"/>
        <v>58.5</v>
      </c>
      <c r="G3420">
        <v>5.2</v>
      </c>
      <c r="H3420">
        <v>0.14000000000000001</v>
      </c>
      <c r="I3420">
        <v>2.6419999999999999</v>
      </c>
      <c r="J3420">
        <v>3</v>
      </c>
      <c r="K3420">
        <v>5</v>
      </c>
      <c r="L3420">
        <v>7</v>
      </c>
      <c r="M3420">
        <v>0.308</v>
      </c>
    </row>
    <row r="3421" spans="1:13" ht="15" customHeight="1">
      <c r="A3421" t="s">
        <v>41</v>
      </c>
      <c r="B3421">
        <f t="shared" si="212"/>
        <v>33.716616999999999</v>
      </c>
      <c r="C3421">
        <f t="shared" si="213"/>
        <v>-117.844373</v>
      </c>
      <c r="D3421">
        <f t="shared" si="214"/>
        <v>70</v>
      </c>
      <c r="E3421">
        <v>12.5</v>
      </c>
      <c r="F3421">
        <f t="shared" si="215"/>
        <v>57.5</v>
      </c>
      <c r="G3421">
        <v>4.8</v>
      </c>
      <c r="H3421">
        <v>0.107</v>
      </c>
      <c r="I3421">
        <v>2.1549999999999998</v>
      </c>
      <c r="J3421">
        <v>4</v>
      </c>
      <c r="K3421">
        <v>3</v>
      </c>
      <c r="L3421">
        <v>4</v>
      </c>
      <c r="M3421">
        <v>0.28100000000000003</v>
      </c>
    </row>
    <row r="3422" spans="1:13" ht="15" customHeight="1">
      <c r="A3422" t="s">
        <v>41</v>
      </c>
      <c r="B3422">
        <f t="shared" si="212"/>
        <v>33.716616999999999</v>
      </c>
      <c r="C3422">
        <f t="shared" si="213"/>
        <v>-117.844373</v>
      </c>
      <c r="D3422">
        <f t="shared" si="214"/>
        <v>70</v>
      </c>
      <c r="E3422">
        <v>13.5</v>
      </c>
      <c r="F3422">
        <f t="shared" si="215"/>
        <v>56.5</v>
      </c>
      <c r="G3422">
        <v>5.9169999999999998</v>
      </c>
      <c r="H3422">
        <v>0.223</v>
      </c>
      <c r="I3422">
        <v>3.7429999999999999</v>
      </c>
      <c r="J3422">
        <v>3</v>
      </c>
      <c r="K3422">
        <v>6</v>
      </c>
      <c r="L3422">
        <v>7</v>
      </c>
      <c r="M3422">
        <v>0.34499999999999997</v>
      </c>
    </row>
    <row r="3423" spans="1:13" ht="15" customHeight="1">
      <c r="A3423" t="s">
        <v>41</v>
      </c>
      <c r="B3423">
        <f t="shared" si="212"/>
        <v>33.716616999999999</v>
      </c>
      <c r="C3423">
        <f t="shared" si="213"/>
        <v>-117.844373</v>
      </c>
      <c r="D3423">
        <f t="shared" si="214"/>
        <v>70</v>
      </c>
      <c r="E3423">
        <v>14.5</v>
      </c>
      <c r="F3423">
        <f t="shared" si="215"/>
        <v>55.5</v>
      </c>
      <c r="G3423">
        <v>7.9169999999999998</v>
      </c>
      <c r="H3423">
        <v>0.32700000000000001</v>
      </c>
      <c r="I3423">
        <v>4.1349999999999998</v>
      </c>
      <c r="J3423">
        <v>3</v>
      </c>
      <c r="K3423">
        <v>8</v>
      </c>
      <c r="L3423">
        <v>9</v>
      </c>
      <c r="M3423">
        <v>0.46899999999999997</v>
      </c>
    </row>
    <row r="3424" spans="1:13" ht="15" customHeight="1">
      <c r="A3424" t="s">
        <v>41</v>
      </c>
      <c r="B3424">
        <f t="shared" si="212"/>
        <v>33.716616999999999</v>
      </c>
      <c r="C3424">
        <f t="shared" si="213"/>
        <v>-117.844373</v>
      </c>
      <c r="D3424">
        <f t="shared" si="214"/>
        <v>70</v>
      </c>
      <c r="E3424">
        <v>15.5</v>
      </c>
      <c r="F3424">
        <f t="shared" si="215"/>
        <v>54.5</v>
      </c>
      <c r="G3424">
        <v>7.5830000000000002</v>
      </c>
      <c r="H3424">
        <v>0.26300000000000001</v>
      </c>
      <c r="I3424">
        <v>3.4729999999999999</v>
      </c>
      <c r="J3424">
        <v>3</v>
      </c>
      <c r="K3424">
        <v>7</v>
      </c>
      <c r="L3424">
        <v>7</v>
      </c>
      <c r="M3424">
        <v>0.44400000000000001</v>
      </c>
    </row>
    <row r="3425" spans="1:13" ht="15" customHeight="1">
      <c r="A3425" t="s">
        <v>41</v>
      </c>
      <c r="B3425">
        <f t="shared" si="212"/>
        <v>33.716616999999999</v>
      </c>
      <c r="C3425">
        <f t="shared" si="213"/>
        <v>-117.844373</v>
      </c>
      <c r="D3425">
        <f t="shared" si="214"/>
        <v>70</v>
      </c>
      <c r="E3425">
        <v>16.5</v>
      </c>
      <c r="F3425">
        <f t="shared" si="215"/>
        <v>53.5</v>
      </c>
      <c r="G3425">
        <v>6.6829999999999998</v>
      </c>
      <c r="H3425">
        <v>0.245</v>
      </c>
      <c r="I3425">
        <v>3.6840000000000002</v>
      </c>
      <c r="J3425">
        <v>3</v>
      </c>
      <c r="K3425">
        <v>6</v>
      </c>
      <c r="L3425">
        <v>6</v>
      </c>
      <c r="M3425">
        <v>0.378</v>
      </c>
    </row>
    <row r="3426" spans="1:13" ht="15" customHeight="1">
      <c r="A3426" t="s">
        <v>41</v>
      </c>
      <c r="B3426">
        <f t="shared" si="212"/>
        <v>33.716616999999999</v>
      </c>
      <c r="C3426">
        <f t="shared" si="213"/>
        <v>-117.844373</v>
      </c>
      <c r="D3426">
        <f t="shared" si="214"/>
        <v>70</v>
      </c>
      <c r="E3426">
        <v>17.5</v>
      </c>
      <c r="F3426">
        <f t="shared" si="215"/>
        <v>52.5</v>
      </c>
      <c r="G3426">
        <v>9.8829999999999991</v>
      </c>
      <c r="H3426">
        <v>0.35199999999999998</v>
      </c>
      <c r="I3426">
        <v>3.5579999999999998</v>
      </c>
      <c r="J3426">
        <v>3</v>
      </c>
      <c r="K3426">
        <v>9</v>
      </c>
      <c r="L3426">
        <v>9</v>
      </c>
      <c r="M3426">
        <v>0.59</v>
      </c>
    </row>
    <row r="3427" spans="1:13" ht="15" customHeight="1">
      <c r="A3427" t="s">
        <v>41</v>
      </c>
      <c r="B3427">
        <f t="shared" si="212"/>
        <v>33.716616999999999</v>
      </c>
      <c r="C3427">
        <f t="shared" si="213"/>
        <v>-117.844373</v>
      </c>
      <c r="D3427">
        <f t="shared" si="214"/>
        <v>70</v>
      </c>
      <c r="E3427">
        <v>18.5</v>
      </c>
      <c r="F3427">
        <f t="shared" si="215"/>
        <v>51.5</v>
      </c>
      <c r="G3427">
        <v>13.05</v>
      </c>
      <c r="H3427">
        <v>0.45</v>
      </c>
      <c r="I3427">
        <v>3.448</v>
      </c>
      <c r="J3427">
        <v>4</v>
      </c>
      <c r="K3427">
        <v>8</v>
      </c>
      <c r="L3427">
        <v>7</v>
      </c>
      <c r="M3427">
        <v>0.79700000000000004</v>
      </c>
    </row>
    <row r="3428" spans="1:13" ht="15" customHeight="1">
      <c r="A3428" t="s">
        <v>41</v>
      </c>
      <c r="B3428">
        <f t="shared" si="212"/>
        <v>33.716616999999999</v>
      </c>
      <c r="C3428">
        <f t="shared" si="213"/>
        <v>-117.844373</v>
      </c>
      <c r="D3428">
        <f t="shared" si="214"/>
        <v>70</v>
      </c>
      <c r="E3428">
        <v>19.5</v>
      </c>
      <c r="F3428">
        <f t="shared" si="215"/>
        <v>50.5</v>
      </c>
      <c r="G3428">
        <v>12.117000000000001</v>
      </c>
      <c r="H3428">
        <v>0.47199999999999998</v>
      </c>
      <c r="I3428">
        <v>3.8660000000000001</v>
      </c>
      <c r="J3428">
        <v>3</v>
      </c>
      <c r="K3428">
        <v>12</v>
      </c>
      <c r="L3428">
        <v>11</v>
      </c>
      <c r="M3428">
        <v>0.73599999999999999</v>
      </c>
    </row>
    <row r="3429" spans="1:13" ht="15" customHeight="1">
      <c r="A3429" t="s">
        <v>41</v>
      </c>
      <c r="B3429">
        <f t="shared" si="212"/>
        <v>33.716616999999999</v>
      </c>
      <c r="C3429">
        <f t="shared" si="213"/>
        <v>-117.844373</v>
      </c>
      <c r="D3429">
        <f t="shared" si="214"/>
        <v>70</v>
      </c>
      <c r="E3429">
        <v>20.5</v>
      </c>
      <c r="F3429">
        <f t="shared" si="215"/>
        <v>49.5</v>
      </c>
      <c r="G3429">
        <v>11.356999999999999</v>
      </c>
      <c r="H3429">
        <v>0.33600000000000002</v>
      </c>
      <c r="I3429">
        <v>2.93</v>
      </c>
      <c r="J3429">
        <v>4</v>
      </c>
      <c r="K3429">
        <v>7</v>
      </c>
      <c r="L3429">
        <v>6</v>
      </c>
      <c r="M3429">
        <v>0.68200000000000005</v>
      </c>
    </row>
    <row r="3430" spans="1:13" ht="15" customHeight="1">
      <c r="A3430" t="s">
        <v>41</v>
      </c>
      <c r="B3430">
        <f t="shared" si="212"/>
        <v>33.716616999999999</v>
      </c>
      <c r="C3430">
        <f t="shared" si="213"/>
        <v>-117.844373</v>
      </c>
      <c r="D3430">
        <f t="shared" si="214"/>
        <v>70</v>
      </c>
      <c r="E3430">
        <v>21.5</v>
      </c>
      <c r="F3430">
        <f t="shared" si="215"/>
        <v>48.5</v>
      </c>
      <c r="G3430">
        <v>59.332999999999998</v>
      </c>
      <c r="H3430">
        <v>0.52800000000000002</v>
      </c>
      <c r="I3430">
        <v>0.89</v>
      </c>
      <c r="J3430">
        <v>8</v>
      </c>
      <c r="K3430">
        <v>14</v>
      </c>
      <c r="L3430">
        <v>12</v>
      </c>
      <c r="M3430" s="1">
        <v>9000000000</v>
      </c>
    </row>
    <row r="3431" spans="1:13" ht="15" customHeight="1">
      <c r="A3431" t="s">
        <v>41</v>
      </c>
      <c r="B3431">
        <f t="shared" si="212"/>
        <v>33.716616999999999</v>
      </c>
      <c r="C3431">
        <f t="shared" si="213"/>
        <v>-117.844373</v>
      </c>
      <c r="D3431">
        <f t="shared" si="214"/>
        <v>70</v>
      </c>
      <c r="E3431">
        <v>22.5</v>
      </c>
      <c r="F3431">
        <f t="shared" si="215"/>
        <v>47.5</v>
      </c>
      <c r="G3431">
        <v>69.933000000000007</v>
      </c>
      <c r="H3431">
        <v>0.53300000000000003</v>
      </c>
      <c r="I3431">
        <v>0.76500000000000001</v>
      </c>
      <c r="J3431">
        <v>8</v>
      </c>
      <c r="K3431">
        <v>17</v>
      </c>
      <c r="L3431">
        <v>14</v>
      </c>
      <c r="M3431" s="1">
        <v>9000000000</v>
      </c>
    </row>
    <row r="3432" spans="1:13" ht="15" customHeight="1">
      <c r="A3432" t="s">
        <v>41</v>
      </c>
      <c r="B3432">
        <f t="shared" si="212"/>
        <v>33.716616999999999</v>
      </c>
      <c r="C3432">
        <f t="shared" si="213"/>
        <v>-117.844373</v>
      </c>
      <c r="D3432">
        <f t="shared" si="214"/>
        <v>70</v>
      </c>
      <c r="E3432">
        <v>23.5</v>
      </c>
      <c r="F3432">
        <f t="shared" si="215"/>
        <v>46.5</v>
      </c>
      <c r="G3432">
        <v>58.567</v>
      </c>
      <c r="H3432">
        <v>0.73199999999999998</v>
      </c>
      <c r="I3432">
        <v>1.252</v>
      </c>
      <c r="J3432">
        <v>7</v>
      </c>
      <c r="K3432">
        <v>19</v>
      </c>
      <c r="L3432">
        <v>15</v>
      </c>
      <c r="M3432" s="1">
        <v>9000000000</v>
      </c>
    </row>
    <row r="3433" spans="1:13" ht="15" customHeight="1">
      <c r="A3433" t="s">
        <v>41</v>
      </c>
      <c r="B3433">
        <f t="shared" si="212"/>
        <v>33.716616999999999</v>
      </c>
      <c r="C3433">
        <f t="shared" si="213"/>
        <v>-117.844373</v>
      </c>
      <c r="D3433">
        <f t="shared" si="214"/>
        <v>70</v>
      </c>
      <c r="E3433">
        <v>24.5</v>
      </c>
      <c r="F3433">
        <f t="shared" si="215"/>
        <v>45.5</v>
      </c>
      <c r="G3433">
        <v>12.317</v>
      </c>
      <c r="H3433">
        <v>0.38500000000000001</v>
      </c>
      <c r="I3433">
        <v>3.1560000000000001</v>
      </c>
      <c r="J3433">
        <v>4</v>
      </c>
      <c r="K3433">
        <v>8</v>
      </c>
      <c r="L3433">
        <v>6</v>
      </c>
      <c r="M3433">
        <v>0.71599999999999997</v>
      </c>
    </row>
    <row r="3434" spans="1:13" ht="15" customHeight="1">
      <c r="A3434" t="s">
        <v>41</v>
      </c>
      <c r="B3434">
        <f t="shared" si="212"/>
        <v>33.716616999999999</v>
      </c>
      <c r="C3434">
        <f t="shared" si="213"/>
        <v>-117.844373</v>
      </c>
      <c r="D3434">
        <f t="shared" si="214"/>
        <v>70</v>
      </c>
      <c r="E3434">
        <v>25.5</v>
      </c>
      <c r="F3434">
        <f t="shared" si="215"/>
        <v>44.5</v>
      </c>
      <c r="G3434">
        <v>27.766999999999999</v>
      </c>
      <c r="H3434">
        <v>0.71699999999999997</v>
      </c>
      <c r="I3434">
        <v>2.5870000000000002</v>
      </c>
      <c r="J3434">
        <v>6</v>
      </c>
      <c r="K3434">
        <v>11</v>
      </c>
      <c r="L3434">
        <v>8</v>
      </c>
      <c r="M3434">
        <v>1.7450000000000001</v>
      </c>
    </row>
    <row r="3435" spans="1:13" ht="15" customHeight="1">
      <c r="A3435" t="s">
        <v>41</v>
      </c>
      <c r="B3435">
        <f t="shared" si="212"/>
        <v>33.716616999999999</v>
      </c>
      <c r="C3435">
        <f t="shared" si="213"/>
        <v>-117.844373</v>
      </c>
      <c r="D3435">
        <f t="shared" si="214"/>
        <v>70</v>
      </c>
      <c r="E3435">
        <v>26.5</v>
      </c>
      <c r="F3435">
        <f t="shared" si="215"/>
        <v>43.5</v>
      </c>
      <c r="G3435">
        <v>15.7</v>
      </c>
      <c r="H3435">
        <v>0.48299999999999998</v>
      </c>
      <c r="I3435">
        <v>3.0750000000000002</v>
      </c>
      <c r="J3435">
        <v>5</v>
      </c>
      <c r="K3435">
        <v>8</v>
      </c>
      <c r="L3435">
        <v>6</v>
      </c>
      <c r="M3435">
        <v>0.94199999999999995</v>
      </c>
    </row>
    <row r="3436" spans="1:13" ht="15" customHeight="1">
      <c r="A3436" t="s">
        <v>41</v>
      </c>
      <c r="B3436">
        <f t="shared" si="212"/>
        <v>33.716616999999999</v>
      </c>
      <c r="C3436">
        <f t="shared" si="213"/>
        <v>-117.844373</v>
      </c>
      <c r="D3436">
        <f t="shared" si="214"/>
        <v>70</v>
      </c>
      <c r="E3436">
        <v>27.5</v>
      </c>
      <c r="F3436">
        <f t="shared" si="215"/>
        <v>42.5</v>
      </c>
      <c r="G3436">
        <v>9.9670000000000005</v>
      </c>
      <c r="H3436">
        <v>0.33800000000000002</v>
      </c>
      <c r="I3436">
        <v>3.383</v>
      </c>
      <c r="J3436">
        <v>3</v>
      </c>
      <c r="K3436">
        <v>10</v>
      </c>
      <c r="L3436">
        <v>7</v>
      </c>
      <c r="M3436">
        <v>0.55700000000000005</v>
      </c>
    </row>
    <row r="3437" spans="1:13" ht="15" customHeight="1">
      <c r="A3437" t="s">
        <v>41</v>
      </c>
      <c r="B3437">
        <f t="shared" si="212"/>
        <v>33.716616999999999</v>
      </c>
      <c r="C3437">
        <f t="shared" si="213"/>
        <v>-117.844373</v>
      </c>
      <c r="D3437">
        <f t="shared" si="214"/>
        <v>70</v>
      </c>
      <c r="E3437">
        <v>28.5</v>
      </c>
      <c r="F3437">
        <f t="shared" si="215"/>
        <v>41.5</v>
      </c>
      <c r="G3437">
        <v>11.65</v>
      </c>
      <c r="H3437">
        <v>0.38800000000000001</v>
      </c>
      <c r="I3437">
        <v>3.3050000000000002</v>
      </c>
      <c r="J3437">
        <v>4</v>
      </c>
      <c r="K3437">
        <v>8</v>
      </c>
      <c r="L3437">
        <v>6</v>
      </c>
      <c r="M3437">
        <v>0.66900000000000004</v>
      </c>
    </row>
    <row r="3438" spans="1:13" ht="15" customHeight="1">
      <c r="A3438" t="s">
        <v>41</v>
      </c>
      <c r="B3438">
        <f t="shared" si="212"/>
        <v>33.716616999999999</v>
      </c>
      <c r="C3438">
        <f t="shared" si="213"/>
        <v>-117.844373</v>
      </c>
      <c r="D3438">
        <f t="shared" si="214"/>
        <v>70</v>
      </c>
      <c r="E3438">
        <v>29.5</v>
      </c>
      <c r="F3438">
        <f t="shared" si="215"/>
        <v>40.5</v>
      </c>
      <c r="G3438">
        <v>12.483000000000001</v>
      </c>
      <c r="H3438">
        <v>0.44500000000000001</v>
      </c>
      <c r="I3438">
        <v>3.5409999999999999</v>
      </c>
      <c r="J3438">
        <v>4</v>
      </c>
      <c r="K3438">
        <v>8</v>
      </c>
      <c r="L3438">
        <v>5</v>
      </c>
      <c r="M3438">
        <v>0.72</v>
      </c>
    </row>
    <row r="3439" spans="1:13" ht="15" customHeight="1">
      <c r="A3439" t="s">
        <v>41</v>
      </c>
      <c r="B3439">
        <f t="shared" si="212"/>
        <v>33.716616999999999</v>
      </c>
      <c r="C3439">
        <f t="shared" si="213"/>
        <v>-117.844373</v>
      </c>
      <c r="D3439">
        <f t="shared" si="214"/>
        <v>70</v>
      </c>
      <c r="E3439">
        <v>30.5</v>
      </c>
      <c r="F3439">
        <f t="shared" si="215"/>
        <v>39.5</v>
      </c>
      <c r="G3439">
        <v>9.3670000000000009</v>
      </c>
      <c r="H3439">
        <v>0.247</v>
      </c>
      <c r="I3439">
        <v>2.601</v>
      </c>
      <c r="J3439">
        <v>4</v>
      </c>
      <c r="K3439">
        <v>6</v>
      </c>
      <c r="L3439">
        <v>4</v>
      </c>
      <c r="M3439">
        <v>0.51</v>
      </c>
    </row>
    <row r="3440" spans="1:13" ht="15" customHeight="1">
      <c r="A3440" t="s">
        <v>41</v>
      </c>
      <c r="B3440">
        <f t="shared" si="212"/>
        <v>33.716616999999999</v>
      </c>
      <c r="C3440">
        <f t="shared" si="213"/>
        <v>-117.844373</v>
      </c>
      <c r="D3440">
        <f t="shared" si="214"/>
        <v>70</v>
      </c>
      <c r="E3440">
        <v>31.5</v>
      </c>
      <c r="F3440">
        <f t="shared" si="215"/>
        <v>38.5</v>
      </c>
      <c r="G3440">
        <v>16.428999999999998</v>
      </c>
      <c r="H3440">
        <v>0.47699999999999998</v>
      </c>
      <c r="I3440">
        <v>2.8820000000000001</v>
      </c>
      <c r="J3440">
        <v>5</v>
      </c>
      <c r="K3440">
        <v>8</v>
      </c>
      <c r="L3440">
        <v>5</v>
      </c>
      <c r="M3440">
        <v>0.97799999999999998</v>
      </c>
    </row>
    <row r="3441" spans="1:13" ht="15" customHeight="1">
      <c r="A3441" t="s">
        <v>41</v>
      </c>
      <c r="B3441">
        <f t="shared" si="212"/>
        <v>33.716616999999999</v>
      </c>
      <c r="C3441">
        <f t="shared" si="213"/>
        <v>-117.844373</v>
      </c>
      <c r="D3441">
        <f t="shared" si="214"/>
        <v>70</v>
      </c>
      <c r="E3441">
        <v>32.5</v>
      </c>
      <c r="F3441">
        <f t="shared" si="215"/>
        <v>37.5</v>
      </c>
      <c r="G3441">
        <v>30.417000000000002</v>
      </c>
      <c r="H3441">
        <v>1.17</v>
      </c>
      <c r="I3441">
        <v>3.8279999999999998</v>
      </c>
      <c r="J3441">
        <v>5</v>
      </c>
      <c r="K3441">
        <v>15</v>
      </c>
      <c r="L3441">
        <v>10</v>
      </c>
      <c r="M3441">
        <v>1.9079999999999999</v>
      </c>
    </row>
    <row r="3442" spans="1:13" ht="15" customHeight="1">
      <c r="A3442" t="s">
        <v>41</v>
      </c>
      <c r="B3442">
        <f t="shared" si="212"/>
        <v>33.716616999999999</v>
      </c>
      <c r="C3442">
        <f t="shared" si="213"/>
        <v>-117.844373</v>
      </c>
      <c r="D3442">
        <f t="shared" si="214"/>
        <v>70</v>
      </c>
      <c r="E3442">
        <v>33.5</v>
      </c>
      <c r="F3442">
        <f t="shared" si="215"/>
        <v>36.5</v>
      </c>
      <c r="G3442">
        <v>21.35</v>
      </c>
      <c r="H3442">
        <v>0.79700000000000004</v>
      </c>
      <c r="I3442">
        <v>3.7290000000000001</v>
      </c>
      <c r="J3442">
        <v>4</v>
      </c>
      <c r="K3442">
        <v>14</v>
      </c>
      <c r="L3442">
        <v>9</v>
      </c>
      <c r="M3442">
        <v>1.29</v>
      </c>
    </row>
    <row r="3443" spans="1:13" ht="15" customHeight="1">
      <c r="A3443" t="s">
        <v>41</v>
      </c>
      <c r="B3443">
        <f t="shared" si="212"/>
        <v>33.716616999999999</v>
      </c>
      <c r="C3443">
        <f t="shared" si="213"/>
        <v>-117.844373</v>
      </c>
      <c r="D3443">
        <f t="shared" si="214"/>
        <v>70</v>
      </c>
      <c r="E3443">
        <v>34.5</v>
      </c>
      <c r="F3443">
        <f t="shared" si="215"/>
        <v>35.5</v>
      </c>
      <c r="G3443">
        <v>16.8</v>
      </c>
      <c r="H3443">
        <v>0.45700000000000002</v>
      </c>
      <c r="I3443">
        <v>2.7080000000000002</v>
      </c>
      <c r="J3443">
        <v>5</v>
      </c>
      <c r="K3443">
        <v>8</v>
      </c>
      <c r="L3443">
        <v>5</v>
      </c>
      <c r="M3443">
        <v>0.98599999999999999</v>
      </c>
    </row>
    <row r="3444" spans="1:13" ht="15" customHeight="1">
      <c r="A3444" t="s">
        <v>41</v>
      </c>
      <c r="B3444">
        <f t="shared" si="212"/>
        <v>33.716616999999999</v>
      </c>
      <c r="C3444">
        <f t="shared" si="213"/>
        <v>-117.844373</v>
      </c>
      <c r="D3444">
        <f t="shared" si="214"/>
        <v>70</v>
      </c>
      <c r="E3444">
        <v>35.5</v>
      </c>
      <c r="F3444">
        <f t="shared" si="215"/>
        <v>34.5</v>
      </c>
      <c r="G3444">
        <v>30.983000000000001</v>
      </c>
      <c r="H3444">
        <v>0.71299999999999997</v>
      </c>
      <c r="I3444">
        <v>2.3069999999999999</v>
      </c>
      <c r="J3444">
        <v>6</v>
      </c>
      <c r="K3444">
        <v>12</v>
      </c>
      <c r="L3444">
        <v>8</v>
      </c>
      <c r="M3444">
        <v>1.919</v>
      </c>
    </row>
    <row r="3445" spans="1:13" ht="15" customHeight="1">
      <c r="A3445" t="s">
        <v>41</v>
      </c>
      <c r="B3445">
        <f t="shared" si="212"/>
        <v>33.716616999999999</v>
      </c>
      <c r="C3445">
        <f t="shared" si="213"/>
        <v>-117.844373</v>
      </c>
      <c r="D3445">
        <f t="shared" si="214"/>
        <v>70</v>
      </c>
      <c r="E3445">
        <v>36.5</v>
      </c>
      <c r="F3445">
        <f t="shared" si="215"/>
        <v>33.5</v>
      </c>
      <c r="G3445">
        <v>66.667000000000002</v>
      </c>
      <c r="H3445">
        <v>2.7869999999999999</v>
      </c>
      <c r="I3445">
        <v>4.1859999999999999</v>
      </c>
      <c r="J3445">
        <v>5</v>
      </c>
      <c r="K3445">
        <v>32</v>
      </c>
      <c r="L3445">
        <v>20</v>
      </c>
      <c r="M3445">
        <v>4.2910000000000004</v>
      </c>
    </row>
    <row r="3446" spans="1:13" ht="15" customHeight="1">
      <c r="A3446" t="s">
        <v>41</v>
      </c>
      <c r="B3446">
        <f t="shared" si="212"/>
        <v>33.716616999999999</v>
      </c>
      <c r="C3446">
        <f t="shared" si="213"/>
        <v>-117.844373</v>
      </c>
      <c r="D3446">
        <f t="shared" si="214"/>
        <v>70</v>
      </c>
      <c r="E3446">
        <v>37.5</v>
      </c>
      <c r="F3446">
        <f t="shared" si="215"/>
        <v>32.5</v>
      </c>
      <c r="G3446">
        <v>41.883000000000003</v>
      </c>
      <c r="H3446">
        <v>1.4370000000000001</v>
      </c>
      <c r="I3446">
        <v>3.4409999999999998</v>
      </c>
      <c r="J3446">
        <v>5</v>
      </c>
      <c r="K3446">
        <v>20</v>
      </c>
      <c r="L3446">
        <v>12</v>
      </c>
      <c r="M3446">
        <v>2.633</v>
      </c>
    </row>
    <row r="3447" spans="1:13" ht="15" customHeight="1">
      <c r="A3447" t="s">
        <v>41</v>
      </c>
      <c r="B3447">
        <f t="shared" si="212"/>
        <v>33.716616999999999</v>
      </c>
      <c r="C3447">
        <f t="shared" si="213"/>
        <v>-117.844373</v>
      </c>
      <c r="D3447">
        <f t="shared" si="214"/>
        <v>70</v>
      </c>
      <c r="E3447">
        <v>38.5</v>
      </c>
      <c r="F3447">
        <f t="shared" si="215"/>
        <v>31.5</v>
      </c>
      <c r="G3447">
        <v>39.25</v>
      </c>
      <c r="H3447">
        <v>1.6930000000000001</v>
      </c>
      <c r="I3447">
        <v>4.3289999999999997</v>
      </c>
      <c r="J3447">
        <v>4</v>
      </c>
      <c r="K3447">
        <v>25</v>
      </c>
      <c r="L3447">
        <v>15</v>
      </c>
      <c r="M3447">
        <v>2.4529999999999998</v>
      </c>
    </row>
    <row r="3448" spans="1:13" ht="15" customHeight="1">
      <c r="A3448" t="s">
        <v>41</v>
      </c>
      <c r="B3448">
        <f t="shared" si="212"/>
        <v>33.716616999999999</v>
      </c>
      <c r="C3448">
        <f t="shared" si="213"/>
        <v>-117.844373</v>
      </c>
      <c r="D3448">
        <f t="shared" si="214"/>
        <v>70</v>
      </c>
      <c r="E3448">
        <v>39.5</v>
      </c>
      <c r="F3448">
        <f t="shared" si="215"/>
        <v>30.5</v>
      </c>
      <c r="G3448">
        <v>41.817</v>
      </c>
      <c r="H3448">
        <v>1.7629999999999999</v>
      </c>
      <c r="I3448">
        <v>4.2350000000000003</v>
      </c>
      <c r="J3448">
        <v>4</v>
      </c>
      <c r="K3448">
        <v>27</v>
      </c>
      <c r="L3448">
        <v>16</v>
      </c>
      <c r="M3448">
        <v>2.617</v>
      </c>
    </row>
    <row r="3449" spans="1:13" ht="15" customHeight="1">
      <c r="A3449" t="s">
        <v>41</v>
      </c>
      <c r="B3449">
        <f t="shared" si="212"/>
        <v>33.716616999999999</v>
      </c>
      <c r="C3449">
        <f t="shared" si="213"/>
        <v>-117.844373</v>
      </c>
      <c r="D3449">
        <f t="shared" si="214"/>
        <v>70</v>
      </c>
      <c r="E3449">
        <v>40.5</v>
      </c>
      <c r="F3449">
        <f t="shared" si="215"/>
        <v>29.5</v>
      </c>
      <c r="G3449">
        <v>30.882999999999999</v>
      </c>
      <c r="H3449">
        <v>1.3049999999999999</v>
      </c>
      <c r="I3449">
        <v>4.2489999999999997</v>
      </c>
      <c r="J3449">
        <v>4</v>
      </c>
      <c r="K3449">
        <v>20</v>
      </c>
      <c r="L3449">
        <v>12</v>
      </c>
      <c r="M3449">
        <v>1.885</v>
      </c>
    </row>
    <row r="3450" spans="1:13" ht="15" customHeight="1">
      <c r="A3450" t="s">
        <v>41</v>
      </c>
      <c r="B3450">
        <f t="shared" si="212"/>
        <v>33.716616999999999</v>
      </c>
      <c r="C3450">
        <f t="shared" si="213"/>
        <v>-117.844373</v>
      </c>
      <c r="D3450">
        <f t="shared" si="214"/>
        <v>70</v>
      </c>
      <c r="E3450">
        <v>41.499000000000002</v>
      </c>
      <c r="F3450">
        <f t="shared" si="215"/>
        <v>28.500999999999998</v>
      </c>
      <c r="G3450">
        <v>44.329000000000001</v>
      </c>
      <c r="H3450">
        <v>1.5329999999999999</v>
      </c>
      <c r="I3450">
        <v>3.4670000000000001</v>
      </c>
      <c r="J3450">
        <v>5</v>
      </c>
      <c r="K3450">
        <v>21</v>
      </c>
      <c r="L3450">
        <v>12</v>
      </c>
      <c r="M3450">
        <v>2.78</v>
      </c>
    </row>
    <row r="3451" spans="1:13" ht="15" customHeight="1">
      <c r="A3451" t="s">
        <v>41</v>
      </c>
      <c r="B3451">
        <f t="shared" si="212"/>
        <v>33.716616999999999</v>
      </c>
      <c r="C3451">
        <f t="shared" si="213"/>
        <v>-117.844373</v>
      </c>
      <c r="D3451">
        <f t="shared" si="214"/>
        <v>70</v>
      </c>
      <c r="E3451">
        <v>42.499000000000002</v>
      </c>
      <c r="F3451">
        <f t="shared" si="215"/>
        <v>27.500999999999998</v>
      </c>
      <c r="G3451">
        <v>62.017000000000003</v>
      </c>
      <c r="H3451">
        <v>2.6869999999999998</v>
      </c>
      <c r="I3451">
        <v>4.34</v>
      </c>
      <c r="J3451">
        <v>5</v>
      </c>
      <c r="K3451">
        <v>30</v>
      </c>
      <c r="L3451">
        <v>17</v>
      </c>
      <c r="M3451">
        <v>3.9550000000000001</v>
      </c>
    </row>
    <row r="3452" spans="1:13" ht="15" customHeight="1">
      <c r="A3452" t="s">
        <v>41</v>
      </c>
      <c r="B3452">
        <f t="shared" si="212"/>
        <v>33.716616999999999</v>
      </c>
      <c r="C3452">
        <f t="shared" si="213"/>
        <v>-117.844373</v>
      </c>
      <c r="D3452">
        <f t="shared" si="214"/>
        <v>70</v>
      </c>
      <c r="E3452">
        <v>43.499000000000002</v>
      </c>
      <c r="F3452">
        <f t="shared" si="215"/>
        <v>26.500999999999998</v>
      </c>
      <c r="G3452">
        <v>33.366999999999997</v>
      </c>
      <c r="H3452">
        <v>1.7649999999999999</v>
      </c>
      <c r="I3452">
        <v>5.319</v>
      </c>
      <c r="J3452">
        <v>3</v>
      </c>
      <c r="K3452">
        <v>32</v>
      </c>
      <c r="L3452">
        <v>18</v>
      </c>
      <c r="M3452">
        <v>2.0369999999999999</v>
      </c>
    </row>
    <row r="3453" spans="1:13" ht="15" customHeight="1">
      <c r="A3453" t="s">
        <v>41</v>
      </c>
      <c r="B3453">
        <f t="shared" si="212"/>
        <v>33.716616999999999</v>
      </c>
      <c r="C3453">
        <f t="shared" si="213"/>
        <v>-117.844373</v>
      </c>
      <c r="D3453">
        <f t="shared" si="214"/>
        <v>70</v>
      </c>
      <c r="E3453">
        <v>44.499000000000002</v>
      </c>
      <c r="F3453">
        <f t="shared" si="215"/>
        <v>25.500999999999998</v>
      </c>
      <c r="G3453">
        <v>44.116999999999997</v>
      </c>
      <c r="H3453">
        <v>1.0229999999999999</v>
      </c>
      <c r="I3453">
        <v>2.3279999999999998</v>
      </c>
      <c r="J3453">
        <v>6</v>
      </c>
      <c r="K3453">
        <v>17</v>
      </c>
      <c r="L3453">
        <v>10</v>
      </c>
      <c r="M3453">
        <v>2.75</v>
      </c>
    </row>
    <row r="3454" spans="1:13" ht="15" customHeight="1">
      <c r="A3454" t="s">
        <v>41</v>
      </c>
      <c r="B3454">
        <f t="shared" si="212"/>
        <v>33.716616999999999</v>
      </c>
      <c r="C3454">
        <f t="shared" si="213"/>
        <v>-117.844373</v>
      </c>
      <c r="D3454">
        <f t="shared" si="214"/>
        <v>70</v>
      </c>
      <c r="E3454">
        <v>45.499000000000002</v>
      </c>
      <c r="F3454">
        <f t="shared" si="215"/>
        <v>24.500999999999998</v>
      </c>
      <c r="G3454">
        <v>36.917000000000002</v>
      </c>
      <c r="H3454">
        <v>1.52</v>
      </c>
      <c r="I3454">
        <v>4.1379999999999999</v>
      </c>
      <c r="J3454">
        <v>4</v>
      </c>
      <c r="K3454">
        <v>23</v>
      </c>
      <c r="L3454">
        <v>13</v>
      </c>
      <c r="M3454">
        <v>2.2650000000000001</v>
      </c>
    </row>
    <row r="3455" spans="1:13" ht="15" customHeight="1">
      <c r="A3455" t="s">
        <v>41</v>
      </c>
      <c r="B3455">
        <f t="shared" si="212"/>
        <v>33.716616999999999</v>
      </c>
      <c r="C3455">
        <f t="shared" si="213"/>
        <v>-117.844373</v>
      </c>
      <c r="D3455">
        <f t="shared" si="214"/>
        <v>70</v>
      </c>
      <c r="E3455">
        <v>46.499000000000002</v>
      </c>
      <c r="F3455">
        <f t="shared" si="215"/>
        <v>23.500999999999998</v>
      </c>
      <c r="G3455">
        <v>79.283000000000001</v>
      </c>
      <c r="H3455">
        <v>1.56</v>
      </c>
      <c r="I3455">
        <v>1.972</v>
      </c>
      <c r="J3455">
        <v>7</v>
      </c>
      <c r="K3455">
        <v>25</v>
      </c>
      <c r="L3455">
        <v>14</v>
      </c>
      <c r="M3455" s="1">
        <v>9000000000</v>
      </c>
    </row>
    <row r="3456" spans="1:13" ht="15" customHeight="1">
      <c r="A3456" t="s">
        <v>41</v>
      </c>
      <c r="B3456">
        <f t="shared" si="212"/>
        <v>33.716616999999999</v>
      </c>
      <c r="C3456">
        <f t="shared" si="213"/>
        <v>-117.844373</v>
      </c>
      <c r="D3456">
        <f t="shared" si="214"/>
        <v>70</v>
      </c>
      <c r="E3456">
        <v>47.499000000000002</v>
      </c>
      <c r="F3456">
        <f t="shared" si="215"/>
        <v>22.500999999999998</v>
      </c>
      <c r="G3456">
        <v>159.833</v>
      </c>
      <c r="H3456">
        <v>1.325</v>
      </c>
      <c r="I3456">
        <v>0.83</v>
      </c>
      <c r="J3456">
        <v>9</v>
      </c>
      <c r="K3456">
        <v>31</v>
      </c>
      <c r="L3456">
        <v>17</v>
      </c>
      <c r="M3456" s="1">
        <v>9000000000</v>
      </c>
    </row>
    <row r="3457" spans="1:13" ht="15" customHeight="1">
      <c r="A3457" t="s">
        <v>41</v>
      </c>
      <c r="B3457">
        <f t="shared" si="212"/>
        <v>33.716616999999999</v>
      </c>
      <c r="C3457">
        <f t="shared" si="213"/>
        <v>-117.844373</v>
      </c>
      <c r="D3457">
        <f t="shared" si="214"/>
        <v>70</v>
      </c>
      <c r="E3457">
        <v>48.499000000000002</v>
      </c>
      <c r="F3457">
        <f t="shared" si="215"/>
        <v>21.500999999999998</v>
      </c>
      <c r="G3457">
        <v>40.4</v>
      </c>
      <c r="H3457">
        <v>1.4850000000000001</v>
      </c>
      <c r="I3457">
        <v>3.6789999999999998</v>
      </c>
      <c r="J3457">
        <v>5</v>
      </c>
      <c r="K3457">
        <v>19</v>
      </c>
      <c r="L3457">
        <v>10</v>
      </c>
      <c r="M3457">
        <v>2.4950000000000001</v>
      </c>
    </row>
    <row r="3458" spans="1:13" ht="15" customHeight="1">
      <c r="A3458" t="s">
        <v>41</v>
      </c>
      <c r="B3458">
        <f t="shared" ref="B3458:B3521" si="216">VLOOKUP(A3458,XYdata,3,FALSE)</f>
        <v>33.716616999999999</v>
      </c>
      <c r="C3458">
        <f t="shared" ref="C3458:C3521" si="217">VLOOKUP(A3458,XYdata,2,FALSE)</f>
        <v>-117.844373</v>
      </c>
      <c r="D3458">
        <f t="shared" ref="D3458:D3521" si="218">VLOOKUP(A3458,Elevation,2,FALSE)</f>
        <v>70</v>
      </c>
      <c r="E3458">
        <v>49.499000000000002</v>
      </c>
      <c r="F3458">
        <f t="shared" si="215"/>
        <v>20.500999999999998</v>
      </c>
      <c r="G3458">
        <v>52.417000000000002</v>
      </c>
      <c r="H3458">
        <v>1.83</v>
      </c>
      <c r="I3458">
        <v>3.5009999999999999</v>
      </c>
      <c r="J3458">
        <v>5</v>
      </c>
      <c r="K3458">
        <v>25</v>
      </c>
      <c r="L3458">
        <v>13</v>
      </c>
      <c r="M3458">
        <v>3.2839999999999998</v>
      </c>
    </row>
    <row r="3459" spans="1:13" ht="15" customHeight="1">
      <c r="A3459" t="s">
        <v>41</v>
      </c>
      <c r="B3459">
        <f t="shared" si="216"/>
        <v>33.716616999999999</v>
      </c>
      <c r="C3459">
        <f t="shared" si="217"/>
        <v>-117.844373</v>
      </c>
      <c r="D3459">
        <f t="shared" si="218"/>
        <v>70</v>
      </c>
      <c r="E3459">
        <v>50.499000000000002</v>
      </c>
      <c r="F3459">
        <f t="shared" ref="F3459:F3522" si="219">D3459-E3459</f>
        <v>19.500999999999998</v>
      </c>
      <c r="G3459">
        <v>57.082999999999998</v>
      </c>
      <c r="H3459">
        <v>2.3919999999999999</v>
      </c>
      <c r="I3459">
        <v>4.202</v>
      </c>
      <c r="J3459">
        <v>5</v>
      </c>
      <c r="K3459">
        <v>27</v>
      </c>
      <c r="L3459">
        <v>14</v>
      </c>
      <c r="M3459">
        <v>3.59</v>
      </c>
    </row>
    <row r="3460" spans="1:13" ht="15" customHeight="1">
      <c r="A3460" t="s">
        <v>41</v>
      </c>
      <c r="B3460">
        <f t="shared" si="216"/>
        <v>33.716616999999999</v>
      </c>
      <c r="C3460">
        <f t="shared" si="217"/>
        <v>-117.844373</v>
      </c>
      <c r="D3460">
        <f t="shared" si="218"/>
        <v>70</v>
      </c>
      <c r="E3460">
        <v>51.499000000000002</v>
      </c>
      <c r="F3460">
        <f t="shared" si="219"/>
        <v>18.500999999999998</v>
      </c>
      <c r="G3460">
        <v>67.183000000000007</v>
      </c>
      <c r="H3460">
        <v>3.2930000000000001</v>
      </c>
      <c r="I3460">
        <v>4.9139999999999997</v>
      </c>
      <c r="J3460">
        <v>11</v>
      </c>
      <c r="K3460">
        <v>64</v>
      </c>
      <c r="L3460">
        <v>34</v>
      </c>
      <c r="M3460" s="1">
        <v>9000000000</v>
      </c>
    </row>
    <row r="3461" spans="1:13" ht="15" customHeight="1">
      <c r="A3461" t="s">
        <v>41</v>
      </c>
      <c r="B3461">
        <f t="shared" si="216"/>
        <v>33.716616999999999</v>
      </c>
      <c r="C3461">
        <f t="shared" si="217"/>
        <v>-117.844373</v>
      </c>
      <c r="D3461">
        <f t="shared" si="218"/>
        <v>70</v>
      </c>
      <c r="E3461">
        <v>52.499000000000002</v>
      </c>
      <c r="F3461">
        <f t="shared" si="219"/>
        <v>17.500999999999998</v>
      </c>
      <c r="G3461">
        <v>63.9</v>
      </c>
      <c r="H3461">
        <v>2.5760000000000001</v>
      </c>
      <c r="I3461">
        <v>4.0410000000000004</v>
      </c>
      <c r="J3461">
        <v>5</v>
      </c>
      <c r="K3461">
        <v>31</v>
      </c>
      <c r="L3461">
        <v>16</v>
      </c>
      <c r="M3461">
        <v>4.0359999999999996</v>
      </c>
    </row>
    <row r="3462" spans="1:13" ht="15" customHeight="1">
      <c r="A3462" t="s">
        <v>41</v>
      </c>
      <c r="B3462">
        <f t="shared" si="216"/>
        <v>33.716616999999999</v>
      </c>
      <c r="C3462">
        <f t="shared" si="217"/>
        <v>-117.844373</v>
      </c>
      <c r="D3462">
        <f t="shared" si="218"/>
        <v>70</v>
      </c>
      <c r="E3462">
        <v>53.499000000000002</v>
      </c>
      <c r="F3462">
        <f t="shared" si="219"/>
        <v>16.500999999999998</v>
      </c>
      <c r="G3462">
        <v>70.117000000000004</v>
      </c>
      <c r="H3462">
        <v>3.0270000000000001</v>
      </c>
      <c r="I3462">
        <v>4.327</v>
      </c>
      <c r="J3462">
        <v>5</v>
      </c>
      <c r="K3462">
        <v>34</v>
      </c>
      <c r="L3462">
        <v>17</v>
      </c>
      <c r="M3462">
        <v>4.4459999999999997</v>
      </c>
    </row>
    <row r="3463" spans="1:13" ht="15" customHeight="1">
      <c r="A3463" t="s">
        <v>41</v>
      </c>
      <c r="B3463">
        <f t="shared" si="216"/>
        <v>33.716616999999999</v>
      </c>
      <c r="C3463">
        <f t="shared" si="217"/>
        <v>-117.844373</v>
      </c>
      <c r="D3463">
        <f t="shared" si="218"/>
        <v>70</v>
      </c>
      <c r="E3463">
        <v>54.499000000000002</v>
      </c>
      <c r="F3463">
        <f t="shared" si="219"/>
        <v>15.500999999999998</v>
      </c>
      <c r="G3463">
        <v>72.733000000000004</v>
      </c>
      <c r="H3463">
        <v>2.528</v>
      </c>
      <c r="I3463">
        <v>3.4849999999999999</v>
      </c>
      <c r="J3463">
        <v>6</v>
      </c>
      <c r="K3463">
        <v>28</v>
      </c>
      <c r="L3463">
        <v>14</v>
      </c>
      <c r="M3463">
        <v>4.6150000000000002</v>
      </c>
    </row>
    <row r="3464" spans="1:13" ht="15" customHeight="1">
      <c r="A3464" t="s">
        <v>41</v>
      </c>
      <c r="B3464">
        <f t="shared" si="216"/>
        <v>33.716616999999999</v>
      </c>
      <c r="C3464">
        <f t="shared" si="217"/>
        <v>-117.844373</v>
      </c>
      <c r="D3464">
        <f t="shared" si="218"/>
        <v>70</v>
      </c>
      <c r="E3464">
        <v>55.499000000000002</v>
      </c>
      <c r="F3464">
        <f t="shared" si="219"/>
        <v>14.500999999999998</v>
      </c>
      <c r="G3464">
        <v>44.5</v>
      </c>
      <c r="H3464">
        <v>1.2629999999999999</v>
      </c>
      <c r="I3464">
        <v>2.851</v>
      </c>
      <c r="J3464">
        <v>6</v>
      </c>
      <c r="K3464">
        <v>17</v>
      </c>
      <c r="L3464">
        <v>9</v>
      </c>
      <c r="M3464">
        <v>2.7290000000000001</v>
      </c>
    </row>
    <row r="3465" spans="1:13" ht="15" customHeight="1">
      <c r="A3465" t="s">
        <v>41</v>
      </c>
      <c r="B3465">
        <f t="shared" si="216"/>
        <v>33.716616999999999</v>
      </c>
      <c r="C3465">
        <f t="shared" si="217"/>
        <v>-117.844373</v>
      </c>
      <c r="D3465">
        <f t="shared" si="218"/>
        <v>70</v>
      </c>
      <c r="E3465">
        <v>56.499000000000002</v>
      </c>
      <c r="F3465">
        <f t="shared" si="219"/>
        <v>13.500999999999998</v>
      </c>
      <c r="G3465">
        <v>223.53299999999999</v>
      </c>
      <c r="H3465">
        <v>2.7050000000000001</v>
      </c>
      <c r="I3465">
        <v>1.2110000000000001</v>
      </c>
      <c r="J3465">
        <v>9</v>
      </c>
      <c r="K3465">
        <v>43</v>
      </c>
      <c r="L3465">
        <v>22</v>
      </c>
      <c r="M3465" s="1">
        <v>9000000000</v>
      </c>
    </row>
    <row r="3466" spans="1:13" ht="15" customHeight="1">
      <c r="A3466" t="s">
        <v>41</v>
      </c>
      <c r="B3466">
        <f t="shared" si="216"/>
        <v>33.716616999999999</v>
      </c>
      <c r="C3466">
        <f t="shared" si="217"/>
        <v>-117.844373</v>
      </c>
      <c r="D3466">
        <f t="shared" si="218"/>
        <v>70</v>
      </c>
      <c r="E3466">
        <v>57.499000000000002</v>
      </c>
      <c r="F3466">
        <f t="shared" si="219"/>
        <v>12.500999999999998</v>
      </c>
      <c r="G3466">
        <v>138.44999999999999</v>
      </c>
      <c r="H3466">
        <v>2.1230000000000002</v>
      </c>
      <c r="I3466">
        <v>1.5349999999999999</v>
      </c>
      <c r="J3466">
        <v>8</v>
      </c>
      <c r="K3466">
        <v>33</v>
      </c>
      <c r="L3466">
        <v>17</v>
      </c>
      <c r="M3466" s="1">
        <v>9000000000</v>
      </c>
    </row>
    <row r="3467" spans="1:13" ht="15" customHeight="1">
      <c r="A3467" t="s">
        <v>41</v>
      </c>
      <c r="B3467">
        <f t="shared" si="216"/>
        <v>33.716616999999999</v>
      </c>
      <c r="C3467">
        <f t="shared" si="217"/>
        <v>-117.844373</v>
      </c>
      <c r="D3467">
        <f t="shared" si="218"/>
        <v>70</v>
      </c>
      <c r="E3467">
        <v>58.499000000000002</v>
      </c>
      <c r="F3467">
        <f t="shared" si="219"/>
        <v>11.500999999999998</v>
      </c>
      <c r="G3467">
        <v>18.55</v>
      </c>
      <c r="H3467">
        <v>0.70299999999999996</v>
      </c>
      <c r="I3467">
        <v>3.8119999999999998</v>
      </c>
      <c r="J3467">
        <v>4</v>
      </c>
      <c r="K3467">
        <v>12</v>
      </c>
      <c r="L3467">
        <v>6</v>
      </c>
      <c r="M3467">
        <v>0.99199999999999999</v>
      </c>
    </row>
    <row r="3468" spans="1:13" ht="15" customHeight="1">
      <c r="A3468" t="s">
        <v>41</v>
      </c>
      <c r="B3468">
        <f t="shared" si="216"/>
        <v>33.716616999999999</v>
      </c>
      <c r="C3468">
        <f t="shared" si="217"/>
        <v>-117.844373</v>
      </c>
      <c r="D3468">
        <f t="shared" si="218"/>
        <v>70</v>
      </c>
      <c r="E3468">
        <v>59.499000000000002</v>
      </c>
      <c r="F3468">
        <f t="shared" si="219"/>
        <v>10.500999999999998</v>
      </c>
      <c r="G3468">
        <v>13.317</v>
      </c>
      <c r="H3468">
        <v>0.43</v>
      </c>
      <c r="I3468">
        <v>3.2370000000000001</v>
      </c>
      <c r="J3468">
        <v>4</v>
      </c>
      <c r="K3468">
        <v>8</v>
      </c>
      <c r="L3468">
        <v>4</v>
      </c>
      <c r="M3468">
        <v>0.64300000000000002</v>
      </c>
    </row>
    <row r="3469" spans="1:13" ht="15" customHeight="1">
      <c r="A3469" t="s">
        <v>41</v>
      </c>
      <c r="B3469">
        <f t="shared" si="216"/>
        <v>33.716616999999999</v>
      </c>
      <c r="C3469">
        <f t="shared" si="217"/>
        <v>-117.844373</v>
      </c>
      <c r="D3469">
        <f t="shared" si="218"/>
        <v>70</v>
      </c>
      <c r="E3469">
        <v>60.499000000000002</v>
      </c>
      <c r="F3469">
        <f t="shared" si="219"/>
        <v>9.5009999999999977</v>
      </c>
      <c r="G3469">
        <v>18.016999999999999</v>
      </c>
      <c r="H3469">
        <v>0.46</v>
      </c>
      <c r="I3469">
        <v>2.5409999999999999</v>
      </c>
      <c r="J3469">
        <v>5</v>
      </c>
      <c r="K3469">
        <v>9</v>
      </c>
      <c r="L3469">
        <v>5</v>
      </c>
      <c r="M3469">
        <v>0.96</v>
      </c>
    </row>
    <row r="3470" spans="1:13" ht="15" customHeight="1">
      <c r="A3470" t="s">
        <v>41</v>
      </c>
      <c r="B3470">
        <f t="shared" si="216"/>
        <v>33.716616999999999</v>
      </c>
      <c r="C3470">
        <f t="shared" si="217"/>
        <v>-117.844373</v>
      </c>
      <c r="D3470">
        <f t="shared" si="218"/>
        <v>70</v>
      </c>
      <c r="E3470">
        <v>61.499000000000002</v>
      </c>
      <c r="F3470">
        <f t="shared" si="219"/>
        <v>8.5009999999999977</v>
      </c>
      <c r="G3470">
        <v>19.667000000000002</v>
      </c>
      <c r="H3470">
        <v>0.39200000000000002</v>
      </c>
      <c r="I3470">
        <v>1.875</v>
      </c>
      <c r="J3470">
        <v>6</v>
      </c>
      <c r="K3470">
        <v>8</v>
      </c>
      <c r="L3470">
        <v>4</v>
      </c>
      <c r="M3470">
        <v>1.1419999999999999</v>
      </c>
    </row>
    <row r="3471" spans="1:13" ht="15" customHeight="1">
      <c r="A3471" t="s">
        <v>41</v>
      </c>
      <c r="B3471">
        <f t="shared" si="216"/>
        <v>33.716616999999999</v>
      </c>
      <c r="C3471">
        <f t="shared" si="217"/>
        <v>-117.844373</v>
      </c>
      <c r="D3471">
        <f t="shared" si="218"/>
        <v>70</v>
      </c>
      <c r="E3471">
        <v>62.499000000000002</v>
      </c>
      <c r="F3471">
        <f t="shared" si="219"/>
        <v>7.5009999999999977</v>
      </c>
      <c r="G3471">
        <v>21.585999999999999</v>
      </c>
      <c r="H3471">
        <v>0.50700000000000001</v>
      </c>
      <c r="I3471">
        <v>2.23</v>
      </c>
      <c r="J3471">
        <v>6</v>
      </c>
      <c r="K3471">
        <v>9</v>
      </c>
      <c r="L3471">
        <v>5</v>
      </c>
      <c r="M3471">
        <v>1.262</v>
      </c>
    </row>
    <row r="3472" spans="1:13" ht="15" customHeight="1">
      <c r="A3472" t="s">
        <v>41</v>
      </c>
      <c r="B3472">
        <f t="shared" si="216"/>
        <v>33.716616999999999</v>
      </c>
      <c r="C3472">
        <f t="shared" si="217"/>
        <v>-117.844373</v>
      </c>
      <c r="D3472">
        <f t="shared" si="218"/>
        <v>70</v>
      </c>
      <c r="E3472">
        <v>63.499000000000002</v>
      </c>
      <c r="F3472">
        <f t="shared" si="219"/>
        <v>6.5009999999999977</v>
      </c>
      <c r="G3472">
        <v>21.183</v>
      </c>
      <c r="H3472">
        <v>0.60199999999999998</v>
      </c>
      <c r="I3472">
        <v>2.7330000000000001</v>
      </c>
      <c r="J3472">
        <v>5</v>
      </c>
      <c r="K3472">
        <v>11</v>
      </c>
      <c r="L3472">
        <v>6</v>
      </c>
      <c r="M3472">
        <v>1.2090000000000001</v>
      </c>
    </row>
    <row r="3473" spans="1:13" ht="15" customHeight="1">
      <c r="A3473" t="s">
        <v>41</v>
      </c>
      <c r="B3473">
        <f t="shared" si="216"/>
        <v>33.716616999999999</v>
      </c>
      <c r="C3473">
        <f t="shared" si="217"/>
        <v>-117.844373</v>
      </c>
      <c r="D3473">
        <f t="shared" si="218"/>
        <v>70</v>
      </c>
      <c r="E3473">
        <v>64.498999999999995</v>
      </c>
      <c r="F3473">
        <f t="shared" si="219"/>
        <v>5.5010000000000048</v>
      </c>
      <c r="G3473">
        <v>21.533000000000001</v>
      </c>
      <c r="H3473">
        <v>0.65</v>
      </c>
      <c r="I3473">
        <v>2.9129999999999998</v>
      </c>
      <c r="J3473">
        <v>5</v>
      </c>
      <c r="K3473">
        <v>11</v>
      </c>
      <c r="L3473">
        <v>6</v>
      </c>
      <c r="M3473">
        <v>1.2250000000000001</v>
      </c>
    </row>
    <row r="3474" spans="1:13" ht="15" customHeight="1">
      <c r="A3474" t="s">
        <v>41</v>
      </c>
      <c r="B3474">
        <f t="shared" si="216"/>
        <v>33.716616999999999</v>
      </c>
      <c r="C3474">
        <f t="shared" si="217"/>
        <v>-117.844373</v>
      </c>
      <c r="D3474">
        <f t="shared" si="218"/>
        <v>70</v>
      </c>
      <c r="E3474">
        <v>65.498999999999995</v>
      </c>
      <c r="F3474">
        <f t="shared" si="219"/>
        <v>4.5010000000000048</v>
      </c>
      <c r="G3474">
        <v>25.65</v>
      </c>
      <c r="H3474">
        <v>0.83199999999999996</v>
      </c>
      <c r="I3474">
        <v>3.24</v>
      </c>
      <c r="J3474">
        <v>5</v>
      </c>
      <c r="K3474">
        <v>12</v>
      </c>
      <c r="L3474">
        <v>6</v>
      </c>
      <c r="M3474">
        <v>1.444</v>
      </c>
    </row>
    <row r="3475" spans="1:13" ht="15" customHeight="1">
      <c r="A3475" t="s">
        <v>41</v>
      </c>
      <c r="B3475">
        <f t="shared" si="216"/>
        <v>33.716616999999999</v>
      </c>
      <c r="C3475">
        <f t="shared" si="217"/>
        <v>-117.844373</v>
      </c>
      <c r="D3475">
        <f t="shared" si="218"/>
        <v>70</v>
      </c>
      <c r="E3475">
        <v>66.498999999999995</v>
      </c>
      <c r="F3475">
        <f t="shared" si="219"/>
        <v>3.5010000000000048</v>
      </c>
      <c r="G3475">
        <v>30.55</v>
      </c>
      <c r="H3475">
        <v>0.97</v>
      </c>
      <c r="I3475">
        <v>3.1629999999999998</v>
      </c>
      <c r="J3475">
        <v>5</v>
      </c>
      <c r="K3475">
        <v>15</v>
      </c>
      <c r="L3475">
        <v>8</v>
      </c>
      <c r="M3475">
        <v>1.7729999999999999</v>
      </c>
    </row>
    <row r="3476" spans="1:13" ht="15" customHeight="1">
      <c r="A3476" t="s">
        <v>41</v>
      </c>
      <c r="B3476">
        <f t="shared" si="216"/>
        <v>33.716616999999999</v>
      </c>
      <c r="C3476">
        <f t="shared" si="217"/>
        <v>-117.844373</v>
      </c>
      <c r="D3476">
        <f t="shared" si="218"/>
        <v>70</v>
      </c>
      <c r="E3476">
        <v>67.498999999999995</v>
      </c>
      <c r="F3476">
        <f t="shared" si="219"/>
        <v>2.5010000000000048</v>
      </c>
      <c r="G3476">
        <v>51.267000000000003</v>
      </c>
      <c r="H3476">
        <v>2.605</v>
      </c>
      <c r="I3476">
        <v>5.0659999999999998</v>
      </c>
      <c r="J3476">
        <v>4</v>
      </c>
      <c r="K3476">
        <v>33</v>
      </c>
      <c r="L3476">
        <v>17</v>
      </c>
      <c r="M3476">
        <v>3.1520000000000001</v>
      </c>
    </row>
    <row r="3477" spans="1:13" ht="15" customHeight="1">
      <c r="A3477" t="s">
        <v>41</v>
      </c>
      <c r="B3477">
        <f t="shared" si="216"/>
        <v>33.716616999999999</v>
      </c>
      <c r="C3477">
        <f t="shared" si="217"/>
        <v>-117.844373</v>
      </c>
      <c r="D3477">
        <f t="shared" si="218"/>
        <v>70</v>
      </c>
      <c r="E3477">
        <v>68.498999999999995</v>
      </c>
      <c r="F3477">
        <f t="shared" si="219"/>
        <v>1.5010000000000048</v>
      </c>
      <c r="G3477">
        <v>46.783000000000001</v>
      </c>
      <c r="H3477">
        <v>1.7450000000000001</v>
      </c>
      <c r="I3477">
        <v>3.7389999999999999</v>
      </c>
      <c r="J3477">
        <v>5</v>
      </c>
      <c r="K3477">
        <v>22</v>
      </c>
      <c r="L3477">
        <v>11</v>
      </c>
      <c r="M3477">
        <v>2.8319999999999999</v>
      </c>
    </row>
    <row r="3478" spans="1:13" ht="15" customHeight="1">
      <c r="A3478" t="s">
        <v>41</v>
      </c>
      <c r="B3478">
        <f t="shared" si="216"/>
        <v>33.716616999999999</v>
      </c>
      <c r="C3478">
        <f t="shared" si="217"/>
        <v>-117.844373</v>
      </c>
      <c r="D3478">
        <f t="shared" si="218"/>
        <v>70</v>
      </c>
      <c r="E3478">
        <v>69.498999999999995</v>
      </c>
      <c r="F3478">
        <f t="shared" si="219"/>
        <v>0.50100000000000477</v>
      </c>
      <c r="G3478">
        <v>96.783000000000001</v>
      </c>
      <c r="H3478">
        <v>3.6179999999999999</v>
      </c>
      <c r="I3478">
        <v>3.746</v>
      </c>
      <c r="J3478">
        <v>5</v>
      </c>
      <c r="K3478">
        <v>46</v>
      </c>
      <c r="L3478">
        <v>23</v>
      </c>
      <c r="M3478">
        <v>6.1550000000000002</v>
      </c>
    </row>
    <row r="3479" spans="1:13" ht="15" customHeight="1">
      <c r="A3479" t="s">
        <v>41</v>
      </c>
      <c r="B3479">
        <f t="shared" si="216"/>
        <v>33.716616999999999</v>
      </c>
      <c r="C3479">
        <f t="shared" si="217"/>
        <v>-117.844373</v>
      </c>
      <c r="D3479">
        <f t="shared" si="218"/>
        <v>70</v>
      </c>
      <c r="E3479">
        <v>70.498999999999995</v>
      </c>
      <c r="F3479">
        <f t="shared" si="219"/>
        <v>-0.49899999999999523</v>
      </c>
      <c r="G3479">
        <v>61.332999999999998</v>
      </c>
      <c r="H3479">
        <v>2.6419999999999999</v>
      </c>
      <c r="I3479">
        <v>4.32</v>
      </c>
      <c r="J3479">
        <v>5</v>
      </c>
      <c r="K3479">
        <v>29</v>
      </c>
      <c r="L3479">
        <v>15</v>
      </c>
      <c r="M3479">
        <v>3.7890000000000001</v>
      </c>
    </row>
    <row r="3480" spans="1:13" ht="15" customHeight="1">
      <c r="A3480" t="s">
        <v>41</v>
      </c>
      <c r="B3480">
        <f t="shared" si="216"/>
        <v>33.716616999999999</v>
      </c>
      <c r="C3480">
        <f t="shared" si="217"/>
        <v>-117.844373</v>
      </c>
      <c r="D3480">
        <f t="shared" si="218"/>
        <v>70</v>
      </c>
      <c r="E3480">
        <v>71.498999999999995</v>
      </c>
      <c r="F3480">
        <f t="shared" si="219"/>
        <v>-1.4989999999999952</v>
      </c>
      <c r="G3480">
        <v>102.2</v>
      </c>
      <c r="H3480">
        <v>2.7669999999999999</v>
      </c>
      <c r="I3480">
        <v>2.7120000000000002</v>
      </c>
      <c r="J3480">
        <v>6</v>
      </c>
      <c r="K3480">
        <v>39</v>
      </c>
      <c r="L3480">
        <v>20</v>
      </c>
      <c r="M3480">
        <v>6.508</v>
      </c>
    </row>
    <row r="3481" spans="1:13" ht="15" customHeight="1">
      <c r="A3481" t="s">
        <v>41</v>
      </c>
      <c r="B3481">
        <f t="shared" si="216"/>
        <v>33.716616999999999</v>
      </c>
      <c r="C3481">
        <f t="shared" si="217"/>
        <v>-117.844373</v>
      </c>
      <c r="D3481">
        <f t="shared" si="218"/>
        <v>70</v>
      </c>
      <c r="E3481">
        <v>72.498999999999995</v>
      </c>
      <c r="F3481">
        <f t="shared" si="219"/>
        <v>-2.4989999999999952</v>
      </c>
      <c r="G3481">
        <v>297.8</v>
      </c>
      <c r="H3481">
        <v>3.649</v>
      </c>
      <c r="I3481">
        <v>1.226</v>
      </c>
      <c r="J3481">
        <v>9</v>
      </c>
      <c r="K3481">
        <v>57</v>
      </c>
      <c r="L3481">
        <v>29</v>
      </c>
      <c r="M3481" s="1">
        <v>9000000000</v>
      </c>
    </row>
    <row r="3482" spans="1:13" ht="15" customHeight="1">
      <c r="A3482" t="s">
        <v>41</v>
      </c>
      <c r="B3482">
        <f t="shared" si="216"/>
        <v>33.716616999999999</v>
      </c>
      <c r="C3482">
        <f t="shared" si="217"/>
        <v>-117.844373</v>
      </c>
      <c r="D3482">
        <f t="shared" si="218"/>
        <v>70</v>
      </c>
      <c r="E3482">
        <v>73.498999999999995</v>
      </c>
      <c r="F3482">
        <f t="shared" si="219"/>
        <v>-3.4989999999999952</v>
      </c>
      <c r="G3482">
        <v>201.96700000000001</v>
      </c>
      <c r="H3482">
        <v>1.5680000000000001</v>
      </c>
      <c r="I3482">
        <v>0.77700000000000002</v>
      </c>
      <c r="J3482">
        <v>9</v>
      </c>
      <c r="K3482">
        <v>39</v>
      </c>
      <c r="L3482">
        <v>20</v>
      </c>
      <c r="M3482" s="1">
        <v>9000000000</v>
      </c>
    </row>
    <row r="3483" spans="1:13" ht="15" customHeight="1">
      <c r="A3483" t="s">
        <v>41</v>
      </c>
      <c r="B3483">
        <f t="shared" si="216"/>
        <v>33.716616999999999</v>
      </c>
      <c r="C3483">
        <f t="shared" si="217"/>
        <v>-117.844373</v>
      </c>
      <c r="D3483">
        <f t="shared" si="218"/>
        <v>70</v>
      </c>
      <c r="E3483">
        <v>74.498999999999995</v>
      </c>
      <c r="F3483">
        <f t="shared" si="219"/>
        <v>-4.4989999999999952</v>
      </c>
      <c r="G3483">
        <v>126.983</v>
      </c>
      <c r="H3483">
        <v>2.2269999999999999</v>
      </c>
      <c r="I3483">
        <v>1.7549999999999999</v>
      </c>
      <c r="J3483">
        <v>7</v>
      </c>
      <c r="K3483">
        <v>41</v>
      </c>
      <c r="L3483">
        <v>21</v>
      </c>
      <c r="M3483" s="1">
        <v>9000000000</v>
      </c>
    </row>
    <row r="3484" spans="1:13" ht="15" customHeight="1">
      <c r="A3484" t="s">
        <v>41</v>
      </c>
      <c r="B3484">
        <f t="shared" si="216"/>
        <v>33.716616999999999</v>
      </c>
      <c r="C3484">
        <f t="shared" si="217"/>
        <v>-117.844373</v>
      </c>
      <c r="D3484">
        <f t="shared" si="218"/>
        <v>70</v>
      </c>
      <c r="E3484">
        <v>75.498999999999995</v>
      </c>
      <c r="F3484">
        <f t="shared" si="219"/>
        <v>-5.4989999999999952</v>
      </c>
      <c r="G3484">
        <v>173.667</v>
      </c>
      <c r="H3484">
        <v>2.2679999999999998</v>
      </c>
      <c r="I3484">
        <v>1.3069999999999999</v>
      </c>
      <c r="J3484">
        <v>8</v>
      </c>
      <c r="K3484">
        <v>42</v>
      </c>
      <c r="L3484">
        <v>21</v>
      </c>
      <c r="M3484" s="1">
        <v>9000000000</v>
      </c>
    </row>
    <row r="3485" spans="1:13" ht="15" customHeight="1">
      <c r="A3485" t="s">
        <v>41</v>
      </c>
      <c r="B3485">
        <f t="shared" si="216"/>
        <v>33.716616999999999</v>
      </c>
      <c r="C3485">
        <f t="shared" si="217"/>
        <v>-117.844373</v>
      </c>
      <c r="D3485">
        <f t="shared" si="218"/>
        <v>70</v>
      </c>
      <c r="E3485">
        <v>76.498999999999995</v>
      </c>
      <c r="F3485">
        <f t="shared" si="219"/>
        <v>-6.4989999999999952</v>
      </c>
      <c r="G3485">
        <v>23.917000000000002</v>
      </c>
      <c r="H3485">
        <v>0.61199999999999999</v>
      </c>
      <c r="I3485">
        <v>2.577</v>
      </c>
      <c r="J3485">
        <v>5</v>
      </c>
      <c r="K3485">
        <v>11</v>
      </c>
      <c r="L3485">
        <v>6</v>
      </c>
      <c r="M3485">
        <v>1.27</v>
      </c>
    </row>
    <row r="3486" spans="1:13" ht="15" customHeight="1">
      <c r="A3486" t="s">
        <v>41</v>
      </c>
      <c r="B3486">
        <f t="shared" si="216"/>
        <v>33.716616999999999</v>
      </c>
      <c r="C3486">
        <f t="shared" si="217"/>
        <v>-117.844373</v>
      </c>
      <c r="D3486">
        <f t="shared" si="218"/>
        <v>70</v>
      </c>
      <c r="E3486">
        <v>77.498999999999995</v>
      </c>
      <c r="F3486">
        <f t="shared" si="219"/>
        <v>-7.4989999999999952</v>
      </c>
      <c r="G3486">
        <v>23.65</v>
      </c>
      <c r="H3486">
        <v>0.72199999999999998</v>
      </c>
      <c r="I3486">
        <v>3.0710000000000002</v>
      </c>
      <c r="J3486">
        <v>5</v>
      </c>
      <c r="K3486">
        <v>11</v>
      </c>
      <c r="L3486">
        <v>6</v>
      </c>
      <c r="M3486">
        <v>1.25</v>
      </c>
    </row>
    <row r="3487" spans="1:13" ht="15" customHeight="1">
      <c r="A3487" t="s">
        <v>41</v>
      </c>
      <c r="B3487">
        <f t="shared" si="216"/>
        <v>33.716616999999999</v>
      </c>
      <c r="C3487">
        <f t="shared" si="217"/>
        <v>-117.844373</v>
      </c>
      <c r="D3487">
        <f t="shared" si="218"/>
        <v>70</v>
      </c>
      <c r="E3487">
        <v>78.498999999999995</v>
      </c>
      <c r="F3487">
        <f t="shared" si="219"/>
        <v>-8.4989999999999952</v>
      </c>
      <c r="G3487">
        <v>23.183</v>
      </c>
      <c r="H3487">
        <v>0.52500000000000002</v>
      </c>
      <c r="I3487">
        <v>2.2759999999999998</v>
      </c>
      <c r="J3487">
        <v>6</v>
      </c>
      <c r="K3487">
        <v>9</v>
      </c>
      <c r="L3487">
        <v>5</v>
      </c>
      <c r="M3487">
        <v>1.2170000000000001</v>
      </c>
    </row>
    <row r="3488" spans="1:13" ht="15" customHeight="1">
      <c r="A3488" t="s">
        <v>41</v>
      </c>
      <c r="B3488">
        <f t="shared" si="216"/>
        <v>33.716616999999999</v>
      </c>
      <c r="C3488">
        <f t="shared" si="217"/>
        <v>-117.844373</v>
      </c>
      <c r="D3488">
        <f t="shared" si="218"/>
        <v>70</v>
      </c>
      <c r="E3488">
        <v>79.498999999999995</v>
      </c>
      <c r="F3488">
        <f t="shared" si="219"/>
        <v>-9.4989999999999952</v>
      </c>
      <c r="G3488">
        <v>31.483000000000001</v>
      </c>
      <c r="H3488">
        <v>0.97299999999999998</v>
      </c>
      <c r="I3488">
        <v>3.101</v>
      </c>
      <c r="J3488">
        <v>5</v>
      </c>
      <c r="K3488">
        <v>15</v>
      </c>
      <c r="L3488">
        <v>8</v>
      </c>
      <c r="M3488">
        <v>1.7669999999999999</v>
      </c>
    </row>
    <row r="3489" spans="1:13" ht="15" customHeight="1">
      <c r="A3489" t="s">
        <v>41</v>
      </c>
      <c r="B3489">
        <f t="shared" si="216"/>
        <v>33.716616999999999</v>
      </c>
      <c r="C3489">
        <f t="shared" si="217"/>
        <v>-117.844373</v>
      </c>
      <c r="D3489">
        <f t="shared" si="218"/>
        <v>70</v>
      </c>
      <c r="E3489">
        <v>80.498999999999995</v>
      </c>
      <c r="F3489">
        <f t="shared" si="219"/>
        <v>-10.498999999999995</v>
      </c>
      <c r="G3489">
        <v>28.817</v>
      </c>
      <c r="H3489">
        <v>0.86499999999999999</v>
      </c>
      <c r="I3489">
        <v>3.0070000000000001</v>
      </c>
      <c r="J3489">
        <v>5</v>
      </c>
      <c r="K3489">
        <v>14</v>
      </c>
      <c r="L3489">
        <v>7</v>
      </c>
      <c r="M3489">
        <v>1.5880000000000001</v>
      </c>
    </row>
    <row r="3490" spans="1:13" ht="15" customHeight="1">
      <c r="A3490" t="s">
        <v>41</v>
      </c>
      <c r="B3490">
        <f t="shared" si="216"/>
        <v>33.716616999999999</v>
      </c>
      <c r="C3490">
        <f t="shared" si="217"/>
        <v>-117.844373</v>
      </c>
      <c r="D3490">
        <f t="shared" si="218"/>
        <v>70</v>
      </c>
      <c r="E3490">
        <v>81.498999999999995</v>
      </c>
      <c r="F3490">
        <f t="shared" si="219"/>
        <v>-11.498999999999995</v>
      </c>
      <c r="G3490">
        <v>27.266999999999999</v>
      </c>
      <c r="H3490">
        <v>0.79300000000000004</v>
      </c>
      <c r="I3490">
        <v>2.91</v>
      </c>
      <c r="J3490">
        <v>5</v>
      </c>
      <c r="K3490">
        <v>13</v>
      </c>
      <c r="L3490">
        <v>7</v>
      </c>
      <c r="M3490">
        <v>1.484</v>
      </c>
    </row>
    <row r="3491" spans="1:13" ht="15" customHeight="1">
      <c r="A3491" t="s">
        <v>41</v>
      </c>
      <c r="B3491">
        <f t="shared" si="216"/>
        <v>33.716616999999999</v>
      </c>
      <c r="C3491">
        <f t="shared" si="217"/>
        <v>-117.844373</v>
      </c>
      <c r="D3491">
        <f t="shared" si="218"/>
        <v>70</v>
      </c>
      <c r="E3491">
        <v>82.498999999999995</v>
      </c>
      <c r="F3491">
        <f t="shared" si="219"/>
        <v>-12.498999999999995</v>
      </c>
      <c r="G3491">
        <v>24.183</v>
      </c>
      <c r="H3491">
        <v>0.59299999999999997</v>
      </c>
      <c r="I3491">
        <v>2.448</v>
      </c>
      <c r="J3491">
        <v>6</v>
      </c>
      <c r="K3491">
        <v>9</v>
      </c>
      <c r="L3491">
        <v>5</v>
      </c>
      <c r="M3491">
        <v>1.278</v>
      </c>
    </row>
    <row r="3492" spans="1:13" ht="15" customHeight="1">
      <c r="A3492" t="s">
        <v>41</v>
      </c>
      <c r="B3492">
        <f t="shared" si="216"/>
        <v>33.716616999999999</v>
      </c>
      <c r="C3492">
        <f t="shared" si="217"/>
        <v>-117.844373</v>
      </c>
      <c r="D3492">
        <f t="shared" si="218"/>
        <v>70</v>
      </c>
      <c r="E3492">
        <v>83.498999999999995</v>
      </c>
      <c r="F3492">
        <f t="shared" si="219"/>
        <v>-13.498999999999995</v>
      </c>
      <c r="G3492">
        <v>26.343</v>
      </c>
      <c r="H3492">
        <v>0.626</v>
      </c>
      <c r="I3492">
        <v>2.254</v>
      </c>
      <c r="J3492">
        <v>6</v>
      </c>
      <c r="K3492">
        <v>11</v>
      </c>
      <c r="L3492">
        <v>6</v>
      </c>
      <c r="M3492">
        <v>1.5089999999999999</v>
      </c>
    </row>
    <row r="3493" spans="1:13" ht="15" customHeight="1">
      <c r="A3493" t="s">
        <v>41</v>
      </c>
      <c r="B3493">
        <f t="shared" si="216"/>
        <v>33.716616999999999</v>
      </c>
      <c r="C3493">
        <f t="shared" si="217"/>
        <v>-117.844373</v>
      </c>
      <c r="D3493">
        <f t="shared" si="218"/>
        <v>70</v>
      </c>
      <c r="E3493">
        <v>84.498999999999995</v>
      </c>
      <c r="F3493">
        <f t="shared" si="219"/>
        <v>-14.498999999999995</v>
      </c>
      <c r="G3493">
        <v>34.9</v>
      </c>
      <c r="H3493">
        <v>1.095</v>
      </c>
      <c r="I3493">
        <v>3.004</v>
      </c>
      <c r="J3493">
        <v>5</v>
      </c>
      <c r="K3493">
        <v>17</v>
      </c>
      <c r="L3493">
        <v>9</v>
      </c>
      <c r="M3493">
        <v>2.0840000000000001</v>
      </c>
    </row>
    <row r="3494" spans="1:13" ht="15" customHeight="1">
      <c r="A3494" t="s">
        <v>41</v>
      </c>
      <c r="B3494">
        <f t="shared" si="216"/>
        <v>33.716616999999999</v>
      </c>
      <c r="C3494">
        <f t="shared" si="217"/>
        <v>-117.844373</v>
      </c>
      <c r="D3494">
        <f t="shared" si="218"/>
        <v>70</v>
      </c>
      <c r="E3494">
        <v>85.498999999999995</v>
      </c>
      <c r="F3494">
        <f t="shared" si="219"/>
        <v>-15.498999999999995</v>
      </c>
      <c r="G3494">
        <v>29.117000000000001</v>
      </c>
      <c r="H3494">
        <v>1.0169999999999999</v>
      </c>
      <c r="I3494">
        <v>3.29</v>
      </c>
      <c r="J3494">
        <v>5</v>
      </c>
      <c r="K3494">
        <v>15</v>
      </c>
      <c r="L3494">
        <v>8</v>
      </c>
      <c r="M3494">
        <v>1.71</v>
      </c>
    </row>
    <row r="3495" spans="1:13" ht="15" customHeight="1">
      <c r="A3495" t="s">
        <v>41</v>
      </c>
      <c r="B3495">
        <f t="shared" si="216"/>
        <v>33.716616999999999</v>
      </c>
      <c r="C3495">
        <f t="shared" si="217"/>
        <v>-117.844373</v>
      </c>
      <c r="D3495">
        <f t="shared" si="218"/>
        <v>70</v>
      </c>
      <c r="E3495">
        <v>86.498999999999995</v>
      </c>
      <c r="F3495">
        <f t="shared" si="219"/>
        <v>-16.498999999999995</v>
      </c>
      <c r="G3495">
        <v>45.283000000000001</v>
      </c>
      <c r="H3495">
        <v>1.415</v>
      </c>
      <c r="I3495">
        <v>3.0880000000000001</v>
      </c>
      <c r="J3495">
        <v>6</v>
      </c>
      <c r="K3495">
        <v>18</v>
      </c>
      <c r="L3495">
        <v>9</v>
      </c>
      <c r="M3495">
        <v>2.7</v>
      </c>
    </row>
    <row r="3496" spans="1:13" ht="15" customHeight="1">
      <c r="A3496" t="s">
        <v>41</v>
      </c>
      <c r="B3496">
        <f t="shared" si="216"/>
        <v>33.716616999999999</v>
      </c>
      <c r="C3496">
        <f t="shared" si="217"/>
        <v>-117.844373</v>
      </c>
      <c r="D3496">
        <f t="shared" si="218"/>
        <v>70</v>
      </c>
      <c r="E3496">
        <v>87.498999999999995</v>
      </c>
      <c r="F3496">
        <f t="shared" si="219"/>
        <v>-17.498999999999995</v>
      </c>
      <c r="G3496">
        <v>36.75</v>
      </c>
      <c r="H3496">
        <v>1.1919999999999999</v>
      </c>
      <c r="I3496">
        <v>3.2320000000000002</v>
      </c>
      <c r="J3496">
        <v>5</v>
      </c>
      <c r="K3496">
        <v>18</v>
      </c>
      <c r="L3496">
        <v>9</v>
      </c>
      <c r="M3496">
        <v>2.0990000000000002</v>
      </c>
    </row>
    <row r="3497" spans="1:13" ht="15" customHeight="1">
      <c r="A3497" t="s">
        <v>41</v>
      </c>
      <c r="B3497">
        <f t="shared" si="216"/>
        <v>33.716616999999999</v>
      </c>
      <c r="C3497">
        <f t="shared" si="217"/>
        <v>-117.844373</v>
      </c>
      <c r="D3497">
        <f t="shared" si="218"/>
        <v>70</v>
      </c>
      <c r="E3497">
        <v>88.498999999999995</v>
      </c>
      <c r="F3497">
        <f t="shared" si="219"/>
        <v>-18.498999999999995</v>
      </c>
      <c r="G3497">
        <v>37.216999999999999</v>
      </c>
      <c r="H3497">
        <v>1.1679999999999999</v>
      </c>
      <c r="I3497">
        <v>3.1139999999999999</v>
      </c>
      <c r="J3497">
        <v>5</v>
      </c>
      <c r="K3497">
        <v>18</v>
      </c>
      <c r="L3497">
        <v>9</v>
      </c>
      <c r="M3497">
        <v>2.1379999999999999</v>
      </c>
    </row>
    <row r="3498" spans="1:13" ht="15" customHeight="1">
      <c r="A3498" t="s">
        <v>41</v>
      </c>
      <c r="B3498">
        <f t="shared" si="216"/>
        <v>33.716616999999999</v>
      </c>
      <c r="C3498">
        <f t="shared" si="217"/>
        <v>-117.844373</v>
      </c>
      <c r="D3498">
        <f t="shared" si="218"/>
        <v>70</v>
      </c>
      <c r="E3498">
        <v>89.498999999999995</v>
      </c>
      <c r="F3498">
        <f t="shared" si="219"/>
        <v>-19.498999999999995</v>
      </c>
      <c r="G3498">
        <v>53.633000000000003</v>
      </c>
      <c r="H3498">
        <v>1.542</v>
      </c>
      <c r="I3498">
        <v>2.863</v>
      </c>
      <c r="J3498">
        <v>6</v>
      </c>
      <c r="K3498">
        <v>21</v>
      </c>
      <c r="L3498">
        <v>11</v>
      </c>
      <c r="M3498">
        <v>3.2229999999999999</v>
      </c>
    </row>
    <row r="3499" spans="1:13" ht="15" customHeight="1">
      <c r="A3499" t="s">
        <v>41</v>
      </c>
      <c r="B3499">
        <f t="shared" si="216"/>
        <v>33.716616999999999</v>
      </c>
      <c r="C3499">
        <f t="shared" si="217"/>
        <v>-117.844373</v>
      </c>
      <c r="D3499">
        <f t="shared" si="218"/>
        <v>70</v>
      </c>
      <c r="E3499">
        <v>90.498999999999995</v>
      </c>
      <c r="F3499">
        <f t="shared" si="219"/>
        <v>-20.498999999999995</v>
      </c>
      <c r="G3499">
        <v>27.367000000000001</v>
      </c>
      <c r="H3499">
        <v>0.81</v>
      </c>
      <c r="I3499">
        <v>2.9420000000000002</v>
      </c>
      <c r="J3499">
        <v>5</v>
      </c>
      <c r="K3499">
        <v>13</v>
      </c>
      <c r="L3499">
        <v>7</v>
      </c>
      <c r="M3499">
        <v>1.464</v>
      </c>
    </row>
    <row r="3500" spans="1:13" ht="15" customHeight="1">
      <c r="A3500" t="s">
        <v>41</v>
      </c>
      <c r="B3500">
        <f t="shared" si="216"/>
        <v>33.716616999999999</v>
      </c>
      <c r="C3500">
        <f t="shared" si="217"/>
        <v>-117.844373</v>
      </c>
      <c r="D3500">
        <f t="shared" si="218"/>
        <v>70</v>
      </c>
      <c r="E3500">
        <v>91.498999999999995</v>
      </c>
      <c r="F3500">
        <f t="shared" si="219"/>
        <v>-21.498999999999995</v>
      </c>
      <c r="G3500">
        <v>31.733000000000001</v>
      </c>
      <c r="H3500">
        <v>0.82199999999999995</v>
      </c>
      <c r="I3500">
        <v>2.5449999999999999</v>
      </c>
      <c r="J3500">
        <v>6</v>
      </c>
      <c r="K3500">
        <v>12</v>
      </c>
      <c r="L3500">
        <v>6</v>
      </c>
      <c r="M3500">
        <v>1.7769999999999999</v>
      </c>
    </row>
    <row r="3501" spans="1:13" ht="15" customHeight="1">
      <c r="A3501" t="s">
        <v>41</v>
      </c>
      <c r="B3501">
        <f t="shared" si="216"/>
        <v>33.716616999999999</v>
      </c>
      <c r="C3501">
        <f t="shared" si="217"/>
        <v>-117.844373</v>
      </c>
      <c r="D3501">
        <f t="shared" si="218"/>
        <v>70</v>
      </c>
      <c r="E3501">
        <v>92.498999999999995</v>
      </c>
      <c r="F3501">
        <f t="shared" si="219"/>
        <v>-22.498999999999995</v>
      </c>
      <c r="G3501">
        <v>25.533000000000001</v>
      </c>
      <c r="H3501">
        <v>0.70699999999999996</v>
      </c>
      <c r="I3501">
        <v>2.6720000000000002</v>
      </c>
      <c r="J3501">
        <v>6</v>
      </c>
      <c r="K3501">
        <v>10</v>
      </c>
      <c r="L3501">
        <v>5</v>
      </c>
      <c r="M3501">
        <v>1.3839999999999999</v>
      </c>
    </row>
    <row r="3502" spans="1:13" ht="15" customHeight="1">
      <c r="A3502" t="s">
        <v>41</v>
      </c>
      <c r="B3502">
        <f t="shared" si="216"/>
        <v>33.716616999999999</v>
      </c>
      <c r="C3502">
        <f t="shared" si="217"/>
        <v>-117.844373</v>
      </c>
      <c r="D3502">
        <f t="shared" si="218"/>
        <v>70</v>
      </c>
      <c r="E3502">
        <v>93.498999999999995</v>
      </c>
      <c r="F3502">
        <f t="shared" si="219"/>
        <v>-23.498999999999995</v>
      </c>
      <c r="G3502">
        <v>34.756999999999998</v>
      </c>
      <c r="H3502">
        <v>1.089</v>
      </c>
      <c r="I3502">
        <v>2.9849999999999999</v>
      </c>
      <c r="J3502">
        <v>5</v>
      </c>
      <c r="K3502">
        <v>17</v>
      </c>
      <c r="L3502">
        <v>9</v>
      </c>
      <c r="M3502">
        <v>2.048</v>
      </c>
    </row>
    <row r="3503" spans="1:13" ht="15" customHeight="1">
      <c r="A3503" t="s">
        <v>41</v>
      </c>
      <c r="B3503">
        <f t="shared" si="216"/>
        <v>33.716616999999999</v>
      </c>
      <c r="C3503">
        <f t="shared" si="217"/>
        <v>-117.844373</v>
      </c>
      <c r="D3503">
        <f t="shared" si="218"/>
        <v>70</v>
      </c>
      <c r="E3503">
        <v>94.498999999999995</v>
      </c>
      <c r="F3503">
        <f t="shared" si="219"/>
        <v>-24.498999999999995</v>
      </c>
      <c r="G3503">
        <v>25.266999999999999</v>
      </c>
      <c r="H3503">
        <v>0.67700000000000005</v>
      </c>
      <c r="I3503">
        <v>2.476</v>
      </c>
      <c r="J3503">
        <v>6</v>
      </c>
      <c r="K3503">
        <v>10</v>
      </c>
      <c r="L3503">
        <v>5</v>
      </c>
      <c r="M3503">
        <v>1.4339999999999999</v>
      </c>
    </row>
    <row r="3504" spans="1:13" ht="15" customHeight="1">
      <c r="A3504" t="s">
        <v>41</v>
      </c>
      <c r="B3504">
        <f t="shared" si="216"/>
        <v>33.716616999999999</v>
      </c>
      <c r="C3504">
        <f t="shared" si="217"/>
        <v>-117.844373</v>
      </c>
      <c r="D3504">
        <f t="shared" si="218"/>
        <v>70</v>
      </c>
      <c r="E3504">
        <v>95.498999999999995</v>
      </c>
      <c r="F3504">
        <f t="shared" si="219"/>
        <v>-25.498999999999995</v>
      </c>
      <c r="G3504">
        <v>26.266999999999999</v>
      </c>
      <c r="H3504">
        <v>0.52300000000000002</v>
      </c>
      <c r="I3504">
        <v>1.8160000000000001</v>
      </c>
      <c r="J3504">
        <v>6</v>
      </c>
      <c r="K3504">
        <v>11</v>
      </c>
      <c r="L3504">
        <v>6</v>
      </c>
      <c r="M3504">
        <v>1.5289999999999999</v>
      </c>
    </row>
    <row r="3505" spans="1:13" ht="15" customHeight="1">
      <c r="A3505" t="s">
        <v>41</v>
      </c>
      <c r="B3505">
        <f t="shared" si="216"/>
        <v>33.716616999999999</v>
      </c>
      <c r="C3505">
        <f t="shared" si="217"/>
        <v>-117.844373</v>
      </c>
      <c r="D3505">
        <f t="shared" si="218"/>
        <v>70</v>
      </c>
      <c r="E3505">
        <v>96.498999999999995</v>
      </c>
      <c r="F3505">
        <f t="shared" si="219"/>
        <v>-26.498999999999995</v>
      </c>
      <c r="G3505">
        <v>29.516999999999999</v>
      </c>
      <c r="H3505">
        <v>0.747</v>
      </c>
      <c r="I3505">
        <v>2.3639999999999999</v>
      </c>
      <c r="J3505">
        <v>6</v>
      </c>
      <c r="K3505">
        <v>12</v>
      </c>
      <c r="L3505">
        <v>6</v>
      </c>
      <c r="M3505">
        <v>1.7090000000000001</v>
      </c>
    </row>
    <row r="3506" spans="1:13" ht="15" customHeight="1">
      <c r="A3506" t="s">
        <v>41</v>
      </c>
      <c r="B3506">
        <f t="shared" si="216"/>
        <v>33.716616999999999</v>
      </c>
      <c r="C3506">
        <f t="shared" si="217"/>
        <v>-117.844373</v>
      </c>
      <c r="D3506">
        <f t="shared" si="218"/>
        <v>70</v>
      </c>
      <c r="E3506">
        <v>97.498999999999995</v>
      </c>
      <c r="F3506">
        <f t="shared" si="219"/>
        <v>-27.498999999999995</v>
      </c>
      <c r="G3506">
        <v>29.317</v>
      </c>
      <c r="H3506">
        <v>0.72199999999999998</v>
      </c>
      <c r="I3506">
        <v>2.3159999999999998</v>
      </c>
      <c r="J3506">
        <v>6</v>
      </c>
      <c r="K3506">
        <v>12</v>
      </c>
      <c r="L3506">
        <v>6</v>
      </c>
      <c r="M3506">
        <v>1.6779999999999999</v>
      </c>
    </row>
    <row r="3507" spans="1:13" ht="15" customHeight="1">
      <c r="A3507" t="s">
        <v>41</v>
      </c>
      <c r="B3507">
        <f t="shared" si="216"/>
        <v>33.716616999999999</v>
      </c>
      <c r="C3507">
        <f t="shared" si="217"/>
        <v>-117.844373</v>
      </c>
      <c r="D3507">
        <f t="shared" si="218"/>
        <v>70</v>
      </c>
      <c r="E3507">
        <v>98.498999999999995</v>
      </c>
      <c r="F3507">
        <f t="shared" si="219"/>
        <v>-28.498999999999995</v>
      </c>
      <c r="G3507">
        <v>27.466999999999999</v>
      </c>
      <c r="H3507">
        <v>0.63700000000000001</v>
      </c>
      <c r="I3507">
        <v>2.1659999999999999</v>
      </c>
      <c r="J3507">
        <v>6</v>
      </c>
      <c r="K3507">
        <v>11</v>
      </c>
      <c r="L3507">
        <v>6</v>
      </c>
      <c r="M3507">
        <v>1.556</v>
      </c>
    </row>
    <row r="3508" spans="1:13" ht="15" customHeight="1">
      <c r="A3508" t="s">
        <v>41</v>
      </c>
      <c r="B3508">
        <f t="shared" si="216"/>
        <v>33.716616999999999</v>
      </c>
      <c r="C3508">
        <f t="shared" si="217"/>
        <v>-117.844373</v>
      </c>
      <c r="D3508">
        <f t="shared" si="218"/>
        <v>70</v>
      </c>
      <c r="E3508">
        <v>99.498999999999995</v>
      </c>
      <c r="F3508">
        <f t="shared" si="219"/>
        <v>-29.498999999999995</v>
      </c>
      <c r="G3508">
        <v>86.066999999999993</v>
      </c>
      <c r="H3508">
        <v>2.5299999999999998</v>
      </c>
      <c r="I3508">
        <v>2.9</v>
      </c>
      <c r="J3508">
        <v>6</v>
      </c>
      <c r="K3508">
        <v>33</v>
      </c>
      <c r="L3508">
        <v>17</v>
      </c>
      <c r="M3508">
        <v>5.4080000000000004</v>
      </c>
    </row>
    <row r="3509" spans="1:13" ht="15" customHeight="1">
      <c r="A3509" t="s">
        <v>41</v>
      </c>
      <c r="B3509">
        <f t="shared" si="216"/>
        <v>33.716616999999999</v>
      </c>
      <c r="C3509">
        <f t="shared" si="217"/>
        <v>-117.844373</v>
      </c>
      <c r="D3509">
        <f t="shared" si="218"/>
        <v>70</v>
      </c>
      <c r="E3509">
        <v>100.499</v>
      </c>
      <c r="F3509">
        <f t="shared" si="219"/>
        <v>-30.498999999999995</v>
      </c>
      <c r="G3509">
        <v>212.4</v>
      </c>
      <c r="H3509">
        <v>3.1179999999999999</v>
      </c>
      <c r="I3509">
        <v>1.4690000000000001</v>
      </c>
      <c r="J3509">
        <v>8</v>
      </c>
      <c r="K3509">
        <v>51</v>
      </c>
      <c r="L3509">
        <v>26</v>
      </c>
      <c r="M3509" s="1">
        <v>9000000000</v>
      </c>
    </row>
    <row r="3510" spans="1:13" ht="15" customHeight="1">
      <c r="A3510" t="s">
        <v>41</v>
      </c>
      <c r="B3510">
        <f t="shared" si="216"/>
        <v>33.716616999999999</v>
      </c>
      <c r="C3510">
        <f t="shared" si="217"/>
        <v>-117.844373</v>
      </c>
      <c r="D3510">
        <f t="shared" si="218"/>
        <v>70</v>
      </c>
      <c r="E3510">
        <v>101.499</v>
      </c>
      <c r="F3510">
        <f t="shared" si="219"/>
        <v>-31.498999999999995</v>
      </c>
      <c r="G3510">
        <v>249.13300000000001</v>
      </c>
      <c r="H3510">
        <v>2.5369999999999999</v>
      </c>
      <c r="I3510">
        <v>1.0189999999999999</v>
      </c>
      <c r="J3510">
        <v>9</v>
      </c>
      <c r="K3510">
        <v>48</v>
      </c>
      <c r="L3510">
        <v>24</v>
      </c>
      <c r="M3510" s="1">
        <v>9000000000</v>
      </c>
    </row>
    <row r="3511" spans="1:13" ht="15" customHeight="1">
      <c r="A3511" t="s">
        <v>41</v>
      </c>
      <c r="B3511">
        <f t="shared" si="216"/>
        <v>33.716616999999999</v>
      </c>
      <c r="C3511">
        <f t="shared" si="217"/>
        <v>-117.844373</v>
      </c>
      <c r="D3511">
        <f t="shared" si="218"/>
        <v>70</v>
      </c>
      <c r="E3511">
        <v>102.499</v>
      </c>
      <c r="F3511">
        <f t="shared" si="219"/>
        <v>-32.498999999999995</v>
      </c>
      <c r="G3511">
        <v>293.56700000000001</v>
      </c>
      <c r="H3511">
        <v>1.7230000000000001</v>
      </c>
      <c r="I3511">
        <v>0.58699999999999997</v>
      </c>
      <c r="J3511">
        <v>10</v>
      </c>
      <c r="K3511">
        <v>47</v>
      </c>
      <c r="L3511">
        <v>24</v>
      </c>
      <c r="M3511" s="1">
        <v>9000000000</v>
      </c>
    </row>
    <row r="3512" spans="1:13" ht="15" customHeight="1">
      <c r="A3512" t="s">
        <v>41</v>
      </c>
      <c r="B3512">
        <f t="shared" si="216"/>
        <v>33.716616999999999</v>
      </c>
      <c r="C3512">
        <f t="shared" si="217"/>
        <v>-117.844373</v>
      </c>
      <c r="D3512">
        <f t="shared" si="218"/>
        <v>70</v>
      </c>
      <c r="E3512">
        <v>103.499</v>
      </c>
      <c r="F3512">
        <f t="shared" si="219"/>
        <v>-33.498999999999995</v>
      </c>
      <c r="G3512">
        <v>282.06700000000001</v>
      </c>
      <c r="H3512">
        <v>4.42</v>
      </c>
      <c r="I3512">
        <v>1.5680000000000001</v>
      </c>
      <c r="J3512">
        <v>8</v>
      </c>
      <c r="K3512">
        <v>67</v>
      </c>
      <c r="L3512">
        <v>34</v>
      </c>
      <c r="M3512" s="1">
        <v>9000000000</v>
      </c>
    </row>
    <row r="3513" spans="1:13" ht="15" customHeight="1">
      <c r="A3513" t="s">
        <v>41</v>
      </c>
      <c r="B3513">
        <f t="shared" si="216"/>
        <v>33.716616999999999</v>
      </c>
      <c r="C3513">
        <f t="shared" si="217"/>
        <v>-117.844373</v>
      </c>
      <c r="D3513">
        <f t="shared" si="218"/>
        <v>70</v>
      </c>
      <c r="E3513">
        <v>104.499</v>
      </c>
      <c r="F3513">
        <f t="shared" si="219"/>
        <v>-34.498999999999995</v>
      </c>
      <c r="G3513">
        <v>31.870999999999999</v>
      </c>
      <c r="H3513">
        <v>1.363</v>
      </c>
      <c r="I3513">
        <v>4.3010000000000002</v>
      </c>
      <c r="J3513">
        <v>4</v>
      </c>
      <c r="K3513">
        <v>20</v>
      </c>
      <c r="L3513">
        <v>10</v>
      </c>
      <c r="M3513">
        <v>1.6830000000000001</v>
      </c>
    </row>
    <row r="3514" spans="1:13" ht="15" customHeight="1">
      <c r="A3514" t="s">
        <v>41</v>
      </c>
      <c r="B3514">
        <f t="shared" si="216"/>
        <v>33.716616999999999</v>
      </c>
      <c r="C3514">
        <f t="shared" si="217"/>
        <v>-117.844373</v>
      </c>
      <c r="D3514">
        <f t="shared" si="218"/>
        <v>70</v>
      </c>
      <c r="E3514">
        <v>105.499</v>
      </c>
      <c r="F3514">
        <f t="shared" si="219"/>
        <v>-35.498999999999995</v>
      </c>
      <c r="G3514">
        <v>37.5</v>
      </c>
      <c r="H3514">
        <v>1.3380000000000001</v>
      </c>
      <c r="I3514">
        <v>3.585</v>
      </c>
      <c r="J3514">
        <v>5</v>
      </c>
      <c r="K3514">
        <v>18</v>
      </c>
      <c r="L3514">
        <v>9</v>
      </c>
      <c r="M3514">
        <v>2.0550000000000002</v>
      </c>
    </row>
    <row r="3515" spans="1:13" ht="15" customHeight="1">
      <c r="A3515" t="s">
        <v>41</v>
      </c>
      <c r="B3515">
        <f t="shared" si="216"/>
        <v>33.716616999999999</v>
      </c>
      <c r="C3515">
        <f t="shared" si="217"/>
        <v>-117.844373</v>
      </c>
      <c r="D3515">
        <f t="shared" si="218"/>
        <v>70</v>
      </c>
      <c r="E3515">
        <v>106.499</v>
      </c>
      <c r="F3515">
        <f t="shared" si="219"/>
        <v>-36.498999999999995</v>
      </c>
      <c r="G3515">
        <v>35.950000000000003</v>
      </c>
      <c r="H3515">
        <v>0.87</v>
      </c>
      <c r="I3515">
        <v>2.4319999999999999</v>
      </c>
      <c r="J3515">
        <v>6</v>
      </c>
      <c r="K3515">
        <v>14</v>
      </c>
      <c r="L3515">
        <v>7</v>
      </c>
      <c r="M3515">
        <v>1.9470000000000001</v>
      </c>
    </row>
    <row r="3516" spans="1:13" ht="15" customHeight="1">
      <c r="A3516" t="s">
        <v>41</v>
      </c>
      <c r="B3516">
        <f t="shared" si="216"/>
        <v>33.716616999999999</v>
      </c>
      <c r="C3516">
        <f t="shared" si="217"/>
        <v>-117.844373</v>
      </c>
      <c r="D3516">
        <f t="shared" si="218"/>
        <v>70</v>
      </c>
      <c r="E3516">
        <v>107.499</v>
      </c>
      <c r="F3516">
        <f t="shared" si="219"/>
        <v>-37.498999999999995</v>
      </c>
      <c r="G3516">
        <v>37.366999999999997</v>
      </c>
      <c r="H3516">
        <v>0.90500000000000003</v>
      </c>
      <c r="I3516">
        <v>2.431</v>
      </c>
      <c r="J3516">
        <v>6</v>
      </c>
      <c r="K3516">
        <v>14</v>
      </c>
      <c r="L3516">
        <v>7</v>
      </c>
      <c r="M3516">
        <v>2.04</v>
      </c>
    </row>
    <row r="3517" spans="1:13" ht="15" customHeight="1">
      <c r="A3517" t="s">
        <v>41</v>
      </c>
      <c r="B3517">
        <f t="shared" si="216"/>
        <v>33.716616999999999</v>
      </c>
      <c r="C3517">
        <f t="shared" si="217"/>
        <v>-117.844373</v>
      </c>
      <c r="D3517">
        <f t="shared" si="218"/>
        <v>70</v>
      </c>
      <c r="E3517">
        <v>108.499</v>
      </c>
      <c r="F3517">
        <f t="shared" si="219"/>
        <v>-38.498999999999995</v>
      </c>
      <c r="G3517">
        <v>41.9</v>
      </c>
      <c r="H3517">
        <v>1.43</v>
      </c>
      <c r="I3517">
        <v>3.427</v>
      </c>
      <c r="J3517">
        <v>5</v>
      </c>
      <c r="K3517">
        <v>20</v>
      </c>
      <c r="L3517">
        <v>10</v>
      </c>
      <c r="M3517">
        <v>2.3359999999999999</v>
      </c>
    </row>
    <row r="3518" spans="1:13" ht="15" customHeight="1">
      <c r="A3518" t="s">
        <v>41</v>
      </c>
      <c r="B3518">
        <f t="shared" si="216"/>
        <v>33.716616999999999</v>
      </c>
      <c r="C3518">
        <f t="shared" si="217"/>
        <v>-117.844373</v>
      </c>
      <c r="D3518">
        <f t="shared" si="218"/>
        <v>70</v>
      </c>
      <c r="E3518">
        <v>109.499</v>
      </c>
      <c r="F3518">
        <f t="shared" si="219"/>
        <v>-39.498999999999995</v>
      </c>
      <c r="G3518">
        <v>35.017000000000003</v>
      </c>
      <c r="H3518">
        <v>1.3069999999999999</v>
      </c>
      <c r="I3518">
        <v>3.7490000000000001</v>
      </c>
      <c r="J3518">
        <v>5</v>
      </c>
      <c r="K3518">
        <v>17</v>
      </c>
      <c r="L3518">
        <v>9</v>
      </c>
      <c r="M3518">
        <v>1.873</v>
      </c>
    </row>
    <row r="3519" spans="1:13" ht="15" customHeight="1">
      <c r="A3519" t="s">
        <v>41</v>
      </c>
      <c r="B3519">
        <f t="shared" si="216"/>
        <v>33.716616999999999</v>
      </c>
      <c r="C3519">
        <f t="shared" si="217"/>
        <v>-117.844373</v>
      </c>
      <c r="D3519">
        <f t="shared" si="218"/>
        <v>70</v>
      </c>
      <c r="E3519">
        <v>110.499</v>
      </c>
      <c r="F3519">
        <f t="shared" si="219"/>
        <v>-40.498999999999995</v>
      </c>
      <c r="G3519">
        <v>32.832999999999998</v>
      </c>
      <c r="H3519">
        <v>0.93300000000000005</v>
      </c>
      <c r="I3519">
        <v>2.8559999999999999</v>
      </c>
      <c r="J3519">
        <v>6</v>
      </c>
      <c r="K3519">
        <v>13</v>
      </c>
      <c r="L3519">
        <v>7</v>
      </c>
      <c r="M3519">
        <v>1.724</v>
      </c>
    </row>
    <row r="3520" spans="1:13" ht="15" customHeight="1">
      <c r="A3520" t="s">
        <v>41</v>
      </c>
      <c r="B3520">
        <f t="shared" si="216"/>
        <v>33.716616999999999</v>
      </c>
      <c r="C3520">
        <f t="shared" si="217"/>
        <v>-117.844373</v>
      </c>
      <c r="D3520">
        <f t="shared" si="218"/>
        <v>70</v>
      </c>
      <c r="E3520">
        <v>111.499</v>
      </c>
      <c r="F3520">
        <f t="shared" si="219"/>
        <v>-41.498999999999995</v>
      </c>
      <c r="G3520">
        <v>31.966999999999999</v>
      </c>
      <c r="H3520">
        <v>0.85</v>
      </c>
      <c r="I3520">
        <v>2.67</v>
      </c>
      <c r="J3520">
        <v>6</v>
      </c>
      <c r="K3520">
        <v>12</v>
      </c>
      <c r="L3520">
        <v>6</v>
      </c>
      <c r="M3520">
        <v>1.663</v>
      </c>
    </row>
    <row r="3521" spans="1:13" ht="15" customHeight="1">
      <c r="A3521" t="s">
        <v>41</v>
      </c>
      <c r="B3521">
        <f t="shared" si="216"/>
        <v>33.716616999999999</v>
      </c>
      <c r="C3521">
        <f t="shared" si="217"/>
        <v>-117.844373</v>
      </c>
      <c r="D3521">
        <f t="shared" si="218"/>
        <v>70</v>
      </c>
      <c r="E3521">
        <v>112.499</v>
      </c>
      <c r="F3521">
        <f t="shared" si="219"/>
        <v>-42.498999999999995</v>
      </c>
      <c r="G3521">
        <v>70.816999999999993</v>
      </c>
      <c r="H3521">
        <v>1.9219999999999999</v>
      </c>
      <c r="I3521">
        <v>2.7189999999999999</v>
      </c>
      <c r="J3521">
        <v>6</v>
      </c>
      <c r="K3521">
        <v>27</v>
      </c>
      <c r="L3521">
        <v>14</v>
      </c>
      <c r="M3521">
        <v>4.2480000000000002</v>
      </c>
    </row>
    <row r="3522" spans="1:13" ht="15" customHeight="1">
      <c r="A3522" t="s">
        <v>41</v>
      </c>
      <c r="B3522">
        <f t="shared" ref="B3522:B3585" si="220">VLOOKUP(A3522,XYdata,3,FALSE)</f>
        <v>33.716616999999999</v>
      </c>
      <c r="C3522">
        <f t="shared" ref="C3522:C3585" si="221">VLOOKUP(A3522,XYdata,2,FALSE)</f>
        <v>-117.844373</v>
      </c>
      <c r="D3522">
        <f t="shared" ref="D3522:D3585" si="222">VLOOKUP(A3522,Elevation,2,FALSE)</f>
        <v>70</v>
      </c>
      <c r="E3522">
        <v>113.499</v>
      </c>
      <c r="F3522">
        <f t="shared" si="219"/>
        <v>-43.498999999999995</v>
      </c>
      <c r="G3522">
        <v>282.63299999999998</v>
      </c>
      <c r="H3522">
        <v>2.13</v>
      </c>
      <c r="I3522">
        <v>0.754</v>
      </c>
      <c r="J3522">
        <v>9</v>
      </c>
      <c r="K3522">
        <v>54</v>
      </c>
      <c r="L3522">
        <v>27</v>
      </c>
      <c r="M3522" s="1">
        <v>9000000000</v>
      </c>
    </row>
    <row r="3523" spans="1:13" ht="15" customHeight="1">
      <c r="A3523" t="s">
        <v>41</v>
      </c>
      <c r="B3523">
        <f t="shared" si="220"/>
        <v>33.716616999999999</v>
      </c>
      <c r="C3523">
        <f t="shared" si="221"/>
        <v>-117.844373</v>
      </c>
      <c r="D3523">
        <f t="shared" si="222"/>
        <v>70</v>
      </c>
      <c r="E3523">
        <v>114.499</v>
      </c>
      <c r="F3523">
        <f t="shared" ref="F3523:F3586" si="223">D3523-E3523</f>
        <v>-44.498999999999995</v>
      </c>
      <c r="G3523">
        <v>92.856999999999999</v>
      </c>
      <c r="H3523">
        <v>4.0540000000000003</v>
      </c>
      <c r="I3523">
        <v>4.3739999999999997</v>
      </c>
      <c r="J3523">
        <v>11</v>
      </c>
      <c r="K3523">
        <v>89</v>
      </c>
      <c r="L3523">
        <v>45</v>
      </c>
      <c r="M3523" s="1">
        <v>9000000000</v>
      </c>
    </row>
    <row r="3524" spans="1:13" ht="15" customHeight="1">
      <c r="A3524" t="s">
        <v>41</v>
      </c>
      <c r="B3524">
        <f t="shared" si="220"/>
        <v>33.716616999999999</v>
      </c>
      <c r="C3524">
        <f t="shared" si="221"/>
        <v>-117.844373</v>
      </c>
      <c r="D3524">
        <f t="shared" si="222"/>
        <v>70</v>
      </c>
      <c r="E3524">
        <v>115.499</v>
      </c>
      <c r="F3524">
        <f t="shared" si="223"/>
        <v>-45.498999999999995</v>
      </c>
      <c r="G3524">
        <v>40.033000000000001</v>
      </c>
      <c r="H3524">
        <v>1.7050000000000001</v>
      </c>
      <c r="I3524">
        <v>4.2750000000000004</v>
      </c>
      <c r="J3524">
        <v>4</v>
      </c>
      <c r="K3524">
        <v>25</v>
      </c>
      <c r="L3524">
        <v>13</v>
      </c>
      <c r="M3524">
        <v>2.1829999999999998</v>
      </c>
    </row>
    <row r="3525" spans="1:13" ht="15" customHeight="1">
      <c r="A3525" t="s">
        <v>41</v>
      </c>
      <c r="B3525">
        <f t="shared" si="220"/>
        <v>33.716616999999999</v>
      </c>
      <c r="C3525">
        <f t="shared" si="221"/>
        <v>-117.844373</v>
      </c>
      <c r="D3525">
        <f t="shared" si="222"/>
        <v>70</v>
      </c>
      <c r="E3525">
        <v>116.499</v>
      </c>
      <c r="F3525">
        <f t="shared" si="223"/>
        <v>-46.498999999999995</v>
      </c>
      <c r="G3525">
        <v>42.8</v>
      </c>
      <c r="H3525">
        <v>1.002</v>
      </c>
      <c r="I3525">
        <v>2.3479999999999999</v>
      </c>
      <c r="J3525">
        <v>6</v>
      </c>
      <c r="K3525">
        <v>16</v>
      </c>
      <c r="L3525">
        <v>8</v>
      </c>
      <c r="M3525">
        <v>2.3650000000000002</v>
      </c>
    </row>
    <row r="3526" spans="1:13" ht="15" customHeight="1">
      <c r="A3526" t="s">
        <v>41</v>
      </c>
      <c r="B3526">
        <f t="shared" si="220"/>
        <v>33.716616999999999</v>
      </c>
      <c r="C3526">
        <f t="shared" si="221"/>
        <v>-117.844373</v>
      </c>
      <c r="D3526">
        <f t="shared" si="222"/>
        <v>70</v>
      </c>
      <c r="E3526">
        <v>117.498</v>
      </c>
      <c r="F3526">
        <f t="shared" si="223"/>
        <v>-47.498000000000005</v>
      </c>
      <c r="G3526">
        <v>37.517000000000003</v>
      </c>
      <c r="H3526">
        <v>0.90300000000000002</v>
      </c>
      <c r="I3526">
        <v>2.4140000000000001</v>
      </c>
      <c r="J3526">
        <v>6</v>
      </c>
      <c r="K3526">
        <v>14</v>
      </c>
      <c r="L3526">
        <v>7</v>
      </c>
      <c r="M3526">
        <v>2.0099999999999998</v>
      </c>
    </row>
    <row r="3527" spans="1:13" ht="15" customHeight="1">
      <c r="A3527" t="s">
        <v>41</v>
      </c>
      <c r="B3527">
        <f t="shared" si="220"/>
        <v>33.716616999999999</v>
      </c>
      <c r="C3527">
        <f t="shared" si="221"/>
        <v>-117.844373</v>
      </c>
      <c r="D3527">
        <f t="shared" si="222"/>
        <v>70</v>
      </c>
      <c r="E3527">
        <v>118.498</v>
      </c>
      <c r="F3527">
        <f t="shared" si="223"/>
        <v>-48.498000000000005</v>
      </c>
      <c r="G3527">
        <v>87.867000000000004</v>
      </c>
      <c r="H3527">
        <v>3.2949999999999999</v>
      </c>
      <c r="I3527">
        <v>3.754</v>
      </c>
      <c r="J3527">
        <v>5</v>
      </c>
      <c r="K3527">
        <v>42</v>
      </c>
      <c r="L3527">
        <v>21</v>
      </c>
      <c r="M3527">
        <v>5.3639999999999999</v>
      </c>
    </row>
    <row r="3528" spans="1:13" ht="15" customHeight="1">
      <c r="A3528" t="s">
        <v>41</v>
      </c>
      <c r="B3528">
        <f t="shared" si="220"/>
        <v>33.716616999999999</v>
      </c>
      <c r="C3528">
        <f t="shared" si="221"/>
        <v>-117.844373</v>
      </c>
      <c r="D3528">
        <f t="shared" si="222"/>
        <v>70</v>
      </c>
      <c r="E3528">
        <v>119.498</v>
      </c>
      <c r="F3528">
        <f t="shared" si="223"/>
        <v>-49.498000000000005</v>
      </c>
      <c r="G3528">
        <v>132.31700000000001</v>
      </c>
      <c r="H3528">
        <v>3.7080000000000002</v>
      </c>
      <c r="I3528">
        <v>2.806</v>
      </c>
      <c r="J3528">
        <v>7</v>
      </c>
      <c r="K3528">
        <v>42</v>
      </c>
      <c r="L3528">
        <v>21</v>
      </c>
      <c r="M3528" s="1">
        <v>9000000000</v>
      </c>
    </row>
    <row r="3529" spans="1:13" ht="15" customHeight="1">
      <c r="A3529" t="s">
        <v>41</v>
      </c>
      <c r="B3529">
        <f t="shared" si="220"/>
        <v>33.716616999999999</v>
      </c>
      <c r="C3529">
        <f t="shared" si="221"/>
        <v>-117.844373</v>
      </c>
      <c r="D3529">
        <f t="shared" si="222"/>
        <v>70</v>
      </c>
      <c r="E3529">
        <v>120.498</v>
      </c>
      <c r="F3529">
        <f t="shared" si="223"/>
        <v>-50.498000000000005</v>
      </c>
      <c r="G3529">
        <v>61.466999999999999</v>
      </c>
      <c r="H3529">
        <v>2.198</v>
      </c>
      <c r="I3529">
        <v>3.5859999999999999</v>
      </c>
      <c r="J3529">
        <v>5</v>
      </c>
      <c r="K3529">
        <v>29</v>
      </c>
      <c r="L3529">
        <v>15</v>
      </c>
      <c r="M3529">
        <v>3.59</v>
      </c>
    </row>
    <row r="3530" spans="1:13" ht="15" customHeight="1">
      <c r="A3530" t="s">
        <v>41</v>
      </c>
      <c r="B3530">
        <f t="shared" si="220"/>
        <v>33.716616999999999</v>
      </c>
      <c r="C3530">
        <f t="shared" si="221"/>
        <v>-117.844373</v>
      </c>
      <c r="D3530">
        <f t="shared" si="222"/>
        <v>70</v>
      </c>
      <c r="E3530">
        <v>121.498</v>
      </c>
      <c r="F3530">
        <f t="shared" si="223"/>
        <v>-51.498000000000005</v>
      </c>
      <c r="G3530">
        <v>77.082999999999998</v>
      </c>
      <c r="H3530">
        <v>3.532</v>
      </c>
      <c r="I3530">
        <v>4.5919999999999996</v>
      </c>
      <c r="J3530">
        <v>11</v>
      </c>
      <c r="K3530">
        <v>74</v>
      </c>
      <c r="L3530">
        <v>37</v>
      </c>
      <c r="M3530" s="1">
        <v>9000000000</v>
      </c>
    </row>
    <row r="3531" spans="1:13" ht="15" customHeight="1">
      <c r="A3531" t="s">
        <v>41</v>
      </c>
      <c r="B3531">
        <f t="shared" si="220"/>
        <v>33.716616999999999</v>
      </c>
      <c r="C3531">
        <f t="shared" si="221"/>
        <v>-117.844373</v>
      </c>
      <c r="D3531">
        <f t="shared" si="222"/>
        <v>70</v>
      </c>
      <c r="E3531">
        <v>122.498</v>
      </c>
      <c r="F3531">
        <f t="shared" si="223"/>
        <v>-52.498000000000005</v>
      </c>
      <c r="G3531">
        <v>109.767</v>
      </c>
      <c r="H3531">
        <v>4.7430000000000003</v>
      </c>
      <c r="I3531">
        <v>4.3280000000000003</v>
      </c>
      <c r="J3531">
        <v>11</v>
      </c>
      <c r="K3531">
        <v>105</v>
      </c>
      <c r="L3531">
        <v>53</v>
      </c>
      <c r="M3531" s="1">
        <v>9000000000</v>
      </c>
    </row>
    <row r="3532" spans="1:13" ht="15" customHeight="1">
      <c r="A3532" t="s">
        <v>41</v>
      </c>
      <c r="B3532">
        <f t="shared" si="220"/>
        <v>33.716616999999999</v>
      </c>
      <c r="C3532">
        <f t="shared" si="221"/>
        <v>-117.844373</v>
      </c>
      <c r="D3532">
        <f t="shared" si="222"/>
        <v>70</v>
      </c>
      <c r="E3532">
        <v>123.498</v>
      </c>
      <c r="F3532">
        <f t="shared" si="223"/>
        <v>-53.498000000000005</v>
      </c>
      <c r="G3532">
        <v>192.9</v>
      </c>
      <c r="H3532">
        <v>5.1429999999999998</v>
      </c>
      <c r="I3532">
        <v>2.669</v>
      </c>
      <c r="J3532">
        <v>7</v>
      </c>
      <c r="K3532">
        <v>62</v>
      </c>
      <c r="L3532">
        <v>31</v>
      </c>
      <c r="M3532" s="1">
        <v>9000000000</v>
      </c>
    </row>
    <row r="3533" spans="1:13" ht="15" customHeight="1">
      <c r="A3533" t="s">
        <v>41</v>
      </c>
      <c r="B3533">
        <f t="shared" si="220"/>
        <v>33.716616999999999</v>
      </c>
      <c r="C3533">
        <f t="shared" si="221"/>
        <v>-117.844373</v>
      </c>
      <c r="D3533">
        <f t="shared" si="222"/>
        <v>70</v>
      </c>
      <c r="E3533">
        <v>124.498</v>
      </c>
      <c r="F3533">
        <f t="shared" si="223"/>
        <v>-54.498000000000005</v>
      </c>
      <c r="G3533">
        <v>178.75</v>
      </c>
      <c r="H3533">
        <v>4.415</v>
      </c>
      <c r="I3533">
        <v>2.4729999999999999</v>
      </c>
      <c r="J3533">
        <v>7</v>
      </c>
      <c r="K3533">
        <v>57</v>
      </c>
      <c r="L3533">
        <v>29</v>
      </c>
      <c r="M3533" s="1">
        <v>9000000000</v>
      </c>
    </row>
    <row r="3534" spans="1:13" ht="15" customHeight="1">
      <c r="A3534" t="s">
        <v>41</v>
      </c>
      <c r="B3534">
        <f t="shared" si="220"/>
        <v>33.716616999999999</v>
      </c>
      <c r="C3534">
        <f t="shared" si="221"/>
        <v>-117.844373</v>
      </c>
      <c r="D3534">
        <f t="shared" si="222"/>
        <v>70</v>
      </c>
      <c r="E3534">
        <v>125.498</v>
      </c>
      <c r="F3534">
        <f t="shared" si="223"/>
        <v>-55.498000000000005</v>
      </c>
      <c r="G3534">
        <v>189.45699999999999</v>
      </c>
      <c r="H3534">
        <v>5.3159999999999998</v>
      </c>
      <c r="I3534">
        <v>2.8079999999999998</v>
      </c>
      <c r="J3534">
        <v>7</v>
      </c>
      <c r="K3534">
        <v>60</v>
      </c>
      <c r="L3534">
        <v>30</v>
      </c>
      <c r="M3534" s="1">
        <v>9000000000</v>
      </c>
    </row>
    <row r="3535" spans="1:13" ht="15" customHeight="1">
      <c r="A3535" t="s">
        <v>41</v>
      </c>
      <c r="B3535">
        <f t="shared" si="220"/>
        <v>33.716616999999999</v>
      </c>
      <c r="C3535">
        <f t="shared" si="221"/>
        <v>-117.844373</v>
      </c>
      <c r="D3535">
        <f t="shared" si="222"/>
        <v>70</v>
      </c>
      <c r="E3535">
        <v>126.498</v>
      </c>
      <c r="F3535">
        <f t="shared" si="223"/>
        <v>-56.498000000000005</v>
      </c>
      <c r="G3535">
        <v>280.68299999999999</v>
      </c>
      <c r="H3535">
        <v>6.1079999999999997</v>
      </c>
      <c r="I3535">
        <v>2.1779999999999999</v>
      </c>
      <c r="J3535">
        <v>8</v>
      </c>
      <c r="K3535">
        <v>67</v>
      </c>
      <c r="L3535">
        <v>34</v>
      </c>
      <c r="M3535" s="1">
        <v>9000000000</v>
      </c>
    </row>
    <row r="3536" spans="1:13" ht="15" customHeight="1">
      <c r="A3536" t="s">
        <v>41</v>
      </c>
      <c r="B3536">
        <f t="shared" si="220"/>
        <v>33.716616999999999</v>
      </c>
      <c r="C3536">
        <f t="shared" si="221"/>
        <v>-117.844373</v>
      </c>
      <c r="D3536">
        <f t="shared" si="222"/>
        <v>70</v>
      </c>
      <c r="E3536">
        <v>127.498</v>
      </c>
      <c r="F3536">
        <f t="shared" si="223"/>
        <v>-57.498000000000005</v>
      </c>
      <c r="G3536">
        <v>235.767</v>
      </c>
      <c r="H3536">
        <v>6.0570000000000004</v>
      </c>
      <c r="I3536">
        <v>2.57</v>
      </c>
      <c r="J3536">
        <v>7</v>
      </c>
      <c r="K3536">
        <v>75</v>
      </c>
      <c r="L3536">
        <v>38</v>
      </c>
      <c r="M3536" s="1">
        <v>9000000000</v>
      </c>
    </row>
    <row r="3537" spans="1:13" ht="15" customHeight="1">
      <c r="A3537" t="s">
        <v>41</v>
      </c>
      <c r="B3537">
        <f t="shared" si="220"/>
        <v>33.716616999999999</v>
      </c>
      <c r="C3537">
        <f t="shared" si="221"/>
        <v>-117.844373</v>
      </c>
      <c r="D3537">
        <f t="shared" si="222"/>
        <v>70</v>
      </c>
      <c r="E3537">
        <v>128.49799999999999</v>
      </c>
      <c r="F3537">
        <f t="shared" si="223"/>
        <v>-58.49799999999999</v>
      </c>
      <c r="G3537">
        <v>297.63299999999998</v>
      </c>
      <c r="H3537">
        <v>3.3180000000000001</v>
      </c>
      <c r="I3537">
        <v>1.1160000000000001</v>
      </c>
      <c r="J3537">
        <v>9</v>
      </c>
      <c r="K3537">
        <v>57</v>
      </c>
      <c r="L3537">
        <v>29</v>
      </c>
      <c r="M3537" s="1">
        <v>9000000000</v>
      </c>
    </row>
    <row r="3538" spans="1:13" ht="15" customHeight="1">
      <c r="A3538" t="s">
        <v>41</v>
      </c>
      <c r="B3538">
        <f t="shared" si="220"/>
        <v>33.716616999999999</v>
      </c>
      <c r="C3538">
        <f t="shared" si="221"/>
        <v>-117.844373</v>
      </c>
      <c r="D3538">
        <f t="shared" si="222"/>
        <v>70</v>
      </c>
      <c r="E3538">
        <v>129.49799999999999</v>
      </c>
      <c r="F3538">
        <f t="shared" si="223"/>
        <v>-59.49799999999999</v>
      </c>
      <c r="G3538">
        <v>199.9</v>
      </c>
      <c r="H3538">
        <v>3.4249999999999998</v>
      </c>
      <c r="I3538">
        <v>1.714</v>
      </c>
      <c r="J3538">
        <v>8</v>
      </c>
      <c r="K3538">
        <v>48</v>
      </c>
      <c r="L3538">
        <v>24</v>
      </c>
      <c r="M3538" s="1">
        <v>9000000000</v>
      </c>
    </row>
    <row r="3539" spans="1:13" ht="15" customHeight="1">
      <c r="A3539" t="s">
        <v>41</v>
      </c>
      <c r="B3539">
        <f t="shared" si="220"/>
        <v>33.716616999999999</v>
      </c>
      <c r="C3539">
        <f t="shared" si="221"/>
        <v>-117.844373</v>
      </c>
      <c r="D3539">
        <f t="shared" si="222"/>
        <v>70</v>
      </c>
      <c r="E3539">
        <v>130.49799999999999</v>
      </c>
      <c r="F3539">
        <f t="shared" si="223"/>
        <v>-60.49799999999999</v>
      </c>
      <c r="G3539">
        <v>243.8</v>
      </c>
      <c r="H3539">
        <v>0</v>
      </c>
      <c r="I3539">
        <v>0</v>
      </c>
      <c r="J3539">
        <v>10</v>
      </c>
      <c r="K3539" s="1">
        <v>9000000000</v>
      </c>
      <c r="L3539" s="1">
        <v>9000000000</v>
      </c>
      <c r="M3539" s="1">
        <v>9000000000</v>
      </c>
    </row>
    <row r="3540" spans="1:13" ht="15" customHeight="1">
      <c r="A3540" s="2" t="s">
        <v>42</v>
      </c>
      <c r="B3540">
        <f t="shared" si="220"/>
        <v>33.722360999999999</v>
      </c>
      <c r="C3540">
        <f t="shared" si="221"/>
        <v>-117.841475</v>
      </c>
      <c r="D3540">
        <f t="shared" si="222"/>
        <v>83</v>
      </c>
      <c r="E3540">
        <v>0.5</v>
      </c>
      <c r="F3540">
        <f t="shared" si="223"/>
        <v>82.5</v>
      </c>
      <c r="G3540">
        <v>1.5</v>
      </c>
      <c r="H3540">
        <v>5.2999999999999999E-2</v>
      </c>
      <c r="I3540">
        <v>3.556</v>
      </c>
      <c r="J3540">
        <v>3</v>
      </c>
      <c r="K3540">
        <v>1</v>
      </c>
      <c r="L3540">
        <v>2</v>
      </c>
      <c r="M3540">
        <v>9.8000000000000004E-2</v>
      </c>
    </row>
    <row r="3541" spans="1:13" ht="15" customHeight="1">
      <c r="A3541" s="2" t="s">
        <v>42</v>
      </c>
      <c r="B3541">
        <f t="shared" si="220"/>
        <v>33.722360999999999</v>
      </c>
      <c r="C3541">
        <f t="shared" si="221"/>
        <v>-117.841475</v>
      </c>
      <c r="D3541">
        <f t="shared" si="222"/>
        <v>83</v>
      </c>
      <c r="E3541">
        <v>1.5</v>
      </c>
      <c r="F3541">
        <f t="shared" si="223"/>
        <v>81.5</v>
      </c>
      <c r="G3541">
        <v>20.382999999999999</v>
      </c>
      <c r="H3541">
        <v>0.72199999999999998</v>
      </c>
      <c r="I3541">
        <v>3.54</v>
      </c>
      <c r="J3541">
        <v>4</v>
      </c>
      <c r="K3541">
        <v>13</v>
      </c>
      <c r="L3541">
        <v>20</v>
      </c>
      <c r="M3541">
        <v>1.353</v>
      </c>
    </row>
    <row r="3542" spans="1:13" ht="15" customHeight="1">
      <c r="A3542" s="2" t="s">
        <v>42</v>
      </c>
      <c r="B3542">
        <f t="shared" si="220"/>
        <v>33.722360999999999</v>
      </c>
      <c r="C3542">
        <f t="shared" si="221"/>
        <v>-117.841475</v>
      </c>
      <c r="D3542">
        <f t="shared" si="222"/>
        <v>83</v>
      </c>
      <c r="E3542">
        <v>2.5</v>
      </c>
      <c r="F3542">
        <f t="shared" si="223"/>
        <v>80.5</v>
      </c>
      <c r="G3542">
        <v>10.167</v>
      </c>
      <c r="H3542">
        <v>0.33700000000000002</v>
      </c>
      <c r="I3542">
        <v>3.29</v>
      </c>
      <c r="J3542">
        <v>4</v>
      </c>
      <c r="K3542">
        <v>7</v>
      </c>
      <c r="L3542">
        <v>11</v>
      </c>
      <c r="M3542">
        <v>0.67200000000000004</v>
      </c>
    </row>
    <row r="3543" spans="1:13" ht="15" customHeight="1">
      <c r="A3543" s="2" t="s">
        <v>42</v>
      </c>
      <c r="B3543">
        <f t="shared" si="220"/>
        <v>33.722360999999999</v>
      </c>
      <c r="C3543">
        <f t="shared" si="221"/>
        <v>-117.841475</v>
      </c>
      <c r="D3543">
        <f t="shared" si="222"/>
        <v>83</v>
      </c>
      <c r="E3543">
        <v>3.5</v>
      </c>
      <c r="F3543">
        <f t="shared" si="223"/>
        <v>79.5</v>
      </c>
      <c r="G3543">
        <v>5.1829999999999998</v>
      </c>
      <c r="H3543">
        <v>0.183</v>
      </c>
      <c r="I3543">
        <v>3.5259999999999998</v>
      </c>
      <c r="J3543">
        <v>3</v>
      </c>
      <c r="K3543">
        <v>5</v>
      </c>
      <c r="L3543">
        <v>8</v>
      </c>
      <c r="M3543">
        <v>0.33300000000000002</v>
      </c>
    </row>
    <row r="3544" spans="1:13" ht="15" customHeight="1">
      <c r="A3544" s="2" t="s">
        <v>42</v>
      </c>
      <c r="B3544">
        <f t="shared" si="220"/>
        <v>33.722360999999999</v>
      </c>
      <c r="C3544">
        <f t="shared" si="221"/>
        <v>-117.841475</v>
      </c>
      <c r="D3544">
        <f t="shared" si="222"/>
        <v>83</v>
      </c>
      <c r="E3544">
        <v>4.5</v>
      </c>
      <c r="F3544">
        <f t="shared" si="223"/>
        <v>78.5</v>
      </c>
      <c r="G3544">
        <v>4.0670000000000002</v>
      </c>
      <c r="H3544">
        <v>9.5000000000000001E-2</v>
      </c>
      <c r="I3544">
        <v>2.3359999999999999</v>
      </c>
      <c r="J3544">
        <v>3</v>
      </c>
      <c r="K3544">
        <v>4</v>
      </c>
      <c r="L3544">
        <v>6</v>
      </c>
      <c r="M3544">
        <v>0.253</v>
      </c>
    </row>
    <row r="3545" spans="1:13" ht="15" customHeight="1">
      <c r="A3545" s="2" t="s">
        <v>42</v>
      </c>
      <c r="B3545">
        <f t="shared" si="220"/>
        <v>33.722360999999999</v>
      </c>
      <c r="C3545">
        <f t="shared" si="221"/>
        <v>-117.841475</v>
      </c>
      <c r="D3545">
        <f t="shared" si="222"/>
        <v>83</v>
      </c>
      <c r="E3545">
        <v>5.5</v>
      </c>
      <c r="F3545">
        <f t="shared" si="223"/>
        <v>77.5</v>
      </c>
      <c r="G3545">
        <v>10.1</v>
      </c>
      <c r="H3545">
        <v>0.36299999999999999</v>
      </c>
      <c r="I3545">
        <v>3.5910000000000002</v>
      </c>
      <c r="J3545">
        <v>3</v>
      </c>
      <c r="K3545">
        <v>10</v>
      </c>
      <c r="L3545">
        <v>15</v>
      </c>
      <c r="M3545">
        <v>0.65200000000000002</v>
      </c>
    </row>
    <row r="3546" spans="1:13" ht="15" customHeight="1">
      <c r="A3546" s="2" t="s">
        <v>42</v>
      </c>
      <c r="B3546">
        <f t="shared" si="220"/>
        <v>33.722360999999999</v>
      </c>
      <c r="C3546">
        <f t="shared" si="221"/>
        <v>-117.841475</v>
      </c>
      <c r="D3546">
        <f t="shared" si="222"/>
        <v>83</v>
      </c>
      <c r="E3546">
        <v>6.5</v>
      </c>
      <c r="F3546">
        <f t="shared" si="223"/>
        <v>76.5</v>
      </c>
      <c r="G3546">
        <v>14.55</v>
      </c>
      <c r="H3546">
        <v>0.45200000000000001</v>
      </c>
      <c r="I3546">
        <v>3.09</v>
      </c>
      <c r="J3546">
        <v>4</v>
      </c>
      <c r="K3546">
        <v>9</v>
      </c>
      <c r="L3546">
        <v>14</v>
      </c>
      <c r="M3546">
        <v>0.94799999999999995</v>
      </c>
    </row>
    <row r="3547" spans="1:13" ht="15" customHeight="1">
      <c r="A3547" s="2" t="s">
        <v>42</v>
      </c>
      <c r="B3547">
        <f t="shared" si="220"/>
        <v>33.722360999999999</v>
      </c>
      <c r="C3547">
        <f t="shared" si="221"/>
        <v>-117.841475</v>
      </c>
      <c r="D3547">
        <f t="shared" si="222"/>
        <v>83</v>
      </c>
      <c r="E3547">
        <v>7.5</v>
      </c>
      <c r="F3547">
        <f t="shared" si="223"/>
        <v>75.5</v>
      </c>
      <c r="G3547">
        <v>18.399999999999999</v>
      </c>
      <c r="H3547">
        <v>0.71699999999999997</v>
      </c>
      <c r="I3547">
        <v>3.8879999999999999</v>
      </c>
      <c r="J3547">
        <v>4</v>
      </c>
      <c r="K3547">
        <v>12</v>
      </c>
      <c r="L3547">
        <v>18</v>
      </c>
      <c r="M3547">
        <v>1.1990000000000001</v>
      </c>
    </row>
    <row r="3548" spans="1:13" ht="15" customHeight="1">
      <c r="A3548" s="2" t="s">
        <v>42</v>
      </c>
      <c r="B3548">
        <f t="shared" si="220"/>
        <v>33.722360999999999</v>
      </c>
      <c r="C3548">
        <f t="shared" si="221"/>
        <v>-117.841475</v>
      </c>
      <c r="D3548">
        <f t="shared" si="222"/>
        <v>83</v>
      </c>
      <c r="E3548">
        <v>8.5</v>
      </c>
      <c r="F3548">
        <f t="shared" si="223"/>
        <v>74.5</v>
      </c>
      <c r="G3548">
        <v>25.216999999999999</v>
      </c>
      <c r="H3548">
        <v>1.0069999999999999</v>
      </c>
      <c r="I3548">
        <v>3.992</v>
      </c>
      <c r="J3548">
        <v>4</v>
      </c>
      <c r="K3548">
        <v>16</v>
      </c>
      <c r="L3548">
        <v>24</v>
      </c>
      <c r="M3548">
        <v>1.647</v>
      </c>
    </row>
    <row r="3549" spans="1:13" ht="15" customHeight="1">
      <c r="A3549" s="2" t="s">
        <v>42</v>
      </c>
      <c r="B3549">
        <f t="shared" si="220"/>
        <v>33.722360999999999</v>
      </c>
      <c r="C3549">
        <f t="shared" si="221"/>
        <v>-117.841475</v>
      </c>
      <c r="D3549">
        <f t="shared" si="222"/>
        <v>83</v>
      </c>
      <c r="E3549">
        <v>9.5</v>
      </c>
      <c r="F3549">
        <f t="shared" si="223"/>
        <v>73.5</v>
      </c>
      <c r="G3549">
        <v>17.417000000000002</v>
      </c>
      <c r="H3549">
        <v>0.71699999999999997</v>
      </c>
      <c r="I3549">
        <v>4.1230000000000002</v>
      </c>
      <c r="J3549">
        <v>3</v>
      </c>
      <c r="K3549">
        <v>17</v>
      </c>
      <c r="L3549">
        <v>26</v>
      </c>
      <c r="M3549">
        <v>1.121</v>
      </c>
    </row>
    <row r="3550" spans="1:13" ht="15" customHeight="1">
      <c r="A3550" s="2" t="s">
        <v>42</v>
      </c>
      <c r="B3550">
        <f t="shared" si="220"/>
        <v>33.722360999999999</v>
      </c>
      <c r="C3550">
        <f t="shared" si="221"/>
        <v>-117.841475</v>
      </c>
      <c r="D3550">
        <f t="shared" si="222"/>
        <v>83</v>
      </c>
      <c r="E3550">
        <v>10.5</v>
      </c>
      <c r="F3550">
        <f t="shared" si="223"/>
        <v>72.5</v>
      </c>
      <c r="G3550">
        <v>37.213999999999999</v>
      </c>
      <c r="H3550">
        <v>0.89700000000000002</v>
      </c>
      <c r="I3550">
        <v>2.4140000000000001</v>
      </c>
      <c r="J3550">
        <v>6</v>
      </c>
      <c r="K3550">
        <v>14</v>
      </c>
      <c r="L3550">
        <v>20</v>
      </c>
      <c r="M3550">
        <v>2.4359999999999999</v>
      </c>
    </row>
    <row r="3551" spans="1:13" ht="15" customHeight="1">
      <c r="A3551" s="2" t="s">
        <v>42</v>
      </c>
      <c r="B3551">
        <f t="shared" si="220"/>
        <v>33.722360999999999</v>
      </c>
      <c r="C3551">
        <f t="shared" si="221"/>
        <v>-117.841475</v>
      </c>
      <c r="D3551">
        <f t="shared" si="222"/>
        <v>83</v>
      </c>
      <c r="E3551">
        <v>11.5</v>
      </c>
      <c r="F3551">
        <f t="shared" si="223"/>
        <v>71.5</v>
      </c>
      <c r="G3551">
        <v>144.65</v>
      </c>
      <c r="H3551">
        <v>1.3280000000000001</v>
      </c>
      <c r="I3551">
        <v>0.91800000000000004</v>
      </c>
      <c r="J3551">
        <v>9</v>
      </c>
      <c r="K3551">
        <v>28</v>
      </c>
      <c r="L3551">
        <v>37</v>
      </c>
      <c r="M3551" s="1">
        <v>9000000000</v>
      </c>
    </row>
    <row r="3552" spans="1:13" ht="15" customHeight="1">
      <c r="A3552" s="2" t="s">
        <v>42</v>
      </c>
      <c r="B3552">
        <f t="shared" si="220"/>
        <v>33.722360999999999</v>
      </c>
      <c r="C3552">
        <f t="shared" si="221"/>
        <v>-117.841475</v>
      </c>
      <c r="D3552">
        <f t="shared" si="222"/>
        <v>83</v>
      </c>
      <c r="E3552">
        <v>12.5</v>
      </c>
      <c r="F3552">
        <f t="shared" si="223"/>
        <v>70.5</v>
      </c>
      <c r="G3552">
        <v>119.56699999999999</v>
      </c>
      <c r="H3552">
        <v>1.7070000000000001</v>
      </c>
      <c r="I3552">
        <v>1.427</v>
      </c>
      <c r="J3552">
        <v>8</v>
      </c>
      <c r="K3552">
        <v>29</v>
      </c>
      <c r="L3552">
        <v>36</v>
      </c>
      <c r="M3552" s="1">
        <v>9000000000</v>
      </c>
    </row>
    <row r="3553" spans="1:13" ht="15" customHeight="1">
      <c r="A3553" s="2" t="s">
        <v>42</v>
      </c>
      <c r="B3553">
        <f t="shared" si="220"/>
        <v>33.722360999999999</v>
      </c>
      <c r="C3553">
        <f t="shared" si="221"/>
        <v>-117.841475</v>
      </c>
      <c r="D3553">
        <f t="shared" si="222"/>
        <v>83</v>
      </c>
      <c r="E3553">
        <v>13.5</v>
      </c>
      <c r="F3553">
        <f t="shared" si="223"/>
        <v>69.5</v>
      </c>
      <c r="G3553">
        <v>65.966999999999999</v>
      </c>
      <c r="H3553">
        <v>0.72699999999999998</v>
      </c>
      <c r="I3553">
        <v>1.1020000000000001</v>
      </c>
      <c r="J3553">
        <v>8</v>
      </c>
      <c r="K3553">
        <v>16</v>
      </c>
      <c r="L3553">
        <v>19</v>
      </c>
      <c r="M3553" s="1">
        <v>9000000000</v>
      </c>
    </row>
    <row r="3554" spans="1:13" ht="15" customHeight="1">
      <c r="A3554" s="2" t="s">
        <v>42</v>
      </c>
      <c r="B3554">
        <f t="shared" si="220"/>
        <v>33.722360999999999</v>
      </c>
      <c r="C3554">
        <f t="shared" si="221"/>
        <v>-117.841475</v>
      </c>
      <c r="D3554">
        <f t="shared" si="222"/>
        <v>83</v>
      </c>
      <c r="E3554">
        <v>14.5</v>
      </c>
      <c r="F3554">
        <f t="shared" si="223"/>
        <v>68.5</v>
      </c>
      <c r="G3554">
        <v>15.117000000000001</v>
      </c>
      <c r="H3554">
        <v>0.51</v>
      </c>
      <c r="I3554">
        <v>3.3959999999999999</v>
      </c>
      <c r="J3554">
        <v>4</v>
      </c>
      <c r="K3554">
        <v>10</v>
      </c>
      <c r="L3554">
        <v>11</v>
      </c>
      <c r="M3554">
        <v>0.94199999999999995</v>
      </c>
    </row>
    <row r="3555" spans="1:13" ht="15" customHeight="1">
      <c r="A3555" s="2" t="s">
        <v>42</v>
      </c>
      <c r="B3555">
        <f t="shared" si="220"/>
        <v>33.722360999999999</v>
      </c>
      <c r="C3555">
        <f t="shared" si="221"/>
        <v>-117.841475</v>
      </c>
      <c r="D3555">
        <f t="shared" si="222"/>
        <v>83</v>
      </c>
      <c r="E3555">
        <v>15.5</v>
      </c>
      <c r="F3555">
        <f t="shared" si="223"/>
        <v>67.5</v>
      </c>
      <c r="G3555">
        <v>6.7670000000000003</v>
      </c>
      <c r="H3555">
        <v>0.20300000000000001</v>
      </c>
      <c r="I3555">
        <v>3.05</v>
      </c>
      <c r="J3555">
        <v>3</v>
      </c>
      <c r="K3555">
        <v>6</v>
      </c>
      <c r="L3555">
        <v>6</v>
      </c>
      <c r="M3555">
        <v>0.38100000000000001</v>
      </c>
    </row>
    <row r="3556" spans="1:13" ht="15" customHeight="1">
      <c r="A3556" s="2" t="s">
        <v>42</v>
      </c>
      <c r="B3556">
        <f t="shared" si="220"/>
        <v>33.722360999999999</v>
      </c>
      <c r="C3556">
        <f t="shared" si="221"/>
        <v>-117.841475</v>
      </c>
      <c r="D3556">
        <f t="shared" si="222"/>
        <v>83</v>
      </c>
      <c r="E3556">
        <v>16.5</v>
      </c>
      <c r="F3556">
        <f t="shared" si="223"/>
        <v>66.5</v>
      </c>
      <c r="G3556">
        <v>6.3</v>
      </c>
      <c r="H3556">
        <v>0.16800000000000001</v>
      </c>
      <c r="I3556">
        <v>2.7080000000000002</v>
      </c>
      <c r="J3556">
        <v>3</v>
      </c>
      <c r="K3556">
        <v>6</v>
      </c>
      <c r="L3556">
        <v>6</v>
      </c>
      <c r="M3556">
        <v>0.34699999999999998</v>
      </c>
    </row>
    <row r="3557" spans="1:13" ht="15" customHeight="1">
      <c r="A3557" s="2" t="s">
        <v>42</v>
      </c>
      <c r="B3557">
        <f t="shared" si="220"/>
        <v>33.722360999999999</v>
      </c>
      <c r="C3557">
        <f t="shared" si="221"/>
        <v>-117.841475</v>
      </c>
      <c r="D3557">
        <f t="shared" si="222"/>
        <v>83</v>
      </c>
      <c r="E3557">
        <v>17.5</v>
      </c>
      <c r="F3557">
        <f t="shared" si="223"/>
        <v>65.5</v>
      </c>
      <c r="G3557">
        <v>7.4669999999999996</v>
      </c>
      <c r="H3557">
        <v>0.22</v>
      </c>
      <c r="I3557">
        <v>2.9860000000000002</v>
      </c>
      <c r="J3557">
        <v>3</v>
      </c>
      <c r="K3557">
        <v>7</v>
      </c>
      <c r="L3557">
        <v>7</v>
      </c>
      <c r="M3557">
        <v>0.42</v>
      </c>
    </row>
    <row r="3558" spans="1:13" ht="15" customHeight="1">
      <c r="A3558" s="2" t="s">
        <v>42</v>
      </c>
      <c r="B3558">
        <f t="shared" si="220"/>
        <v>33.722360999999999</v>
      </c>
      <c r="C3558">
        <f t="shared" si="221"/>
        <v>-117.841475</v>
      </c>
      <c r="D3558">
        <f t="shared" si="222"/>
        <v>83</v>
      </c>
      <c r="E3558">
        <v>18.5</v>
      </c>
      <c r="F3558">
        <f t="shared" si="223"/>
        <v>64.5</v>
      </c>
      <c r="G3558">
        <v>7.7169999999999996</v>
      </c>
      <c r="H3558">
        <v>0.17199999999999999</v>
      </c>
      <c r="I3558">
        <v>2.2290000000000001</v>
      </c>
      <c r="J3558">
        <v>4</v>
      </c>
      <c r="K3558">
        <v>5</v>
      </c>
      <c r="L3558">
        <v>5</v>
      </c>
      <c r="M3558">
        <v>0.438</v>
      </c>
    </row>
    <row r="3559" spans="1:13" ht="15" customHeight="1">
      <c r="A3559" s="2" t="s">
        <v>42</v>
      </c>
      <c r="B3559">
        <f t="shared" si="220"/>
        <v>33.722360999999999</v>
      </c>
      <c r="C3559">
        <f t="shared" si="221"/>
        <v>-117.841475</v>
      </c>
      <c r="D3559">
        <f t="shared" si="222"/>
        <v>83</v>
      </c>
      <c r="E3559">
        <v>19.5</v>
      </c>
      <c r="F3559">
        <f t="shared" si="223"/>
        <v>63.5</v>
      </c>
      <c r="G3559">
        <v>7.7169999999999996</v>
      </c>
      <c r="H3559">
        <v>0.19700000000000001</v>
      </c>
      <c r="I3559">
        <v>2.5379999999999998</v>
      </c>
      <c r="J3559">
        <v>4</v>
      </c>
      <c r="K3559">
        <v>5</v>
      </c>
      <c r="L3559">
        <v>4</v>
      </c>
      <c r="M3559">
        <v>0.438</v>
      </c>
    </row>
    <row r="3560" spans="1:13" ht="15" customHeight="1">
      <c r="A3560" s="2" t="s">
        <v>42</v>
      </c>
      <c r="B3560">
        <f t="shared" si="220"/>
        <v>33.722360999999999</v>
      </c>
      <c r="C3560">
        <f t="shared" si="221"/>
        <v>-117.841475</v>
      </c>
      <c r="D3560">
        <f t="shared" si="222"/>
        <v>83</v>
      </c>
      <c r="E3560">
        <v>20.5</v>
      </c>
      <c r="F3560">
        <f t="shared" si="223"/>
        <v>62.5</v>
      </c>
      <c r="G3560">
        <v>9.1709999999999994</v>
      </c>
      <c r="H3560">
        <v>0.26400000000000001</v>
      </c>
      <c r="I3560">
        <v>2.8639999999999999</v>
      </c>
      <c r="J3560">
        <v>4</v>
      </c>
      <c r="K3560">
        <v>6</v>
      </c>
      <c r="L3560">
        <v>5</v>
      </c>
      <c r="M3560">
        <v>0.53200000000000003</v>
      </c>
    </row>
    <row r="3561" spans="1:13" ht="15" customHeight="1">
      <c r="A3561" s="2" t="s">
        <v>42</v>
      </c>
      <c r="B3561">
        <f t="shared" si="220"/>
        <v>33.722360999999999</v>
      </c>
      <c r="C3561">
        <f t="shared" si="221"/>
        <v>-117.841475</v>
      </c>
      <c r="D3561">
        <f t="shared" si="222"/>
        <v>83</v>
      </c>
      <c r="E3561">
        <v>21.5</v>
      </c>
      <c r="F3561">
        <f t="shared" si="223"/>
        <v>61.5</v>
      </c>
      <c r="G3561">
        <v>10.85</v>
      </c>
      <c r="H3561">
        <v>0.33</v>
      </c>
      <c r="I3561">
        <v>3.0179999999999998</v>
      </c>
      <c r="J3561">
        <v>4</v>
      </c>
      <c r="K3561">
        <v>7</v>
      </c>
      <c r="L3561">
        <v>6</v>
      </c>
      <c r="M3561">
        <v>0.64200000000000002</v>
      </c>
    </row>
    <row r="3562" spans="1:13" ht="15" customHeight="1">
      <c r="A3562" s="2" t="s">
        <v>42</v>
      </c>
      <c r="B3562">
        <f t="shared" si="220"/>
        <v>33.722360999999999</v>
      </c>
      <c r="C3562">
        <f t="shared" si="221"/>
        <v>-117.841475</v>
      </c>
      <c r="D3562">
        <f t="shared" si="222"/>
        <v>83</v>
      </c>
      <c r="E3562">
        <v>22.5</v>
      </c>
      <c r="F3562">
        <f t="shared" si="223"/>
        <v>60.5</v>
      </c>
      <c r="G3562">
        <v>13.617000000000001</v>
      </c>
      <c r="H3562">
        <v>0.45500000000000002</v>
      </c>
      <c r="I3562">
        <v>3.3090000000000002</v>
      </c>
      <c r="J3562">
        <v>4</v>
      </c>
      <c r="K3562">
        <v>9</v>
      </c>
      <c r="L3562">
        <v>7</v>
      </c>
      <c r="M3562">
        <v>0.82599999999999996</v>
      </c>
    </row>
    <row r="3563" spans="1:13" ht="15" customHeight="1">
      <c r="A3563" s="2" t="s">
        <v>42</v>
      </c>
      <c r="B3563">
        <f t="shared" si="220"/>
        <v>33.722360999999999</v>
      </c>
      <c r="C3563">
        <f t="shared" si="221"/>
        <v>-117.841475</v>
      </c>
      <c r="D3563">
        <f t="shared" si="222"/>
        <v>83</v>
      </c>
      <c r="E3563">
        <v>23.5</v>
      </c>
      <c r="F3563">
        <f t="shared" si="223"/>
        <v>59.5</v>
      </c>
      <c r="G3563">
        <v>11.333</v>
      </c>
      <c r="H3563">
        <v>0.28299999999999997</v>
      </c>
      <c r="I3563">
        <v>2.464</v>
      </c>
      <c r="J3563">
        <v>5</v>
      </c>
      <c r="K3563">
        <v>6</v>
      </c>
      <c r="L3563">
        <v>5</v>
      </c>
      <c r="M3563">
        <v>0.67200000000000004</v>
      </c>
    </row>
    <row r="3564" spans="1:13" ht="15" customHeight="1">
      <c r="A3564" s="2" t="s">
        <v>42</v>
      </c>
      <c r="B3564">
        <f t="shared" si="220"/>
        <v>33.722360999999999</v>
      </c>
      <c r="C3564">
        <f t="shared" si="221"/>
        <v>-117.841475</v>
      </c>
      <c r="D3564">
        <f t="shared" si="222"/>
        <v>83</v>
      </c>
      <c r="E3564">
        <v>24.5</v>
      </c>
      <c r="F3564">
        <f t="shared" si="223"/>
        <v>58.5</v>
      </c>
      <c r="G3564">
        <v>11.467000000000001</v>
      </c>
      <c r="H3564">
        <v>0.32</v>
      </c>
      <c r="I3564">
        <v>2.7629999999999999</v>
      </c>
      <c r="J3564">
        <v>4</v>
      </c>
      <c r="K3564">
        <v>7</v>
      </c>
      <c r="L3564">
        <v>5</v>
      </c>
      <c r="M3564">
        <v>0.67300000000000004</v>
      </c>
    </row>
    <row r="3565" spans="1:13" ht="15" customHeight="1">
      <c r="A3565" s="2" t="s">
        <v>42</v>
      </c>
      <c r="B3565">
        <f t="shared" si="220"/>
        <v>33.722360999999999</v>
      </c>
      <c r="C3565">
        <f t="shared" si="221"/>
        <v>-117.841475</v>
      </c>
      <c r="D3565">
        <f t="shared" si="222"/>
        <v>83</v>
      </c>
      <c r="E3565">
        <v>25.5</v>
      </c>
      <c r="F3565">
        <f t="shared" si="223"/>
        <v>57.5</v>
      </c>
      <c r="G3565">
        <v>11.516999999999999</v>
      </c>
      <c r="H3565">
        <v>0.35299999999999998</v>
      </c>
      <c r="I3565">
        <v>3.016</v>
      </c>
      <c r="J3565">
        <v>4</v>
      </c>
      <c r="K3565">
        <v>7</v>
      </c>
      <c r="L3565">
        <v>5</v>
      </c>
      <c r="M3565">
        <v>0.67800000000000005</v>
      </c>
    </row>
    <row r="3566" spans="1:13" ht="15" customHeight="1">
      <c r="A3566" s="2" t="s">
        <v>42</v>
      </c>
      <c r="B3566">
        <f t="shared" si="220"/>
        <v>33.722360999999999</v>
      </c>
      <c r="C3566">
        <f t="shared" si="221"/>
        <v>-117.841475</v>
      </c>
      <c r="D3566">
        <f t="shared" si="222"/>
        <v>83</v>
      </c>
      <c r="E3566">
        <v>26.5</v>
      </c>
      <c r="F3566">
        <f t="shared" si="223"/>
        <v>56.5</v>
      </c>
      <c r="G3566">
        <v>9.8000000000000007</v>
      </c>
      <c r="H3566">
        <v>0.23699999999999999</v>
      </c>
      <c r="I3566">
        <v>2.363</v>
      </c>
      <c r="J3566">
        <v>4</v>
      </c>
      <c r="K3566">
        <v>6</v>
      </c>
      <c r="L3566">
        <v>4</v>
      </c>
      <c r="M3566">
        <v>0.56100000000000005</v>
      </c>
    </row>
    <row r="3567" spans="1:13" ht="15" customHeight="1">
      <c r="A3567" s="2" t="s">
        <v>42</v>
      </c>
      <c r="B3567">
        <f t="shared" si="220"/>
        <v>33.722360999999999</v>
      </c>
      <c r="C3567">
        <f t="shared" si="221"/>
        <v>-117.841475</v>
      </c>
      <c r="D3567">
        <f t="shared" si="222"/>
        <v>83</v>
      </c>
      <c r="E3567">
        <v>27.5</v>
      </c>
      <c r="F3567">
        <f t="shared" si="223"/>
        <v>55.5</v>
      </c>
      <c r="G3567">
        <v>9.7330000000000005</v>
      </c>
      <c r="H3567">
        <v>0.23799999999999999</v>
      </c>
      <c r="I3567">
        <v>2.379</v>
      </c>
      <c r="J3567">
        <v>4</v>
      </c>
      <c r="K3567">
        <v>6</v>
      </c>
      <c r="L3567">
        <v>4</v>
      </c>
      <c r="M3567">
        <v>0.55700000000000005</v>
      </c>
    </row>
    <row r="3568" spans="1:13" ht="15" customHeight="1">
      <c r="A3568" s="2" t="s">
        <v>42</v>
      </c>
      <c r="B3568">
        <f t="shared" si="220"/>
        <v>33.722360999999999</v>
      </c>
      <c r="C3568">
        <f t="shared" si="221"/>
        <v>-117.841475</v>
      </c>
      <c r="D3568">
        <f t="shared" si="222"/>
        <v>83</v>
      </c>
      <c r="E3568">
        <v>28.5</v>
      </c>
      <c r="F3568">
        <f t="shared" si="223"/>
        <v>54.5</v>
      </c>
      <c r="G3568">
        <v>9.85</v>
      </c>
      <c r="H3568">
        <v>0.23</v>
      </c>
      <c r="I3568">
        <v>2.2549999999999999</v>
      </c>
      <c r="J3568">
        <v>5</v>
      </c>
      <c r="K3568">
        <v>5</v>
      </c>
      <c r="L3568">
        <v>3</v>
      </c>
      <c r="M3568">
        <v>0.56499999999999995</v>
      </c>
    </row>
    <row r="3569" spans="1:13" ht="15" customHeight="1">
      <c r="A3569" s="2" t="s">
        <v>42</v>
      </c>
      <c r="B3569">
        <f t="shared" si="220"/>
        <v>33.722360999999999</v>
      </c>
      <c r="C3569">
        <f t="shared" si="221"/>
        <v>-117.841475</v>
      </c>
      <c r="D3569">
        <f t="shared" si="222"/>
        <v>83</v>
      </c>
      <c r="E3569">
        <v>29.5</v>
      </c>
      <c r="F3569">
        <f t="shared" si="223"/>
        <v>53.5</v>
      </c>
      <c r="G3569">
        <v>11.05</v>
      </c>
      <c r="H3569">
        <v>0.30299999999999999</v>
      </c>
      <c r="I3569">
        <v>2.649</v>
      </c>
      <c r="J3569">
        <v>4</v>
      </c>
      <c r="K3569">
        <v>7</v>
      </c>
      <c r="L3569">
        <v>5</v>
      </c>
      <c r="M3569">
        <v>0.64400000000000002</v>
      </c>
    </row>
    <row r="3570" spans="1:13" ht="15" customHeight="1">
      <c r="A3570" s="2" t="s">
        <v>42</v>
      </c>
      <c r="B3570">
        <f t="shared" si="220"/>
        <v>33.722360999999999</v>
      </c>
      <c r="C3570">
        <f t="shared" si="221"/>
        <v>-117.841475</v>
      </c>
      <c r="D3570">
        <f t="shared" si="222"/>
        <v>83</v>
      </c>
      <c r="E3570">
        <v>30.5</v>
      </c>
      <c r="F3570">
        <f t="shared" si="223"/>
        <v>52.5</v>
      </c>
      <c r="G3570">
        <v>21.683</v>
      </c>
      <c r="H3570">
        <v>0.628</v>
      </c>
      <c r="I3570">
        <v>2.8559999999999999</v>
      </c>
      <c r="J3570">
        <v>5</v>
      </c>
      <c r="K3570">
        <v>11</v>
      </c>
      <c r="L3570">
        <v>7</v>
      </c>
      <c r="M3570">
        <v>1.3440000000000001</v>
      </c>
    </row>
    <row r="3571" spans="1:13" ht="15" customHeight="1">
      <c r="A3571" s="2" t="s">
        <v>42</v>
      </c>
      <c r="B3571">
        <f t="shared" si="220"/>
        <v>33.722360999999999</v>
      </c>
      <c r="C3571">
        <f t="shared" si="221"/>
        <v>-117.841475</v>
      </c>
      <c r="D3571">
        <f t="shared" si="222"/>
        <v>83</v>
      </c>
      <c r="E3571">
        <v>31.5</v>
      </c>
      <c r="F3571">
        <f t="shared" si="223"/>
        <v>51.5</v>
      </c>
      <c r="G3571">
        <v>23.5</v>
      </c>
      <c r="H3571">
        <v>0.73</v>
      </c>
      <c r="I3571">
        <v>3.101</v>
      </c>
      <c r="J3571">
        <v>5</v>
      </c>
      <c r="K3571">
        <v>11</v>
      </c>
      <c r="L3571">
        <v>7</v>
      </c>
      <c r="M3571">
        <v>1.4419999999999999</v>
      </c>
    </row>
    <row r="3572" spans="1:13" ht="15" customHeight="1">
      <c r="A3572" s="2" t="s">
        <v>42</v>
      </c>
      <c r="B3572">
        <f t="shared" si="220"/>
        <v>33.722360999999999</v>
      </c>
      <c r="C3572">
        <f t="shared" si="221"/>
        <v>-117.841475</v>
      </c>
      <c r="D3572">
        <f t="shared" si="222"/>
        <v>83</v>
      </c>
      <c r="E3572">
        <v>32.5</v>
      </c>
      <c r="F3572">
        <f t="shared" si="223"/>
        <v>50.5</v>
      </c>
      <c r="G3572">
        <v>9.7170000000000005</v>
      </c>
      <c r="H3572">
        <v>0.17299999999999999</v>
      </c>
      <c r="I3572">
        <v>1.7809999999999999</v>
      </c>
      <c r="J3572">
        <v>5</v>
      </c>
      <c r="K3572">
        <v>5</v>
      </c>
      <c r="L3572">
        <v>3</v>
      </c>
      <c r="M3572">
        <v>0.51800000000000002</v>
      </c>
    </row>
    <row r="3573" spans="1:13" ht="15" customHeight="1">
      <c r="A3573" s="2" t="s">
        <v>42</v>
      </c>
      <c r="B3573">
        <f t="shared" si="220"/>
        <v>33.722360999999999</v>
      </c>
      <c r="C3573">
        <f t="shared" si="221"/>
        <v>-117.841475</v>
      </c>
      <c r="D3573">
        <f t="shared" si="222"/>
        <v>83</v>
      </c>
      <c r="E3573">
        <v>33.5</v>
      </c>
      <c r="F3573">
        <f t="shared" si="223"/>
        <v>49.5</v>
      </c>
      <c r="G3573">
        <v>11.55</v>
      </c>
      <c r="H3573">
        <v>0.28000000000000003</v>
      </c>
      <c r="I3573">
        <v>2.4140000000000001</v>
      </c>
      <c r="J3573">
        <v>5</v>
      </c>
      <c r="K3573">
        <v>6</v>
      </c>
      <c r="L3573">
        <v>4</v>
      </c>
      <c r="M3573">
        <v>0.63800000000000001</v>
      </c>
    </row>
    <row r="3574" spans="1:13" ht="15" customHeight="1">
      <c r="A3574" s="2" t="s">
        <v>42</v>
      </c>
      <c r="B3574">
        <f t="shared" si="220"/>
        <v>33.722360999999999</v>
      </c>
      <c r="C3574">
        <f t="shared" si="221"/>
        <v>-117.841475</v>
      </c>
      <c r="D3574">
        <f t="shared" si="222"/>
        <v>83</v>
      </c>
      <c r="E3574">
        <v>34.5</v>
      </c>
      <c r="F3574">
        <f t="shared" si="223"/>
        <v>48.5</v>
      </c>
      <c r="G3574">
        <v>12.5</v>
      </c>
      <c r="H3574">
        <v>0.38</v>
      </c>
      <c r="I3574">
        <v>3.024</v>
      </c>
      <c r="J3574">
        <v>4</v>
      </c>
      <c r="K3574">
        <v>8</v>
      </c>
      <c r="L3574">
        <v>5</v>
      </c>
      <c r="M3574">
        <v>0.69799999999999995</v>
      </c>
    </row>
    <row r="3575" spans="1:13" ht="15" customHeight="1">
      <c r="A3575" s="2" t="s">
        <v>42</v>
      </c>
      <c r="B3575">
        <f t="shared" si="220"/>
        <v>33.722360999999999</v>
      </c>
      <c r="C3575">
        <f t="shared" si="221"/>
        <v>-117.841475</v>
      </c>
      <c r="D3575">
        <f t="shared" si="222"/>
        <v>83</v>
      </c>
      <c r="E3575">
        <v>35.5</v>
      </c>
      <c r="F3575">
        <f t="shared" si="223"/>
        <v>47.5</v>
      </c>
      <c r="G3575">
        <v>10.65</v>
      </c>
      <c r="H3575">
        <v>0.182</v>
      </c>
      <c r="I3575">
        <v>1.6930000000000001</v>
      </c>
      <c r="J3575">
        <v>5</v>
      </c>
      <c r="K3575">
        <v>5</v>
      </c>
      <c r="L3575">
        <v>3</v>
      </c>
      <c r="M3575">
        <v>0.57199999999999995</v>
      </c>
    </row>
    <row r="3576" spans="1:13" ht="15" customHeight="1">
      <c r="A3576" s="2" t="s">
        <v>42</v>
      </c>
      <c r="B3576">
        <f t="shared" si="220"/>
        <v>33.722360999999999</v>
      </c>
      <c r="C3576">
        <f t="shared" si="221"/>
        <v>-117.841475</v>
      </c>
      <c r="D3576">
        <f t="shared" si="222"/>
        <v>83</v>
      </c>
      <c r="E3576">
        <v>36.5</v>
      </c>
      <c r="F3576">
        <f t="shared" si="223"/>
        <v>46.5</v>
      </c>
      <c r="G3576">
        <v>10.683</v>
      </c>
      <c r="H3576">
        <v>0.13200000000000001</v>
      </c>
      <c r="I3576">
        <v>1.2190000000000001</v>
      </c>
      <c r="J3576">
        <v>5</v>
      </c>
      <c r="K3576">
        <v>5</v>
      </c>
      <c r="L3576">
        <v>3</v>
      </c>
      <c r="M3576">
        <v>0.57299999999999995</v>
      </c>
    </row>
    <row r="3577" spans="1:13" ht="15" customHeight="1">
      <c r="A3577" s="2" t="s">
        <v>42</v>
      </c>
      <c r="B3577">
        <f t="shared" si="220"/>
        <v>33.722360999999999</v>
      </c>
      <c r="C3577">
        <f t="shared" si="221"/>
        <v>-117.841475</v>
      </c>
      <c r="D3577">
        <f t="shared" si="222"/>
        <v>83</v>
      </c>
      <c r="E3577">
        <v>37.5</v>
      </c>
      <c r="F3577">
        <f t="shared" si="223"/>
        <v>45.5</v>
      </c>
      <c r="G3577">
        <v>11.4</v>
      </c>
      <c r="H3577">
        <v>0.218</v>
      </c>
      <c r="I3577">
        <v>1.8819999999999999</v>
      </c>
      <c r="J3577">
        <v>5</v>
      </c>
      <c r="K3577">
        <v>6</v>
      </c>
      <c r="L3577">
        <v>4</v>
      </c>
      <c r="M3577">
        <v>0.622</v>
      </c>
    </row>
    <row r="3578" spans="1:13" ht="15" customHeight="1">
      <c r="A3578" s="2" t="s">
        <v>42</v>
      </c>
      <c r="B3578">
        <f t="shared" si="220"/>
        <v>33.722360999999999</v>
      </c>
      <c r="C3578">
        <f t="shared" si="221"/>
        <v>-117.841475</v>
      </c>
      <c r="D3578">
        <f t="shared" si="222"/>
        <v>83</v>
      </c>
      <c r="E3578">
        <v>38.5</v>
      </c>
      <c r="F3578">
        <f t="shared" si="223"/>
        <v>44.5</v>
      </c>
      <c r="G3578">
        <v>10.483000000000001</v>
      </c>
      <c r="H3578">
        <v>0.128</v>
      </c>
      <c r="I3578">
        <v>1.1830000000000001</v>
      </c>
      <c r="J3578">
        <v>5</v>
      </c>
      <c r="K3578">
        <v>5</v>
      </c>
      <c r="L3578">
        <v>3</v>
      </c>
      <c r="M3578">
        <v>0.56799999999999995</v>
      </c>
    </row>
    <row r="3579" spans="1:13" ht="15" customHeight="1">
      <c r="A3579" s="2" t="s">
        <v>42</v>
      </c>
      <c r="B3579">
        <f t="shared" si="220"/>
        <v>33.722360999999999</v>
      </c>
      <c r="C3579">
        <f t="shared" si="221"/>
        <v>-117.841475</v>
      </c>
      <c r="D3579">
        <f t="shared" si="222"/>
        <v>83</v>
      </c>
      <c r="E3579">
        <v>39.5</v>
      </c>
      <c r="F3579">
        <f t="shared" si="223"/>
        <v>43.5</v>
      </c>
      <c r="G3579">
        <v>17.667000000000002</v>
      </c>
      <c r="H3579">
        <v>0.38</v>
      </c>
      <c r="I3579">
        <v>2.0920000000000001</v>
      </c>
      <c r="J3579">
        <v>5</v>
      </c>
      <c r="K3579">
        <v>9</v>
      </c>
      <c r="L3579">
        <v>5</v>
      </c>
      <c r="M3579">
        <v>1.052</v>
      </c>
    </row>
    <row r="3580" spans="1:13" ht="15" customHeight="1">
      <c r="A3580" s="2" t="s">
        <v>42</v>
      </c>
      <c r="B3580">
        <f t="shared" si="220"/>
        <v>33.722360999999999</v>
      </c>
      <c r="C3580">
        <f t="shared" si="221"/>
        <v>-117.841475</v>
      </c>
      <c r="D3580">
        <f t="shared" si="222"/>
        <v>83</v>
      </c>
      <c r="E3580">
        <v>40.5</v>
      </c>
      <c r="F3580">
        <f t="shared" si="223"/>
        <v>42.5</v>
      </c>
      <c r="G3580">
        <v>25.832999999999998</v>
      </c>
      <c r="H3580">
        <v>0.76800000000000002</v>
      </c>
      <c r="I3580">
        <v>2.9249999999999998</v>
      </c>
      <c r="J3580">
        <v>5</v>
      </c>
      <c r="K3580">
        <v>13</v>
      </c>
      <c r="L3580">
        <v>8</v>
      </c>
      <c r="M3580">
        <v>1.5880000000000001</v>
      </c>
    </row>
    <row r="3581" spans="1:13" ht="15" customHeight="1">
      <c r="A3581" s="2" t="s">
        <v>42</v>
      </c>
      <c r="B3581">
        <f t="shared" si="220"/>
        <v>33.722360999999999</v>
      </c>
      <c r="C3581">
        <f t="shared" si="221"/>
        <v>-117.841475</v>
      </c>
      <c r="D3581">
        <f t="shared" si="222"/>
        <v>83</v>
      </c>
      <c r="E3581">
        <v>41.499000000000002</v>
      </c>
      <c r="F3581">
        <f t="shared" si="223"/>
        <v>41.500999999999998</v>
      </c>
      <c r="G3581">
        <v>37.756999999999998</v>
      </c>
      <c r="H3581">
        <v>1.274</v>
      </c>
      <c r="I3581">
        <v>3.3450000000000002</v>
      </c>
      <c r="J3581">
        <v>5</v>
      </c>
      <c r="K3581">
        <v>18</v>
      </c>
      <c r="L3581">
        <v>11</v>
      </c>
      <c r="M3581">
        <v>2.3719999999999999</v>
      </c>
    </row>
    <row r="3582" spans="1:13" ht="15" customHeight="1">
      <c r="A3582" s="2" t="s">
        <v>42</v>
      </c>
      <c r="B3582">
        <f t="shared" si="220"/>
        <v>33.722360999999999</v>
      </c>
      <c r="C3582">
        <f t="shared" si="221"/>
        <v>-117.841475</v>
      </c>
      <c r="D3582">
        <f t="shared" si="222"/>
        <v>83</v>
      </c>
      <c r="E3582">
        <v>42.499000000000002</v>
      </c>
      <c r="F3582">
        <f t="shared" si="223"/>
        <v>40.500999999999998</v>
      </c>
      <c r="G3582">
        <v>49.2</v>
      </c>
      <c r="H3582">
        <v>1.64</v>
      </c>
      <c r="I3582">
        <v>3.3290000000000002</v>
      </c>
      <c r="J3582">
        <v>5</v>
      </c>
      <c r="K3582">
        <v>24</v>
      </c>
      <c r="L3582">
        <v>14</v>
      </c>
      <c r="M3582">
        <v>3.113</v>
      </c>
    </row>
    <row r="3583" spans="1:13" ht="15" customHeight="1">
      <c r="A3583" s="2" t="s">
        <v>42</v>
      </c>
      <c r="B3583">
        <f t="shared" si="220"/>
        <v>33.722360999999999</v>
      </c>
      <c r="C3583">
        <f t="shared" si="221"/>
        <v>-117.841475</v>
      </c>
      <c r="D3583">
        <f t="shared" si="222"/>
        <v>83</v>
      </c>
      <c r="E3583">
        <v>43.499000000000002</v>
      </c>
      <c r="F3583">
        <f t="shared" si="223"/>
        <v>39.500999999999998</v>
      </c>
      <c r="G3583">
        <v>62.85</v>
      </c>
      <c r="H3583">
        <v>2.3330000000000002</v>
      </c>
      <c r="I3583">
        <v>3.7149999999999999</v>
      </c>
      <c r="J3583">
        <v>5</v>
      </c>
      <c r="K3583">
        <v>30</v>
      </c>
      <c r="L3583">
        <v>17</v>
      </c>
      <c r="M3583">
        <v>4.0110000000000001</v>
      </c>
    </row>
    <row r="3584" spans="1:13" ht="15" customHeight="1">
      <c r="A3584" s="2" t="s">
        <v>42</v>
      </c>
      <c r="B3584">
        <f t="shared" si="220"/>
        <v>33.722360999999999</v>
      </c>
      <c r="C3584">
        <f t="shared" si="221"/>
        <v>-117.841475</v>
      </c>
      <c r="D3584">
        <f t="shared" si="222"/>
        <v>83</v>
      </c>
      <c r="E3584">
        <v>44.499000000000002</v>
      </c>
      <c r="F3584">
        <f t="shared" si="223"/>
        <v>38.500999999999998</v>
      </c>
      <c r="G3584">
        <v>53.4</v>
      </c>
      <c r="H3584">
        <v>2.1269999999999998</v>
      </c>
      <c r="I3584">
        <v>3.9860000000000002</v>
      </c>
      <c r="J3584">
        <v>5</v>
      </c>
      <c r="K3584">
        <v>26</v>
      </c>
      <c r="L3584">
        <v>15</v>
      </c>
      <c r="M3584">
        <v>3.3769999999999998</v>
      </c>
    </row>
    <row r="3585" spans="1:13" ht="15" customHeight="1">
      <c r="A3585" s="2" t="s">
        <v>42</v>
      </c>
      <c r="B3585">
        <f t="shared" si="220"/>
        <v>33.722360999999999</v>
      </c>
      <c r="C3585">
        <f t="shared" si="221"/>
        <v>-117.841475</v>
      </c>
      <c r="D3585">
        <f t="shared" si="222"/>
        <v>83</v>
      </c>
      <c r="E3585">
        <v>45.499000000000002</v>
      </c>
      <c r="F3585">
        <f t="shared" si="223"/>
        <v>37.500999999999998</v>
      </c>
      <c r="G3585">
        <v>38.433</v>
      </c>
      <c r="H3585">
        <v>1.4350000000000001</v>
      </c>
      <c r="I3585">
        <v>3.7450000000000001</v>
      </c>
      <c r="J3585">
        <v>5</v>
      </c>
      <c r="K3585">
        <v>18</v>
      </c>
      <c r="L3585">
        <v>10</v>
      </c>
      <c r="M3585">
        <v>2.37</v>
      </c>
    </row>
    <row r="3586" spans="1:13" ht="15" customHeight="1">
      <c r="A3586" s="2" t="s">
        <v>42</v>
      </c>
      <c r="B3586">
        <f t="shared" ref="B3586:B3649" si="224">VLOOKUP(A3586,XYdata,3,FALSE)</f>
        <v>33.722360999999999</v>
      </c>
      <c r="C3586">
        <f t="shared" ref="C3586:C3649" si="225">VLOOKUP(A3586,XYdata,2,FALSE)</f>
        <v>-117.841475</v>
      </c>
      <c r="D3586">
        <f t="shared" ref="D3586:D3649" si="226">VLOOKUP(A3586,Elevation,2,FALSE)</f>
        <v>83</v>
      </c>
      <c r="E3586">
        <v>46.499000000000002</v>
      </c>
      <c r="F3586">
        <f t="shared" si="223"/>
        <v>36.500999999999998</v>
      </c>
      <c r="G3586">
        <v>37.633000000000003</v>
      </c>
      <c r="H3586">
        <v>1.302</v>
      </c>
      <c r="I3586">
        <v>3.4710000000000001</v>
      </c>
      <c r="J3586">
        <v>5</v>
      </c>
      <c r="K3586">
        <v>18</v>
      </c>
      <c r="L3586">
        <v>10</v>
      </c>
      <c r="M3586">
        <v>2.3119999999999998</v>
      </c>
    </row>
    <row r="3587" spans="1:13" ht="15" customHeight="1">
      <c r="A3587" s="2" t="s">
        <v>42</v>
      </c>
      <c r="B3587">
        <f t="shared" si="224"/>
        <v>33.722360999999999</v>
      </c>
      <c r="C3587">
        <f t="shared" si="225"/>
        <v>-117.841475</v>
      </c>
      <c r="D3587">
        <f t="shared" si="226"/>
        <v>83</v>
      </c>
      <c r="E3587">
        <v>47.499000000000002</v>
      </c>
      <c r="F3587">
        <f t="shared" ref="F3587:F3650" si="227">D3587-E3587</f>
        <v>35.500999999999998</v>
      </c>
      <c r="G3587">
        <v>21.966999999999999</v>
      </c>
      <c r="H3587">
        <v>0.66300000000000003</v>
      </c>
      <c r="I3587">
        <v>3.0379999999999998</v>
      </c>
      <c r="J3587">
        <v>5</v>
      </c>
      <c r="K3587">
        <v>10</v>
      </c>
      <c r="L3587">
        <v>5</v>
      </c>
      <c r="M3587">
        <v>1.2629999999999999</v>
      </c>
    </row>
    <row r="3588" spans="1:13" ht="15" customHeight="1">
      <c r="A3588" s="2" t="s">
        <v>42</v>
      </c>
      <c r="B3588">
        <f t="shared" si="224"/>
        <v>33.722360999999999</v>
      </c>
      <c r="C3588">
        <f t="shared" si="225"/>
        <v>-117.841475</v>
      </c>
      <c r="D3588">
        <f t="shared" si="226"/>
        <v>83</v>
      </c>
      <c r="E3588">
        <v>48.499000000000002</v>
      </c>
      <c r="F3588">
        <f t="shared" si="227"/>
        <v>34.500999999999998</v>
      </c>
      <c r="G3588">
        <v>22.3</v>
      </c>
      <c r="H3588">
        <v>0.63300000000000001</v>
      </c>
      <c r="I3588">
        <v>2.8530000000000002</v>
      </c>
      <c r="J3588">
        <v>5</v>
      </c>
      <c r="K3588">
        <v>11</v>
      </c>
      <c r="L3588">
        <v>6</v>
      </c>
      <c r="M3588">
        <v>1.2829999999999999</v>
      </c>
    </row>
    <row r="3589" spans="1:13" ht="15" customHeight="1">
      <c r="A3589" s="2" t="s">
        <v>42</v>
      </c>
      <c r="B3589">
        <f t="shared" si="224"/>
        <v>33.722360999999999</v>
      </c>
      <c r="C3589">
        <f t="shared" si="225"/>
        <v>-117.841475</v>
      </c>
      <c r="D3589">
        <f t="shared" si="226"/>
        <v>83</v>
      </c>
      <c r="E3589">
        <v>49.499000000000002</v>
      </c>
      <c r="F3589">
        <f t="shared" si="227"/>
        <v>33.500999999999998</v>
      </c>
      <c r="G3589">
        <v>102.983</v>
      </c>
      <c r="H3589">
        <v>1.0449999999999999</v>
      </c>
      <c r="I3589">
        <v>1.016</v>
      </c>
      <c r="J3589">
        <v>8</v>
      </c>
      <c r="K3589">
        <v>25</v>
      </c>
      <c r="L3589">
        <v>13</v>
      </c>
      <c r="M3589" s="1">
        <v>9000000000</v>
      </c>
    </row>
    <row r="3590" spans="1:13" ht="15" customHeight="1">
      <c r="A3590" s="2" t="s">
        <v>42</v>
      </c>
      <c r="B3590">
        <f t="shared" si="224"/>
        <v>33.722360999999999</v>
      </c>
      <c r="C3590">
        <f t="shared" si="225"/>
        <v>-117.841475</v>
      </c>
      <c r="D3590">
        <f t="shared" si="226"/>
        <v>83</v>
      </c>
      <c r="E3590">
        <v>50.499000000000002</v>
      </c>
      <c r="F3590">
        <f t="shared" si="227"/>
        <v>32.500999999999998</v>
      </c>
      <c r="G3590">
        <v>42.55</v>
      </c>
      <c r="H3590">
        <v>0.94799999999999995</v>
      </c>
      <c r="I3590">
        <v>2.2360000000000002</v>
      </c>
      <c r="J3590">
        <v>6</v>
      </c>
      <c r="K3590">
        <v>16</v>
      </c>
      <c r="L3590">
        <v>8</v>
      </c>
      <c r="M3590">
        <v>2.6230000000000002</v>
      </c>
    </row>
    <row r="3591" spans="1:13" ht="15" customHeight="1">
      <c r="A3591" s="2" t="s">
        <v>42</v>
      </c>
      <c r="B3591">
        <f t="shared" si="224"/>
        <v>33.722360999999999</v>
      </c>
      <c r="C3591">
        <f t="shared" si="225"/>
        <v>-117.841475</v>
      </c>
      <c r="D3591">
        <f t="shared" si="226"/>
        <v>83</v>
      </c>
      <c r="E3591">
        <v>51.499000000000002</v>
      </c>
      <c r="F3591">
        <f t="shared" si="227"/>
        <v>31.500999999999998</v>
      </c>
      <c r="G3591">
        <v>35.433</v>
      </c>
      <c r="H3591">
        <v>1.615</v>
      </c>
      <c r="I3591">
        <v>4.577</v>
      </c>
      <c r="J3591">
        <v>4</v>
      </c>
      <c r="K3591">
        <v>23</v>
      </c>
      <c r="L3591">
        <v>12</v>
      </c>
      <c r="M3591">
        <v>2.1429999999999998</v>
      </c>
    </row>
    <row r="3592" spans="1:13" ht="15" customHeight="1">
      <c r="A3592" s="2" t="s">
        <v>42</v>
      </c>
      <c r="B3592">
        <f t="shared" si="224"/>
        <v>33.722360999999999</v>
      </c>
      <c r="C3592">
        <f t="shared" si="225"/>
        <v>-117.841475</v>
      </c>
      <c r="D3592">
        <f t="shared" si="226"/>
        <v>83</v>
      </c>
      <c r="E3592">
        <v>52.499000000000002</v>
      </c>
      <c r="F3592">
        <f t="shared" si="227"/>
        <v>30.500999999999998</v>
      </c>
      <c r="G3592">
        <v>34.329000000000001</v>
      </c>
      <c r="H3592">
        <v>1.181</v>
      </c>
      <c r="I3592">
        <v>3.4529999999999998</v>
      </c>
      <c r="J3592">
        <v>5</v>
      </c>
      <c r="K3592">
        <v>16</v>
      </c>
      <c r="L3592">
        <v>8</v>
      </c>
      <c r="M3592">
        <v>2.0670000000000002</v>
      </c>
    </row>
    <row r="3593" spans="1:13" ht="15" customHeight="1">
      <c r="A3593" s="2" t="s">
        <v>42</v>
      </c>
      <c r="B3593">
        <f t="shared" si="224"/>
        <v>33.722360999999999</v>
      </c>
      <c r="C3593">
        <f t="shared" si="225"/>
        <v>-117.841475</v>
      </c>
      <c r="D3593">
        <f t="shared" si="226"/>
        <v>83</v>
      </c>
      <c r="E3593">
        <v>53.499000000000002</v>
      </c>
      <c r="F3593">
        <f t="shared" si="227"/>
        <v>29.500999999999998</v>
      </c>
      <c r="G3593">
        <v>31.7</v>
      </c>
      <c r="H3593">
        <v>1.06</v>
      </c>
      <c r="I3593">
        <v>3.36</v>
      </c>
      <c r="J3593">
        <v>5</v>
      </c>
      <c r="K3593">
        <v>15</v>
      </c>
      <c r="L3593">
        <v>8</v>
      </c>
      <c r="M3593">
        <v>1.8859999999999999</v>
      </c>
    </row>
    <row r="3594" spans="1:13" ht="15" customHeight="1">
      <c r="A3594" s="2" t="s">
        <v>42</v>
      </c>
      <c r="B3594">
        <f t="shared" si="224"/>
        <v>33.722360999999999</v>
      </c>
      <c r="C3594">
        <f t="shared" si="225"/>
        <v>-117.841475</v>
      </c>
      <c r="D3594">
        <f t="shared" si="226"/>
        <v>83</v>
      </c>
      <c r="E3594">
        <v>54.499000000000002</v>
      </c>
      <c r="F3594">
        <f t="shared" si="227"/>
        <v>28.500999999999998</v>
      </c>
      <c r="G3594">
        <v>36.982999999999997</v>
      </c>
      <c r="H3594">
        <v>1.22</v>
      </c>
      <c r="I3594">
        <v>3.3140000000000001</v>
      </c>
      <c r="J3594">
        <v>5</v>
      </c>
      <c r="K3594">
        <v>18</v>
      </c>
      <c r="L3594">
        <v>9</v>
      </c>
      <c r="M3594">
        <v>2.2330000000000001</v>
      </c>
    </row>
    <row r="3595" spans="1:13" ht="15" customHeight="1">
      <c r="A3595" s="2" t="s">
        <v>42</v>
      </c>
      <c r="B3595">
        <f t="shared" si="224"/>
        <v>33.722360999999999</v>
      </c>
      <c r="C3595">
        <f t="shared" si="225"/>
        <v>-117.841475</v>
      </c>
      <c r="D3595">
        <f t="shared" si="226"/>
        <v>83</v>
      </c>
      <c r="E3595">
        <v>55.499000000000002</v>
      </c>
      <c r="F3595">
        <f t="shared" si="227"/>
        <v>27.500999999999998</v>
      </c>
      <c r="G3595">
        <v>71.216999999999999</v>
      </c>
      <c r="H3595">
        <v>3.2530000000000001</v>
      </c>
      <c r="I3595">
        <v>4.5759999999999996</v>
      </c>
      <c r="J3595">
        <v>4</v>
      </c>
      <c r="K3595">
        <v>45</v>
      </c>
      <c r="L3595">
        <v>23</v>
      </c>
      <c r="M3595">
        <v>4.5140000000000002</v>
      </c>
    </row>
    <row r="3596" spans="1:13" ht="15" customHeight="1">
      <c r="A3596" s="2" t="s">
        <v>42</v>
      </c>
      <c r="B3596">
        <f t="shared" si="224"/>
        <v>33.722360999999999</v>
      </c>
      <c r="C3596">
        <f t="shared" si="225"/>
        <v>-117.841475</v>
      </c>
      <c r="D3596">
        <f t="shared" si="226"/>
        <v>83</v>
      </c>
      <c r="E3596">
        <v>56.499000000000002</v>
      </c>
      <c r="F3596">
        <f t="shared" si="227"/>
        <v>26.500999999999998</v>
      </c>
      <c r="G3596">
        <v>67.099999999999994</v>
      </c>
      <c r="H3596">
        <v>2.4780000000000002</v>
      </c>
      <c r="I3596">
        <v>3.702</v>
      </c>
      <c r="J3596">
        <v>5</v>
      </c>
      <c r="K3596">
        <v>32</v>
      </c>
      <c r="L3596">
        <v>16</v>
      </c>
      <c r="M3596">
        <v>4.2329999999999997</v>
      </c>
    </row>
    <row r="3597" spans="1:13" ht="15" customHeight="1">
      <c r="A3597" s="2" t="s">
        <v>42</v>
      </c>
      <c r="B3597">
        <f t="shared" si="224"/>
        <v>33.722360999999999</v>
      </c>
      <c r="C3597">
        <f t="shared" si="225"/>
        <v>-117.841475</v>
      </c>
      <c r="D3597">
        <f t="shared" si="226"/>
        <v>83</v>
      </c>
      <c r="E3597">
        <v>57.499000000000002</v>
      </c>
      <c r="F3597">
        <f t="shared" si="227"/>
        <v>25.500999999999998</v>
      </c>
      <c r="G3597">
        <v>60.133000000000003</v>
      </c>
      <c r="H3597">
        <v>1.8979999999999999</v>
      </c>
      <c r="I3597">
        <v>3.1640000000000001</v>
      </c>
      <c r="J3597">
        <v>6</v>
      </c>
      <c r="K3597">
        <v>23</v>
      </c>
      <c r="L3597">
        <v>12</v>
      </c>
      <c r="M3597">
        <v>3.766</v>
      </c>
    </row>
    <row r="3598" spans="1:13" ht="15" customHeight="1">
      <c r="A3598" s="2" t="s">
        <v>42</v>
      </c>
      <c r="B3598">
        <f t="shared" si="224"/>
        <v>33.722360999999999</v>
      </c>
      <c r="C3598">
        <f t="shared" si="225"/>
        <v>-117.841475</v>
      </c>
      <c r="D3598">
        <f t="shared" si="226"/>
        <v>83</v>
      </c>
      <c r="E3598">
        <v>58.499000000000002</v>
      </c>
      <c r="F3598">
        <f t="shared" si="227"/>
        <v>24.500999999999998</v>
      </c>
      <c r="G3598">
        <v>95.6</v>
      </c>
      <c r="H3598">
        <v>3.18</v>
      </c>
      <c r="I3598">
        <v>3.33</v>
      </c>
      <c r="J3598">
        <v>6</v>
      </c>
      <c r="K3598">
        <v>37</v>
      </c>
      <c r="L3598">
        <v>19</v>
      </c>
      <c r="M3598">
        <v>6.1280000000000001</v>
      </c>
    </row>
    <row r="3599" spans="1:13" ht="15" customHeight="1">
      <c r="A3599" s="2" t="s">
        <v>42</v>
      </c>
      <c r="B3599">
        <f t="shared" si="224"/>
        <v>33.722360999999999</v>
      </c>
      <c r="C3599">
        <f t="shared" si="225"/>
        <v>-117.841475</v>
      </c>
      <c r="D3599">
        <f t="shared" si="226"/>
        <v>83</v>
      </c>
      <c r="E3599">
        <v>59.499000000000002</v>
      </c>
      <c r="F3599">
        <f t="shared" si="227"/>
        <v>23.500999999999998</v>
      </c>
      <c r="G3599">
        <v>98.667000000000002</v>
      </c>
      <c r="H3599">
        <v>4.16</v>
      </c>
      <c r="I3599">
        <v>4.2210000000000001</v>
      </c>
      <c r="J3599">
        <v>5</v>
      </c>
      <c r="K3599">
        <v>47</v>
      </c>
      <c r="L3599">
        <v>24</v>
      </c>
      <c r="M3599">
        <v>6.327</v>
      </c>
    </row>
    <row r="3600" spans="1:13" ht="15" customHeight="1">
      <c r="A3600" s="2" t="s">
        <v>42</v>
      </c>
      <c r="B3600">
        <f t="shared" si="224"/>
        <v>33.722360999999999</v>
      </c>
      <c r="C3600">
        <f t="shared" si="225"/>
        <v>-117.841475</v>
      </c>
      <c r="D3600">
        <f t="shared" si="226"/>
        <v>83</v>
      </c>
      <c r="E3600">
        <v>60.499000000000002</v>
      </c>
      <c r="F3600">
        <f t="shared" si="227"/>
        <v>22.500999999999998</v>
      </c>
      <c r="G3600">
        <v>82.266999999999996</v>
      </c>
      <c r="H3600">
        <v>4.01</v>
      </c>
      <c r="I3600">
        <v>4.8810000000000002</v>
      </c>
      <c r="J3600">
        <v>11</v>
      </c>
      <c r="K3600">
        <v>79</v>
      </c>
      <c r="L3600">
        <v>40</v>
      </c>
      <c r="M3600" s="1">
        <v>9000000000</v>
      </c>
    </row>
    <row r="3601" spans="1:13" ht="15" customHeight="1">
      <c r="A3601" s="2" t="s">
        <v>42</v>
      </c>
      <c r="B3601">
        <f t="shared" si="224"/>
        <v>33.722360999999999</v>
      </c>
      <c r="C3601">
        <f t="shared" si="225"/>
        <v>-117.841475</v>
      </c>
      <c r="D3601">
        <f t="shared" si="226"/>
        <v>83</v>
      </c>
      <c r="E3601">
        <v>61.499000000000002</v>
      </c>
      <c r="F3601">
        <f t="shared" si="227"/>
        <v>21.500999999999998</v>
      </c>
      <c r="G3601">
        <v>133.06700000000001</v>
      </c>
      <c r="H3601">
        <v>6.1820000000000004</v>
      </c>
      <c r="I3601">
        <v>4.649</v>
      </c>
      <c r="J3601">
        <v>11</v>
      </c>
      <c r="K3601">
        <v>127</v>
      </c>
      <c r="L3601">
        <v>64</v>
      </c>
      <c r="M3601" s="1">
        <v>9000000000</v>
      </c>
    </row>
    <row r="3602" spans="1:13" ht="15" customHeight="1">
      <c r="A3602" s="2" t="s">
        <v>42</v>
      </c>
      <c r="B3602">
        <f t="shared" si="224"/>
        <v>33.722360999999999</v>
      </c>
      <c r="C3602">
        <f t="shared" si="225"/>
        <v>-117.841475</v>
      </c>
      <c r="D3602">
        <f t="shared" si="226"/>
        <v>83</v>
      </c>
      <c r="E3602">
        <v>62.499000000000002</v>
      </c>
      <c r="F3602">
        <f t="shared" si="227"/>
        <v>20.500999999999998</v>
      </c>
      <c r="G3602">
        <v>108.67100000000001</v>
      </c>
      <c r="H3602">
        <v>2.71</v>
      </c>
      <c r="I3602">
        <v>2.496</v>
      </c>
      <c r="J3602">
        <v>7</v>
      </c>
      <c r="K3602">
        <v>35</v>
      </c>
      <c r="L3602">
        <v>18</v>
      </c>
      <c r="M3602" s="1">
        <v>9000000000</v>
      </c>
    </row>
    <row r="3603" spans="1:13" ht="15" customHeight="1">
      <c r="A3603" s="2" t="s">
        <v>42</v>
      </c>
      <c r="B3603">
        <f t="shared" si="224"/>
        <v>33.722360999999999</v>
      </c>
      <c r="C3603">
        <f t="shared" si="225"/>
        <v>-117.841475</v>
      </c>
      <c r="D3603">
        <f t="shared" si="226"/>
        <v>83</v>
      </c>
      <c r="E3603">
        <v>63.499000000000002</v>
      </c>
      <c r="F3603">
        <f t="shared" si="227"/>
        <v>19.500999999999998</v>
      </c>
      <c r="G3603">
        <v>83.332999999999998</v>
      </c>
      <c r="H3603">
        <v>3.8</v>
      </c>
      <c r="I3603">
        <v>4.5650000000000004</v>
      </c>
      <c r="J3603">
        <v>11</v>
      </c>
      <c r="K3603">
        <v>80</v>
      </c>
      <c r="L3603">
        <v>40</v>
      </c>
      <c r="M3603" s="1">
        <v>9000000000</v>
      </c>
    </row>
    <row r="3604" spans="1:13" ht="15" customHeight="1">
      <c r="A3604" s="2" t="s">
        <v>42</v>
      </c>
      <c r="B3604">
        <f t="shared" si="224"/>
        <v>33.722360999999999</v>
      </c>
      <c r="C3604">
        <f t="shared" si="225"/>
        <v>-117.841475</v>
      </c>
      <c r="D3604">
        <f t="shared" si="226"/>
        <v>83</v>
      </c>
      <c r="E3604">
        <v>64.498999999999995</v>
      </c>
      <c r="F3604">
        <f t="shared" si="227"/>
        <v>18.501000000000005</v>
      </c>
      <c r="G3604">
        <v>74.367000000000004</v>
      </c>
      <c r="H3604">
        <v>2.0979999999999999</v>
      </c>
      <c r="I3604">
        <v>2.8250000000000002</v>
      </c>
      <c r="J3604">
        <v>6</v>
      </c>
      <c r="K3604">
        <v>28</v>
      </c>
      <c r="L3604">
        <v>14</v>
      </c>
      <c r="M3604">
        <v>4.6870000000000003</v>
      </c>
    </row>
    <row r="3605" spans="1:13" ht="15" customHeight="1">
      <c r="A3605" s="2" t="s">
        <v>42</v>
      </c>
      <c r="B3605">
        <f t="shared" si="224"/>
        <v>33.722360999999999</v>
      </c>
      <c r="C3605">
        <f t="shared" si="225"/>
        <v>-117.841475</v>
      </c>
      <c r="D3605">
        <f t="shared" si="226"/>
        <v>83</v>
      </c>
      <c r="E3605">
        <v>65.498999999999995</v>
      </c>
      <c r="F3605">
        <f t="shared" si="227"/>
        <v>17.501000000000005</v>
      </c>
      <c r="G3605">
        <v>92.766999999999996</v>
      </c>
      <c r="H3605">
        <v>2.0169999999999999</v>
      </c>
      <c r="I3605">
        <v>2.1760000000000002</v>
      </c>
      <c r="J3605">
        <v>7</v>
      </c>
      <c r="K3605">
        <v>30</v>
      </c>
      <c r="L3605">
        <v>15</v>
      </c>
      <c r="M3605" s="1">
        <v>9000000000</v>
      </c>
    </row>
    <row r="3606" spans="1:13" ht="15" customHeight="1">
      <c r="A3606" s="2" t="s">
        <v>42</v>
      </c>
      <c r="B3606">
        <f t="shared" si="224"/>
        <v>33.722360999999999</v>
      </c>
      <c r="C3606">
        <f t="shared" si="225"/>
        <v>-117.841475</v>
      </c>
      <c r="D3606">
        <f t="shared" si="226"/>
        <v>83</v>
      </c>
      <c r="E3606">
        <v>66.498999999999995</v>
      </c>
      <c r="F3606">
        <f t="shared" si="227"/>
        <v>16.501000000000005</v>
      </c>
      <c r="G3606">
        <v>211.483</v>
      </c>
      <c r="H3606">
        <v>1.802</v>
      </c>
      <c r="I3606">
        <v>0.85299999999999998</v>
      </c>
      <c r="J3606">
        <v>9</v>
      </c>
      <c r="K3606">
        <v>40</v>
      </c>
      <c r="L3606">
        <v>20</v>
      </c>
      <c r="M3606" s="1">
        <v>9000000000</v>
      </c>
    </row>
    <row r="3607" spans="1:13" ht="15" customHeight="1">
      <c r="A3607" s="2" t="s">
        <v>42</v>
      </c>
      <c r="B3607">
        <f t="shared" si="224"/>
        <v>33.722360999999999</v>
      </c>
      <c r="C3607">
        <f t="shared" si="225"/>
        <v>-117.841475</v>
      </c>
      <c r="D3607">
        <f t="shared" si="226"/>
        <v>83</v>
      </c>
      <c r="E3607">
        <v>67.498999999999995</v>
      </c>
      <c r="F3607">
        <f t="shared" si="227"/>
        <v>15.501000000000005</v>
      </c>
      <c r="G3607">
        <v>95.733000000000004</v>
      </c>
      <c r="H3607">
        <v>3.6749999999999998</v>
      </c>
      <c r="I3607">
        <v>3.8410000000000002</v>
      </c>
      <c r="J3607">
        <v>5</v>
      </c>
      <c r="K3607">
        <v>46</v>
      </c>
      <c r="L3607">
        <v>23</v>
      </c>
      <c r="M3607">
        <v>6.1020000000000003</v>
      </c>
    </row>
    <row r="3608" spans="1:13" ht="15" customHeight="1">
      <c r="A3608" s="2" t="s">
        <v>42</v>
      </c>
      <c r="B3608">
        <f t="shared" si="224"/>
        <v>33.722360999999999</v>
      </c>
      <c r="C3608">
        <f t="shared" si="225"/>
        <v>-117.841475</v>
      </c>
      <c r="D3608">
        <f t="shared" si="226"/>
        <v>83</v>
      </c>
      <c r="E3608">
        <v>68.498999999999995</v>
      </c>
      <c r="F3608">
        <f t="shared" si="227"/>
        <v>14.501000000000005</v>
      </c>
      <c r="G3608">
        <v>165.05</v>
      </c>
      <c r="H3608">
        <v>4.8520000000000003</v>
      </c>
      <c r="I3608">
        <v>2.9430000000000001</v>
      </c>
      <c r="J3608">
        <v>7</v>
      </c>
      <c r="K3608">
        <v>53</v>
      </c>
      <c r="L3608">
        <v>27</v>
      </c>
      <c r="M3608" s="1">
        <v>9000000000</v>
      </c>
    </row>
    <row r="3609" spans="1:13" ht="15" customHeight="1">
      <c r="A3609" s="2" t="s">
        <v>42</v>
      </c>
      <c r="B3609">
        <f t="shared" si="224"/>
        <v>33.722360999999999</v>
      </c>
      <c r="C3609">
        <f t="shared" si="225"/>
        <v>-117.841475</v>
      </c>
      <c r="D3609">
        <f t="shared" si="226"/>
        <v>83</v>
      </c>
      <c r="E3609">
        <v>69.498999999999995</v>
      </c>
      <c r="F3609">
        <f t="shared" si="227"/>
        <v>13.501000000000005</v>
      </c>
      <c r="G3609">
        <v>131.31700000000001</v>
      </c>
      <c r="H3609">
        <v>1.623</v>
      </c>
      <c r="I3609">
        <v>1.238</v>
      </c>
      <c r="J3609">
        <v>8</v>
      </c>
      <c r="K3609">
        <v>31</v>
      </c>
      <c r="L3609">
        <v>16</v>
      </c>
      <c r="M3609" s="1">
        <v>9000000000</v>
      </c>
    </row>
    <row r="3610" spans="1:13" ht="15" customHeight="1">
      <c r="A3610" s="2" t="s">
        <v>42</v>
      </c>
      <c r="B3610">
        <f t="shared" si="224"/>
        <v>33.722360999999999</v>
      </c>
      <c r="C3610">
        <f t="shared" si="225"/>
        <v>-117.841475</v>
      </c>
      <c r="D3610">
        <f t="shared" si="226"/>
        <v>83</v>
      </c>
      <c r="E3610">
        <v>70.498999999999995</v>
      </c>
      <c r="F3610">
        <f t="shared" si="227"/>
        <v>12.501000000000005</v>
      </c>
      <c r="G3610">
        <v>31.1</v>
      </c>
      <c r="H3610">
        <v>1.0569999999999999</v>
      </c>
      <c r="I3610">
        <v>3.4119999999999999</v>
      </c>
      <c r="J3610">
        <v>5</v>
      </c>
      <c r="K3610">
        <v>15</v>
      </c>
      <c r="L3610">
        <v>8</v>
      </c>
      <c r="M3610">
        <v>1.7749999999999999</v>
      </c>
    </row>
    <row r="3611" spans="1:13" ht="15" customHeight="1">
      <c r="A3611" s="2" t="s">
        <v>42</v>
      </c>
      <c r="B3611">
        <f t="shared" si="224"/>
        <v>33.722360999999999</v>
      </c>
      <c r="C3611">
        <f t="shared" si="225"/>
        <v>-117.841475</v>
      </c>
      <c r="D3611">
        <f t="shared" si="226"/>
        <v>83</v>
      </c>
      <c r="E3611">
        <v>71.498999999999995</v>
      </c>
      <c r="F3611">
        <f t="shared" si="227"/>
        <v>11.501000000000005</v>
      </c>
      <c r="G3611">
        <v>21.882999999999999</v>
      </c>
      <c r="H3611">
        <v>0.6</v>
      </c>
      <c r="I3611">
        <v>2.7589999999999999</v>
      </c>
      <c r="J3611">
        <v>5</v>
      </c>
      <c r="K3611">
        <v>10</v>
      </c>
      <c r="L3611">
        <v>5</v>
      </c>
      <c r="M3611">
        <v>1.157</v>
      </c>
    </row>
    <row r="3612" spans="1:13" ht="15" customHeight="1">
      <c r="A3612" s="2" t="s">
        <v>42</v>
      </c>
      <c r="B3612">
        <f t="shared" si="224"/>
        <v>33.722360999999999</v>
      </c>
      <c r="C3612">
        <f t="shared" si="225"/>
        <v>-117.841475</v>
      </c>
      <c r="D3612">
        <f t="shared" si="226"/>
        <v>83</v>
      </c>
      <c r="E3612">
        <v>72.498999999999995</v>
      </c>
      <c r="F3612">
        <f t="shared" si="227"/>
        <v>10.501000000000005</v>
      </c>
      <c r="G3612">
        <v>19.356999999999999</v>
      </c>
      <c r="H3612">
        <v>0.44700000000000001</v>
      </c>
      <c r="I3612">
        <v>2.3250000000000002</v>
      </c>
      <c r="J3612">
        <v>5</v>
      </c>
      <c r="K3612">
        <v>9</v>
      </c>
      <c r="L3612">
        <v>5</v>
      </c>
      <c r="M3612">
        <v>0.98499999999999999</v>
      </c>
    </row>
    <row r="3613" spans="1:13" ht="15" customHeight="1">
      <c r="A3613" s="2" t="s">
        <v>42</v>
      </c>
      <c r="B3613">
        <f t="shared" si="224"/>
        <v>33.722360999999999</v>
      </c>
      <c r="C3613">
        <f t="shared" si="225"/>
        <v>-117.841475</v>
      </c>
      <c r="D3613">
        <f t="shared" si="226"/>
        <v>83</v>
      </c>
      <c r="E3613">
        <v>73.498999999999995</v>
      </c>
      <c r="F3613">
        <f t="shared" si="227"/>
        <v>9.5010000000000048</v>
      </c>
      <c r="G3613">
        <v>45.732999999999997</v>
      </c>
      <c r="H3613">
        <v>1.1180000000000001</v>
      </c>
      <c r="I3613">
        <v>2.4540000000000002</v>
      </c>
      <c r="J3613">
        <v>6</v>
      </c>
      <c r="K3613">
        <v>17</v>
      </c>
      <c r="L3613">
        <v>9</v>
      </c>
      <c r="M3613">
        <v>2.7360000000000002</v>
      </c>
    </row>
    <row r="3614" spans="1:13" ht="15" customHeight="1">
      <c r="A3614" s="2" t="s">
        <v>42</v>
      </c>
      <c r="B3614">
        <f t="shared" si="224"/>
        <v>33.722360999999999</v>
      </c>
      <c r="C3614">
        <f t="shared" si="225"/>
        <v>-117.841475</v>
      </c>
      <c r="D3614">
        <f t="shared" si="226"/>
        <v>83</v>
      </c>
      <c r="E3614">
        <v>74.498999999999995</v>
      </c>
      <c r="F3614">
        <f t="shared" si="227"/>
        <v>8.5010000000000048</v>
      </c>
      <c r="G3614">
        <v>44.732999999999997</v>
      </c>
      <c r="H3614">
        <v>1.87</v>
      </c>
      <c r="I3614">
        <v>4.1900000000000004</v>
      </c>
      <c r="J3614">
        <v>4</v>
      </c>
      <c r="K3614">
        <v>29</v>
      </c>
      <c r="L3614">
        <v>15</v>
      </c>
      <c r="M3614">
        <v>2.67</v>
      </c>
    </row>
    <row r="3615" spans="1:13" ht="15" customHeight="1">
      <c r="A3615" s="2" t="s">
        <v>42</v>
      </c>
      <c r="B3615">
        <f t="shared" si="224"/>
        <v>33.722360999999999</v>
      </c>
      <c r="C3615">
        <f t="shared" si="225"/>
        <v>-117.841475</v>
      </c>
      <c r="D3615">
        <f t="shared" si="226"/>
        <v>83</v>
      </c>
      <c r="E3615">
        <v>75.498999999999995</v>
      </c>
      <c r="F3615">
        <f t="shared" si="227"/>
        <v>7.5010000000000048</v>
      </c>
      <c r="G3615">
        <v>80.367000000000004</v>
      </c>
      <c r="H3615">
        <v>2.5169999999999999</v>
      </c>
      <c r="I3615">
        <v>3.1360000000000001</v>
      </c>
      <c r="J3615">
        <v>6</v>
      </c>
      <c r="K3615">
        <v>31</v>
      </c>
      <c r="L3615">
        <v>16</v>
      </c>
      <c r="M3615">
        <v>5.04</v>
      </c>
    </row>
    <row r="3616" spans="1:13" ht="15" customHeight="1">
      <c r="A3616" s="2" t="s">
        <v>42</v>
      </c>
      <c r="B3616">
        <f t="shared" si="224"/>
        <v>33.722360999999999</v>
      </c>
      <c r="C3616">
        <f t="shared" si="225"/>
        <v>-117.841475</v>
      </c>
      <c r="D3616">
        <f t="shared" si="226"/>
        <v>83</v>
      </c>
      <c r="E3616">
        <v>76.498999999999995</v>
      </c>
      <c r="F3616">
        <f t="shared" si="227"/>
        <v>6.5010000000000048</v>
      </c>
      <c r="G3616">
        <v>76.066999999999993</v>
      </c>
      <c r="H3616">
        <v>2.2080000000000002</v>
      </c>
      <c r="I3616">
        <v>2.9089999999999998</v>
      </c>
      <c r="J3616">
        <v>6</v>
      </c>
      <c r="K3616">
        <v>29</v>
      </c>
      <c r="L3616">
        <v>15</v>
      </c>
      <c r="M3616">
        <v>4.7469999999999999</v>
      </c>
    </row>
    <row r="3617" spans="1:13" ht="15" customHeight="1">
      <c r="A3617" s="2" t="s">
        <v>42</v>
      </c>
      <c r="B3617">
        <f t="shared" si="224"/>
        <v>33.722360999999999</v>
      </c>
      <c r="C3617">
        <f t="shared" si="225"/>
        <v>-117.841475</v>
      </c>
      <c r="D3617">
        <f t="shared" si="226"/>
        <v>83</v>
      </c>
      <c r="E3617">
        <v>77.498999999999995</v>
      </c>
      <c r="F3617">
        <f t="shared" si="227"/>
        <v>5.5010000000000048</v>
      </c>
      <c r="G3617">
        <v>31.2</v>
      </c>
      <c r="H3617">
        <v>1.0169999999999999</v>
      </c>
      <c r="I3617">
        <v>3.2709999999999999</v>
      </c>
      <c r="J3617">
        <v>5</v>
      </c>
      <c r="K3617">
        <v>15</v>
      </c>
      <c r="L3617">
        <v>8</v>
      </c>
      <c r="M3617">
        <v>1.754</v>
      </c>
    </row>
    <row r="3618" spans="1:13" ht="15" customHeight="1">
      <c r="A3618" s="2" t="s">
        <v>42</v>
      </c>
      <c r="B3618">
        <f t="shared" si="224"/>
        <v>33.722360999999999</v>
      </c>
      <c r="C3618">
        <f t="shared" si="225"/>
        <v>-117.841475</v>
      </c>
      <c r="D3618">
        <f t="shared" si="226"/>
        <v>83</v>
      </c>
      <c r="E3618">
        <v>78.498999999999995</v>
      </c>
      <c r="F3618">
        <f t="shared" si="227"/>
        <v>4.5010000000000048</v>
      </c>
      <c r="G3618">
        <v>20.617000000000001</v>
      </c>
      <c r="H3618">
        <v>0.48299999999999998</v>
      </c>
      <c r="I3618">
        <v>2.3580000000000001</v>
      </c>
      <c r="J3618">
        <v>5</v>
      </c>
      <c r="K3618">
        <v>10</v>
      </c>
      <c r="L3618">
        <v>5</v>
      </c>
      <c r="M3618">
        <v>1.0449999999999999</v>
      </c>
    </row>
    <row r="3619" spans="1:13" ht="15" customHeight="1">
      <c r="A3619" s="2" t="s">
        <v>42</v>
      </c>
      <c r="B3619">
        <f t="shared" si="224"/>
        <v>33.722360999999999</v>
      </c>
      <c r="C3619">
        <f t="shared" si="225"/>
        <v>-117.841475</v>
      </c>
      <c r="D3619">
        <f t="shared" si="226"/>
        <v>83</v>
      </c>
      <c r="E3619">
        <v>79.498999999999995</v>
      </c>
      <c r="F3619">
        <f t="shared" si="227"/>
        <v>3.5010000000000048</v>
      </c>
      <c r="G3619">
        <v>27.233000000000001</v>
      </c>
      <c r="H3619">
        <v>0.91</v>
      </c>
      <c r="I3619">
        <v>3.3580000000000001</v>
      </c>
      <c r="J3619">
        <v>5</v>
      </c>
      <c r="K3619">
        <v>13</v>
      </c>
      <c r="L3619">
        <v>7</v>
      </c>
      <c r="M3619">
        <v>1.48</v>
      </c>
    </row>
    <row r="3620" spans="1:13" ht="15" customHeight="1">
      <c r="A3620" s="2" t="s">
        <v>42</v>
      </c>
      <c r="B3620">
        <f t="shared" si="224"/>
        <v>33.722360999999999</v>
      </c>
      <c r="C3620">
        <f t="shared" si="225"/>
        <v>-117.841475</v>
      </c>
      <c r="D3620">
        <f t="shared" si="226"/>
        <v>83</v>
      </c>
      <c r="E3620">
        <v>80.498999999999995</v>
      </c>
      <c r="F3620">
        <f t="shared" si="227"/>
        <v>2.5010000000000048</v>
      </c>
      <c r="G3620">
        <v>25</v>
      </c>
      <c r="H3620">
        <v>0.64700000000000002</v>
      </c>
      <c r="I3620">
        <v>2.597</v>
      </c>
      <c r="J3620">
        <v>6</v>
      </c>
      <c r="K3620">
        <v>10</v>
      </c>
      <c r="L3620">
        <v>5</v>
      </c>
      <c r="M3620">
        <v>1.33</v>
      </c>
    </row>
    <row r="3621" spans="1:13" ht="15" customHeight="1">
      <c r="A3621" s="2" t="s">
        <v>42</v>
      </c>
      <c r="B3621">
        <f t="shared" si="224"/>
        <v>33.722360999999999</v>
      </c>
      <c r="C3621">
        <f t="shared" si="225"/>
        <v>-117.841475</v>
      </c>
      <c r="D3621">
        <f t="shared" si="226"/>
        <v>83</v>
      </c>
      <c r="E3621">
        <v>81.498999999999995</v>
      </c>
      <c r="F3621">
        <f t="shared" si="227"/>
        <v>1.5010000000000048</v>
      </c>
      <c r="G3621">
        <v>22.95</v>
      </c>
      <c r="H3621">
        <v>0.59299999999999997</v>
      </c>
      <c r="I3621">
        <v>2.597</v>
      </c>
      <c r="J3621">
        <v>5</v>
      </c>
      <c r="K3621">
        <v>11</v>
      </c>
      <c r="L3621">
        <v>6</v>
      </c>
      <c r="M3621">
        <v>1.1890000000000001</v>
      </c>
    </row>
    <row r="3622" spans="1:13" ht="15" customHeight="1">
      <c r="A3622" s="2" t="s">
        <v>42</v>
      </c>
      <c r="B3622">
        <f t="shared" si="224"/>
        <v>33.722360999999999</v>
      </c>
      <c r="C3622">
        <f t="shared" si="225"/>
        <v>-117.841475</v>
      </c>
      <c r="D3622">
        <f t="shared" si="226"/>
        <v>83</v>
      </c>
      <c r="E3622">
        <v>82.498999999999995</v>
      </c>
      <c r="F3622">
        <f t="shared" si="227"/>
        <v>0.50100000000000477</v>
      </c>
      <c r="G3622">
        <v>54.667000000000002</v>
      </c>
      <c r="H3622">
        <v>1.887</v>
      </c>
      <c r="I3622">
        <v>3.4580000000000002</v>
      </c>
      <c r="J3622">
        <v>5</v>
      </c>
      <c r="K3622">
        <v>26</v>
      </c>
      <c r="L3622">
        <v>13</v>
      </c>
      <c r="M3622">
        <v>3.2989999999999999</v>
      </c>
    </row>
    <row r="3623" spans="1:13" ht="15" customHeight="1">
      <c r="A3623" s="2" t="s">
        <v>42</v>
      </c>
      <c r="B3623">
        <f t="shared" si="224"/>
        <v>33.722360999999999</v>
      </c>
      <c r="C3623">
        <f t="shared" si="225"/>
        <v>-117.841475</v>
      </c>
      <c r="D3623">
        <f t="shared" si="226"/>
        <v>83</v>
      </c>
      <c r="E3623">
        <v>83.498999999999995</v>
      </c>
      <c r="F3623">
        <f t="shared" si="227"/>
        <v>-0.49899999999999523</v>
      </c>
      <c r="G3623">
        <v>116.414</v>
      </c>
      <c r="H3623">
        <v>2.786</v>
      </c>
      <c r="I3623">
        <v>2.3959999999999999</v>
      </c>
      <c r="J3623">
        <v>7</v>
      </c>
      <c r="K3623">
        <v>37</v>
      </c>
      <c r="L3623">
        <v>19</v>
      </c>
      <c r="M3623" s="1">
        <v>9000000000</v>
      </c>
    </row>
    <row r="3624" spans="1:13" ht="15" customHeight="1">
      <c r="A3624" s="2" t="s">
        <v>42</v>
      </c>
      <c r="B3624">
        <f t="shared" si="224"/>
        <v>33.722360999999999</v>
      </c>
      <c r="C3624">
        <f t="shared" si="225"/>
        <v>-117.841475</v>
      </c>
      <c r="D3624">
        <f t="shared" si="226"/>
        <v>83</v>
      </c>
      <c r="E3624">
        <v>84.498999999999995</v>
      </c>
      <c r="F3624">
        <f t="shared" si="227"/>
        <v>-1.4989999999999952</v>
      </c>
      <c r="G3624">
        <v>38.383000000000003</v>
      </c>
      <c r="H3624">
        <v>1.58</v>
      </c>
      <c r="I3624">
        <v>4.1289999999999996</v>
      </c>
      <c r="J3624">
        <v>4</v>
      </c>
      <c r="K3624">
        <v>24</v>
      </c>
      <c r="L3624">
        <v>12</v>
      </c>
      <c r="M3624">
        <v>2.2040000000000002</v>
      </c>
    </row>
    <row r="3625" spans="1:13" ht="15" customHeight="1">
      <c r="A3625" s="2" t="s">
        <v>42</v>
      </c>
      <c r="B3625">
        <f t="shared" si="224"/>
        <v>33.722360999999999</v>
      </c>
      <c r="C3625">
        <f t="shared" si="225"/>
        <v>-117.841475</v>
      </c>
      <c r="D3625">
        <f t="shared" si="226"/>
        <v>83</v>
      </c>
      <c r="E3625">
        <v>85.498999999999995</v>
      </c>
      <c r="F3625">
        <f t="shared" si="227"/>
        <v>-2.4989999999999952</v>
      </c>
      <c r="G3625">
        <v>106.017</v>
      </c>
      <c r="H3625">
        <v>2.3980000000000001</v>
      </c>
      <c r="I3625">
        <v>2.2650000000000001</v>
      </c>
      <c r="J3625">
        <v>7</v>
      </c>
      <c r="K3625">
        <v>34</v>
      </c>
      <c r="L3625">
        <v>17</v>
      </c>
      <c r="M3625" s="1">
        <v>9000000000</v>
      </c>
    </row>
    <row r="3626" spans="1:13" ht="15" customHeight="1">
      <c r="A3626" s="2" t="s">
        <v>42</v>
      </c>
      <c r="B3626">
        <f t="shared" si="224"/>
        <v>33.722360999999999</v>
      </c>
      <c r="C3626">
        <f t="shared" si="225"/>
        <v>-117.841475</v>
      </c>
      <c r="D3626">
        <f t="shared" si="226"/>
        <v>83</v>
      </c>
      <c r="E3626">
        <v>86.498999999999995</v>
      </c>
      <c r="F3626">
        <f t="shared" si="227"/>
        <v>-3.4989999999999952</v>
      </c>
      <c r="G3626">
        <v>74.582999999999998</v>
      </c>
      <c r="H3626">
        <v>1.863</v>
      </c>
      <c r="I3626">
        <v>2.5030000000000001</v>
      </c>
      <c r="J3626">
        <v>6</v>
      </c>
      <c r="K3626">
        <v>29</v>
      </c>
      <c r="L3626">
        <v>15</v>
      </c>
      <c r="M3626">
        <v>4.6079999999999997</v>
      </c>
    </row>
    <row r="3627" spans="1:13" ht="15" customHeight="1">
      <c r="A3627" s="2" t="s">
        <v>42</v>
      </c>
      <c r="B3627">
        <f t="shared" si="224"/>
        <v>33.722360999999999</v>
      </c>
      <c r="C3627">
        <f t="shared" si="225"/>
        <v>-117.841475</v>
      </c>
      <c r="D3627">
        <f t="shared" si="226"/>
        <v>83</v>
      </c>
      <c r="E3627">
        <v>87.498999999999995</v>
      </c>
      <c r="F3627">
        <f t="shared" si="227"/>
        <v>-4.4989999999999952</v>
      </c>
      <c r="G3627">
        <v>27.233000000000001</v>
      </c>
      <c r="H3627">
        <v>0.69</v>
      </c>
      <c r="I3627">
        <v>2.5459999999999998</v>
      </c>
      <c r="J3627">
        <v>6</v>
      </c>
      <c r="K3627">
        <v>10</v>
      </c>
      <c r="L3627">
        <v>5</v>
      </c>
      <c r="M3627">
        <v>1.4470000000000001</v>
      </c>
    </row>
    <row r="3628" spans="1:13" ht="15" customHeight="1">
      <c r="A3628" s="2" t="s">
        <v>42</v>
      </c>
      <c r="B3628">
        <f t="shared" si="224"/>
        <v>33.722360999999999</v>
      </c>
      <c r="C3628">
        <f t="shared" si="225"/>
        <v>-117.841475</v>
      </c>
      <c r="D3628">
        <f t="shared" si="226"/>
        <v>83</v>
      </c>
      <c r="E3628">
        <v>88.498999999999995</v>
      </c>
      <c r="F3628">
        <f t="shared" si="227"/>
        <v>-5.4989999999999952</v>
      </c>
      <c r="G3628">
        <v>25.832999999999998</v>
      </c>
      <c r="H3628">
        <v>0.59299999999999997</v>
      </c>
      <c r="I3628">
        <v>2.31</v>
      </c>
      <c r="J3628">
        <v>6</v>
      </c>
      <c r="K3628">
        <v>10</v>
      </c>
      <c r="L3628">
        <v>5</v>
      </c>
      <c r="M3628">
        <v>1.349</v>
      </c>
    </row>
    <row r="3629" spans="1:13" ht="15" customHeight="1">
      <c r="A3629" s="2" t="s">
        <v>42</v>
      </c>
      <c r="B3629">
        <f t="shared" si="224"/>
        <v>33.722360999999999</v>
      </c>
      <c r="C3629">
        <f t="shared" si="225"/>
        <v>-117.841475</v>
      </c>
      <c r="D3629">
        <f t="shared" si="226"/>
        <v>83</v>
      </c>
      <c r="E3629">
        <v>89.498999999999995</v>
      </c>
      <c r="F3629">
        <f t="shared" si="227"/>
        <v>-6.4989999999999952</v>
      </c>
      <c r="G3629">
        <v>39.517000000000003</v>
      </c>
      <c r="H3629">
        <v>1.472</v>
      </c>
      <c r="I3629">
        <v>3.734</v>
      </c>
      <c r="J3629">
        <v>5</v>
      </c>
      <c r="K3629">
        <v>19</v>
      </c>
      <c r="L3629">
        <v>10</v>
      </c>
      <c r="M3629">
        <v>2.2599999999999998</v>
      </c>
    </row>
    <row r="3630" spans="1:13" ht="15" customHeight="1">
      <c r="A3630" s="2" t="s">
        <v>42</v>
      </c>
      <c r="B3630">
        <f t="shared" si="224"/>
        <v>33.722360999999999</v>
      </c>
      <c r="C3630">
        <f t="shared" si="225"/>
        <v>-117.841475</v>
      </c>
      <c r="D3630">
        <f t="shared" si="226"/>
        <v>83</v>
      </c>
      <c r="E3630">
        <v>90.498999999999995</v>
      </c>
      <c r="F3630">
        <f t="shared" si="227"/>
        <v>-7.4989999999999952</v>
      </c>
      <c r="G3630">
        <v>35.082999999999998</v>
      </c>
      <c r="H3630">
        <v>1.1399999999999999</v>
      </c>
      <c r="I3630">
        <v>3.26</v>
      </c>
      <c r="J3630">
        <v>5</v>
      </c>
      <c r="K3630">
        <v>17</v>
      </c>
      <c r="L3630">
        <v>9</v>
      </c>
      <c r="M3630">
        <v>1.9590000000000001</v>
      </c>
    </row>
    <row r="3631" spans="1:13" ht="15" customHeight="1">
      <c r="A3631" s="2" t="s">
        <v>42</v>
      </c>
      <c r="B3631">
        <f t="shared" si="224"/>
        <v>33.722360999999999</v>
      </c>
      <c r="C3631">
        <f t="shared" si="225"/>
        <v>-117.841475</v>
      </c>
      <c r="D3631">
        <f t="shared" si="226"/>
        <v>83</v>
      </c>
      <c r="E3631">
        <v>91.498999999999995</v>
      </c>
      <c r="F3631">
        <f t="shared" si="227"/>
        <v>-8.4989999999999952</v>
      </c>
      <c r="G3631">
        <v>30.983000000000001</v>
      </c>
      <c r="H3631">
        <v>1.008</v>
      </c>
      <c r="I3631">
        <v>3.2690000000000001</v>
      </c>
      <c r="J3631">
        <v>5</v>
      </c>
      <c r="K3631">
        <v>15</v>
      </c>
      <c r="L3631">
        <v>8</v>
      </c>
      <c r="M3631">
        <v>1.681</v>
      </c>
    </row>
    <row r="3632" spans="1:13" ht="15" customHeight="1">
      <c r="A3632" s="2" t="s">
        <v>42</v>
      </c>
      <c r="B3632">
        <f t="shared" si="224"/>
        <v>33.722360999999999</v>
      </c>
      <c r="C3632">
        <f t="shared" si="225"/>
        <v>-117.841475</v>
      </c>
      <c r="D3632">
        <f t="shared" si="226"/>
        <v>83</v>
      </c>
      <c r="E3632">
        <v>92.498999999999995</v>
      </c>
      <c r="F3632">
        <f t="shared" si="227"/>
        <v>-9.4989999999999952</v>
      </c>
      <c r="G3632">
        <v>52.917000000000002</v>
      </c>
      <c r="H3632">
        <v>2.0219999999999998</v>
      </c>
      <c r="I3632">
        <v>3.83</v>
      </c>
      <c r="J3632">
        <v>5</v>
      </c>
      <c r="K3632">
        <v>25</v>
      </c>
      <c r="L3632">
        <v>13</v>
      </c>
      <c r="M3632">
        <v>3.1389999999999998</v>
      </c>
    </row>
    <row r="3633" spans="1:13" ht="15" customHeight="1">
      <c r="A3633" s="2" t="s">
        <v>42</v>
      </c>
      <c r="B3633">
        <f t="shared" si="224"/>
        <v>33.722360999999999</v>
      </c>
      <c r="C3633">
        <f t="shared" si="225"/>
        <v>-117.841475</v>
      </c>
      <c r="D3633">
        <f t="shared" si="226"/>
        <v>83</v>
      </c>
      <c r="E3633">
        <v>93.498999999999995</v>
      </c>
      <c r="F3633">
        <f t="shared" si="227"/>
        <v>-10.498999999999995</v>
      </c>
      <c r="G3633">
        <v>58.386000000000003</v>
      </c>
      <c r="H3633">
        <v>2.0070000000000001</v>
      </c>
      <c r="I3633">
        <v>3.444</v>
      </c>
      <c r="J3633">
        <v>5</v>
      </c>
      <c r="K3633">
        <v>28</v>
      </c>
      <c r="L3633">
        <v>14</v>
      </c>
      <c r="M3633">
        <v>3.5009999999999999</v>
      </c>
    </row>
    <row r="3634" spans="1:13" ht="15" customHeight="1">
      <c r="A3634" s="2" t="s">
        <v>42</v>
      </c>
      <c r="B3634">
        <f t="shared" si="224"/>
        <v>33.722360999999999</v>
      </c>
      <c r="C3634">
        <f t="shared" si="225"/>
        <v>-117.841475</v>
      </c>
      <c r="D3634">
        <f t="shared" si="226"/>
        <v>83</v>
      </c>
      <c r="E3634">
        <v>94.498999999999995</v>
      </c>
      <c r="F3634">
        <f t="shared" si="227"/>
        <v>-11.498999999999995</v>
      </c>
      <c r="G3634">
        <v>131.19999999999999</v>
      </c>
      <c r="H3634">
        <v>2.8479999999999999</v>
      </c>
      <c r="I3634">
        <v>2.173</v>
      </c>
      <c r="J3634">
        <v>7</v>
      </c>
      <c r="K3634">
        <v>42</v>
      </c>
      <c r="L3634">
        <v>21</v>
      </c>
      <c r="M3634" s="1">
        <v>9000000000</v>
      </c>
    </row>
    <row r="3635" spans="1:13" ht="15" customHeight="1">
      <c r="A3635" s="2" t="s">
        <v>42</v>
      </c>
      <c r="B3635">
        <f t="shared" si="224"/>
        <v>33.722360999999999</v>
      </c>
      <c r="C3635">
        <f t="shared" si="225"/>
        <v>-117.841475</v>
      </c>
      <c r="D3635">
        <f t="shared" si="226"/>
        <v>83</v>
      </c>
      <c r="E3635">
        <v>95.498999999999995</v>
      </c>
      <c r="F3635">
        <f t="shared" si="227"/>
        <v>-12.498999999999995</v>
      </c>
      <c r="G3635">
        <v>198.43299999999999</v>
      </c>
      <c r="H3635">
        <v>2.032</v>
      </c>
      <c r="I3635">
        <v>1.024</v>
      </c>
      <c r="J3635">
        <v>9</v>
      </c>
      <c r="K3635">
        <v>38</v>
      </c>
      <c r="L3635">
        <v>19</v>
      </c>
      <c r="M3635" s="1">
        <v>9000000000</v>
      </c>
    </row>
    <row r="3636" spans="1:13" ht="15" customHeight="1">
      <c r="A3636" s="2" t="s">
        <v>42</v>
      </c>
      <c r="B3636">
        <f t="shared" si="224"/>
        <v>33.722360999999999</v>
      </c>
      <c r="C3636">
        <f t="shared" si="225"/>
        <v>-117.841475</v>
      </c>
      <c r="D3636">
        <f t="shared" si="226"/>
        <v>83</v>
      </c>
      <c r="E3636">
        <v>96.498999999999995</v>
      </c>
      <c r="F3636">
        <f t="shared" si="227"/>
        <v>-13.498999999999995</v>
      </c>
      <c r="G3636">
        <v>220.4</v>
      </c>
      <c r="H3636">
        <v>1.93</v>
      </c>
      <c r="I3636">
        <v>0.876</v>
      </c>
      <c r="J3636">
        <v>9</v>
      </c>
      <c r="K3636">
        <v>42</v>
      </c>
      <c r="L3636">
        <v>21</v>
      </c>
      <c r="M3636" s="1">
        <v>9000000000</v>
      </c>
    </row>
    <row r="3637" spans="1:13" ht="15" customHeight="1">
      <c r="A3637" s="2" t="s">
        <v>42</v>
      </c>
      <c r="B3637">
        <f t="shared" si="224"/>
        <v>33.722360999999999</v>
      </c>
      <c r="C3637">
        <f t="shared" si="225"/>
        <v>-117.841475</v>
      </c>
      <c r="D3637">
        <f t="shared" si="226"/>
        <v>83</v>
      </c>
      <c r="E3637">
        <v>97.498999999999995</v>
      </c>
      <c r="F3637">
        <f t="shared" si="227"/>
        <v>-14.498999999999995</v>
      </c>
      <c r="G3637">
        <v>236.25</v>
      </c>
      <c r="H3637">
        <v>1.0349999999999999</v>
      </c>
      <c r="I3637">
        <v>0.438</v>
      </c>
      <c r="J3637">
        <v>9</v>
      </c>
      <c r="K3637">
        <v>45</v>
      </c>
      <c r="L3637">
        <v>23</v>
      </c>
      <c r="M3637" s="1">
        <v>9000000000</v>
      </c>
    </row>
    <row r="3638" spans="1:13" ht="15" customHeight="1">
      <c r="A3638" s="2" t="s">
        <v>42</v>
      </c>
      <c r="B3638">
        <f t="shared" si="224"/>
        <v>33.722360999999999</v>
      </c>
      <c r="C3638">
        <f t="shared" si="225"/>
        <v>-117.841475</v>
      </c>
      <c r="D3638">
        <f t="shared" si="226"/>
        <v>83</v>
      </c>
      <c r="E3638">
        <v>98.498999999999995</v>
      </c>
      <c r="F3638">
        <f t="shared" si="227"/>
        <v>-15.498999999999995</v>
      </c>
      <c r="G3638">
        <v>271.85000000000002</v>
      </c>
      <c r="H3638">
        <v>1.077</v>
      </c>
      <c r="I3638">
        <v>0.39600000000000002</v>
      </c>
      <c r="J3638">
        <v>10</v>
      </c>
      <c r="K3638">
        <v>43</v>
      </c>
      <c r="L3638">
        <v>22</v>
      </c>
      <c r="M3638" s="1">
        <v>9000000000</v>
      </c>
    </row>
    <row r="3639" spans="1:13" ht="15" customHeight="1">
      <c r="A3639" s="2" t="s">
        <v>42</v>
      </c>
      <c r="B3639">
        <f t="shared" si="224"/>
        <v>33.722360999999999</v>
      </c>
      <c r="C3639">
        <f t="shared" si="225"/>
        <v>-117.841475</v>
      </c>
      <c r="D3639">
        <f t="shared" si="226"/>
        <v>83</v>
      </c>
      <c r="E3639">
        <v>99.498999999999995</v>
      </c>
      <c r="F3639">
        <f t="shared" si="227"/>
        <v>-16.498999999999995</v>
      </c>
      <c r="G3639">
        <v>293.8</v>
      </c>
      <c r="H3639">
        <v>1.0900000000000001</v>
      </c>
      <c r="I3639">
        <v>0.371</v>
      </c>
      <c r="J3639">
        <v>10</v>
      </c>
      <c r="K3639">
        <v>47</v>
      </c>
      <c r="L3639">
        <v>24</v>
      </c>
      <c r="M3639" s="1">
        <v>9000000000</v>
      </c>
    </row>
    <row r="3640" spans="1:13" ht="15" customHeight="1">
      <c r="A3640" s="2" t="s">
        <v>42</v>
      </c>
      <c r="B3640">
        <f t="shared" si="224"/>
        <v>33.722360999999999</v>
      </c>
      <c r="C3640">
        <f t="shared" si="225"/>
        <v>-117.841475</v>
      </c>
      <c r="D3640">
        <f t="shared" si="226"/>
        <v>83</v>
      </c>
      <c r="E3640">
        <v>100.499</v>
      </c>
      <c r="F3640">
        <f t="shared" si="227"/>
        <v>-17.498999999999995</v>
      </c>
      <c r="G3640">
        <v>316.08300000000003</v>
      </c>
      <c r="H3640">
        <v>1.26</v>
      </c>
      <c r="I3640">
        <v>0.39900000000000002</v>
      </c>
      <c r="J3640">
        <v>10</v>
      </c>
      <c r="K3640">
        <v>50</v>
      </c>
      <c r="L3640">
        <v>25</v>
      </c>
      <c r="M3640" s="1">
        <v>9000000000</v>
      </c>
    </row>
    <row r="3641" spans="1:13" ht="15" customHeight="1">
      <c r="A3641" s="2" t="s">
        <v>42</v>
      </c>
      <c r="B3641">
        <f t="shared" si="224"/>
        <v>33.722360999999999</v>
      </c>
      <c r="C3641">
        <f t="shared" si="225"/>
        <v>-117.841475</v>
      </c>
      <c r="D3641">
        <f t="shared" si="226"/>
        <v>83</v>
      </c>
      <c r="E3641">
        <v>101.499</v>
      </c>
      <c r="F3641">
        <f t="shared" si="227"/>
        <v>-18.498999999999995</v>
      </c>
      <c r="G3641">
        <v>294.05</v>
      </c>
      <c r="H3641">
        <v>1.5129999999999999</v>
      </c>
      <c r="I3641">
        <v>0.51500000000000001</v>
      </c>
      <c r="J3641">
        <v>10</v>
      </c>
      <c r="K3641">
        <v>47</v>
      </c>
      <c r="L3641">
        <v>24</v>
      </c>
      <c r="M3641" s="1">
        <v>9000000000</v>
      </c>
    </row>
    <row r="3642" spans="1:13" ht="15" customHeight="1">
      <c r="A3642" s="2" t="s">
        <v>42</v>
      </c>
      <c r="B3642">
        <f t="shared" si="224"/>
        <v>33.722360999999999</v>
      </c>
      <c r="C3642">
        <f t="shared" si="225"/>
        <v>-117.841475</v>
      </c>
      <c r="D3642">
        <f t="shared" si="226"/>
        <v>83</v>
      </c>
      <c r="E3642">
        <v>102.499</v>
      </c>
      <c r="F3642">
        <f t="shared" si="227"/>
        <v>-19.498999999999995</v>
      </c>
      <c r="G3642">
        <v>346.31700000000001</v>
      </c>
      <c r="H3642">
        <v>1.327</v>
      </c>
      <c r="I3642">
        <v>0.38300000000000001</v>
      </c>
      <c r="J3642">
        <v>10</v>
      </c>
      <c r="K3642">
        <v>55</v>
      </c>
      <c r="L3642">
        <v>28</v>
      </c>
      <c r="M3642" s="1">
        <v>9000000000</v>
      </c>
    </row>
    <row r="3643" spans="1:13" ht="15" customHeight="1">
      <c r="A3643" s="2" t="s">
        <v>42</v>
      </c>
      <c r="B3643">
        <f t="shared" si="224"/>
        <v>33.722360999999999</v>
      </c>
      <c r="C3643">
        <f t="shared" si="225"/>
        <v>-117.841475</v>
      </c>
      <c r="D3643">
        <f t="shared" si="226"/>
        <v>83</v>
      </c>
      <c r="E3643">
        <v>103.499</v>
      </c>
      <c r="F3643">
        <f t="shared" si="227"/>
        <v>-20.498999999999995</v>
      </c>
      <c r="G3643">
        <v>353.05</v>
      </c>
      <c r="H3643">
        <v>1.3480000000000001</v>
      </c>
      <c r="I3643">
        <v>0.38200000000000001</v>
      </c>
      <c r="J3643">
        <v>10</v>
      </c>
      <c r="K3643">
        <v>56</v>
      </c>
      <c r="L3643">
        <v>28</v>
      </c>
      <c r="M3643" s="1">
        <v>9000000000</v>
      </c>
    </row>
    <row r="3644" spans="1:13" ht="15" customHeight="1">
      <c r="A3644" s="2" t="s">
        <v>42</v>
      </c>
      <c r="B3644">
        <f t="shared" si="224"/>
        <v>33.722360999999999</v>
      </c>
      <c r="C3644">
        <f t="shared" si="225"/>
        <v>-117.841475</v>
      </c>
      <c r="D3644">
        <f t="shared" si="226"/>
        <v>83</v>
      </c>
      <c r="E3644">
        <v>104.499</v>
      </c>
      <c r="F3644">
        <f t="shared" si="227"/>
        <v>-21.498999999999995</v>
      </c>
      <c r="G3644">
        <v>362.32900000000001</v>
      </c>
      <c r="H3644">
        <v>1.179</v>
      </c>
      <c r="I3644">
        <v>0.32500000000000001</v>
      </c>
      <c r="J3644">
        <v>10</v>
      </c>
      <c r="K3644">
        <v>58</v>
      </c>
      <c r="L3644">
        <v>29</v>
      </c>
      <c r="M3644" s="1">
        <v>9000000000</v>
      </c>
    </row>
    <row r="3645" spans="1:13" ht="15" customHeight="1">
      <c r="A3645" s="2" t="s">
        <v>42</v>
      </c>
      <c r="B3645">
        <f t="shared" si="224"/>
        <v>33.722360999999999</v>
      </c>
      <c r="C3645">
        <f t="shared" si="225"/>
        <v>-117.841475</v>
      </c>
      <c r="D3645">
        <f t="shared" si="226"/>
        <v>83</v>
      </c>
      <c r="E3645">
        <v>105.499</v>
      </c>
      <c r="F3645">
        <f t="shared" si="227"/>
        <v>-22.498999999999995</v>
      </c>
      <c r="G3645">
        <v>382.983</v>
      </c>
      <c r="H3645">
        <v>1.012</v>
      </c>
      <c r="I3645">
        <v>0.26400000000000001</v>
      </c>
      <c r="J3645">
        <v>10</v>
      </c>
      <c r="K3645">
        <v>61</v>
      </c>
      <c r="L3645">
        <v>31</v>
      </c>
      <c r="M3645" s="1">
        <v>9000000000</v>
      </c>
    </row>
    <row r="3646" spans="1:13" ht="15" customHeight="1">
      <c r="A3646" s="2" t="s">
        <v>42</v>
      </c>
      <c r="B3646">
        <f t="shared" si="224"/>
        <v>33.722360999999999</v>
      </c>
      <c r="C3646">
        <f t="shared" si="225"/>
        <v>-117.841475</v>
      </c>
      <c r="D3646">
        <f t="shared" si="226"/>
        <v>83</v>
      </c>
      <c r="E3646">
        <v>106.499</v>
      </c>
      <c r="F3646">
        <f t="shared" si="227"/>
        <v>-23.498999999999995</v>
      </c>
      <c r="G3646">
        <v>417.03300000000002</v>
      </c>
      <c r="H3646">
        <v>2.1179999999999999</v>
      </c>
      <c r="I3646">
        <v>0.50800000000000001</v>
      </c>
      <c r="J3646">
        <v>10</v>
      </c>
      <c r="K3646">
        <v>67</v>
      </c>
      <c r="L3646">
        <v>34</v>
      </c>
      <c r="M3646" s="1">
        <v>9000000000</v>
      </c>
    </row>
    <row r="3647" spans="1:13" ht="15" customHeight="1">
      <c r="A3647" s="2" t="s">
        <v>42</v>
      </c>
      <c r="B3647">
        <f t="shared" si="224"/>
        <v>33.722360999999999</v>
      </c>
      <c r="C3647">
        <f t="shared" si="225"/>
        <v>-117.841475</v>
      </c>
      <c r="D3647">
        <f t="shared" si="226"/>
        <v>83</v>
      </c>
      <c r="E3647">
        <v>107.499</v>
      </c>
      <c r="F3647">
        <f t="shared" si="227"/>
        <v>-24.498999999999995</v>
      </c>
      <c r="G3647">
        <v>363.95</v>
      </c>
      <c r="H3647">
        <v>2.5830000000000002</v>
      </c>
      <c r="I3647">
        <v>0.71</v>
      </c>
      <c r="J3647">
        <v>10</v>
      </c>
      <c r="K3647">
        <v>58</v>
      </c>
      <c r="L3647">
        <v>29</v>
      </c>
      <c r="M3647" s="1">
        <v>9000000000</v>
      </c>
    </row>
    <row r="3648" spans="1:13" ht="15" customHeight="1">
      <c r="A3648" s="2" t="s">
        <v>42</v>
      </c>
      <c r="B3648">
        <f t="shared" si="224"/>
        <v>33.722360999999999</v>
      </c>
      <c r="C3648">
        <f t="shared" si="225"/>
        <v>-117.841475</v>
      </c>
      <c r="D3648">
        <f t="shared" si="226"/>
        <v>83</v>
      </c>
      <c r="E3648">
        <v>108.499</v>
      </c>
      <c r="F3648">
        <f t="shared" si="227"/>
        <v>-25.498999999999995</v>
      </c>
      <c r="G3648">
        <v>333.017</v>
      </c>
      <c r="H3648">
        <v>1.8879999999999999</v>
      </c>
      <c r="I3648">
        <v>0.56699999999999995</v>
      </c>
      <c r="J3648">
        <v>10</v>
      </c>
      <c r="K3648">
        <v>53</v>
      </c>
      <c r="L3648">
        <v>27</v>
      </c>
      <c r="M3648" s="1">
        <v>9000000000</v>
      </c>
    </row>
    <row r="3649" spans="1:13" ht="15" customHeight="1">
      <c r="A3649" s="2" t="s">
        <v>42</v>
      </c>
      <c r="B3649">
        <f t="shared" si="224"/>
        <v>33.722360999999999</v>
      </c>
      <c r="C3649">
        <f t="shared" si="225"/>
        <v>-117.841475</v>
      </c>
      <c r="D3649">
        <f t="shared" si="226"/>
        <v>83</v>
      </c>
      <c r="E3649">
        <v>109.499</v>
      </c>
      <c r="F3649">
        <f t="shared" si="227"/>
        <v>-26.498999999999995</v>
      </c>
      <c r="G3649">
        <v>305.483</v>
      </c>
      <c r="H3649">
        <v>3.3370000000000002</v>
      </c>
      <c r="I3649">
        <v>1.093</v>
      </c>
      <c r="J3649">
        <v>9</v>
      </c>
      <c r="K3649">
        <v>58</v>
      </c>
      <c r="L3649">
        <v>29</v>
      </c>
      <c r="M3649" s="1">
        <v>9000000000</v>
      </c>
    </row>
    <row r="3650" spans="1:13" ht="15" customHeight="1">
      <c r="A3650" s="2" t="s">
        <v>42</v>
      </c>
      <c r="B3650">
        <f t="shared" ref="B3650:B3713" si="228">VLOOKUP(A3650,XYdata,3,FALSE)</f>
        <v>33.722360999999999</v>
      </c>
      <c r="C3650">
        <f t="shared" ref="C3650:C3713" si="229">VLOOKUP(A3650,XYdata,2,FALSE)</f>
        <v>-117.841475</v>
      </c>
      <c r="D3650">
        <f t="shared" ref="D3650:D3713" si="230">VLOOKUP(A3650,Elevation,2,FALSE)</f>
        <v>83</v>
      </c>
      <c r="E3650">
        <v>110.499</v>
      </c>
      <c r="F3650">
        <f t="shared" si="227"/>
        <v>-27.498999999999995</v>
      </c>
      <c r="G3650">
        <v>91.832999999999998</v>
      </c>
      <c r="H3650">
        <v>3.468</v>
      </c>
      <c r="I3650">
        <v>3.7839999999999998</v>
      </c>
      <c r="J3650">
        <v>5</v>
      </c>
      <c r="K3650">
        <v>44</v>
      </c>
      <c r="L3650">
        <v>22</v>
      </c>
      <c r="M3650">
        <v>5.6539999999999999</v>
      </c>
    </row>
    <row r="3651" spans="1:13" ht="15" customHeight="1">
      <c r="A3651" s="2" t="s">
        <v>42</v>
      </c>
      <c r="B3651">
        <f t="shared" si="228"/>
        <v>33.722360999999999</v>
      </c>
      <c r="C3651">
        <f t="shared" si="229"/>
        <v>-117.841475</v>
      </c>
      <c r="D3651">
        <f t="shared" si="230"/>
        <v>83</v>
      </c>
      <c r="E3651">
        <v>111.499</v>
      </c>
      <c r="F3651">
        <f t="shared" ref="F3651:F3714" si="231">D3651-E3651</f>
        <v>-28.498999999999995</v>
      </c>
      <c r="G3651">
        <v>96.316999999999993</v>
      </c>
      <c r="H3651">
        <v>3</v>
      </c>
      <c r="I3651">
        <v>3.121</v>
      </c>
      <c r="J3651">
        <v>6</v>
      </c>
      <c r="K3651">
        <v>37</v>
      </c>
      <c r="L3651">
        <v>19</v>
      </c>
      <c r="M3651">
        <v>5.9480000000000004</v>
      </c>
    </row>
    <row r="3652" spans="1:13" ht="15" customHeight="1">
      <c r="A3652" s="2" t="s">
        <v>42</v>
      </c>
      <c r="B3652">
        <f t="shared" si="228"/>
        <v>33.722360999999999</v>
      </c>
      <c r="C3652">
        <f t="shared" si="229"/>
        <v>-117.841475</v>
      </c>
      <c r="D3652">
        <f t="shared" si="230"/>
        <v>83</v>
      </c>
      <c r="E3652">
        <v>112.499</v>
      </c>
      <c r="F3652">
        <f t="shared" si="231"/>
        <v>-29.498999999999995</v>
      </c>
      <c r="G3652">
        <v>48.183</v>
      </c>
      <c r="H3652">
        <v>1.635</v>
      </c>
      <c r="I3652">
        <v>3.4049999999999998</v>
      </c>
      <c r="J3652">
        <v>5</v>
      </c>
      <c r="K3652">
        <v>23</v>
      </c>
      <c r="L3652">
        <v>12</v>
      </c>
      <c r="M3652">
        <v>2.7360000000000002</v>
      </c>
    </row>
    <row r="3653" spans="1:13" ht="15" customHeight="1">
      <c r="A3653" s="2" t="s">
        <v>42</v>
      </c>
      <c r="B3653">
        <f t="shared" si="228"/>
        <v>33.722360999999999</v>
      </c>
      <c r="C3653">
        <f t="shared" si="229"/>
        <v>-117.841475</v>
      </c>
      <c r="D3653">
        <f t="shared" si="230"/>
        <v>83</v>
      </c>
      <c r="E3653">
        <v>113.499</v>
      </c>
      <c r="F3653">
        <f t="shared" si="231"/>
        <v>-30.498999999999995</v>
      </c>
      <c r="G3653">
        <v>36.799999999999997</v>
      </c>
      <c r="H3653">
        <v>0.89700000000000002</v>
      </c>
      <c r="I3653">
        <v>2.4449999999999998</v>
      </c>
      <c r="J3653">
        <v>6</v>
      </c>
      <c r="K3653">
        <v>14</v>
      </c>
      <c r="L3653">
        <v>7</v>
      </c>
      <c r="M3653">
        <v>1.9750000000000001</v>
      </c>
    </row>
    <row r="3654" spans="1:13" ht="15" customHeight="1">
      <c r="A3654" s="2" t="s">
        <v>42</v>
      </c>
      <c r="B3654">
        <f t="shared" si="228"/>
        <v>33.722360999999999</v>
      </c>
      <c r="C3654">
        <f t="shared" si="229"/>
        <v>-117.841475</v>
      </c>
      <c r="D3654">
        <f t="shared" si="230"/>
        <v>83</v>
      </c>
      <c r="E3654">
        <v>114.499</v>
      </c>
      <c r="F3654">
        <f t="shared" si="231"/>
        <v>-31.498999999999995</v>
      </c>
      <c r="G3654">
        <v>41.5</v>
      </c>
      <c r="H3654">
        <v>1.2130000000000001</v>
      </c>
      <c r="I3654">
        <v>2.9329999999999998</v>
      </c>
      <c r="J3654">
        <v>6</v>
      </c>
      <c r="K3654">
        <v>16</v>
      </c>
      <c r="L3654">
        <v>8</v>
      </c>
      <c r="M3654">
        <v>2.2839999999999998</v>
      </c>
    </row>
    <row r="3655" spans="1:13" ht="15" customHeight="1">
      <c r="A3655" s="2" t="s">
        <v>42</v>
      </c>
      <c r="B3655">
        <f t="shared" si="228"/>
        <v>33.722360999999999</v>
      </c>
      <c r="C3655">
        <f t="shared" si="229"/>
        <v>-117.841475</v>
      </c>
      <c r="D3655">
        <f t="shared" si="230"/>
        <v>83</v>
      </c>
      <c r="E3655">
        <v>115.499</v>
      </c>
      <c r="F3655">
        <f t="shared" si="231"/>
        <v>-32.498999999999995</v>
      </c>
      <c r="G3655">
        <v>37.4</v>
      </c>
      <c r="H3655">
        <v>0.91700000000000004</v>
      </c>
      <c r="I3655">
        <v>2.4590000000000001</v>
      </c>
      <c r="J3655">
        <v>6</v>
      </c>
      <c r="K3655">
        <v>14</v>
      </c>
      <c r="L3655">
        <v>7</v>
      </c>
      <c r="M3655">
        <v>2.008</v>
      </c>
    </row>
    <row r="3656" spans="1:13" ht="15" customHeight="1">
      <c r="A3656" s="2" t="s">
        <v>42</v>
      </c>
      <c r="B3656">
        <f t="shared" si="228"/>
        <v>33.722360999999999</v>
      </c>
      <c r="C3656">
        <f t="shared" si="229"/>
        <v>-117.841475</v>
      </c>
      <c r="D3656">
        <f t="shared" si="230"/>
        <v>83</v>
      </c>
      <c r="E3656">
        <v>116.499</v>
      </c>
      <c r="F3656">
        <f t="shared" si="231"/>
        <v>-33.498999999999995</v>
      </c>
      <c r="G3656">
        <v>34.783000000000001</v>
      </c>
      <c r="H3656">
        <v>0.82499999999999996</v>
      </c>
      <c r="I3656">
        <v>2.379</v>
      </c>
      <c r="J3656">
        <v>6</v>
      </c>
      <c r="K3656">
        <v>13</v>
      </c>
      <c r="L3656">
        <v>7</v>
      </c>
      <c r="M3656">
        <v>1.83</v>
      </c>
    </row>
    <row r="3657" spans="1:13" ht="15" customHeight="1">
      <c r="A3657" s="2" t="s">
        <v>42</v>
      </c>
      <c r="B3657">
        <f t="shared" si="228"/>
        <v>33.722360999999999</v>
      </c>
      <c r="C3657">
        <f t="shared" si="229"/>
        <v>-117.841475</v>
      </c>
      <c r="D3657">
        <f t="shared" si="230"/>
        <v>83</v>
      </c>
      <c r="E3657">
        <v>117.498</v>
      </c>
      <c r="F3657">
        <f t="shared" si="231"/>
        <v>-34.498000000000005</v>
      </c>
      <c r="G3657">
        <v>39.283000000000001</v>
      </c>
      <c r="H3657">
        <v>1.1299999999999999</v>
      </c>
      <c r="I3657">
        <v>2.8839999999999999</v>
      </c>
      <c r="J3657">
        <v>6</v>
      </c>
      <c r="K3657">
        <v>15</v>
      </c>
      <c r="L3657">
        <v>8</v>
      </c>
      <c r="M3657">
        <v>2.1259999999999999</v>
      </c>
    </row>
    <row r="3658" spans="1:13" ht="15" customHeight="1">
      <c r="A3658" s="2" t="s">
        <v>42</v>
      </c>
      <c r="B3658">
        <f t="shared" si="228"/>
        <v>33.722360999999999</v>
      </c>
      <c r="C3658">
        <f t="shared" si="229"/>
        <v>-117.841475</v>
      </c>
      <c r="D3658">
        <f t="shared" si="230"/>
        <v>83</v>
      </c>
      <c r="E3658">
        <v>118.498</v>
      </c>
      <c r="F3658">
        <f t="shared" si="231"/>
        <v>-35.498000000000005</v>
      </c>
      <c r="G3658">
        <v>47.5</v>
      </c>
      <c r="H3658">
        <v>1.8420000000000001</v>
      </c>
      <c r="I3658">
        <v>3.887</v>
      </c>
      <c r="J3658">
        <v>5</v>
      </c>
      <c r="K3658">
        <v>23</v>
      </c>
      <c r="L3658">
        <v>12</v>
      </c>
      <c r="M3658">
        <v>2.669</v>
      </c>
    </row>
    <row r="3659" spans="1:13" ht="15" customHeight="1">
      <c r="A3659" s="2" t="s">
        <v>42</v>
      </c>
      <c r="B3659">
        <f t="shared" si="228"/>
        <v>33.722360999999999</v>
      </c>
      <c r="C3659">
        <f t="shared" si="229"/>
        <v>-117.841475</v>
      </c>
      <c r="D3659">
        <f t="shared" si="230"/>
        <v>83</v>
      </c>
      <c r="E3659">
        <v>119.498</v>
      </c>
      <c r="F3659">
        <f t="shared" si="231"/>
        <v>-36.498000000000005</v>
      </c>
      <c r="G3659">
        <v>40.982999999999997</v>
      </c>
      <c r="H3659">
        <v>1.1930000000000001</v>
      </c>
      <c r="I3659">
        <v>2.919</v>
      </c>
      <c r="J3659">
        <v>6</v>
      </c>
      <c r="K3659">
        <v>16</v>
      </c>
      <c r="L3659">
        <v>8</v>
      </c>
      <c r="M3659">
        <v>2.2309999999999999</v>
      </c>
    </row>
    <row r="3660" spans="1:13" ht="15" customHeight="1">
      <c r="A3660" s="2" t="s">
        <v>42</v>
      </c>
      <c r="B3660">
        <f t="shared" si="228"/>
        <v>33.722360999999999</v>
      </c>
      <c r="C3660">
        <f t="shared" si="229"/>
        <v>-117.841475</v>
      </c>
      <c r="D3660">
        <f t="shared" si="230"/>
        <v>83</v>
      </c>
      <c r="E3660">
        <v>120.498</v>
      </c>
      <c r="F3660">
        <f t="shared" si="231"/>
        <v>-37.498000000000005</v>
      </c>
      <c r="G3660">
        <v>32.817</v>
      </c>
      <c r="H3660">
        <v>0.752</v>
      </c>
      <c r="I3660">
        <v>2.298</v>
      </c>
      <c r="J3660">
        <v>6</v>
      </c>
      <c r="K3660">
        <v>13</v>
      </c>
      <c r="L3660">
        <v>7</v>
      </c>
      <c r="M3660">
        <v>1.6830000000000001</v>
      </c>
    </row>
    <row r="3661" spans="1:13" ht="15" customHeight="1">
      <c r="A3661" s="2" t="s">
        <v>42</v>
      </c>
      <c r="B3661">
        <f t="shared" si="228"/>
        <v>33.722360999999999</v>
      </c>
      <c r="C3661">
        <f t="shared" si="229"/>
        <v>-117.841475</v>
      </c>
      <c r="D3661">
        <f t="shared" si="230"/>
        <v>83</v>
      </c>
      <c r="E3661">
        <v>121.498</v>
      </c>
      <c r="F3661">
        <f t="shared" si="231"/>
        <v>-38.498000000000005</v>
      </c>
      <c r="G3661">
        <v>57.866999999999997</v>
      </c>
      <c r="H3661">
        <v>2.1219999999999999</v>
      </c>
      <c r="I3661">
        <v>3.673</v>
      </c>
      <c r="J3661">
        <v>5</v>
      </c>
      <c r="K3661">
        <v>28</v>
      </c>
      <c r="L3661">
        <v>14</v>
      </c>
      <c r="M3661">
        <v>3.3479999999999999</v>
      </c>
    </row>
    <row r="3662" spans="1:13" ht="15" customHeight="1">
      <c r="A3662" s="2" t="s">
        <v>42</v>
      </c>
      <c r="B3662">
        <f t="shared" si="228"/>
        <v>33.722360999999999</v>
      </c>
      <c r="C3662">
        <f t="shared" si="229"/>
        <v>-117.841475</v>
      </c>
      <c r="D3662">
        <f t="shared" si="230"/>
        <v>83</v>
      </c>
      <c r="E3662">
        <v>122.498</v>
      </c>
      <c r="F3662">
        <f t="shared" si="231"/>
        <v>-39.498000000000005</v>
      </c>
      <c r="G3662">
        <v>53.817</v>
      </c>
      <c r="H3662">
        <v>1.93</v>
      </c>
      <c r="I3662">
        <v>3.593</v>
      </c>
      <c r="J3662">
        <v>5</v>
      </c>
      <c r="K3662">
        <v>26</v>
      </c>
      <c r="L3662">
        <v>13</v>
      </c>
      <c r="M3662">
        <v>3.0739999999999998</v>
      </c>
    </row>
    <row r="3663" spans="1:13" ht="15" customHeight="1">
      <c r="A3663" s="2" t="s">
        <v>42</v>
      </c>
      <c r="B3663">
        <f t="shared" si="228"/>
        <v>33.722360999999999</v>
      </c>
      <c r="C3663">
        <f t="shared" si="229"/>
        <v>-117.841475</v>
      </c>
      <c r="D3663">
        <f t="shared" si="230"/>
        <v>83</v>
      </c>
      <c r="E3663">
        <v>123.498</v>
      </c>
      <c r="F3663">
        <f t="shared" si="231"/>
        <v>-40.498000000000005</v>
      </c>
      <c r="G3663">
        <v>33.232999999999997</v>
      </c>
      <c r="H3663">
        <v>0.96799999999999997</v>
      </c>
      <c r="I3663">
        <v>2.923</v>
      </c>
      <c r="J3663">
        <v>5</v>
      </c>
      <c r="K3663">
        <v>16</v>
      </c>
      <c r="L3663">
        <v>8</v>
      </c>
      <c r="M3663">
        <v>1.698</v>
      </c>
    </row>
    <row r="3664" spans="1:13" ht="15" customHeight="1">
      <c r="A3664" s="2" t="s">
        <v>42</v>
      </c>
      <c r="B3664">
        <f t="shared" si="228"/>
        <v>33.722360999999999</v>
      </c>
      <c r="C3664">
        <f t="shared" si="229"/>
        <v>-117.841475</v>
      </c>
      <c r="D3664">
        <f t="shared" si="230"/>
        <v>83</v>
      </c>
      <c r="E3664">
        <v>124.498</v>
      </c>
      <c r="F3664">
        <f t="shared" si="231"/>
        <v>-41.498000000000005</v>
      </c>
      <c r="G3664">
        <v>34.616999999999997</v>
      </c>
      <c r="H3664">
        <v>0.93700000000000006</v>
      </c>
      <c r="I3664">
        <v>2.7120000000000002</v>
      </c>
      <c r="J3664">
        <v>6</v>
      </c>
      <c r="K3664">
        <v>13</v>
      </c>
      <c r="L3664">
        <v>7</v>
      </c>
      <c r="M3664">
        <v>1.7869999999999999</v>
      </c>
    </row>
    <row r="3665" spans="1:13" ht="15" customHeight="1">
      <c r="A3665" s="2" t="s">
        <v>42</v>
      </c>
      <c r="B3665">
        <f t="shared" si="228"/>
        <v>33.722360999999999</v>
      </c>
      <c r="C3665">
        <f t="shared" si="229"/>
        <v>-117.841475</v>
      </c>
      <c r="D3665">
        <f t="shared" si="230"/>
        <v>83</v>
      </c>
      <c r="E3665">
        <v>125.498</v>
      </c>
      <c r="F3665">
        <f t="shared" si="231"/>
        <v>-42.498000000000005</v>
      </c>
      <c r="G3665">
        <v>33.871000000000002</v>
      </c>
      <c r="H3665">
        <v>0.82</v>
      </c>
      <c r="I3665">
        <v>2.427</v>
      </c>
      <c r="J3665">
        <v>6</v>
      </c>
      <c r="K3665">
        <v>13</v>
      </c>
      <c r="L3665">
        <v>7</v>
      </c>
      <c r="M3665">
        <v>1.7330000000000001</v>
      </c>
    </row>
    <row r="3666" spans="1:13" ht="15" customHeight="1">
      <c r="A3666" s="2" t="s">
        <v>42</v>
      </c>
      <c r="B3666">
        <f t="shared" si="228"/>
        <v>33.722360999999999</v>
      </c>
      <c r="C3666">
        <f t="shared" si="229"/>
        <v>-117.841475</v>
      </c>
      <c r="D3666">
        <f t="shared" si="230"/>
        <v>83</v>
      </c>
      <c r="E3666">
        <v>126.498</v>
      </c>
      <c r="F3666">
        <f t="shared" si="231"/>
        <v>-43.498000000000005</v>
      </c>
      <c r="G3666">
        <v>32.4</v>
      </c>
      <c r="H3666">
        <v>0.86699999999999999</v>
      </c>
      <c r="I3666">
        <v>2.6760000000000002</v>
      </c>
      <c r="J3666">
        <v>6</v>
      </c>
      <c r="K3666">
        <v>12</v>
      </c>
      <c r="L3666">
        <v>6</v>
      </c>
      <c r="M3666">
        <v>1.635</v>
      </c>
    </row>
    <row r="3667" spans="1:13" ht="15" customHeight="1">
      <c r="A3667" s="2" t="s">
        <v>42</v>
      </c>
      <c r="B3667">
        <f t="shared" si="228"/>
        <v>33.722360999999999</v>
      </c>
      <c r="C3667">
        <f t="shared" si="229"/>
        <v>-117.841475</v>
      </c>
      <c r="D3667">
        <f t="shared" si="230"/>
        <v>83</v>
      </c>
      <c r="E3667">
        <v>127.498</v>
      </c>
      <c r="F3667">
        <f t="shared" si="231"/>
        <v>-44.498000000000005</v>
      </c>
      <c r="G3667">
        <v>33.5</v>
      </c>
      <c r="H3667">
        <v>1.012</v>
      </c>
      <c r="I3667">
        <v>3.0259999999999998</v>
      </c>
      <c r="J3667">
        <v>5</v>
      </c>
      <c r="K3667">
        <v>16</v>
      </c>
      <c r="L3667">
        <v>8</v>
      </c>
      <c r="M3667">
        <v>1.7010000000000001</v>
      </c>
    </row>
    <row r="3668" spans="1:13" ht="15" customHeight="1">
      <c r="A3668" s="2" t="s">
        <v>42</v>
      </c>
      <c r="B3668">
        <f t="shared" si="228"/>
        <v>33.722360999999999</v>
      </c>
      <c r="C3668">
        <f t="shared" si="229"/>
        <v>-117.841475</v>
      </c>
      <c r="D3668">
        <f t="shared" si="230"/>
        <v>83</v>
      </c>
      <c r="E3668">
        <v>128.49799999999999</v>
      </c>
      <c r="F3668">
        <f t="shared" si="231"/>
        <v>-45.49799999999999</v>
      </c>
      <c r="G3668">
        <v>33.883000000000003</v>
      </c>
      <c r="H3668">
        <v>1.0049999999999999</v>
      </c>
      <c r="I3668">
        <v>2.9660000000000002</v>
      </c>
      <c r="J3668">
        <v>5</v>
      </c>
      <c r="K3668">
        <v>16</v>
      </c>
      <c r="L3668">
        <v>8</v>
      </c>
      <c r="M3668">
        <v>1.7270000000000001</v>
      </c>
    </row>
    <row r="3669" spans="1:13" ht="15" customHeight="1">
      <c r="A3669" s="2" t="s">
        <v>42</v>
      </c>
      <c r="B3669">
        <f t="shared" si="228"/>
        <v>33.722360999999999</v>
      </c>
      <c r="C3669">
        <f t="shared" si="229"/>
        <v>-117.841475</v>
      </c>
      <c r="D3669">
        <f t="shared" si="230"/>
        <v>83</v>
      </c>
      <c r="E3669">
        <v>129.49799999999999</v>
      </c>
      <c r="F3669">
        <f t="shared" si="231"/>
        <v>-46.49799999999999</v>
      </c>
      <c r="G3669">
        <v>42.8</v>
      </c>
      <c r="H3669">
        <v>1.35</v>
      </c>
      <c r="I3669">
        <v>3.1539999999999999</v>
      </c>
      <c r="J3669">
        <v>5</v>
      </c>
      <c r="K3669">
        <v>20</v>
      </c>
      <c r="L3669">
        <v>10</v>
      </c>
      <c r="M3669">
        <v>2.3170000000000002</v>
      </c>
    </row>
    <row r="3670" spans="1:13" ht="15" customHeight="1">
      <c r="A3670" s="2" t="s">
        <v>42</v>
      </c>
      <c r="B3670">
        <f t="shared" si="228"/>
        <v>33.722360999999999</v>
      </c>
      <c r="C3670">
        <f t="shared" si="229"/>
        <v>-117.841475</v>
      </c>
      <c r="D3670">
        <f t="shared" si="230"/>
        <v>83</v>
      </c>
      <c r="E3670">
        <v>130.49799999999999</v>
      </c>
      <c r="F3670">
        <f t="shared" si="231"/>
        <v>-47.49799999999999</v>
      </c>
      <c r="G3670">
        <v>61.4</v>
      </c>
      <c r="H3670">
        <v>0</v>
      </c>
      <c r="I3670">
        <v>0</v>
      </c>
      <c r="J3670">
        <v>8</v>
      </c>
      <c r="K3670" s="1">
        <v>9000000000</v>
      </c>
      <c r="L3670" s="1">
        <v>9000000000</v>
      </c>
      <c r="M3670" s="1">
        <v>9000000000</v>
      </c>
    </row>
    <row r="3671" spans="1:13" ht="15" customHeight="1">
      <c r="A3671" t="s">
        <v>43</v>
      </c>
      <c r="B3671">
        <f t="shared" si="228"/>
        <v>33.723101</v>
      </c>
      <c r="C3671">
        <f t="shared" si="229"/>
        <v>-117.839581</v>
      </c>
      <c r="D3671">
        <f t="shared" si="230"/>
        <v>85</v>
      </c>
      <c r="E3671">
        <v>0.5</v>
      </c>
      <c r="F3671">
        <f t="shared" si="231"/>
        <v>84.5</v>
      </c>
      <c r="G3671">
        <v>4.7830000000000004</v>
      </c>
      <c r="H3671">
        <v>0.14699999999999999</v>
      </c>
      <c r="I3671">
        <v>2.8570000000000002</v>
      </c>
      <c r="J3671">
        <v>3</v>
      </c>
      <c r="K3671">
        <v>5</v>
      </c>
      <c r="L3671">
        <v>8</v>
      </c>
      <c r="M3671">
        <v>0.34</v>
      </c>
    </row>
    <row r="3672" spans="1:13" ht="15" customHeight="1">
      <c r="A3672" t="s">
        <v>43</v>
      </c>
      <c r="B3672">
        <f t="shared" si="228"/>
        <v>33.723101</v>
      </c>
      <c r="C3672">
        <f t="shared" si="229"/>
        <v>-117.839581</v>
      </c>
      <c r="D3672">
        <f t="shared" si="230"/>
        <v>85</v>
      </c>
      <c r="E3672">
        <v>1.5</v>
      </c>
      <c r="F3672">
        <f t="shared" si="231"/>
        <v>83.5</v>
      </c>
      <c r="G3672">
        <v>33.15</v>
      </c>
      <c r="H3672">
        <v>0.60199999999999998</v>
      </c>
      <c r="I3672">
        <v>1.8009999999999999</v>
      </c>
      <c r="J3672">
        <v>6</v>
      </c>
      <c r="K3672">
        <v>13</v>
      </c>
      <c r="L3672">
        <v>20</v>
      </c>
      <c r="M3672">
        <v>2.2210000000000001</v>
      </c>
    </row>
    <row r="3673" spans="1:13" ht="15" customHeight="1">
      <c r="A3673" t="s">
        <v>43</v>
      </c>
      <c r="B3673">
        <f t="shared" si="228"/>
        <v>33.723101</v>
      </c>
      <c r="C3673">
        <f t="shared" si="229"/>
        <v>-117.839581</v>
      </c>
      <c r="D3673">
        <f t="shared" si="230"/>
        <v>85</v>
      </c>
      <c r="E3673">
        <v>2.5</v>
      </c>
      <c r="F3673">
        <f t="shared" si="231"/>
        <v>82.5</v>
      </c>
      <c r="G3673">
        <v>13.467000000000001</v>
      </c>
      <c r="H3673">
        <v>0.58499999999999996</v>
      </c>
      <c r="I3673">
        <v>4.3440000000000003</v>
      </c>
      <c r="J3673">
        <v>3</v>
      </c>
      <c r="K3673">
        <v>13</v>
      </c>
      <c r="L3673">
        <v>20</v>
      </c>
      <c r="M3673">
        <v>0.88800000000000001</v>
      </c>
    </row>
    <row r="3674" spans="1:13" ht="15" customHeight="1">
      <c r="A3674" t="s">
        <v>43</v>
      </c>
      <c r="B3674">
        <f t="shared" si="228"/>
        <v>33.723101</v>
      </c>
      <c r="C3674">
        <f t="shared" si="229"/>
        <v>-117.839581</v>
      </c>
      <c r="D3674">
        <f t="shared" si="230"/>
        <v>85</v>
      </c>
      <c r="E3674">
        <v>3.5</v>
      </c>
      <c r="F3674">
        <f t="shared" si="231"/>
        <v>81.5</v>
      </c>
      <c r="G3674">
        <v>13.75</v>
      </c>
      <c r="H3674">
        <v>0.67300000000000004</v>
      </c>
      <c r="I3674">
        <v>4.891</v>
      </c>
      <c r="J3674">
        <v>3</v>
      </c>
      <c r="K3674">
        <v>13</v>
      </c>
      <c r="L3674">
        <v>20</v>
      </c>
      <c r="M3674">
        <v>0.90300000000000002</v>
      </c>
    </row>
    <row r="3675" spans="1:13" ht="15" customHeight="1">
      <c r="A3675" t="s">
        <v>43</v>
      </c>
      <c r="B3675">
        <f t="shared" si="228"/>
        <v>33.723101</v>
      </c>
      <c r="C3675">
        <f t="shared" si="229"/>
        <v>-117.839581</v>
      </c>
      <c r="D3675">
        <f t="shared" si="230"/>
        <v>85</v>
      </c>
      <c r="E3675">
        <v>4.5</v>
      </c>
      <c r="F3675">
        <f t="shared" si="231"/>
        <v>80.5</v>
      </c>
      <c r="G3675">
        <v>13.95</v>
      </c>
      <c r="H3675">
        <v>0.65700000000000003</v>
      </c>
      <c r="I3675">
        <v>4.7069999999999999</v>
      </c>
      <c r="J3675">
        <v>3</v>
      </c>
      <c r="K3675">
        <v>13</v>
      </c>
      <c r="L3675">
        <v>20</v>
      </c>
      <c r="M3675">
        <v>0.91100000000000003</v>
      </c>
    </row>
    <row r="3676" spans="1:13" ht="15" customHeight="1">
      <c r="A3676" t="s">
        <v>43</v>
      </c>
      <c r="B3676">
        <f t="shared" si="228"/>
        <v>33.723101</v>
      </c>
      <c r="C3676">
        <f t="shared" si="229"/>
        <v>-117.839581</v>
      </c>
      <c r="D3676">
        <f t="shared" si="230"/>
        <v>85</v>
      </c>
      <c r="E3676">
        <v>5.5</v>
      </c>
      <c r="F3676">
        <f t="shared" si="231"/>
        <v>79.5</v>
      </c>
      <c r="G3676">
        <v>16.683</v>
      </c>
      <c r="H3676">
        <v>0.59799999999999998</v>
      </c>
      <c r="I3676">
        <v>3.59</v>
      </c>
      <c r="J3676">
        <v>4</v>
      </c>
      <c r="K3676">
        <v>11</v>
      </c>
      <c r="L3676">
        <v>17</v>
      </c>
      <c r="M3676">
        <v>1.0880000000000001</v>
      </c>
    </row>
    <row r="3677" spans="1:13" ht="15" customHeight="1">
      <c r="A3677" t="s">
        <v>43</v>
      </c>
      <c r="B3677">
        <f t="shared" si="228"/>
        <v>33.723101</v>
      </c>
      <c r="C3677">
        <f t="shared" si="229"/>
        <v>-117.839581</v>
      </c>
      <c r="D3677">
        <f t="shared" si="230"/>
        <v>85</v>
      </c>
      <c r="E3677">
        <v>6.5</v>
      </c>
      <c r="F3677">
        <f t="shared" si="231"/>
        <v>78.5</v>
      </c>
      <c r="G3677">
        <v>18.466999999999999</v>
      </c>
      <c r="H3677">
        <v>0.69</v>
      </c>
      <c r="I3677">
        <v>3.7330000000000001</v>
      </c>
      <c r="J3677">
        <v>4</v>
      </c>
      <c r="K3677">
        <v>12</v>
      </c>
      <c r="L3677">
        <v>18</v>
      </c>
      <c r="M3677">
        <v>1.206</v>
      </c>
    </row>
    <row r="3678" spans="1:13" ht="15" customHeight="1">
      <c r="A3678" t="s">
        <v>43</v>
      </c>
      <c r="B3678">
        <f t="shared" si="228"/>
        <v>33.723101</v>
      </c>
      <c r="C3678">
        <f t="shared" si="229"/>
        <v>-117.839581</v>
      </c>
      <c r="D3678">
        <f t="shared" si="230"/>
        <v>85</v>
      </c>
      <c r="E3678">
        <v>7.5</v>
      </c>
      <c r="F3678">
        <f t="shared" si="231"/>
        <v>77.5</v>
      </c>
      <c r="G3678">
        <v>31.367000000000001</v>
      </c>
      <c r="H3678">
        <v>1.5229999999999999</v>
      </c>
      <c r="I3678">
        <v>4.8540000000000001</v>
      </c>
      <c r="J3678">
        <v>3</v>
      </c>
      <c r="K3678">
        <v>30</v>
      </c>
      <c r="L3678">
        <v>45</v>
      </c>
      <c r="M3678">
        <v>2.0609999999999999</v>
      </c>
    </row>
    <row r="3679" spans="1:13" ht="15" customHeight="1">
      <c r="A3679" t="s">
        <v>43</v>
      </c>
      <c r="B3679">
        <f t="shared" si="228"/>
        <v>33.723101</v>
      </c>
      <c r="C3679">
        <f t="shared" si="229"/>
        <v>-117.839581</v>
      </c>
      <c r="D3679">
        <f t="shared" si="230"/>
        <v>85</v>
      </c>
      <c r="E3679">
        <v>8.5</v>
      </c>
      <c r="F3679">
        <f t="shared" si="231"/>
        <v>76.5</v>
      </c>
      <c r="G3679">
        <v>22.033000000000001</v>
      </c>
      <c r="H3679">
        <v>1.2050000000000001</v>
      </c>
      <c r="I3679">
        <v>5.4729999999999999</v>
      </c>
      <c r="J3679">
        <v>3</v>
      </c>
      <c r="K3679">
        <v>21</v>
      </c>
      <c r="L3679">
        <v>32</v>
      </c>
      <c r="M3679">
        <v>1.4330000000000001</v>
      </c>
    </row>
    <row r="3680" spans="1:13" ht="15" customHeight="1">
      <c r="A3680" t="s">
        <v>43</v>
      </c>
      <c r="B3680">
        <f t="shared" si="228"/>
        <v>33.723101</v>
      </c>
      <c r="C3680">
        <f t="shared" si="229"/>
        <v>-117.839581</v>
      </c>
      <c r="D3680">
        <f t="shared" si="230"/>
        <v>85</v>
      </c>
      <c r="E3680">
        <v>9.5</v>
      </c>
      <c r="F3680">
        <f t="shared" si="231"/>
        <v>75.5</v>
      </c>
      <c r="G3680">
        <v>12.983000000000001</v>
      </c>
      <c r="H3680">
        <v>0.628</v>
      </c>
      <c r="I3680">
        <v>4.84</v>
      </c>
      <c r="J3680">
        <v>3</v>
      </c>
      <c r="K3680">
        <v>12</v>
      </c>
      <c r="L3680">
        <v>18</v>
      </c>
      <c r="M3680">
        <v>0.82599999999999996</v>
      </c>
    </row>
    <row r="3681" spans="1:13" ht="15" customHeight="1">
      <c r="A3681" t="s">
        <v>43</v>
      </c>
      <c r="B3681">
        <f t="shared" si="228"/>
        <v>33.723101</v>
      </c>
      <c r="C3681">
        <f t="shared" si="229"/>
        <v>-117.839581</v>
      </c>
      <c r="D3681">
        <f t="shared" si="230"/>
        <v>85</v>
      </c>
      <c r="E3681">
        <v>10.5</v>
      </c>
      <c r="F3681">
        <f t="shared" si="231"/>
        <v>74.5</v>
      </c>
      <c r="G3681">
        <v>21.914000000000001</v>
      </c>
      <c r="H3681">
        <v>0.85</v>
      </c>
      <c r="I3681">
        <v>3.8740000000000001</v>
      </c>
      <c r="J3681">
        <v>4</v>
      </c>
      <c r="K3681">
        <v>14</v>
      </c>
      <c r="L3681">
        <v>20</v>
      </c>
      <c r="M3681">
        <v>1.42</v>
      </c>
    </row>
    <row r="3682" spans="1:13" ht="15" customHeight="1">
      <c r="A3682" t="s">
        <v>43</v>
      </c>
      <c r="B3682">
        <f t="shared" si="228"/>
        <v>33.723101</v>
      </c>
      <c r="C3682">
        <f t="shared" si="229"/>
        <v>-117.839581</v>
      </c>
      <c r="D3682">
        <f t="shared" si="230"/>
        <v>85</v>
      </c>
      <c r="E3682">
        <v>11.5</v>
      </c>
      <c r="F3682">
        <f t="shared" si="231"/>
        <v>73.5</v>
      </c>
      <c r="G3682">
        <v>27.4</v>
      </c>
      <c r="H3682">
        <v>0.83499999999999996</v>
      </c>
      <c r="I3682">
        <v>3.0470000000000002</v>
      </c>
      <c r="J3682">
        <v>5</v>
      </c>
      <c r="K3682">
        <v>13</v>
      </c>
      <c r="L3682">
        <v>17</v>
      </c>
      <c r="M3682">
        <v>1.7789999999999999</v>
      </c>
    </row>
    <row r="3683" spans="1:13" ht="15" customHeight="1">
      <c r="A3683" t="s">
        <v>43</v>
      </c>
      <c r="B3683">
        <f t="shared" si="228"/>
        <v>33.723101</v>
      </c>
      <c r="C3683">
        <f t="shared" si="229"/>
        <v>-117.839581</v>
      </c>
      <c r="D3683">
        <f t="shared" si="230"/>
        <v>85</v>
      </c>
      <c r="E3683">
        <v>12.5</v>
      </c>
      <c r="F3683">
        <f t="shared" si="231"/>
        <v>72.5</v>
      </c>
      <c r="G3683">
        <v>16.417000000000002</v>
      </c>
      <c r="H3683">
        <v>0.55700000000000005</v>
      </c>
      <c r="I3683">
        <v>3.3839999999999999</v>
      </c>
      <c r="J3683">
        <v>4</v>
      </c>
      <c r="K3683">
        <v>11</v>
      </c>
      <c r="L3683">
        <v>13</v>
      </c>
      <c r="M3683">
        <v>1.0449999999999999</v>
      </c>
    </row>
    <row r="3684" spans="1:13" ht="15" customHeight="1">
      <c r="A3684" t="s">
        <v>43</v>
      </c>
      <c r="B3684">
        <f t="shared" si="228"/>
        <v>33.723101</v>
      </c>
      <c r="C3684">
        <f t="shared" si="229"/>
        <v>-117.839581</v>
      </c>
      <c r="D3684">
        <f t="shared" si="230"/>
        <v>85</v>
      </c>
      <c r="E3684">
        <v>13.5</v>
      </c>
      <c r="F3684">
        <f t="shared" si="231"/>
        <v>71.5</v>
      </c>
      <c r="G3684">
        <v>43.317</v>
      </c>
      <c r="H3684">
        <v>1.3819999999999999</v>
      </c>
      <c r="I3684">
        <v>3.1960000000000002</v>
      </c>
      <c r="J3684">
        <v>5</v>
      </c>
      <c r="K3684">
        <v>21</v>
      </c>
      <c r="L3684">
        <v>24</v>
      </c>
      <c r="M3684">
        <v>2.827</v>
      </c>
    </row>
    <row r="3685" spans="1:13" ht="15" customHeight="1">
      <c r="A3685" t="s">
        <v>43</v>
      </c>
      <c r="B3685">
        <f t="shared" si="228"/>
        <v>33.723101</v>
      </c>
      <c r="C3685">
        <f t="shared" si="229"/>
        <v>-117.839581</v>
      </c>
      <c r="D3685">
        <f t="shared" si="230"/>
        <v>85</v>
      </c>
      <c r="E3685">
        <v>14.5</v>
      </c>
      <c r="F3685">
        <f t="shared" si="231"/>
        <v>70.5</v>
      </c>
      <c r="G3685">
        <v>18.382999999999999</v>
      </c>
      <c r="H3685">
        <v>0.92200000000000004</v>
      </c>
      <c r="I3685">
        <v>5.0270000000000001</v>
      </c>
      <c r="J3685">
        <v>3</v>
      </c>
      <c r="K3685">
        <v>18</v>
      </c>
      <c r="L3685">
        <v>20</v>
      </c>
      <c r="M3685">
        <v>1.1619999999999999</v>
      </c>
    </row>
    <row r="3686" spans="1:13" ht="15" customHeight="1">
      <c r="A3686" t="s">
        <v>43</v>
      </c>
      <c r="B3686">
        <f t="shared" si="228"/>
        <v>33.723101</v>
      </c>
      <c r="C3686">
        <f t="shared" si="229"/>
        <v>-117.839581</v>
      </c>
      <c r="D3686">
        <f t="shared" si="230"/>
        <v>85</v>
      </c>
      <c r="E3686">
        <v>15.5</v>
      </c>
      <c r="F3686">
        <f t="shared" si="231"/>
        <v>69.5</v>
      </c>
      <c r="G3686">
        <v>9.5</v>
      </c>
      <c r="H3686">
        <v>0.36699999999999999</v>
      </c>
      <c r="I3686">
        <v>3.8730000000000002</v>
      </c>
      <c r="J3686">
        <v>3</v>
      </c>
      <c r="K3686">
        <v>9</v>
      </c>
      <c r="L3686">
        <v>9</v>
      </c>
      <c r="M3686">
        <v>0.56699999999999995</v>
      </c>
    </row>
    <row r="3687" spans="1:13" ht="15" customHeight="1">
      <c r="A3687" t="s">
        <v>43</v>
      </c>
      <c r="B3687">
        <f t="shared" si="228"/>
        <v>33.723101</v>
      </c>
      <c r="C3687">
        <f t="shared" si="229"/>
        <v>-117.839581</v>
      </c>
      <c r="D3687">
        <f t="shared" si="230"/>
        <v>85</v>
      </c>
      <c r="E3687">
        <v>16.5</v>
      </c>
      <c r="F3687">
        <f t="shared" si="231"/>
        <v>68.5</v>
      </c>
      <c r="G3687">
        <v>9.5329999999999995</v>
      </c>
      <c r="H3687">
        <v>0.307</v>
      </c>
      <c r="I3687">
        <v>3.2170000000000001</v>
      </c>
      <c r="J3687">
        <v>4</v>
      </c>
      <c r="K3687">
        <v>6</v>
      </c>
      <c r="L3687">
        <v>6</v>
      </c>
      <c r="M3687">
        <v>0.56799999999999995</v>
      </c>
    </row>
    <row r="3688" spans="1:13" ht="15" customHeight="1">
      <c r="A3688" t="s">
        <v>43</v>
      </c>
      <c r="B3688">
        <f t="shared" si="228"/>
        <v>33.723101</v>
      </c>
      <c r="C3688">
        <f t="shared" si="229"/>
        <v>-117.839581</v>
      </c>
      <c r="D3688">
        <f t="shared" si="230"/>
        <v>85</v>
      </c>
      <c r="E3688">
        <v>17.5</v>
      </c>
      <c r="F3688">
        <f t="shared" si="231"/>
        <v>67.5</v>
      </c>
      <c r="G3688">
        <v>11.882999999999999</v>
      </c>
      <c r="H3688">
        <v>0.42299999999999999</v>
      </c>
      <c r="I3688">
        <v>3.5569999999999999</v>
      </c>
      <c r="J3688">
        <v>4</v>
      </c>
      <c r="K3688">
        <v>8</v>
      </c>
      <c r="L3688">
        <v>8</v>
      </c>
      <c r="M3688">
        <v>0.72099999999999997</v>
      </c>
    </row>
    <row r="3689" spans="1:13" ht="15" customHeight="1">
      <c r="A3689" t="s">
        <v>43</v>
      </c>
      <c r="B3689">
        <f t="shared" si="228"/>
        <v>33.723101</v>
      </c>
      <c r="C3689">
        <f t="shared" si="229"/>
        <v>-117.839581</v>
      </c>
      <c r="D3689">
        <f t="shared" si="230"/>
        <v>85</v>
      </c>
      <c r="E3689">
        <v>18.5</v>
      </c>
      <c r="F3689">
        <f t="shared" si="231"/>
        <v>66.5</v>
      </c>
      <c r="G3689">
        <v>16.183</v>
      </c>
      <c r="H3689">
        <v>0.755</v>
      </c>
      <c r="I3689">
        <v>4.6509999999999998</v>
      </c>
      <c r="J3689">
        <v>3</v>
      </c>
      <c r="K3689">
        <v>16</v>
      </c>
      <c r="L3689">
        <v>14</v>
      </c>
      <c r="M3689">
        <v>1.006</v>
      </c>
    </row>
    <row r="3690" spans="1:13" ht="15" customHeight="1">
      <c r="A3690" t="s">
        <v>43</v>
      </c>
      <c r="B3690">
        <f t="shared" si="228"/>
        <v>33.723101</v>
      </c>
      <c r="C3690">
        <f t="shared" si="229"/>
        <v>-117.839581</v>
      </c>
      <c r="D3690">
        <f t="shared" si="230"/>
        <v>85</v>
      </c>
      <c r="E3690">
        <v>19.5</v>
      </c>
      <c r="F3690">
        <f t="shared" si="231"/>
        <v>65.5</v>
      </c>
      <c r="G3690">
        <v>9.9329999999999998</v>
      </c>
      <c r="H3690">
        <v>0.42699999999999999</v>
      </c>
      <c r="I3690">
        <v>4.26</v>
      </c>
      <c r="J3690">
        <v>3</v>
      </c>
      <c r="K3690">
        <v>10</v>
      </c>
      <c r="L3690">
        <v>9</v>
      </c>
      <c r="M3690">
        <v>0.58799999999999997</v>
      </c>
    </row>
    <row r="3691" spans="1:13" ht="15" customHeight="1">
      <c r="A3691" t="s">
        <v>43</v>
      </c>
      <c r="B3691">
        <f t="shared" si="228"/>
        <v>33.723101</v>
      </c>
      <c r="C3691">
        <f t="shared" si="229"/>
        <v>-117.839581</v>
      </c>
      <c r="D3691">
        <f t="shared" si="230"/>
        <v>85</v>
      </c>
      <c r="E3691">
        <v>20.5</v>
      </c>
      <c r="F3691">
        <f t="shared" si="231"/>
        <v>64.5</v>
      </c>
      <c r="G3691">
        <v>10.529</v>
      </c>
      <c r="H3691">
        <v>0.36899999999999999</v>
      </c>
      <c r="I3691">
        <v>3.4540000000000002</v>
      </c>
      <c r="J3691">
        <v>4</v>
      </c>
      <c r="K3691">
        <v>7</v>
      </c>
      <c r="L3691">
        <v>6</v>
      </c>
      <c r="M3691">
        <v>0.627</v>
      </c>
    </row>
    <row r="3692" spans="1:13" ht="15" customHeight="1">
      <c r="A3692" t="s">
        <v>43</v>
      </c>
      <c r="B3692">
        <f t="shared" si="228"/>
        <v>33.723101</v>
      </c>
      <c r="C3692">
        <f t="shared" si="229"/>
        <v>-117.839581</v>
      </c>
      <c r="D3692">
        <f t="shared" si="230"/>
        <v>85</v>
      </c>
      <c r="E3692">
        <v>21.5</v>
      </c>
      <c r="F3692">
        <f t="shared" si="231"/>
        <v>63.5</v>
      </c>
      <c r="G3692">
        <v>13.266999999999999</v>
      </c>
      <c r="H3692">
        <v>0.47499999999999998</v>
      </c>
      <c r="I3692">
        <v>3.5489999999999999</v>
      </c>
      <c r="J3692">
        <v>4</v>
      </c>
      <c r="K3692">
        <v>9</v>
      </c>
      <c r="L3692">
        <v>7</v>
      </c>
      <c r="M3692">
        <v>0.80400000000000005</v>
      </c>
    </row>
    <row r="3693" spans="1:13" ht="15" customHeight="1">
      <c r="A3693" t="s">
        <v>43</v>
      </c>
      <c r="B3693">
        <f t="shared" si="228"/>
        <v>33.723101</v>
      </c>
      <c r="C3693">
        <f t="shared" si="229"/>
        <v>-117.839581</v>
      </c>
      <c r="D3693">
        <f t="shared" si="230"/>
        <v>85</v>
      </c>
      <c r="E3693">
        <v>22.5</v>
      </c>
      <c r="F3693">
        <f t="shared" si="231"/>
        <v>62.5</v>
      </c>
      <c r="G3693">
        <v>14.183</v>
      </c>
      <c r="H3693">
        <v>0.55300000000000005</v>
      </c>
      <c r="I3693">
        <v>3.8519999999999999</v>
      </c>
      <c r="J3693">
        <v>4</v>
      </c>
      <c r="K3693">
        <v>9</v>
      </c>
      <c r="L3693">
        <v>7</v>
      </c>
      <c r="M3693">
        <v>0.86599999999999999</v>
      </c>
    </row>
    <row r="3694" spans="1:13" ht="15" customHeight="1">
      <c r="A3694" t="s">
        <v>43</v>
      </c>
      <c r="B3694">
        <f t="shared" si="228"/>
        <v>33.723101</v>
      </c>
      <c r="C3694">
        <f t="shared" si="229"/>
        <v>-117.839581</v>
      </c>
      <c r="D3694">
        <f t="shared" si="230"/>
        <v>85</v>
      </c>
      <c r="E3694">
        <v>23.5</v>
      </c>
      <c r="F3694">
        <f t="shared" si="231"/>
        <v>61.5</v>
      </c>
      <c r="G3694">
        <v>14.933</v>
      </c>
      <c r="H3694">
        <v>0.45700000000000002</v>
      </c>
      <c r="I3694">
        <v>3.0179999999999998</v>
      </c>
      <c r="J3694">
        <v>5</v>
      </c>
      <c r="K3694">
        <v>7</v>
      </c>
      <c r="L3694">
        <v>5</v>
      </c>
      <c r="M3694">
        <v>0.91300000000000003</v>
      </c>
    </row>
    <row r="3695" spans="1:13" ht="15" customHeight="1">
      <c r="A3695" t="s">
        <v>43</v>
      </c>
      <c r="B3695">
        <f t="shared" si="228"/>
        <v>33.723101</v>
      </c>
      <c r="C3695">
        <f t="shared" si="229"/>
        <v>-117.839581</v>
      </c>
      <c r="D3695">
        <f t="shared" si="230"/>
        <v>85</v>
      </c>
      <c r="E3695">
        <v>24.5</v>
      </c>
      <c r="F3695">
        <f t="shared" si="231"/>
        <v>60.5</v>
      </c>
      <c r="G3695">
        <v>11.483000000000001</v>
      </c>
      <c r="H3695">
        <v>0.33700000000000002</v>
      </c>
      <c r="I3695">
        <v>2.8860000000000001</v>
      </c>
      <c r="J3695">
        <v>4</v>
      </c>
      <c r="K3695">
        <v>7</v>
      </c>
      <c r="L3695">
        <v>5</v>
      </c>
      <c r="M3695">
        <v>0.67800000000000005</v>
      </c>
    </row>
    <row r="3696" spans="1:13" ht="15" customHeight="1">
      <c r="A3696" t="s">
        <v>43</v>
      </c>
      <c r="B3696">
        <f t="shared" si="228"/>
        <v>33.723101</v>
      </c>
      <c r="C3696">
        <f t="shared" si="229"/>
        <v>-117.839581</v>
      </c>
      <c r="D3696">
        <f t="shared" si="230"/>
        <v>85</v>
      </c>
      <c r="E3696">
        <v>25.5</v>
      </c>
      <c r="F3696">
        <f t="shared" si="231"/>
        <v>59.5</v>
      </c>
      <c r="G3696">
        <v>15</v>
      </c>
      <c r="H3696">
        <v>0.40500000000000003</v>
      </c>
      <c r="I3696">
        <v>2.6589999999999998</v>
      </c>
      <c r="J3696">
        <v>5</v>
      </c>
      <c r="K3696">
        <v>7</v>
      </c>
      <c r="L3696">
        <v>5</v>
      </c>
      <c r="M3696">
        <v>0.91200000000000003</v>
      </c>
    </row>
    <row r="3697" spans="1:13" ht="15" customHeight="1">
      <c r="A3697" t="s">
        <v>43</v>
      </c>
      <c r="B3697">
        <f t="shared" si="228"/>
        <v>33.723101</v>
      </c>
      <c r="C3697">
        <f t="shared" si="229"/>
        <v>-117.839581</v>
      </c>
      <c r="D3697">
        <f t="shared" si="230"/>
        <v>85</v>
      </c>
      <c r="E3697">
        <v>26.5</v>
      </c>
      <c r="F3697">
        <f t="shared" si="231"/>
        <v>58.5</v>
      </c>
      <c r="G3697">
        <v>51.75</v>
      </c>
      <c r="H3697">
        <v>1.375</v>
      </c>
      <c r="I3697">
        <v>2.66</v>
      </c>
      <c r="J3697">
        <v>6</v>
      </c>
      <c r="K3697">
        <v>20</v>
      </c>
      <c r="L3697">
        <v>14</v>
      </c>
      <c r="M3697">
        <v>3.339</v>
      </c>
    </row>
    <row r="3698" spans="1:13" ht="15" customHeight="1">
      <c r="A3698" t="s">
        <v>43</v>
      </c>
      <c r="B3698">
        <f t="shared" si="228"/>
        <v>33.723101</v>
      </c>
      <c r="C3698">
        <f t="shared" si="229"/>
        <v>-117.839581</v>
      </c>
      <c r="D3698">
        <f t="shared" si="230"/>
        <v>85</v>
      </c>
      <c r="E3698">
        <v>27.5</v>
      </c>
      <c r="F3698">
        <f t="shared" si="231"/>
        <v>57.5</v>
      </c>
      <c r="G3698">
        <v>22.332999999999998</v>
      </c>
      <c r="H3698">
        <v>0.91200000000000003</v>
      </c>
      <c r="I3698">
        <v>4.0759999999999996</v>
      </c>
      <c r="J3698">
        <v>4</v>
      </c>
      <c r="K3698">
        <v>14</v>
      </c>
      <c r="L3698">
        <v>10</v>
      </c>
      <c r="M3698">
        <v>1.379</v>
      </c>
    </row>
    <row r="3699" spans="1:13" ht="15" customHeight="1">
      <c r="A3699" t="s">
        <v>43</v>
      </c>
      <c r="B3699">
        <f t="shared" si="228"/>
        <v>33.723101</v>
      </c>
      <c r="C3699">
        <f t="shared" si="229"/>
        <v>-117.839581</v>
      </c>
      <c r="D3699">
        <f t="shared" si="230"/>
        <v>85</v>
      </c>
      <c r="E3699">
        <v>28.5</v>
      </c>
      <c r="F3699">
        <f t="shared" si="231"/>
        <v>56.5</v>
      </c>
      <c r="G3699">
        <v>15.917</v>
      </c>
      <c r="H3699">
        <v>0.42699999999999999</v>
      </c>
      <c r="I3699">
        <v>2.6579999999999999</v>
      </c>
      <c r="J3699">
        <v>5</v>
      </c>
      <c r="K3699">
        <v>8</v>
      </c>
      <c r="L3699">
        <v>5</v>
      </c>
      <c r="M3699">
        <v>0.95399999999999996</v>
      </c>
    </row>
    <row r="3700" spans="1:13" ht="15" customHeight="1">
      <c r="A3700" t="s">
        <v>43</v>
      </c>
      <c r="B3700">
        <f t="shared" si="228"/>
        <v>33.723101</v>
      </c>
      <c r="C3700">
        <f t="shared" si="229"/>
        <v>-117.839581</v>
      </c>
      <c r="D3700">
        <f t="shared" si="230"/>
        <v>85</v>
      </c>
      <c r="E3700">
        <v>29.5</v>
      </c>
      <c r="F3700">
        <f t="shared" si="231"/>
        <v>55.5</v>
      </c>
      <c r="G3700">
        <v>34.549999999999997</v>
      </c>
      <c r="H3700">
        <v>1.19</v>
      </c>
      <c r="I3700">
        <v>3.4340000000000002</v>
      </c>
      <c r="J3700">
        <v>5</v>
      </c>
      <c r="K3700">
        <v>17</v>
      </c>
      <c r="L3700">
        <v>11</v>
      </c>
      <c r="M3700">
        <v>2.19</v>
      </c>
    </row>
    <row r="3701" spans="1:13" ht="15" customHeight="1">
      <c r="A3701" t="s">
        <v>43</v>
      </c>
      <c r="B3701">
        <f t="shared" si="228"/>
        <v>33.723101</v>
      </c>
      <c r="C3701">
        <f t="shared" si="229"/>
        <v>-117.839581</v>
      </c>
      <c r="D3701">
        <f t="shared" si="230"/>
        <v>85</v>
      </c>
      <c r="E3701">
        <v>30.5</v>
      </c>
      <c r="F3701">
        <f t="shared" si="231"/>
        <v>54.5</v>
      </c>
      <c r="G3701">
        <v>13.85</v>
      </c>
      <c r="H3701">
        <v>0.49</v>
      </c>
      <c r="I3701">
        <v>3.5419999999999998</v>
      </c>
      <c r="J3701">
        <v>4</v>
      </c>
      <c r="K3701">
        <v>9</v>
      </c>
      <c r="L3701">
        <v>6</v>
      </c>
      <c r="M3701">
        <v>0.79800000000000004</v>
      </c>
    </row>
    <row r="3702" spans="1:13" ht="15" customHeight="1">
      <c r="A3702" t="s">
        <v>43</v>
      </c>
      <c r="B3702">
        <f t="shared" si="228"/>
        <v>33.723101</v>
      </c>
      <c r="C3702">
        <f t="shared" si="229"/>
        <v>-117.839581</v>
      </c>
      <c r="D3702">
        <f t="shared" si="230"/>
        <v>85</v>
      </c>
      <c r="E3702">
        <v>31.5</v>
      </c>
      <c r="F3702">
        <f t="shared" si="231"/>
        <v>53.5</v>
      </c>
      <c r="G3702">
        <v>10.071</v>
      </c>
      <c r="H3702">
        <v>0.19</v>
      </c>
      <c r="I3702">
        <v>1.879</v>
      </c>
      <c r="J3702">
        <v>5</v>
      </c>
      <c r="K3702">
        <v>5</v>
      </c>
      <c r="L3702">
        <v>3</v>
      </c>
      <c r="M3702">
        <v>0.54600000000000004</v>
      </c>
    </row>
    <row r="3703" spans="1:13" ht="15" customHeight="1">
      <c r="A3703" t="s">
        <v>43</v>
      </c>
      <c r="B3703">
        <f t="shared" si="228"/>
        <v>33.723101</v>
      </c>
      <c r="C3703">
        <f t="shared" si="229"/>
        <v>-117.839581</v>
      </c>
      <c r="D3703">
        <f t="shared" si="230"/>
        <v>85</v>
      </c>
      <c r="E3703">
        <v>32.5</v>
      </c>
      <c r="F3703">
        <f t="shared" si="231"/>
        <v>52.5</v>
      </c>
      <c r="G3703">
        <v>13.132999999999999</v>
      </c>
      <c r="H3703">
        <v>0.315</v>
      </c>
      <c r="I3703">
        <v>2.38</v>
      </c>
      <c r="J3703">
        <v>5</v>
      </c>
      <c r="K3703">
        <v>6</v>
      </c>
      <c r="L3703">
        <v>4</v>
      </c>
      <c r="M3703">
        <v>0.75</v>
      </c>
    </row>
    <row r="3704" spans="1:13" ht="15" customHeight="1">
      <c r="A3704" t="s">
        <v>43</v>
      </c>
      <c r="B3704">
        <f t="shared" si="228"/>
        <v>33.723101</v>
      </c>
      <c r="C3704">
        <f t="shared" si="229"/>
        <v>-117.839581</v>
      </c>
      <c r="D3704">
        <f t="shared" si="230"/>
        <v>85</v>
      </c>
      <c r="E3704">
        <v>33.5</v>
      </c>
      <c r="F3704">
        <f t="shared" si="231"/>
        <v>51.5</v>
      </c>
      <c r="G3704">
        <v>25</v>
      </c>
      <c r="H3704">
        <v>0.91500000000000004</v>
      </c>
      <c r="I3704">
        <v>3.677</v>
      </c>
      <c r="J3704">
        <v>4</v>
      </c>
      <c r="K3704">
        <v>16</v>
      </c>
      <c r="L3704">
        <v>10</v>
      </c>
      <c r="M3704">
        <v>1.522</v>
      </c>
    </row>
    <row r="3705" spans="1:13" ht="15" customHeight="1">
      <c r="A3705" t="s">
        <v>43</v>
      </c>
      <c r="B3705">
        <f t="shared" si="228"/>
        <v>33.723101</v>
      </c>
      <c r="C3705">
        <f t="shared" si="229"/>
        <v>-117.839581</v>
      </c>
      <c r="D3705">
        <f t="shared" si="230"/>
        <v>85</v>
      </c>
      <c r="E3705">
        <v>34.5</v>
      </c>
      <c r="F3705">
        <f t="shared" si="231"/>
        <v>50.5</v>
      </c>
      <c r="G3705">
        <v>13.817</v>
      </c>
      <c r="H3705">
        <v>0.23799999999999999</v>
      </c>
      <c r="I3705">
        <v>1.74</v>
      </c>
      <c r="J3705">
        <v>5</v>
      </c>
      <c r="K3705">
        <v>7</v>
      </c>
      <c r="L3705">
        <v>4</v>
      </c>
      <c r="M3705">
        <v>0.77300000000000002</v>
      </c>
    </row>
    <row r="3706" spans="1:13" ht="15" customHeight="1">
      <c r="A3706" t="s">
        <v>43</v>
      </c>
      <c r="B3706">
        <f t="shared" si="228"/>
        <v>33.723101</v>
      </c>
      <c r="C3706">
        <f t="shared" si="229"/>
        <v>-117.839581</v>
      </c>
      <c r="D3706">
        <f t="shared" si="230"/>
        <v>85</v>
      </c>
      <c r="E3706">
        <v>35.5</v>
      </c>
      <c r="F3706">
        <f t="shared" si="231"/>
        <v>49.5</v>
      </c>
      <c r="G3706">
        <v>13.516999999999999</v>
      </c>
      <c r="H3706">
        <v>0.47499999999999998</v>
      </c>
      <c r="I3706">
        <v>3.5449999999999999</v>
      </c>
      <c r="J3706">
        <v>4</v>
      </c>
      <c r="K3706">
        <v>9</v>
      </c>
      <c r="L3706">
        <v>6</v>
      </c>
      <c r="M3706">
        <v>0.749</v>
      </c>
    </row>
    <row r="3707" spans="1:13" ht="15" customHeight="1">
      <c r="A3707" t="s">
        <v>43</v>
      </c>
      <c r="B3707">
        <f t="shared" si="228"/>
        <v>33.723101</v>
      </c>
      <c r="C3707">
        <f t="shared" si="229"/>
        <v>-117.839581</v>
      </c>
      <c r="D3707">
        <f t="shared" si="230"/>
        <v>85</v>
      </c>
      <c r="E3707">
        <v>36.5</v>
      </c>
      <c r="F3707">
        <f t="shared" si="231"/>
        <v>48.5</v>
      </c>
      <c r="G3707">
        <v>12.817</v>
      </c>
      <c r="H3707">
        <v>0.37</v>
      </c>
      <c r="I3707">
        <v>2.91</v>
      </c>
      <c r="J3707">
        <v>4</v>
      </c>
      <c r="K3707">
        <v>8</v>
      </c>
      <c r="L3707">
        <v>5</v>
      </c>
      <c r="M3707">
        <v>0.69899999999999995</v>
      </c>
    </row>
    <row r="3708" spans="1:13" ht="15" customHeight="1">
      <c r="A3708" t="s">
        <v>43</v>
      </c>
      <c r="B3708">
        <f t="shared" si="228"/>
        <v>33.723101</v>
      </c>
      <c r="C3708">
        <f t="shared" si="229"/>
        <v>-117.839581</v>
      </c>
      <c r="D3708">
        <f t="shared" si="230"/>
        <v>85</v>
      </c>
      <c r="E3708">
        <v>37.5</v>
      </c>
      <c r="F3708">
        <f t="shared" si="231"/>
        <v>47.5</v>
      </c>
      <c r="G3708">
        <v>14.483000000000001</v>
      </c>
      <c r="H3708">
        <v>0.435</v>
      </c>
      <c r="I3708">
        <v>3.0209999999999999</v>
      </c>
      <c r="J3708">
        <v>5</v>
      </c>
      <c r="K3708">
        <v>7</v>
      </c>
      <c r="L3708">
        <v>4</v>
      </c>
      <c r="M3708">
        <v>0.80700000000000005</v>
      </c>
    </row>
    <row r="3709" spans="1:13" ht="15" customHeight="1">
      <c r="A3709" t="s">
        <v>43</v>
      </c>
      <c r="B3709">
        <f t="shared" si="228"/>
        <v>33.723101</v>
      </c>
      <c r="C3709">
        <f t="shared" si="229"/>
        <v>-117.839581</v>
      </c>
      <c r="D3709">
        <f t="shared" si="230"/>
        <v>85</v>
      </c>
      <c r="E3709">
        <v>38.5</v>
      </c>
      <c r="F3709">
        <f t="shared" si="231"/>
        <v>46.5</v>
      </c>
      <c r="G3709">
        <v>13.5</v>
      </c>
      <c r="H3709">
        <v>0.32800000000000001</v>
      </c>
      <c r="I3709">
        <v>2.4470000000000001</v>
      </c>
      <c r="J3709">
        <v>5</v>
      </c>
      <c r="K3709">
        <v>6</v>
      </c>
      <c r="L3709">
        <v>4</v>
      </c>
      <c r="M3709">
        <v>0.73799999999999999</v>
      </c>
    </row>
    <row r="3710" spans="1:13" ht="15" customHeight="1">
      <c r="A3710" t="s">
        <v>43</v>
      </c>
      <c r="B3710">
        <f t="shared" si="228"/>
        <v>33.723101</v>
      </c>
      <c r="C3710">
        <f t="shared" si="229"/>
        <v>-117.839581</v>
      </c>
      <c r="D3710">
        <f t="shared" si="230"/>
        <v>85</v>
      </c>
      <c r="E3710">
        <v>39.5</v>
      </c>
      <c r="F3710">
        <f t="shared" si="231"/>
        <v>45.5</v>
      </c>
      <c r="G3710">
        <v>22.332999999999998</v>
      </c>
      <c r="H3710">
        <v>0.627</v>
      </c>
      <c r="I3710">
        <v>2.81</v>
      </c>
      <c r="J3710">
        <v>5</v>
      </c>
      <c r="K3710">
        <v>11</v>
      </c>
      <c r="L3710">
        <v>7</v>
      </c>
      <c r="M3710">
        <v>1.3260000000000001</v>
      </c>
    </row>
    <row r="3711" spans="1:13" ht="15" customHeight="1">
      <c r="A3711" t="s">
        <v>43</v>
      </c>
      <c r="B3711">
        <f t="shared" si="228"/>
        <v>33.723101</v>
      </c>
      <c r="C3711">
        <f t="shared" si="229"/>
        <v>-117.839581</v>
      </c>
      <c r="D3711">
        <f t="shared" si="230"/>
        <v>85</v>
      </c>
      <c r="E3711">
        <v>40.5</v>
      </c>
      <c r="F3711">
        <f t="shared" si="231"/>
        <v>44.5</v>
      </c>
      <c r="G3711">
        <v>37.85</v>
      </c>
      <c r="H3711">
        <v>1.34</v>
      </c>
      <c r="I3711">
        <v>3.5430000000000001</v>
      </c>
      <c r="J3711">
        <v>5</v>
      </c>
      <c r="K3711">
        <v>18</v>
      </c>
      <c r="L3711">
        <v>11</v>
      </c>
      <c r="M3711">
        <v>2.3559999999999999</v>
      </c>
    </row>
    <row r="3712" spans="1:13" ht="15" customHeight="1">
      <c r="A3712" t="s">
        <v>43</v>
      </c>
      <c r="B3712">
        <f t="shared" si="228"/>
        <v>33.723101</v>
      </c>
      <c r="C3712">
        <f t="shared" si="229"/>
        <v>-117.839581</v>
      </c>
      <c r="D3712">
        <f t="shared" si="230"/>
        <v>85</v>
      </c>
      <c r="E3712">
        <v>41.499000000000002</v>
      </c>
      <c r="F3712">
        <f t="shared" si="231"/>
        <v>43.500999999999998</v>
      </c>
      <c r="G3712">
        <v>29.370999999999999</v>
      </c>
      <c r="H3712">
        <v>1.1160000000000001</v>
      </c>
      <c r="I3712">
        <v>3.8119999999999998</v>
      </c>
      <c r="J3712">
        <v>4</v>
      </c>
      <c r="K3712">
        <v>19</v>
      </c>
      <c r="L3712">
        <v>11</v>
      </c>
      <c r="M3712">
        <v>1.782</v>
      </c>
    </row>
    <row r="3713" spans="1:13" ht="15" customHeight="1">
      <c r="A3713" t="s">
        <v>43</v>
      </c>
      <c r="B3713">
        <f t="shared" si="228"/>
        <v>33.723101</v>
      </c>
      <c r="C3713">
        <f t="shared" si="229"/>
        <v>-117.839581</v>
      </c>
      <c r="D3713">
        <f t="shared" si="230"/>
        <v>85</v>
      </c>
      <c r="E3713">
        <v>42.499000000000002</v>
      </c>
      <c r="F3713">
        <f t="shared" si="231"/>
        <v>42.500999999999998</v>
      </c>
      <c r="G3713">
        <v>31.966999999999999</v>
      </c>
      <c r="H3713">
        <v>1.077</v>
      </c>
      <c r="I3713">
        <v>3.379</v>
      </c>
      <c r="J3713">
        <v>5</v>
      </c>
      <c r="K3713">
        <v>15</v>
      </c>
      <c r="L3713">
        <v>9</v>
      </c>
      <c r="M3713">
        <v>1.9510000000000001</v>
      </c>
    </row>
    <row r="3714" spans="1:13" ht="15" customHeight="1">
      <c r="A3714" t="s">
        <v>43</v>
      </c>
      <c r="B3714">
        <f t="shared" ref="B3714:B3777" si="232">VLOOKUP(A3714,XYdata,3,FALSE)</f>
        <v>33.723101</v>
      </c>
      <c r="C3714">
        <f t="shared" ref="C3714:C3777" si="233">VLOOKUP(A3714,XYdata,2,FALSE)</f>
        <v>-117.839581</v>
      </c>
      <c r="D3714">
        <f t="shared" ref="D3714:D3777" si="234">VLOOKUP(A3714,Elevation,2,FALSE)</f>
        <v>85</v>
      </c>
      <c r="E3714">
        <v>43.499000000000002</v>
      </c>
      <c r="F3714">
        <f t="shared" si="231"/>
        <v>41.500999999999998</v>
      </c>
      <c r="G3714">
        <v>35.65</v>
      </c>
      <c r="H3714">
        <v>1.395</v>
      </c>
      <c r="I3714">
        <v>3.9239999999999999</v>
      </c>
      <c r="J3714">
        <v>5</v>
      </c>
      <c r="K3714">
        <v>17</v>
      </c>
      <c r="L3714">
        <v>10</v>
      </c>
      <c r="M3714">
        <v>2.1930000000000001</v>
      </c>
    </row>
    <row r="3715" spans="1:13" ht="15" customHeight="1">
      <c r="A3715" t="s">
        <v>43</v>
      </c>
      <c r="B3715">
        <f t="shared" si="232"/>
        <v>33.723101</v>
      </c>
      <c r="C3715">
        <f t="shared" si="233"/>
        <v>-117.839581</v>
      </c>
      <c r="D3715">
        <f t="shared" si="234"/>
        <v>85</v>
      </c>
      <c r="E3715">
        <v>44.499000000000002</v>
      </c>
      <c r="F3715">
        <f t="shared" ref="F3715:F3778" si="235">D3715-E3715</f>
        <v>40.500999999999998</v>
      </c>
      <c r="G3715">
        <v>38.716999999999999</v>
      </c>
      <c r="H3715">
        <v>1.3779999999999999</v>
      </c>
      <c r="I3715">
        <v>3.5680000000000001</v>
      </c>
      <c r="J3715">
        <v>5</v>
      </c>
      <c r="K3715">
        <v>19</v>
      </c>
      <c r="L3715">
        <v>11</v>
      </c>
      <c r="M3715">
        <v>2.3940000000000001</v>
      </c>
    </row>
    <row r="3716" spans="1:13" ht="15" customHeight="1">
      <c r="A3716" t="s">
        <v>43</v>
      </c>
      <c r="B3716">
        <f t="shared" si="232"/>
        <v>33.723101</v>
      </c>
      <c r="C3716">
        <f t="shared" si="233"/>
        <v>-117.839581</v>
      </c>
      <c r="D3716">
        <f t="shared" si="234"/>
        <v>85</v>
      </c>
      <c r="E3716">
        <v>45.499000000000002</v>
      </c>
      <c r="F3716">
        <f t="shared" si="235"/>
        <v>39.500999999999998</v>
      </c>
      <c r="G3716">
        <v>34.65</v>
      </c>
      <c r="H3716">
        <v>1.4279999999999999</v>
      </c>
      <c r="I3716">
        <v>4.1319999999999997</v>
      </c>
      <c r="J3716">
        <v>4</v>
      </c>
      <c r="K3716">
        <v>22</v>
      </c>
      <c r="L3716">
        <v>12</v>
      </c>
      <c r="M3716">
        <v>2.1190000000000002</v>
      </c>
    </row>
    <row r="3717" spans="1:13" ht="15" customHeight="1">
      <c r="A3717" t="s">
        <v>43</v>
      </c>
      <c r="B3717">
        <f t="shared" si="232"/>
        <v>33.723101</v>
      </c>
      <c r="C3717">
        <f t="shared" si="233"/>
        <v>-117.839581</v>
      </c>
      <c r="D3717">
        <f t="shared" si="234"/>
        <v>85</v>
      </c>
      <c r="E3717">
        <v>46.499000000000002</v>
      </c>
      <c r="F3717">
        <f t="shared" si="235"/>
        <v>38.500999999999998</v>
      </c>
      <c r="G3717">
        <v>51.716999999999999</v>
      </c>
      <c r="H3717">
        <v>1.9350000000000001</v>
      </c>
      <c r="I3717">
        <v>3.7490000000000001</v>
      </c>
      <c r="J3717">
        <v>5</v>
      </c>
      <c r="K3717">
        <v>25</v>
      </c>
      <c r="L3717">
        <v>14</v>
      </c>
      <c r="M3717">
        <v>3.2509999999999999</v>
      </c>
    </row>
    <row r="3718" spans="1:13" ht="15" customHeight="1">
      <c r="A3718" t="s">
        <v>43</v>
      </c>
      <c r="B3718">
        <f t="shared" si="232"/>
        <v>33.723101</v>
      </c>
      <c r="C3718">
        <f t="shared" si="233"/>
        <v>-117.839581</v>
      </c>
      <c r="D3718">
        <f t="shared" si="234"/>
        <v>85</v>
      </c>
      <c r="E3718">
        <v>47.499000000000002</v>
      </c>
      <c r="F3718">
        <f t="shared" si="235"/>
        <v>37.500999999999998</v>
      </c>
      <c r="G3718">
        <v>63.167000000000002</v>
      </c>
      <c r="H3718">
        <v>3.0920000000000001</v>
      </c>
      <c r="I3718">
        <v>4.9059999999999997</v>
      </c>
      <c r="J3718">
        <v>4</v>
      </c>
      <c r="K3718">
        <v>40</v>
      </c>
      <c r="L3718">
        <v>22</v>
      </c>
      <c r="M3718">
        <v>4.0069999999999997</v>
      </c>
    </row>
    <row r="3719" spans="1:13" ht="15" customHeight="1">
      <c r="A3719" t="s">
        <v>43</v>
      </c>
      <c r="B3719">
        <f t="shared" si="232"/>
        <v>33.723101</v>
      </c>
      <c r="C3719">
        <f t="shared" si="233"/>
        <v>-117.839581</v>
      </c>
      <c r="D3719">
        <f t="shared" si="234"/>
        <v>85</v>
      </c>
      <c r="E3719">
        <v>48.499000000000002</v>
      </c>
      <c r="F3719">
        <f t="shared" si="235"/>
        <v>36.500999999999998</v>
      </c>
      <c r="G3719">
        <v>47.232999999999997</v>
      </c>
      <c r="H3719">
        <v>2.617</v>
      </c>
      <c r="I3719">
        <v>5.5579999999999998</v>
      </c>
      <c r="J3719">
        <v>3</v>
      </c>
      <c r="K3719">
        <v>45</v>
      </c>
      <c r="L3719">
        <v>24</v>
      </c>
      <c r="M3719">
        <v>2.9409999999999998</v>
      </c>
    </row>
    <row r="3720" spans="1:13" ht="15" customHeight="1">
      <c r="A3720" t="s">
        <v>43</v>
      </c>
      <c r="B3720">
        <f t="shared" si="232"/>
        <v>33.723101</v>
      </c>
      <c r="C3720">
        <f t="shared" si="233"/>
        <v>-117.839581</v>
      </c>
      <c r="D3720">
        <f t="shared" si="234"/>
        <v>85</v>
      </c>
      <c r="E3720">
        <v>49.499000000000002</v>
      </c>
      <c r="F3720">
        <f t="shared" si="235"/>
        <v>35.500999999999998</v>
      </c>
      <c r="G3720">
        <v>54.383000000000003</v>
      </c>
      <c r="H3720">
        <v>1.9750000000000001</v>
      </c>
      <c r="I3720">
        <v>3.6419999999999999</v>
      </c>
      <c r="J3720">
        <v>5</v>
      </c>
      <c r="K3720">
        <v>26</v>
      </c>
      <c r="L3720">
        <v>14</v>
      </c>
      <c r="M3720">
        <v>3.4129999999999998</v>
      </c>
    </row>
    <row r="3721" spans="1:13" ht="15" customHeight="1">
      <c r="A3721" t="s">
        <v>43</v>
      </c>
      <c r="B3721">
        <f t="shared" si="232"/>
        <v>33.723101</v>
      </c>
      <c r="C3721">
        <f t="shared" si="233"/>
        <v>-117.839581</v>
      </c>
      <c r="D3721">
        <f t="shared" si="234"/>
        <v>85</v>
      </c>
      <c r="E3721">
        <v>50.499000000000002</v>
      </c>
      <c r="F3721">
        <f t="shared" si="235"/>
        <v>34.500999999999998</v>
      </c>
      <c r="G3721">
        <v>36.35</v>
      </c>
      <c r="H3721">
        <v>1.9630000000000001</v>
      </c>
      <c r="I3721">
        <v>5.4290000000000003</v>
      </c>
      <c r="J3721">
        <v>3</v>
      </c>
      <c r="K3721">
        <v>35</v>
      </c>
      <c r="L3721">
        <v>18</v>
      </c>
      <c r="M3721">
        <v>2.2040000000000002</v>
      </c>
    </row>
    <row r="3722" spans="1:13" ht="15" customHeight="1">
      <c r="A3722" t="s">
        <v>43</v>
      </c>
      <c r="B3722">
        <f t="shared" si="232"/>
        <v>33.723101</v>
      </c>
      <c r="C3722">
        <f t="shared" si="233"/>
        <v>-117.839581</v>
      </c>
      <c r="D3722">
        <f t="shared" si="234"/>
        <v>85</v>
      </c>
      <c r="E3722">
        <v>51.499000000000002</v>
      </c>
      <c r="F3722">
        <f t="shared" si="235"/>
        <v>33.500999999999998</v>
      </c>
      <c r="G3722">
        <v>24.367000000000001</v>
      </c>
      <c r="H3722">
        <v>1.04</v>
      </c>
      <c r="I3722">
        <v>4.2919999999999998</v>
      </c>
      <c r="J3722">
        <v>4</v>
      </c>
      <c r="K3722">
        <v>15</v>
      </c>
      <c r="L3722">
        <v>8</v>
      </c>
      <c r="M3722">
        <v>1.405</v>
      </c>
    </row>
    <row r="3723" spans="1:13" ht="15" customHeight="1">
      <c r="A3723" t="s">
        <v>43</v>
      </c>
      <c r="B3723">
        <f t="shared" si="232"/>
        <v>33.723101</v>
      </c>
      <c r="C3723">
        <f t="shared" si="233"/>
        <v>-117.839581</v>
      </c>
      <c r="D3723">
        <f t="shared" si="234"/>
        <v>85</v>
      </c>
      <c r="E3723">
        <v>52.499000000000002</v>
      </c>
      <c r="F3723">
        <f t="shared" si="235"/>
        <v>32.500999999999998</v>
      </c>
      <c r="G3723">
        <v>23.3</v>
      </c>
      <c r="H3723">
        <v>1.113</v>
      </c>
      <c r="I3723">
        <v>4.8090000000000002</v>
      </c>
      <c r="J3723">
        <v>3</v>
      </c>
      <c r="K3723">
        <v>22</v>
      </c>
      <c r="L3723">
        <v>11</v>
      </c>
      <c r="M3723">
        <v>1.3280000000000001</v>
      </c>
    </row>
    <row r="3724" spans="1:13" ht="15" customHeight="1">
      <c r="A3724" t="s">
        <v>43</v>
      </c>
      <c r="B3724">
        <f t="shared" si="232"/>
        <v>33.723101</v>
      </c>
      <c r="C3724">
        <f t="shared" si="233"/>
        <v>-117.839581</v>
      </c>
      <c r="D3724">
        <f t="shared" si="234"/>
        <v>85</v>
      </c>
      <c r="E3724">
        <v>53.499000000000002</v>
      </c>
      <c r="F3724">
        <f t="shared" si="235"/>
        <v>31.500999999999998</v>
      </c>
      <c r="G3724">
        <v>52.466999999999999</v>
      </c>
      <c r="H3724">
        <v>2.1680000000000001</v>
      </c>
      <c r="I3724">
        <v>4.1449999999999996</v>
      </c>
      <c r="J3724">
        <v>5</v>
      </c>
      <c r="K3724">
        <v>25</v>
      </c>
      <c r="L3724">
        <v>13</v>
      </c>
      <c r="M3724">
        <v>3.2690000000000001</v>
      </c>
    </row>
    <row r="3725" spans="1:13" ht="15" customHeight="1">
      <c r="A3725" t="s">
        <v>43</v>
      </c>
      <c r="B3725">
        <f t="shared" si="232"/>
        <v>33.723101</v>
      </c>
      <c r="C3725">
        <f t="shared" si="233"/>
        <v>-117.839581</v>
      </c>
      <c r="D3725">
        <f t="shared" si="234"/>
        <v>85</v>
      </c>
      <c r="E3725">
        <v>54.499000000000002</v>
      </c>
      <c r="F3725">
        <f t="shared" si="235"/>
        <v>30.500999999999998</v>
      </c>
      <c r="G3725">
        <v>23.382999999999999</v>
      </c>
      <c r="H3725">
        <v>1.157</v>
      </c>
      <c r="I3725">
        <v>4.9710000000000001</v>
      </c>
      <c r="J3725">
        <v>3</v>
      </c>
      <c r="K3725">
        <v>22</v>
      </c>
      <c r="L3725">
        <v>11</v>
      </c>
      <c r="M3725">
        <v>1.3280000000000001</v>
      </c>
    </row>
    <row r="3726" spans="1:13" ht="15" customHeight="1">
      <c r="A3726" t="s">
        <v>43</v>
      </c>
      <c r="B3726">
        <f t="shared" si="232"/>
        <v>33.723101</v>
      </c>
      <c r="C3726">
        <f t="shared" si="233"/>
        <v>-117.839581</v>
      </c>
      <c r="D3726">
        <f t="shared" si="234"/>
        <v>85</v>
      </c>
      <c r="E3726">
        <v>55.499000000000002</v>
      </c>
      <c r="F3726">
        <f t="shared" si="235"/>
        <v>29.500999999999998</v>
      </c>
      <c r="G3726">
        <v>24.283000000000001</v>
      </c>
      <c r="H3726">
        <v>1.173</v>
      </c>
      <c r="I3726">
        <v>4.859</v>
      </c>
      <c r="J3726">
        <v>3</v>
      </c>
      <c r="K3726">
        <v>23</v>
      </c>
      <c r="L3726">
        <v>12</v>
      </c>
      <c r="M3726">
        <v>1.3819999999999999</v>
      </c>
    </row>
    <row r="3727" spans="1:13" ht="15" customHeight="1">
      <c r="A3727" t="s">
        <v>43</v>
      </c>
      <c r="B3727">
        <f t="shared" si="232"/>
        <v>33.723101</v>
      </c>
      <c r="C3727">
        <f t="shared" si="233"/>
        <v>-117.839581</v>
      </c>
      <c r="D3727">
        <f t="shared" si="234"/>
        <v>85</v>
      </c>
      <c r="E3727">
        <v>56.499000000000002</v>
      </c>
      <c r="F3727">
        <f t="shared" si="235"/>
        <v>28.500999999999998</v>
      </c>
      <c r="G3727">
        <v>29.832999999999998</v>
      </c>
      <c r="H3727">
        <v>1.363</v>
      </c>
      <c r="I3727">
        <v>4.593</v>
      </c>
      <c r="J3727">
        <v>3</v>
      </c>
      <c r="K3727">
        <v>28</v>
      </c>
      <c r="L3727">
        <v>14</v>
      </c>
      <c r="M3727">
        <v>1.7470000000000001</v>
      </c>
    </row>
    <row r="3728" spans="1:13" ht="15" customHeight="1">
      <c r="A3728" t="s">
        <v>43</v>
      </c>
      <c r="B3728">
        <f t="shared" si="232"/>
        <v>33.723101</v>
      </c>
      <c r="C3728">
        <f t="shared" si="233"/>
        <v>-117.839581</v>
      </c>
      <c r="D3728">
        <f t="shared" si="234"/>
        <v>85</v>
      </c>
      <c r="E3728">
        <v>57.499000000000002</v>
      </c>
      <c r="F3728">
        <f t="shared" si="235"/>
        <v>27.500999999999998</v>
      </c>
      <c r="G3728">
        <v>27.85</v>
      </c>
      <c r="H3728">
        <v>1.218</v>
      </c>
      <c r="I3728">
        <v>4.3929999999999998</v>
      </c>
      <c r="J3728">
        <v>4</v>
      </c>
      <c r="K3728">
        <v>18</v>
      </c>
      <c r="L3728">
        <v>9</v>
      </c>
      <c r="M3728">
        <v>1.613</v>
      </c>
    </row>
    <row r="3729" spans="1:13" ht="15" customHeight="1">
      <c r="A3729" t="s">
        <v>43</v>
      </c>
      <c r="B3729">
        <f t="shared" si="232"/>
        <v>33.723101</v>
      </c>
      <c r="C3729">
        <f t="shared" si="233"/>
        <v>-117.839581</v>
      </c>
      <c r="D3729">
        <f t="shared" si="234"/>
        <v>85</v>
      </c>
      <c r="E3729">
        <v>58.499000000000002</v>
      </c>
      <c r="F3729">
        <f t="shared" si="235"/>
        <v>26.500999999999998</v>
      </c>
      <c r="G3729">
        <v>25.85</v>
      </c>
      <c r="H3729">
        <v>0.96799999999999997</v>
      </c>
      <c r="I3729">
        <v>3.7629999999999999</v>
      </c>
      <c r="J3729">
        <v>4</v>
      </c>
      <c r="K3729">
        <v>16</v>
      </c>
      <c r="L3729">
        <v>8</v>
      </c>
      <c r="M3729">
        <v>1.476</v>
      </c>
    </row>
    <row r="3730" spans="1:13" ht="15" customHeight="1">
      <c r="A3730" t="s">
        <v>43</v>
      </c>
      <c r="B3730">
        <f t="shared" si="232"/>
        <v>33.723101</v>
      </c>
      <c r="C3730">
        <f t="shared" si="233"/>
        <v>-117.839581</v>
      </c>
      <c r="D3730">
        <f t="shared" si="234"/>
        <v>85</v>
      </c>
      <c r="E3730">
        <v>59.499000000000002</v>
      </c>
      <c r="F3730">
        <f t="shared" si="235"/>
        <v>25.500999999999998</v>
      </c>
      <c r="G3730">
        <v>31.917000000000002</v>
      </c>
      <c r="H3730">
        <v>1.2170000000000001</v>
      </c>
      <c r="I3730">
        <v>3.8279999999999998</v>
      </c>
      <c r="J3730">
        <v>5</v>
      </c>
      <c r="K3730">
        <v>15</v>
      </c>
      <c r="L3730">
        <v>8</v>
      </c>
      <c r="M3730">
        <v>1.875</v>
      </c>
    </row>
    <row r="3731" spans="1:13" ht="15" customHeight="1">
      <c r="A3731" t="s">
        <v>43</v>
      </c>
      <c r="B3731">
        <f t="shared" si="232"/>
        <v>33.723101</v>
      </c>
      <c r="C3731">
        <f t="shared" si="233"/>
        <v>-117.839581</v>
      </c>
      <c r="D3731">
        <f t="shared" si="234"/>
        <v>85</v>
      </c>
      <c r="E3731">
        <v>60.499000000000002</v>
      </c>
      <c r="F3731">
        <f t="shared" si="235"/>
        <v>24.500999999999998</v>
      </c>
      <c r="G3731">
        <v>31.966999999999999</v>
      </c>
      <c r="H3731">
        <v>1.417</v>
      </c>
      <c r="I3731">
        <v>4.4480000000000004</v>
      </c>
      <c r="J3731">
        <v>4</v>
      </c>
      <c r="K3731">
        <v>20</v>
      </c>
      <c r="L3731">
        <v>10</v>
      </c>
      <c r="M3731">
        <v>1.875</v>
      </c>
    </row>
    <row r="3732" spans="1:13" ht="15" customHeight="1">
      <c r="A3732" t="s">
        <v>43</v>
      </c>
      <c r="B3732">
        <f t="shared" si="232"/>
        <v>33.723101</v>
      </c>
      <c r="C3732">
        <f t="shared" si="233"/>
        <v>-117.839581</v>
      </c>
      <c r="D3732">
        <f t="shared" si="234"/>
        <v>85</v>
      </c>
      <c r="E3732">
        <v>61.499000000000002</v>
      </c>
      <c r="F3732">
        <f t="shared" si="235"/>
        <v>23.500999999999998</v>
      </c>
      <c r="G3732">
        <v>26.233000000000001</v>
      </c>
      <c r="H3732">
        <v>1.1220000000000001</v>
      </c>
      <c r="I3732">
        <v>4.2949999999999999</v>
      </c>
      <c r="J3732">
        <v>4</v>
      </c>
      <c r="K3732">
        <v>17</v>
      </c>
      <c r="L3732">
        <v>9</v>
      </c>
      <c r="M3732">
        <v>1.4890000000000001</v>
      </c>
    </row>
    <row r="3733" spans="1:13" ht="15" customHeight="1">
      <c r="A3733" t="s">
        <v>43</v>
      </c>
      <c r="B3733">
        <f t="shared" si="232"/>
        <v>33.723101</v>
      </c>
      <c r="C3733">
        <f t="shared" si="233"/>
        <v>-117.839581</v>
      </c>
      <c r="D3733">
        <f t="shared" si="234"/>
        <v>85</v>
      </c>
      <c r="E3733">
        <v>62.499000000000002</v>
      </c>
      <c r="F3733">
        <f t="shared" si="235"/>
        <v>22.500999999999998</v>
      </c>
      <c r="G3733">
        <v>36.200000000000003</v>
      </c>
      <c r="H3733">
        <v>1.859</v>
      </c>
      <c r="I3733">
        <v>5.1479999999999997</v>
      </c>
      <c r="J3733">
        <v>3</v>
      </c>
      <c r="K3733">
        <v>35</v>
      </c>
      <c r="L3733">
        <v>18</v>
      </c>
      <c r="M3733">
        <v>2.15</v>
      </c>
    </row>
    <row r="3734" spans="1:13" ht="15" customHeight="1">
      <c r="A3734" t="s">
        <v>43</v>
      </c>
      <c r="B3734">
        <f t="shared" si="232"/>
        <v>33.723101</v>
      </c>
      <c r="C3734">
        <f t="shared" si="233"/>
        <v>-117.839581</v>
      </c>
      <c r="D3734">
        <f t="shared" si="234"/>
        <v>85</v>
      </c>
      <c r="E3734">
        <v>63.499000000000002</v>
      </c>
      <c r="F3734">
        <f t="shared" si="235"/>
        <v>21.500999999999998</v>
      </c>
      <c r="G3734">
        <v>27.216999999999999</v>
      </c>
      <c r="H3734">
        <v>1.0429999999999999</v>
      </c>
      <c r="I3734">
        <v>3.8450000000000002</v>
      </c>
      <c r="J3734">
        <v>4</v>
      </c>
      <c r="K3734">
        <v>17</v>
      </c>
      <c r="L3734">
        <v>9</v>
      </c>
      <c r="M3734">
        <v>1.548</v>
      </c>
    </row>
    <row r="3735" spans="1:13" ht="15" customHeight="1">
      <c r="A3735" t="s">
        <v>43</v>
      </c>
      <c r="B3735">
        <f t="shared" si="232"/>
        <v>33.723101</v>
      </c>
      <c r="C3735">
        <f t="shared" si="233"/>
        <v>-117.839581</v>
      </c>
      <c r="D3735">
        <f t="shared" si="234"/>
        <v>85</v>
      </c>
      <c r="E3735">
        <v>64.498999999999995</v>
      </c>
      <c r="F3735">
        <f t="shared" si="235"/>
        <v>20.501000000000005</v>
      </c>
      <c r="G3735">
        <v>84.367000000000004</v>
      </c>
      <c r="H3735">
        <v>1.5229999999999999</v>
      </c>
      <c r="I3735">
        <v>1.8069999999999999</v>
      </c>
      <c r="J3735">
        <v>7</v>
      </c>
      <c r="K3735">
        <v>27</v>
      </c>
      <c r="L3735">
        <v>14</v>
      </c>
      <c r="M3735" s="1">
        <v>9000000000</v>
      </c>
    </row>
    <row r="3736" spans="1:13" ht="15" customHeight="1">
      <c r="A3736" t="s">
        <v>43</v>
      </c>
      <c r="B3736">
        <f t="shared" si="232"/>
        <v>33.723101</v>
      </c>
      <c r="C3736">
        <f t="shared" si="233"/>
        <v>-117.839581</v>
      </c>
      <c r="D3736">
        <f t="shared" si="234"/>
        <v>85</v>
      </c>
      <c r="E3736">
        <v>65.498999999999995</v>
      </c>
      <c r="F3736">
        <f t="shared" si="235"/>
        <v>19.501000000000005</v>
      </c>
      <c r="G3736">
        <v>30.6</v>
      </c>
      <c r="H3736">
        <v>1.1599999999999999</v>
      </c>
      <c r="I3736">
        <v>3.8029999999999999</v>
      </c>
      <c r="J3736">
        <v>5</v>
      </c>
      <c r="K3736">
        <v>15</v>
      </c>
      <c r="L3736">
        <v>8</v>
      </c>
      <c r="M3736">
        <v>1.764</v>
      </c>
    </row>
    <row r="3737" spans="1:13" ht="15" customHeight="1">
      <c r="A3737" t="s">
        <v>43</v>
      </c>
      <c r="B3737">
        <f t="shared" si="232"/>
        <v>33.723101</v>
      </c>
      <c r="C3737">
        <f t="shared" si="233"/>
        <v>-117.839581</v>
      </c>
      <c r="D3737">
        <f t="shared" si="234"/>
        <v>85</v>
      </c>
      <c r="E3737">
        <v>66.498999999999995</v>
      </c>
      <c r="F3737">
        <f t="shared" si="235"/>
        <v>18.501000000000005</v>
      </c>
      <c r="G3737">
        <v>23.216999999999999</v>
      </c>
      <c r="H3737">
        <v>0.96299999999999997</v>
      </c>
      <c r="I3737">
        <v>4.1639999999999997</v>
      </c>
      <c r="J3737">
        <v>4</v>
      </c>
      <c r="K3737">
        <v>15</v>
      </c>
      <c r="L3737">
        <v>8</v>
      </c>
      <c r="M3737">
        <v>1.2689999999999999</v>
      </c>
    </row>
    <row r="3738" spans="1:13" ht="15" customHeight="1">
      <c r="A3738" t="s">
        <v>43</v>
      </c>
      <c r="B3738">
        <f t="shared" si="232"/>
        <v>33.723101</v>
      </c>
      <c r="C3738">
        <f t="shared" si="233"/>
        <v>-117.839581</v>
      </c>
      <c r="D3738">
        <f t="shared" si="234"/>
        <v>85</v>
      </c>
      <c r="E3738">
        <v>67.498999999999995</v>
      </c>
      <c r="F3738">
        <f t="shared" si="235"/>
        <v>17.501000000000005</v>
      </c>
      <c r="G3738">
        <v>33.950000000000003</v>
      </c>
      <c r="H3738">
        <v>1.343</v>
      </c>
      <c r="I3738">
        <v>3.9590000000000001</v>
      </c>
      <c r="J3738">
        <v>4</v>
      </c>
      <c r="K3738">
        <v>22</v>
      </c>
      <c r="L3738">
        <v>11</v>
      </c>
      <c r="M3738">
        <v>1.9850000000000001</v>
      </c>
    </row>
    <row r="3739" spans="1:13" ht="15" customHeight="1">
      <c r="A3739" t="s">
        <v>43</v>
      </c>
      <c r="B3739">
        <f t="shared" si="232"/>
        <v>33.723101</v>
      </c>
      <c r="C3739">
        <f t="shared" si="233"/>
        <v>-117.839581</v>
      </c>
      <c r="D3739">
        <f t="shared" si="234"/>
        <v>85</v>
      </c>
      <c r="E3739">
        <v>68.498999999999995</v>
      </c>
      <c r="F3739">
        <f t="shared" si="235"/>
        <v>16.501000000000005</v>
      </c>
      <c r="G3739">
        <v>246.517</v>
      </c>
      <c r="H3739">
        <v>1.88</v>
      </c>
      <c r="I3739">
        <v>0.76300000000000001</v>
      </c>
      <c r="J3739">
        <v>9</v>
      </c>
      <c r="K3739">
        <v>47</v>
      </c>
      <c r="L3739">
        <v>24</v>
      </c>
      <c r="M3739" s="1">
        <v>9000000000</v>
      </c>
    </row>
    <row r="3740" spans="1:13" ht="15" customHeight="1">
      <c r="A3740" t="s">
        <v>43</v>
      </c>
      <c r="B3740">
        <f t="shared" si="232"/>
        <v>33.723101</v>
      </c>
      <c r="C3740">
        <f t="shared" si="233"/>
        <v>-117.839581</v>
      </c>
      <c r="D3740">
        <f t="shared" si="234"/>
        <v>85</v>
      </c>
      <c r="E3740">
        <v>69.498999999999995</v>
      </c>
      <c r="F3740">
        <f t="shared" si="235"/>
        <v>15.501000000000005</v>
      </c>
      <c r="G3740">
        <v>255.43299999999999</v>
      </c>
      <c r="H3740">
        <v>1.472</v>
      </c>
      <c r="I3740">
        <v>0.57599999999999996</v>
      </c>
      <c r="J3740">
        <v>9</v>
      </c>
      <c r="K3740">
        <v>49</v>
      </c>
      <c r="L3740">
        <v>25</v>
      </c>
      <c r="M3740" s="1">
        <v>9000000000</v>
      </c>
    </row>
    <row r="3741" spans="1:13" ht="15" customHeight="1">
      <c r="A3741" t="s">
        <v>43</v>
      </c>
      <c r="B3741">
        <f t="shared" si="232"/>
        <v>33.723101</v>
      </c>
      <c r="C3741">
        <f t="shared" si="233"/>
        <v>-117.839581</v>
      </c>
      <c r="D3741">
        <f t="shared" si="234"/>
        <v>85</v>
      </c>
      <c r="E3741">
        <v>70.498999999999995</v>
      </c>
      <c r="F3741">
        <f t="shared" si="235"/>
        <v>14.501000000000005</v>
      </c>
      <c r="G3741">
        <v>226.36699999999999</v>
      </c>
      <c r="H3741">
        <v>1.38</v>
      </c>
      <c r="I3741">
        <v>0.61</v>
      </c>
      <c r="J3741">
        <v>9</v>
      </c>
      <c r="K3741">
        <v>43</v>
      </c>
      <c r="L3741">
        <v>22</v>
      </c>
      <c r="M3741" s="1">
        <v>9000000000</v>
      </c>
    </row>
    <row r="3742" spans="1:13" ht="15" customHeight="1">
      <c r="A3742" t="s">
        <v>43</v>
      </c>
      <c r="B3742">
        <f t="shared" si="232"/>
        <v>33.723101</v>
      </c>
      <c r="C3742">
        <f t="shared" si="233"/>
        <v>-117.839581</v>
      </c>
      <c r="D3742">
        <f t="shared" si="234"/>
        <v>85</v>
      </c>
      <c r="E3742">
        <v>71.498999999999995</v>
      </c>
      <c r="F3742">
        <f t="shared" si="235"/>
        <v>13.501000000000005</v>
      </c>
      <c r="G3742">
        <v>28.582999999999998</v>
      </c>
      <c r="H3742">
        <v>0.90800000000000003</v>
      </c>
      <c r="I3742">
        <v>3.1739999999999999</v>
      </c>
      <c r="J3742">
        <v>5</v>
      </c>
      <c r="K3742">
        <v>14</v>
      </c>
      <c r="L3742">
        <v>7</v>
      </c>
      <c r="M3742">
        <v>1.6140000000000001</v>
      </c>
    </row>
    <row r="3743" spans="1:13" ht="15" customHeight="1">
      <c r="A3743" t="s">
        <v>43</v>
      </c>
      <c r="B3743">
        <f t="shared" si="232"/>
        <v>33.723101</v>
      </c>
      <c r="C3743">
        <f t="shared" si="233"/>
        <v>-117.839581</v>
      </c>
      <c r="D3743">
        <f t="shared" si="234"/>
        <v>85</v>
      </c>
      <c r="E3743">
        <v>72.498999999999995</v>
      </c>
      <c r="F3743">
        <f t="shared" si="235"/>
        <v>12.501000000000005</v>
      </c>
      <c r="G3743">
        <v>37.442999999999998</v>
      </c>
      <c r="H3743">
        <v>1.9390000000000001</v>
      </c>
      <c r="I3743">
        <v>5.15</v>
      </c>
      <c r="J3743">
        <v>3</v>
      </c>
      <c r="K3743">
        <v>36</v>
      </c>
      <c r="L3743">
        <v>18</v>
      </c>
      <c r="M3743">
        <v>2.2109999999999999</v>
      </c>
    </row>
    <row r="3744" spans="1:13" ht="15" customHeight="1">
      <c r="A3744" t="s">
        <v>43</v>
      </c>
      <c r="B3744">
        <f t="shared" si="232"/>
        <v>33.723101</v>
      </c>
      <c r="C3744">
        <f t="shared" si="233"/>
        <v>-117.839581</v>
      </c>
      <c r="D3744">
        <f t="shared" si="234"/>
        <v>85</v>
      </c>
      <c r="E3744">
        <v>73.498999999999995</v>
      </c>
      <c r="F3744">
        <f t="shared" si="235"/>
        <v>11.501000000000005</v>
      </c>
      <c r="G3744">
        <v>22.233000000000001</v>
      </c>
      <c r="H3744">
        <v>0.80700000000000005</v>
      </c>
      <c r="I3744">
        <v>3.5720000000000001</v>
      </c>
      <c r="J3744">
        <v>5</v>
      </c>
      <c r="K3744">
        <v>11</v>
      </c>
      <c r="L3744">
        <v>6</v>
      </c>
      <c r="M3744">
        <v>1.2030000000000001</v>
      </c>
    </row>
    <row r="3745" spans="1:13" ht="15" customHeight="1">
      <c r="A3745" t="s">
        <v>43</v>
      </c>
      <c r="B3745">
        <f t="shared" si="232"/>
        <v>33.723101</v>
      </c>
      <c r="C3745">
        <f t="shared" si="233"/>
        <v>-117.839581</v>
      </c>
      <c r="D3745">
        <f t="shared" si="234"/>
        <v>85</v>
      </c>
      <c r="E3745">
        <v>74.498999999999995</v>
      </c>
      <c r="F3745">
        <f t="shared" si="235"/>
        <v>10.501000000000005</v>
      </c>
      <c r="G3745">
        <v>28.667000000000002</v>
      </c>
      <c r="H3745">
        <v>1.2370000000000001</v>
      </c>
      <c r="I3745">
        <v>4.202</v>
      </c>
      <c r="J3745">
        <v>4</v>
      </c>
      <c r="K3745">
        <v>19</v>
      </c>
      <c r="L3745">
        <v>10</v>
      </c>
      <c r="M3745">
        <v>1.6559999999999999</v>
      </c>
    </row>
    <row r="3746" spans="1:13" ht="15" customHeight="1">
      <c r="A3746" t="s">
        <v>43</v>
      </c>
      <c r="B3746">
        <f t="shared" si="232"/>
        <v>33.723101</v>
      </c>
      <c r="C3746">
        <f t="shared" si="233"/>
        <v>-117.839581</v>
      </c>
      <c r="D3746">
        <f t="shared" si="234"/>
        <v>85</v>
      </c>
      <c r="E3746">
        <v>75.498999999999995</v>
      </c>
      <c r="F3746">
        <f t="shared" si="235"/>
        <v>9.5010000000000048</v>
      </c>
      <c r="G3746">
        <v>22.983000000000001</v>
      </c>
      <c r="H3746">
        <v>0.79</v>
      </c>
      <c r="I3746">
        <v>3.28</v>
      </c>
      <c r="J3746">
        <v>5</v>
      </c>
      <c r="K3746">
        <v>12</v>
      </c>
      <c r="L3746">
        <v>6</v>
      </c>
      <c r="M3746">
        <v>1.2949999999999999</v>
      </c>
    </row>
    <row r="3747" spans="1:13" ht="15" customHeight="1">
      <c r="A3747" t="s">
        <v>43</v>
      </c>
      <c r="B3747">
        <f t="shared" si="232"/>
        <v>33.723101</v>
      </c>
      <c r="C3747">
        <f t="shared" si="233"/>
        <v>-117.839581</v>
      </c>
      <c r="D3747">
        <f t="shared" si="234"/>
        <v>85</v>
      </c>
      <c r="E3747">
        <v>76.498999999999995</v>
      </c>
      <c r="F3747">
        <f t="shared" si="235"/>
        <v>8.5010000000000048</v>
      </c>
      <c r="G3747">
        <v>25.667000000000002</v>
      </c>
      <c r="H3747">
        <v>1.042</v>
      </c>
      <c r="I3747">
        <v>3.9060000000000001</v>
      </c>
      <c r="J3747">
        <v>4</v>
      </c>
      <c r="K3747">
        <v>17</v>
      </c>
      <c r="L3747">
        <v>9</v>
      </c>
      <c r="M3747">
        <v>1.4630000000000001</v>
      </c>
    </row>
    <row r="3748" spans="1:13" ht="15" customHeight="1">
      <c r="A3748" t="s">
        <v>43</v>
      </c>
      <c r="B3748">
        <f t="shared" si="232"/>
        <v>33.723101</v>
      </c>
      <c r="C3748">
        <f t="shared" si="233"/>
        <v>-117.839581</v>
      </c>
      <c r="D3748">
        <f t="shared" si="234"/>
        <v>85</v>
      </c>
      <c r="E3748">
        <v>77.498999999999995</v>
      </c>
      <c r="F3748">
        <f t="shared" si="235"/>
        <v>7.5010000000000048</v>
      </c>
      <c r="G3748">
        <v>23.55</v>
      </c>
      <c r="H3748">
        <v>0.77300000000000002</v>
      </c>
      <c r="I3748">
        <v>3.1120000000000001</v>
      </c>
      <c r="J3748">
        <v>5</v>
      </c>
      <c r="K3748">
        <v>12</v>
      </c>
      <c r="L3748">
        <v>6</v>
      </c>
      <c r="M3748">
        <v>1.3380000000000001</v>
      </c>
    </row>
    <row r="3749" spans="1:13" ht="15" customHeight="1">
      <c r="A3749" t="s">
        <v>43</v>
      </c>
      <c r="B3749">
        <f t="shared" si="232"/>
        <v>33.723101</v>
      </c>
      <c r="C3749">
        <f t="shared" si="233"/>
        <v>-117.839581</v>
      </c>
      <c r="D3749">
        <f t="shared" si="234"/>
        <v>85</v>
      </c>
      <c r="E3749">
        <v>78.498999999999995</v>
      </c>
      <c r="F3749">
        <f t="shared" si="235"/>
        <v>6.5010000000000048</v>
      </c>
      <c r="G3749">
        <v>56.417000000000002</v>
      </c>
      <c r="H3749">
        <v>2.5369999999999999</v>
      </c>
      <c r="I3749">
        <v>4.4740000000000002</v>
      </c>
      <c r="J3749">
        <v>4</v>
      </c>
      <c r="K3749">
        <v>36</v>
      </c>
      <c r="L3749">
        <v>18</v>
      </c>
      <c r="M3749">
        <v>3.4569999999999999</v>
      </c>
    </row>
    <row r="3750" spans="1:13" ht="15" customHeight="1">
      <c r="A3750" t="s">
        <v>43</v>
      </c>
      <c r="B3750">
        <f t="shared" si="232"/>
        <v>33.723101</v>
      </c>
      <c r="C3750">
        <f t="shared" si="233"/>
        <v>-117.839581</v>
      </c>
      <c r="D3750">
        <f t="shared" si="234"/>
        <v>85</v>
      </c>
      <c r="E3750">
        <v>79.498999999999995</v>
      </c>
      <c r="F3750">
        <f t="shared" si="235"/>
        <v>5.5010000000000048</v>
      </c>
      <c r="G3750">
        <v>68.55</v>
      </c>
      <c r="H3750">
        <v>3.8180000000000001</v>
      </c>
      <c r="I3750">
        <v>5.5839999999999996</v>
      </c>
      <c r="J3750">
        <v>11</v>
      </c>
      <c r="K3750">
        <v>66</v>
      </c>
      <c r="L3750">
        <v>33</v>
      </c>
      <c r="M3750" s="1">
        <v>9000000000</v>
      </c>
    </row>
    <row r="3751" spans="1:13" ht="15" customHeight="1">
      <c r="A3751" t="s">
        <v>43</v>
      </c>
      <c r="B3751">
        <f t="shared" si="232"/>
        <v>33.723101</v>
      </c>
      <c r="C3751">
        <f t="shared" si="233"/>
        <v>-117.839581</v>
      </c>
      <c r="D3751">
        <f t="shared" si="234"/>
        <v>85</v>
      </c>
      <c r="E3751">
        <v>80.498999999999995</v>
      </c>
      <c r="F3751">
        <f t="shared" si="235"/>
        <v>4.5010000000000048</v>
      </c>
      <c r="G3751">
        <v>28.25</v>
      </c>
      <c r="H3751">
        <v>1.3120000000000001</v>
      </c>
      <c r="I3751">
        <v>4.665</v>
      </c>
      <c r="J3751">
        <v>3</v>
      </c>
      <c r="K3751">
        <v>27</v>
      </c>
      <c r="L3751">
        <v>14</v>
      </c>
      <c r="M3751">
        <v>1.5429999999999999</v>
      </c>
    </row>
    <row r="3752" spans="1:13" ht="15" customHeight="1">
      <c r="A3752" t="s">
        <v>43</v>
      </c>
      <c r="B3752">
        <f t="shared" si="232"/>
        <v>33.723101</v>
      </c>
      <c r="C3752">
        <f t="shared" si="233"/>
        <v>-117.839581</v>
      </c>
      <c r="D3752">
        <f t="shared" si="234"/>
        <v>85</v>
      </c>
      <c r="E3752">
        <v>81.498999999999995</v>
      </c>
      <c r="F3752">
        <f t="shared" si="235"/>
        <v>3.5010000000000048</v>
      </c>
      <c r="G3752">
        <v>26.632999999999999</v>
      </c>
      <c r="H3752">
        <v>0.81499999999999995</v>
      </c>
      <c r="I3752">
        <v>3.0830000000000002</v>
      </c>
      <c r="J3752">
        <v>5</v>
      </c>
      <c r="K3752">
        <v>13</v>
      </c>
      <c r="L3752">
        <v>7</v>
      </c>
      <c r="M3752">
        <v>1.4259999999999999</v>
      </c>
    </row>
    <row r="3753" spans="1:13" ht="15" customHeight="1">
      <c r="A3753" t="s">
        <v>43</v>
      </c>
      <c r="B3753">
        <f t="shared" si="232"/>
        <v>33.723101</v>
      </c>
      <c r="C3753">
        <f t="shared" si="233"/>
        <v>-117.839581</v>
      </c>
      <c r="D3753">
        <f t="shared" si="234"/>
        <v>85</v>
      </c>
      <c r="E3753">
        <v>82.498999999999995</v>
      </c>
      <c r="F3753">
        <f t="shared" si="235"/>
        <v>2.5010000000000048</v>
      </c>
      <c r="G3753">
        <v>31.4</v>
      </c>
      <c r="H3753">
        <v>1.365</v>
      </c>
      <c r="I3753">
        <v>4.3659999999999997</v>
      </c>
      <c r="J3753">
        <v>4</v>
      </c>
      <c r="K3753">
        <v>20</v>
      </c>
      <c r="L3753">
        <v>10</v>
      </c>
      <c r="M3753">
        <v>1.744</v>
      </c>
    </row>
    <row r="3754" spans="1:13" ht="15" customHeight="1">
      <c r="A3754" t="s">
        <v>43</v>
      </c>
      <c r="B3754">
        <f t="shared" si="232"/>
        <v>33.723101</v>
      </c>
      <c r="C3754">
        <f t="shared" si="233"/>
        <v>-117.839581</v>
      </c>
      <c r="D3754">
        <f t="shared" si="234"/>
        <v>85</v>
      </c>
      <c r="E3754">
        <v>83.498999999999995</v>
      </c>
      <c r="F3754">
        <f t="shared" si="235"/>
        <v>1.5010000000000048</v>
      </c>
      <c r="G3754">
        <v>32.286000000000001</v>
      </c>
      <c r="H3754">
        <v>1.111</v>
      </c>
      <c r="I3754">
        <v>3.4550000000000001</v>
      </c>
      <c r="J3754">
        <v>5</v>
      </c>
      <c r="K3754">
        <v>15</v>
      </c>
      <c r="L3754">
        <v>8</v>
      </c>
      <c r="M3754">
        <v>1.8</v>
      </c>
    </row>
    <row r="3755" spans="1:13" ht="15" customHeight="1">
      <c r="A3755" t="s">
        <v>43</v>
      </c>
      <c r="B3755">
        <f t="shared" si="232"/>
        <v>33.723101</v>
      </c>
      <c r="C3755">
        <f t="shared" si="233"/>
        <v>-117.839581</v>
      </c>
      <c r="D3755">
        <f t="shared" si="234"/>
        <v>85</v>
      </c>
      <c r="E3755">
        <v>84.498999999999995</v>
      </c>
      <c r="F3755">
        <f t="shared" si="235"/>
        <v>0.50100000000000477</v>
      </c>
      <c r="G3755">
        <v>42.2</v>
      </c>
      <c r="H3755">
        <v>1.96</v>
      </c>
      <c r="I3755">
        <v>4.6559999999999997</v>
      </c>
      <c r="J3755">
        <v>4</v>
      </c>
      <c r="K3755">
        <v>27</v>
      </c>
      <c r="L3755">
        <v>14</v>
      </c>
      <c r="M3755">
        <v>2.4580000000000002</v>
      </c>
    </row>
    <row r="3756" spans="1:13" ht="15" customHeight="1">
      <c r="A3756" t="s">
        <v>43</v>
      </c>
      <c r="B3756">
        <f t="shared" si="232"/>
        <v>33.723101</v>
      </c>
      <c r="C3756">
        <f t="shared" si="233"/>
        <v>-117.839581</v>
      </c>
      <c r="D3756">
        <f t="shared" si="234"/>
        <v>85</v>
      </c>
      <c r="E3756">
        <v>85.498999999999995</v>
      </c>
      <c r="F3756">
        <f t="shared" si="235"/>
        <v>-0.49899999999999523</v>
      </c>
      <c r="G3756">
        <v>33.716999999999999</v>
      </c>
      <c r="H3756">
        <v>1.722</v>
      </c>
      <c r="I3756">
        <v>5.1159999999999997</v>
      </c>
      <c r="J3756">
        <v>3</v>
      </c>
      <c r="K3756">
        <v>32</v>
      </c>
      <c r="L3756">
        <v>16</v>
      </c>
      <c r="M3756">
        <v>1.891</v>
      </c>
    </row>
    <row r="3757" spans="1:13" ht="15" customHeight="1">
      <c r="A3757" t="s">
        <v>43</v>
      </c>
      <c r="B3757">
        <f t="shared" si="232"/>
        <v>33.723101</v>
      </c>
      <c r="C3757">
        <f t="shared" si="233"/>
        <v>-117.839581</v>
      </c>
      <c r="D3757">
        <f t="shared" si="234"/>
        <v>85</v>
      </c>
      <c r="E3757">
        <v>86.498999999999995</v>
      </c>
      <c r="F3757">
        <f t="shared" si="235"/>
        <v>-1.4989999999999952</v>
      </c>
      <c r="G3757">
        <v>73.433000000000007</v>
      </c>
      <c r="H3757">
        <v>3.593</v>
      </c>
      <c r="I3757">
        <v>4.9009999999999998</v>
      </c>
      <c r="J3757">
        <v>11</v>
      </c>
      <c r="K3757">
        <v>70</v>
      </c>
      <c r="L3757">
        <v>35</v>
      </c>
      <c r="M3757" s="1">
        <v>9000000000</v>
      </c>
    </row>
    <row r="3758" spans="1:13" ht="15" customHeight="1">
      <c r="A3758" t="s">
        <v>43</v>
      </c>
      <c r="B3758">
        <f t="shared" si="232"/>
        <v>33.723101</v>
      </c>
      <c r="C3758">
        <f t="shared" si="233"/>
        <v>-117.839581</v>
      </c>
      <c r="D3758">
        <f t="shared" si="234"/>
        <v>85</v>
      </c>
      <c r="E3758">
        <v>87.498999999999995</v>
      </c>
      <c r="F3758">
        <f t="shared" si="235"/>
        <v>-2.4989999999999952</v>
      </c>
      <c r="G3758">
        <v>62.75</v>
      </c>
      <c r="H3758">
        <v>2.7549999999999999</v>
      </c>
      <c r="I3758">
        <v>4.3970000000000002</v>
      </c>
      <c r="J3758">
        <v>5</v>
      </c>
      <c r="K3758">
        <v>30</v>
      </c>
      <c r="L3758">
        <v>15</v>
      </c>
      <c r="M3758">
        <v>3.8149999999999999</v>
      </c>
    </row>
    <row r="3759" spans="1:13" ht="15" customHeight="1">
      <c r="A3759" t="s">
        <v>43</v>
      </c>
      <c r="B3759">
        <f t="shared" si="232"/>
        <v>33.723101</v>
      </c>
      <c r="C3759">
        <f t="shared" si="233"/>
        <v>-117.839581</v>
      </c>
      <c r="D3759">
        <f t="shared" si="234"/>
        <v>85</v>
      </c>
      <c r="E3759">
        <v>88.498999999999995</v>
      </c>
      <c r="F3759">
        <f t="shared" si="235"/>
        <v>-3.4989999999999952</v>
      </c>
      <c r="G3759">
        <v>35.317</v>
      </c>
      <c r="H3759">
        <v>1.2769999999999999</v>
      </c>
      <c r="I3759">
        <v>3.625</v>
      </c>
      <c r="J3759">
        <v>5</v>
      </c>
      <c r="K3759">
        <v>17</v>
      </c>
      <c r="L3759">
        <v>9</v>
      </c>
      <c r="M3759">
        <v>1.982</v>
      </c>
    </row>
    <row r="3760" spans="1:13" ht="15" customHeight="1">
      <c r="A3760" t="s">
        <v>43</v>
      </c>
      <c r="B3760">
        <f t="shared" si="232"/>
        <v>33.723101</v>
      </c>
      <c r="C3760">
        <f t="shared" si="233"/>
        <v>-117.839581</v>
      </c>
      <c r="D3760">
        <f t="shared" si="234"/>
        <v>85</v>
      </c>
      <c r="E3760">
        <v>89.498999999999995</v>
      </c>
      <c r="F3760">
        <f t="shared" si="235"/>
        <v>-4.4989999999999952</v>
      </c>
      <c r="G3760">
        <v>53.017000000000003</v>
      </c>
      <c r="H3760">
        <v>3.1520000000000001</v>
      </c>
      <c r="I3760">
        <v>5.9539999999999997</v>
      </c>
      <c r="J3760">
        <v>3</v>
      </c>
      <c r="K3760">
        <v>51</v>
      </c>
      <c r="L3760">
        <v>26</v>
      </c>
      <c r="M3760">
        <v>3.1589999999999998</v>
      </c>
    </row>
    <row r="3761" spans="1:13" ht="15" customHeight="1">
      <c r="A3761" t="s">
        <v>43</v>
      </c>
      <c r="B3761">
        <f t="shared" si="232"/>
        <v>33.723101</v>
      </c>
      <c r="C3761">
        <f t="shared" si="233"/>
        <v>-117.839581</v>
      </c>
      <c r="D3761">
        <f t="shared" si="234"/>
        <v>85</v>
      </c>
      <c r="E3761">
        <v>90.498999999999995</v>
      </c>
      <c r="F3761">
        <f t="shared" si="235"/>
        <v>-5.4989999999999952</v>
      </c>
      <c r="G3761">
        <v>43.2</v>
      </c>
      <c r="H3761">
        <v>2.8</v>
      </c>
      <c r="I3761">
        <v>6.4859999999999998</v>
      </c>
      <c r="J3761">
        <v>3</v>
      </c>
      <c r="K3761">
        <v>41</v>
      </c>
      <c r="L3761">
        <v>21</v>
      </c>
      <c r="M3761">
        <v>2.504</v>
      </c>
    </row>
    <row r="3762" spans="1:13" ht="15" customHeight="1">
      <c r="A3762" t="s">
        <v>43</v>
      </c>
      <c r="B3762">
        <f t="shared" si="232"/>
        <v>33.723101</v>
      </c>
      <c r="C3762">
        <f t="shared" si="233"/>
        <v>-117.839581</v>
      </c>
      <c r="D3762">
        <f t="shared" si="234"/>
        <v>85</v>
      </c>
      <c r="E3762">
        <v>91.498999999999995</v>
      </c>
      <c r="F3762">
        <f t="shared" si="235"/>
        <v>-6.4989999999999952</v>
      </c>
      <c r="G3762">
        <v>144.65</v>
      </c>
      <c r="H3762">
        <v>2.9929999999999999</v>
      </c>
      <c r="I3762">
        <v>2.0710000000000002</v>
      </c>
      <c r="J3762">
        <v>7</v>
      </c>
      <c r="K3762">
        <v>46</v>
      </c>
      <c r="L3762">
        <v>23</v>
      </c>
      <c r="M3762" s="1">
        <v>9000000000</v>
      </c>
    </row>
    <row r="3763" spans="1:13" ht="15" customHeight="1">
      <c r="A3763" t="s">
        <v>43</v>
      </c>
      <c r="B3763">
        <f t="shared" si="232"/>
        <v>33.723101</v>
      </c>
      <c r="C3763">
        <f t="shared" si="233"/>
        <v>-117.839581</v>
      </c>
      <c r="D3763">
        <f t="shared" si="234"/>
        <v>85</v>
      </c>
      <c r="E3763">
        <v>92.498999999999995</v>
      </c>
      <c r="F3763">
        <f t="shared" si="235"/>
        <v>-7.4989999999999952</v>
      </c>
      <c r="G3763">
        <v>164.667</v>
      </c>
      <c r="H3763">
        <v>3.7</v>
      </c>
      <c r="I3763">
        <v>2.2480000000000002</v>
      </c>
      <c r="J3763">
        <v>7</v>
      </c>
      <c r="K3763">
        <v>53</v>
      </c>
      <c r="L3763">
        <v>27</v>
      </c>
      <c r="M3763" s="1">
        <v>9000000000</v>
      </c>
    </row>
    <row r="3764" spans="1:13" ht="15" customHeight="1">
      <c r="A3764" t="s">
        <v>43</v>
      </c>
      <c r="B3764">
        <f t="shared" si="232"/>
        <v>33.723101</v>
      </c>
      <c r="C3764">
        <f t="shared" si="233"/>
        <v>-117.839581</v>
      </c>
      <c r="D3764">
        <f t="shared" si="234"/>
        <v>85</v>
      </c>
      <c r="E3764">
        <v>93.498999999999995</v>
      </c>
      <c r="F3764">
        <f t="shared" si="235"/>
        <v>-8.4989999999999952</v>
      </c>
      <c r="G3764">
        <v>62.314</v>
      </c>
      <c r="H3764">
        <v>3.2829999999999999</v>
      </c>
      <c r="I3764">
        <v>5.2789999999999999</v>
      </c>
      <c r="J3764">
        <v>11</v>
      </c>
      <c r="K3764">
        <v>60</v>
      </c>
      <c r="L3764">
        <v>30</v>
      </c>
      <c r="M3764" s="1">
        <v>9000000000</v>
      </c>
    </row>
    <row r="3765" spans="1:13" ht="15" customHeight="1">
      <c r="A3765" t="s">
        <v>43</v>
      </c>
      <c r="B3765">
        <f t="shared" si="232"/>
        <v>33.723101</v>
      </c>
      <c r="C3765">
        <f t="shared" si="233"/>
        <v>-117.839581</v>
      </c>
      <c r="D3765">
        <f t="shared" si="234"/>
        <v>85</v>
      </c>
      <c r="E3765">
        <v>94.498999999999995</v>
      </c>
      <c r="F3765">
        <f t="shared" si="235"/>
        <v>-9.4989999999999952</v>
      </c>
      <c r="G3765">
        <v>80.382999999999996</v>
      </c>
      <c r="H3765">
        <v>3.13</v>
      </c>
      <c r="I3765">
        <v>3.9</v>
      </c>
      <c r="J3765">
        <v>5</v>
      </c>
      <c r="K3765">
        <v>38</v>
      </c>
      <c r="L3765">
        <v>19</v>
      </c>
      <c r="M3765">
        <v>4.9610000000000003</v>
      </c>
    </row>
    <row r="3766" spans="1:13" ht="15" customHeight="1">
      <c r="A3766" t="s">
        <v>43</v>
      </c>
      <c r="B3766">
        <f t="shared" si="232"/>
        <v>33.723101</v>
      </c>
      <c r="C3766">
        <f t="shared" si="233"/>
        <v>-117.839581</v>
      </c>
      <c r="D3766">
        <f t="shared" si="234"/>
        <v>85</v>
      </c>
      <c r="E3766">
        <v>95.498999999999995</v>
      </c>
      <c r="F3766">
        <f t="shared" si="235"/>
        <v>-10.498999999999995</v>
      </c>
      <c r="G3766">
        <v>200.8</v>
      </c>
      <c r="H3766">
        <v>2.073</v>
      </c>
      <c r="I3766">
        <v>1.0329999999999999</v>
      </c>
      <c r="J3766">
        <v>9</v>
      </c>
      <c r="K3766">
        <v>38</v>
      </c>
      <c r="L3766">
        <v>19</v>
      </c>
      <c r="M3766" s="1">
        <v>9000000000</v>
      </c>
    </row>
    <row r="3767" spans="1:13" ht="15" customHeight="1">
      <c r="A3767" t="s">
        <v>43</v>
      </c>
      <c r="B3767">
        <f t="shared" si="232"/>
        <v>33.723101</v>
      </c>
      <c r="C3767">
        <f t="shared" si="233"/>
        <v>-117.839581</v>
      </c>
      <c r="D3767">
        <f t="shared" si="234"/>
        <v>85</v>
      </c>
      <c r="E3767">
        <v>96.498999999999995</v>
      </c>
      <c r="F3767">
        <f t="shared" si="235"/>
        <v>-11.498999999999995</v>
      </c>
      <c r="G3767">
        <v>126.033</v>
      </c>
      <c r="H3767">
        <v>1.897</v>
      </c>
      <c r="I3767">
        <v>1.5049999999999999</v>
      </c>
      <c r="J3767">
        <v>8</v>
      </c>
      <c r="K3767">
        <v>30</v>
      </c>
      <c r="L3767">
        <v>15</v>
      </c>
      <c r="M3767" s="1">
        <v>9000000000</v>
      </c>
    </row>
    <row r="3768" spans="1:13" ht="15" customHeight="1">
      <c r="A3768" t="s">
        <v>43</v>
      </c>
      <c r="B3768">
        <f t="shared" si="232"/>
        <v>33.723101</v>
      </c>
      <c r="C3768">
        <f t="shared" si="233"/>
        <v>-117.839581</v>
      </c>
      <c r="D3768">
        <f t="shared" si="234"/>
        <v>85</v>
      </c>
      <c r="E3768">
        <v>97.498999999999995</v>
      </c>
      <c r="F3768">
        <f t="shared" si="235"/>
        <v>-12.498999999999995</v>
      </c>
      <c r="G3768">
        <v>71.183000000000007</v>
      </c>
      <c r="H3768">
        <v>2.9369999999999998</v>
      </c>
      <c r="I3768">
        <v>4.1310000000000002</v>
      </c>
      <c r="J3768">
        <v>5</v>
      </c>
      <c r="K3768">
        <v>34</v>
      </c>
      <c r="L3768">
        <v>17</v>
      </c>
      <c r="M3768">
        <v>4.3360000000000003</v>
      </c>
    </row>
    <row r="3769" spans="1:13" ht="15" customHeight="1">
      <c r="A3769" t="s">
        <v>43</v>
      </c>
      <c r="B3769">
        <f t="shared" si="232"/>
        <v>33.723101</v>
      </c>
      <c r="C3769">
        <f t="shared" si="233"/>
        <v>-117.839581</v>
      </c>
      <c r="D3769">
        <f t="shared" si="234"/>
        <v>85</v>
      </c>
      <c r="E3769">
        <v>98.498999999999995</v>
      </c>
      <c r="F3769">
        <f t="shared" si="235"/>
        <v>-13.498999999999995</v>
      </c>
      <c r="G3769">
        <v>30.516999999999999</v>
      </c>
      <c r="H3769">
        <v>0.65700000000000003</v>
      </c>
      <c r="I3769">
        <v>2.157</v>
      </c>
      <c r="J3769">
        <v>6</v>
      </c>
      <c r="K3769">
        <v>12</v>
      </c>
      <c r="L3769">
        <v>6</v>
      </c>
      <c r="M3769">
        <v>1.623</v>
      </c>
    </row>
    <row r="3770" spans="1:13" ht="15" customHeight="1">
      <c r="A3770" t="s">
        <v>43</v>
      </c>
      <c r="B3770">
        <f t="shared" si="232"/>
        <v>33.723101</v>
      </c>
      <c r="C3770">
        <f t="shared" si="233"/>
        <v>-117.839581</v>
      </c>
      <c r="D3770">
        <f t="shared" si="234"/>
        <v>85</v>
      </c>
      <c r="E3770">
        <v>99.498999999999995</v>
      </c>
      <c r="F3770">
        <f t="shared" si="235"/>
        <v>-14.498999999999995</v>
      </c>
      <c r="G3770">
        <v>44.1</v>
      </c>
      <c r="H3770">
        <v>1.2729999999999999</v>
      </c>
      <c r="I3770">
        <v>2.8849999999999998</v>
      </c>
      <c r="J3770">
        <v>6</v>
      </c>
      <c r="K3770">
        <v>17</v>
      </c>
      <c r="L3770">
        <v>9</v>
      </c>
      <c r="M3770">
        <v>2.5310000000000001</v>
      </c>
    </row>
    <row r="3771" spans="1:13" ht="15" customHeight="1">
      <c r="A3771" t="s">
        <v>43</v>
      </c>
      <c r="B3771">
        <f t="shared" si="232"/>
        <v>33.723101</v>
      </c>
      <c r="C3771">
        <f t="shared" si="233"/>
        <v>-117.839581</v>
      </c>
      <c r="D3771">
        <f t="shared" si="234"/>
        <v>85</v>
      </c>
      <c r="E3771">
        <v>100.499</v>
      </c>
      <c r="F3771">
        <f t="shared" si="235"/>
        <v>-15.498999999999995</v>
      </c>
      <c r="G3771">
        <v>50.4</v>
      </c>
      <c r="H3771">
        <v>1.615</v>
      </c>
      <c r="I3771">
        <v>3.198</v>
      </c>
      <c r="J3771">
        <v>6</v>
      </c>
      <c r="K3771">
        <v>19</v>
      </c>
      <c r="L3771">
        <v>10</v>
      </c>
      <c r="M3771">
        <v>2.9510000000000001</v>
      </c>
    </row>
    <row r="3772" spans="1:13" ht="15" customHeight="1">
      <c r="A3772" t="s">
        <v>43</v>
      </c>
      <c r="B3772">
        <f t="shared" si="232"/>
        <v>33.723101</v>
      </c>
      <c r="C3772">
        <f t="shared" si="233"/>
        <v>-117.839581</v>
      </c>
      <c r="D3772">
        <f t="shared" si="234"/>
        <v>85</v>
      </c>
      <c r="E3772">
        <v>101.499</v>
      </c>
      <c r="F3772">
        <f t="shared" si="235"/>
        <v>-16.498999999999995</v>
      </c>
      <c r="G3772">
        <v>99.933000000000007</v>
      </c>
      <c r="H3772">
        <v>4.5869999999999997</v>
      </c>
      <c r="I3772">
        <v>4.5650000000000004</v>
      </c>
      <c r="J3772">
        <v>11</v>
      </c>
      <c r="K3772">
        <v>96</v>
      </c>
      <c r="L3772">
        <v>48</v>
      </c>
      <c r="M3772" s="1">
        <v>9000000000</v>
      </c>
    </row>
    <row r="3773" spans="1:13" ht="15" customHeight="1">
      <c r="A3773" t="s">
        <v>43</v>
      </c>
      <c r="B3773">
        <f t="shared" si="232"/>
        <v>33.723101</v>
      </c>
      <c r="C3773">
        <f t="shared" si="233"/>
        <v>-117.839581</v>
      </c>
      <c r="D3773">
        <f t="shared" si="234"/>
        <v>85</v>
      </c>
      <c r="E3773">
        <v>102.499</v>
      </c>
      <c r="F3773">
        <f t="shared" si="235"/>
        <v>-17.498999999999995</v>
      </c>
      <c r="G3773">
        <v>58.2</v>
      </c>
      <c r="H3773">
        <v>2.202</v>
      </c>
      <c r="I3773">
        <v>3.6339999999999999</v>
      </c>
      <c r="J3773">
        <v>5</v>
      </c>
      <c r="K3773">
        <v>29</v>
      </c>
      <c r="L3773">
        <v>15</v>
      </c>
      <c r="M3773">
        <v>3.6150000000000002</v>
      </c>
    </row>
    <row r="3774" spans="1:13" ht="15" customHeight="1">
      <c r="A3774" t="s">
        <v>43</v>
      </c>
      <c r="B3774">
        <f t="shared" si="232"/>
        <v>33.723101</v>
      </c>
      <c r="C3774">
        <f t="shared" si="233"/>
        <v>-117.839581</v>
      </c>
      <c r="D3774">
        <f t="shared" si="234"/>
        <v>85</v>
      </c>
      <c r="E3774">
        <v>103.499</v>
      </c>
      <c r="F3774">
        <f t="shared" si="235"/>
        <v>-18.498999999999995</v>
      </c>
      <c r="G3774">
        <v>57.35</v>
      </c>
      <c r="H3774">
        <v>2.423</v>
      </c>
      <c r="I3774">
        <v>4.0289999999999999</v>
      </c>
      <c r="J3774">
        <v>5</v>
      </c>
      <c r="K3774">
        <v>29</v>
      </c>
      <c r="L3774">
        <v>15</v>
      </c>
      <c r="M3774">
        <v>3.5819999999999999</v>
      </c>
    </row>
    <row r="3775" spans="1:13" ht="15" customHeight="1">
      <c r="A3775" t="s">
        <v>43</v>
      </c>
      <c r="B3775">
        <f t="shared" si="232"/>
        <v>33.723101</v>
      </c>
      <c r="C3775">
        <f t="shared" si="233"/>
        <v>-117.839581</v>
      </c>
      <c r="D3775">
        <f t="shared" si="234"/>
        <v>85</v>
      </c>
      <c r="E3775">
        <v>104.499</v>
      </c>
      <c r="F3775">
        <f t="shared" si="235"/>
        <v>-19.498999999999995</v>
      </c>
      <c r="G3775">
        <v>153.25700000000001</v>
      </c>
      <c r="H3775">
        <v>6.2329999999999997</v>
      </c>
      <c r="I3775">
        <v>4.069</v>
      </c>
      <c r="J3775">
        <v>11</v>
      </c>
      <c r="K3775">
        <v>147</v>
      </c>
      <c r="L3775">
        <v>74</v>
      </c>
      <c r="M3775" s="1">
        <v>9000000000</v>
      </c>
    </row>
    <row r="3776" spans="1:13" ht="15" customHeight="1">
      <c r="A3776" t="s">
        <v>43</v>
      </c>
      <c r="B3776">
        <f t="shared" si="232"/>
        <v>33.723101</v>
      </c>
      <c r="C3776">
        <f t="shared" si="233"/>
        <v>-117.839581</v>
      </c>
      <c r="D3776">
        <f t="shared" si="234"/>
        <v>85</v>
      </c>
      <c r="E3776">
        <v>105.499</v>
      </c>
      <c r="F3776">
        <f t="shared" si="235"/>
        <v>-20.498999999999995</v>
      </c>
      <c r="G3776">
        <v>46.366999999999997</v>
      </c>
      <c r="H3776">
        <v>2.1970000000000001</v>
      </c>
      <c r="I3776">
        <v>4.7549999999999999</v>
      </c>
      <c r="J3776">
        <v>4</v>
      </c>
      <c r="K3776">
        <v>30</v>
      </c>
      <c r="L3776">
        <v>15</v>
      </c>
      <c r="M3776">
        <v>2.6429999999999998</v>
      </c>
    </row>
    <row r="3777" spans="1:13" ht="15" customHeight="1">
      <c r="A3777" t="s">
        <v>43</v>
      </c>
      <c r="B3777">
        <f t="shared" si="232"/>
        <v>33.723101</v>
      </c>
      <c r="C3777">
        <f t="shared" si="233"/>
        <v>-117.839581</v>
      </c>
      <c r="D3777">
        <f t="shared" si="234"/>
        <v>85</v>
      </c>
      <c r="E3777">
        <v>106.499</v>
      </c>
      <c r="F3777">
        <f t="shared" si="235"/>
        <v>-21.498999999999995</v>
      </c>
      <c r="G3777">
        <v>56.7</v>
      </c>
      <c r="H3777">
        <v>1.978</v>
      </c>
      <c r="I3777">
        <v>3.4980000000000002</v>
      </c>
      <c r="J3777">
        <v>5</v>
      </c>
      <c r="K3777">
        <v>27</v>
      </c>
      <c r="L3777">
        <v>14</v>
      </c>
      <c r="M3777">
        <v>3.3290000000000002</v>
      </c>
    </row>
    <row r="3778" spans="1:13" ht="15" customHeight="1">
      <c r="A3778" t="s">
        <v>43</v>
      </c>
      <c r="B3778">
        <f t="shared" ref="B3778:B3841" si="236">VLOOKUP(A3778,XYdata,3,FALSE)</f>
        <v>33.723101</v>
      </c>
      <c r="C3778">
        <f t="shared" ref="C3778:C3841" si="237">VLOOKUP(A3778,XYdata,2,FALSE)</f>
        <v>-117.839581</v>
      </c>
      <c r="D3778">
        <f t="shared" ref="D3778:D3841" si="238">VLOOKUP(A3778,Elevation,2,FALSE)</f>
        <v>85</v>
      </c>
      <c r="E3778">
        <v>107.499</v>
      </c>
      <c r="F3778">
        <f t="shared" si="235"/>
        <v>-22.498999999999995</v>
      </c>
      <c r="G3778">
        <v>40.267000000000003</v>
      </c>
      <c r="H3778">
        <v>1.46</v>
      </c>
      <c r="I3778">
        <v>3.6419999999999999</v>
      </c>
      <c r="J3778">
        <v>5</v>
      </c>
      <c r="K3778">
        <v>19</v>
      </c>
      <c r="L3778">
        <v>10</v>
      </c>
      <c r="M3778">
        <v>2.2269999999999999</v>
      </c>
    </row>
    <row r="3779" spans="1:13" ht="15" customHeight="1">
      <c r="A3779" t="s">
        <v>43</v>
      </c>
      <c r="B3779">
        <f t="shared" si="236"/>
        <v>33.723101</v>
      </c>
      <c r="C3779">
        <f t="shared" si="237"/>
        <v>-117.839581</v>
      </c>
      <c r="D3779">
        <f t="shared" si="238"/>
        <v>85</v>
      </c>
      <c r="E3779">
        <v>108.499</v>
      </c>
      <c r="F3779">
        <f t="shared" ref="F3779:F3842" si="239">D3779-E3779</f>
        <v>-23.498999999999995</v>
      </c>
      <c r="G3779">
        <v>41.933</v>
      </c>
      <c r="H3779">
        <v>1.385</v>
      </c>
      <c r="I3779">
        <v>3.3119999999999998</v>
      </c>
      <c r="J3779">
        <v>5</v>
      </c>
      <c r="K3779">
        <v>20</v>
      </c>
      <c r="L3779">
        <v>10</v>
      </c>
      <c r="M3779">
        <v>2.3380000000000001</v>
      </c>
    </row>
    <row r="3780" spans="1:13" ht="15" customHeight="1">
      <c r="A3780" t="s">
        <v>43</v>
      </c>
      <c r="B3780">
        <f t="shared" si="236"/>
        <v>33.723101</v>
      </c>
      <c r="C3780">
        <f t="shared" si="237"/>
        <v>-117.839581</v>
      </c>
      <c r="D3780">
        <f t="shared" si="238"/>
        <v>85</v>
      </c>
      <c r="E3780">
        <v>109.499</v>
      </c>
      <c r="F3780">
        <f t="shared" si="239"/>
        <v>-24.498999999999995</v>
      </c>
      <c r="G3780">
        <v>40.6</v>
      </c>
      <c r="H3780">
        <v>1.2070000000000001</v>
      </c>
      <c r="I3780">
        <v>2.9820000000000002</v>
      </c>
      <c r="J3780">
        <v>6</v>
      </c>
      <c r="K3780">
        <v>16</v>
      </c>
      <c r="L3780">
        <v>8</v>
      </c>
      <c r="M3780">
        <v>2.2440000000000002</v>
      </c>
    </row>
    <row r="3781" spans="1:13" ht="15" customHeight="1">
      <c r="A3781" t="s">
        <v>43</v>
      </c>
      <c r="B3781">
        <f t="shared" si="236"/>
        <v>33.723101</v>
      </c>
      <c r="C3781">
        <f t="shared" si="237"/>
        <v>-117.839581</v>
      </c>
      <c r="D3781">
        <f t="shared" si="238"/>
        <v>85</v>
      </c>
      <c r="E3781">
        <v>110.499</v>
      </c>
      <c r="F3781">
        <f t="shared" si="239"/>
        <v>-25.498999999999995</v>
      </c>
      <c r="G3781">
        <v>147.30000000000001</v>
      </c>
      <c r="H3781">
        <v>5.19</v>
      </c>
      <c r="I3781">
        <v>3.5270000000000001</v>
      </c>
      <c r="J3781">
        <v>6</v>
      </c>
      <c r="K3781">
        <v>56</v>
      </c>
      <c r="L3781">
        <v>28</v>
      </c>
      <c r="M3781">
        <v>9.3510000000000009</v>
      </c>
    </row>
    <row r="3782" spans="1:13" ht="15" customHeight="1">
      <c r="A3782" t="s">
        <v>43</v>
      </c>
      <c r="B3782">
        <f t="shared" si="236"/>
        <v>33.723101</v>
      </c>
      <c r="C3782">
        <f t="shared" si="237"/>
        <v>-117.839581</v>
      </c>
      <c r="D3782">
        <f t="shared" si="238"/>
        <v>85</v>
      </c>
      <c r="E3782">
        <v>111.499</v>
      </c>
      <c r="F3782">
        <f t="shared" si="239"/>
        <v>-26.498999999999995</v>
      </c>
      <c r="G3782">
        <v>71.867000000000004</v>
      </c>
      <c r="H3782">
        <v>4.0579999999999998</v>
      </c>
      <c r="I3782">
        <v>5.6580000000000004</v>
      </c>
      <c r="J3782">
        <v>11</v>
      </c>
      <c r="K3782">
        <v>69</v>
      </c>
      <c r="L3782">
        <v>35</v>
      </c>
      <c r="M3782" s="1">
        <v>9000000000</v>
      </c>
    </row>
    <row r="3783" spans="1:13" ht="15" customHeight="1">
      <c r="A3783" t="s">
        <v>43</v>
      </c>
      <c r="B3783">
        <f t="shared" si="236"/>
        <v>33.723101</v>
      </c>
      <c r="C3783">
        <f t="shared" si="237"/>
        <v>-117.839581</v>
      </c>
      <c r="D3783">
        <f t="shared" si="238"/>
        <v>85</v>
      </c>
      <c r="E3783">
        <v>112.499</v>
      </c>
      <c r="F3783">
        <f t="shared" si="239"/>
        <v>-27.498999999999995</v>
      </c>
      <c r="G3783">
        <v>92.716999999999999</v>
      </c>
      <c r="H3783">
        <v>5.3150000000000004</v>
      </c>
      <c r="I3783">
        <v>5.7439999999999998</v>
      </c>
      <c r="J3783">
        <v>11</v>
      </c>
      <c r="K3783">
        <v>89</v>
      </c>
      <c r="L3783">
        <v>45</v>
      </c>
      <c r="M3783" s="1">
        <v>9000000000</v>
      </c>
    </row>
    <row r="3784" spans="1:13" ht="15" customHeight="1">
      <c r="A3784" t="s">
        <v>43</v>
      </c>
      <c r="B3784">
        <f t="shared" si="236"/>
        <v>33.723101</v>
      </c>
      <c r="C3784">
        <f t="shared" si="237"/>
        <v>-117.839581</v>
      </c>
      <c r="D3784">
        <f t="shared" si="238"/>
        <v>85</v>
      </c>
      <c r="E3784">
        <v>113.499</v>
      </c>
      <c r="F3784">
        <f t="shared" si="239"/>
        <v>-28.498999999999995</v>
      </c>
      <c r="G3784">
        <v>53.332999999999998</v>
      </c>
      <c r="H3784">
        <v>2.1280000000000001</v>
      </c>
      <c r="I3784">
        <v>4.0010000000000003</v>
      </c>
      <c r="J3784">
        <v>5</v>
      </c>
      <c r="K3784">
        <v>25</v>
      </c>
      <c r="L3784">
        <v>13</v>
      </c>
      <c r="M3784">
        <v>3.0760000000000001</v>
      </c>
    </row>
    <row r="3785" spans="1:13" ht="15" customHeight="1">
      <c r="A3785" t="s">
        <v>43</v>
      </c>
      <c r="B3785">
        <f t="shared" si="236"/>
        <v>33.723101</v>
      </c>
      <c r="C3785">
        <f t="shared" si="237"/>
        <v>-117.839581</v>
      </c>
      <c r="D3785">
        <f t="shared" si="238"/>
        <v>85</v>
      </c>
      <c r="E3785">
        <v>114.499</v>
      </c>
      <c r="F3785">
        <f t="shared" si="239"/>
        <v>-29.498999999999995</v>
      </c>
      <c r="G3785">
        <v>39.243000000000002</v>
      </c>
      <c r="H3785">
        <v>1.573</v>
      </c>
      <c r="I3785">
        <v>4.0199999999999996</v>
      </c>
      <c r="J3785">
        <v>5</v>
      </c>
      <c r="K3785">
        <v>19</v>
      </c>
      <c r="L3785">
        <v>10</v>
      </c>
      <c r="M3785">
        <v>2.133</v>
      </c>
    </row>
    <row r="3786" spans="1:13" ht="15" customHeight="1">
      <c r="A3786" t="s">
        <v>43</v>
      </c>
      <c r="B3786">
        <f t="shared" si="236"/>
        <v>33.723101</v>
      </c>
      <c r="C3786">
        <f t="shared" si="237"/>
        <v>-117.839581</v>
      </c>
      <c r="D3786">
        <f t="shared" si="238"/>
        <v>85</v>
      </c>
      <c r="E3786">
        <v>115.499</v>
      </c>
      <c r="F3786">
        <f t="shared" si="239"/>
        <v>-30.498999999999995</v>
      </c>
      <c r="G3786">
        <v>38.299999999999997</v>
      </c>
      <c r="H3786">
        <v>1.25</v>
      </c>
      <c r="I3786">
        <v>3.2719999999999998</v>
      </c>
      <c r="J3786">
        <v>5</v>
      </c>
      <c r="K3786">
        <v>18</v>
      </c>
      <c r="L3786">
        <v>9</v>
      </c>
      <c r="M3786">
        <v>2.0670000000000002</v>
      </c>
    </row>
    <row r="3787" spans="1:13" ht="15" customHeight="1">
      <c r="A3787" t="s">
        <v>43</v>
      </c>
      <c r="B3787">
        <f t="shared" si="236"/>
        <v>33.723101</v>
      </c>
      <c r="C3787">
        <f t="shared" si="237"/>
        <v>-117.839581</v>
      </c>
      <c r="D3787">
        <f t="shared" si="238"/>
        <v>85</v>
      </c>
      <c r="E3787">
        <v>116.499</v>
      </c>
      <c r="F3787">
        <f t="shared" si="239"/>
        <v>-31.498999999999995</v>
      </c>
      <c r="G3787">
        <v>54.5</v>
      </c>
      <c r="H3787">
        <v>2.65</v>
      </c>
      <c r="I3787">
        <v>4.8730000000000002</v>
      </c>
      <c r="J3787">
        <v>4</v>
      </c>
      <c r="K3787">
        <v>35</v>
      </c>
      <c r="L3787">
        <v>18</v>
      </c>
      <c r="M3787">
        <v>3.1419999999999999</v>
      </c>
    </row>
    <row r="3788" spans="1:13" ht="15" customHeight="1">
      <c r="A3788" t="s">
        <v>43</v>
      </c>
      <c r="B3788">
        <f t="shared" si="236"/>
        <v>33.723101</v>
      </c>
      <c r="C3788">
        <f t="shared" si="237"/>
        <v>-117.839581</v>
      </c>
      <c r="D3788">
        <f t="shared" si="238"/>
        <v>85</v>
      </c>
      <c r="E3788">
        <v>117.498</v>
      </c>
      <c r="F3788">
        <f t="shared" si="239"/>
        <v>-32.498000000000005</v>
      </c>
      <c r="G3788">
        <v>34.582999999999998</v>
      </c>
      <c r="H3788">
        <v>0.99299999999999999</v>
      </c>
      <c r="I3788">
        <v>2.8809999999999998</v>
      </c>
      <c r="J3788">
        <v>6</v>
      </c>
      <c r="K3788">
        <v>13</v>
      </c>
      <c r="L3788">
        <v>7</v>
      </c>
      <c r="M3788">
        <v>1.8109999999999999</v>
      </c>
    </row>
    <row r="3789" spans="1:13" ht="15" customHeight="1">
      <c r="A3789" t="s">
        <v>43</v>
      </c>
      <c r="B3789">
        <f t="shared" si="236"/>
        <v>33.723101</v>
      </c>
      <c r="C3789">
        <f t="shared" si="237"/>
        <v>-117.839581</v>
      </c>
      <c r="D3789">
        <f t="shared" si="238"/>
        <v>85</v>
      </c>
      <c r="E3789">
        <v>118.498</v>
      </c>
      <c r="F3789">
        <f t="shared" si="239"/>
        <v>-33.498000000000005</v>
      </c>
      <c r="G3789">
        <v>35.616999999999997</v>
      </c>
      <c r="H3789">
        <v>1.095</v>
      </c>
      <c r="I3789">
        <v>3.0830000000000002</v>
      </c>
      <c r="J3789">
        <v>5</v>
      </c>
      <c r="K3789">
        <v>17</v>
      </c>
      <c r="L3789">
        <v>9</v>
      </c>
      <c r="M3789">
        <v>1.8759999999999999</v>
      </c>
    </row>
    <row r="3790" spans="1:13" ht="15" customHeight="1">
      <c r="A3790" t="s">
        <v>43</v>
      </c>
      <c r="B3790">
        <f t="shared" si="236"/>
        <v>33.723101</v>
      </c>
      <c r="C3790">
        <f t="shared" si="237"/>
        <v>-117.839581</v>
      </c>
      <c r="D3790">
        <f t="shared" si="238"/>
        <v>85</v>
      </c>
      <c r="E3790">
        <v>119.498</v>
      </c>
      <c r="F3790">
        <f t="shared" si="239"/>
        <v>-34.498000000000005</v>
      </c>
      <c r="G3790">
        <v>36.033000000000001</v>
      </c>
      <c r="H3790">
        <v>1.0169999999999999</v>
      </c>
      <c r="I3790">
        <v>2.8279999999999998</v>
      </c>
      <c r="J3790">
        <v>6</v>
      </c>
      <c r="K3790">
        <v>14</v>
      </c>
      <c r="L3790">
        <v>7</v>
      </c>
      <c r="M3790">
        <v>1.901</v>
      </c>
    </row>
    <row r="3791" spans="1:13" ht="15" customHeight="1">
      <c r="A3791" t="s">
        <v>43</v>
      </c>
      <c r="B3791">
        <f t="shared" si="236"/>
        <v>33.723101</v>
      </c>
      <c r="C3791">
        <f t="shared" si="237"/>
        <v>-117.839581</v>
      </c>
      <c r="D3791">
        <f t="shared" si="238"/>
        <v>85</v>
      </c>
      <c r="E3791">
        <v>120.498</v>
      </c>
      <c r="F3791">
        <f t="shared" si="239"/>
        <v>-35.498000000000005</v>
      </c>
      <c r="G3791">
        <v>34.716999999999999</v>
      </c>
      <c r="H3791">
        <v>0.98</v>
      </c>
      <c r="I3791">
        <v>2.831</v>
      </c>
      <c r="J3791">
        <v>6</v>
      </c>
      <c r="K3791">
        <v>13</v>
      </c>
      <c r="L3791">
        <v>7</v>
      </c>
      <c r="M3791">
        <v>1.8069999999999999</v>
      </c>
    </row>
    <row r="3792" spans="1:13" ht="15" customHeight="1">
      <c r="A3792" t="s">
        <v>43</v>
      </c>
      <c r="B3792">
        <f t="shared" si="236"/>
        <v>33.723101</v>
      </c>
      <c r="C3792">
        <f t="shared" si="237"/>
        <v>-117.839581</v>
      </c>
      <c r="D3792">
        <f t="shared" si="238"/>
        <v>85</v>
      </c>
      <c r="E3792">
        <v>121.498</v>
      </c>
      <c r="F3792">
        <f t="shared" si="239"/>
        <v>-36.498000000000005</v>
      </c>
      <c r="G3792">
        <v>44.116999999999997</v>
      </c>
      <c r="H3792">
        <v>1.9179999999999999</v>
      </c>
      <c r="I3792">
        <v>4.3550000000000004</v>
      </c>
      <c r="J3792">
        <v>4</v>
      </c>
      <c r="K3792">
        <v>28</v>
      </c>
      <c r="L3792">
        <v>14</v>
      </c>
      <c r="M3792">
        <v>2.4319999999999999</v>
      </c>
    </row>
    <row r="3793" spans="1:13" ht="15" customHeight="1">
      <c r="A3793" t="s">
        <v>43</v>
      </c>
      <c r="B3793">
        <f t="shared" si="236"/>
        <v>33.723101</v>
      </c>
      <c r="C3793">
        <f t="shared" si="237"/>
        <v>-117.839581</v>
      </c>
      <c r="D3793">
        <f t="shared" si="238"/>
        <v>85</v>
      </c>
      <c r="E3793">
        <v>122.498</v>
      </c>
      <c r="F3793">
        <f t="shared" si="239"/>
        <v>-37.498000000000005</v>
      </c>
      <c r="G3793">
        <v>35</v>
      </c>
      <c r="H3793">
        <v>1.1619999999999999</v>
      </c>
      <c r="I3793">
        <v>3.327</v>
      </c>
      <c r="J3793">
        <v>5</v>
      </c>
      <c r="K3793">
        <v>17</v>
      </c>
      <c r="L3793">
        <v>9</v>
      </c>
      <c r="M3793">
        <v>1.819</v>
      </c>
    </row>
    <row r="3794" spans="1:13" ht="15" customHeight="1">
      <c r="A3794" t="s">
        <v>43</v>
      </c>
      <c r="B3794">
        <f t="shared" si="236"/>
        <v>33.723101</v>
      </c>
      <c r="C3794">
        <f t="shared" si="237"/>
        <v>-117.839581</v>
      </c>
      <c r="D3794">
        <f t="shared" si="238"/>
        <v>85</v>
      </c>
      <c r="E3794">
        <v>123.498</v>
      </c>
      <c r="F3794">
        <f t="shared" si="239"/>
        <v>-38.498000000000005</v>
      </c>
      <c r="G3794">
        <v>41.982999999999997</v>
      </c>
      <c r="H3794">
        <v>1.5129999999999999</v>
      </c>
      <c r="I3794">
        <v>3.609</v>
      </c>
      <c r="J3794">
        <v>5</v>
      </c>
      <c r="K3794">
        <v>20</v>
      </c>
      <c r="L3794">
        <v>10</v>
      </c>
      <c r="M3794">
        <v>2.2829999999999999</v>
      </c>
    </row>
    <row r="3795" spans="1:13" ht="15" customHeight="1">
      <c r="A3795" t="s">
        <v>43</v>
      </c>
      <c r="B3795">
        <f t="shared" si="236"/>
        <v>33.723101</v>
      </c>
      <c r="C3795">
        <f t="shared" si="237"/>
        <v>-117.839581</v>
      </c>
      <c r="D3795">
        <f t="shared" si="238"/>
        <v>85</v>
      </c>
      <c r="E3795">
        <v>124.498</v>
      </c>
      <c r="F3795">
        <f t="shared" si="239"/>
        <v>-39.498000000000005</v>
      </c>
      <c r="G3795">
        <v>36.049999999999997</v>
      </c>
      <c r="H3795">
        <v>1.032</v>
      </c>
      <c r="I3795">
        <v>2.8639999999999999</v>
      </c>
      <c r="J3795">
        <v>6</v>
      </c>
      <c r="K3795">
        <v>14</v>
      </c>
      <c r="L3795">
        <v>7</v>
      </c>
      <c r="M3795">
        <v>1.8839999999999999</v>
      </c>
    </row>
    <row r="3796" spans="1:13" ht="15" customHeight="1">
      <c r="A3796" t="s">
        <v>43</v>
      </c>
      <c r="B3796">
        <f t="shared" si="236"/>
        <v>33.723101</v>
      </c>
      <c r="C3796">
        <f t="shared" si="237"/>
        <v>-117.839581</v>
      </c>
      <c r="D3796">
        <f t="shared" si="238"/>
        <v>85</v>
      </c>
      <c r="E3796">
        <v>125.498</v>
      </c>
      <c r="F3796">
        <f t="shared" si="239"/>
        <v>-40.498000000000005</v>
      </c>
      <c r="G3796">
        <v>35.743000000000002</v>
      </c>
      <c r="H3796">
        <v>1.0489999999999999</v>
      </c>
      <c r="I3796">
        <v>2.9369999999999998</v>
      </c>
      <c r="J3796">
        <v>6</v>
      </c>
      <c r="K3796">
        <v>14</v>
      </c>
      <c r="L3796">
        <v>7</v>
      </c>
      <c r="M3796">
        <v>1.859</v>
      </c>
    </row>
    <row r="3797" spans="1:13" ht="15" customHeight="1">
      <c r="A3797" t="s">
        <v>43</v>
      </c>
      <c r="B3797">
        <f t="shared" si="236"/>
        <v>33.723101</v>
      </c>
      <c r="C3797">
        <f t="shared" si="237"/>
        <v>-117.839581</v>
      </c>
      <c r="D3797">
        <f t="shared" si="238"/>
        <v>85</v>
      </c>
      <c r="E3797">
        <v>126.498</v>
      </c>
      <c r="F3797">
        <f t="shared" si="239"/>
        <v>-41.498000000000005</v>
      </c>
      <c r="G3797">
        <v>31.933</v>
      </c>
      <c r="H3797">
        <v>0.86299999999999999</v>
      </c>
      <c r="I3797">
        <v>2.7050000000000001</v>
      </c>
      <c r="J3797">
        <v>6</v>
      </c>
      <c r="K3797">
        <v>12</v>
      </c>
      <c r="L3797">
        <v>6</v>
      </c>
      <c r="M3797">
        <v>1.6020000000000001</v>
      </c>
    </row>
    <row r="3798" spans="1:13" ht="15" customHeight="1">
      <c r="A3798" t="s">
        <v>43</v>
      </c>
      <c r="B3798">
        <f t="shared" si="236"/>
        <v>33.723101</v>
      </c>
      <c r="C3798">
        <f t="shared" si="237"/>
        <v>-117.839581</v>
      </c>
      <c r="D3798">
        <f t="shared" si="238"/>
        <v>85</v>
      </c>
      <c r="E3798">
        <v>127.498</v>
      </c>
      <c r="F3798">
        <f t="shared" si="239"/>
        <v>-42.498000000000005</v>
      </c>
      <c r="G3798">
        <v>37.5</v>
      </c>
      <c r="H3798">
        <v>1.242</v>
      </c>
      <c r="I3798">
        <v>3.3130000000000002</v>
      </c>
      <c r="J3798">
        <v>5</v>
      </c>
      <c r="K3798">
        <v>18</v>
      </c>
      <c r="L3798">
        <v>9</v>
      </c>
      <c r="M3798">
        <v>1.9690000000000001</v>
      </c>
    </row>
    <row r="3799" spans="1:13" ht="15" customHeight="1">
      <c r="A3799" t="s">
        <v>43</v>
      </c>
      <c r="B3799">
        <f t="shared" si="236"/>
        <v>33.723101</v>
      </c>
      <c r="C3799">
        <f t="shared" si="237"/>
        <v>-117.839581</v>
      </c>
      <c r="D3799">
        <f t="shared" si="238"/>
        <v>85</v>
      </c>
      <c r="E3799">
        <v>128.49799999999999</v>
      </c>
      <c r="F3799">
        <f t="shared" si="239"/>
        <v>-43.49799999999999</v>
      </c>
      <c r="G3799">
        <v>38.067</v>
      </c>
      <c r="H3799">
        <v>1.1919999999999999</v>
      </c>
      <c r="I3799">
        <v>3.13</v>
      </c>
      <c r="J3799">
        <v>5</v>
      </c>
      <c r="K3799">
        <v>18</v>
      </c>
      <c r="L3799">
        <v>9</v>
      </c>
      <c r="M3799">
        <v>2.004</v>
      </c>
    </row>
    <row r="3800" spans="1:13" ht="15" customHeight="1">
      <c r="A3800" t="s">
        <v>43</v>
      </c>
      <c r="B3800">
        <f t="shared" si="236"/>
        <v>33.723101</v>
      </c>
      <c r="C3800">
        <f t="shared" si="237"/>
        <v>-117.839581</v>
      </c>
      <c r="D3800">
        <f t="shared" si="238"/>
        <v>85</v>
      </c>
      <c r="E3800">
        <v>129.49799999999999</v>
      </c>
      <c r="F3800">
        <f t="shared" si="239"/>
        <v>-44.49799999999999</v>
      </c>
      <c r="G3800">
        <v>47.982999999999997</v>
      </c>
      <c r="H3800">
        <v>1.962</v>
      </c>
      <c r="I3800">
        <v>4.0880000000000001</v>
      </c>
      <c r="J3800">
        <v>5</v>
      </c>
      <c r="K3800">
        <v>23</v>
      </c>
      <c r="L3800">
        <v>12</v>
      </c>
      <c r="M3800">
        <v>2.661</v>
      </c>
    </row>
    <row r="3801" spans="1:13" ht="15" customHeight="1">
      <c r="A3801" t="s">
        <v>43</v>
      </c>
      <c r="B3801">
        <f t="shared" si="236"/>
        <v>33.723101</v>
      </c>
      <c r="C3801">
        <f t="shared" si="237"/>
        <v>-117.839581</v>
      </c>
      <c r="D3801">
        <f t="shared" si="238"/>
        <v>85</v>
      </c>
      <c r="E3801">
        <v>130.49799999999999</v>
      </c>
      <c r="F3801">
        <f t="shared" si="239"/>
        <v>-45.49799999999999</v>
      </c>
      <c r="G3801">
        <v>72.382999999999996</v>
      </c>
      <c r="H3801">
        <v>1.9570000000000001</v>
      </c>
      <c r="I3801">
        <v>2.7029999999999998</v>
      </c>
      <c r="J3801">
        <v>6</v>
      </c>
      <c r="K3801">
        <v>28</v>
      </c>
      <c r="L3801">
        <v>14</v>
      </c>
      <c r="M3801">
        <v>4.2839999999999998</v>
      </c>
    </row>
    <row r="3802" spans="1:13" ht="15" customHeight="1">
      <c r="A3802" t="s">
        <v>43</v>
      </c>
      <c r="B3802">
        <f t="shared" si="236"/>
        <v>33.723101</v>
      </c>
      <c r="C3802">
        <f t="shared" si="237"/>
        <v>-117.839581</v>
      </c>
      <c r="D3802">
        <f t="shared" si="238"/>
        <v>85</v>
      </c>
      <c r="E3802">
        <v>131.49799999999999</v>
      </c>
      <c r="F3802">
        <f t="shared" si="239"/>
        <v>-46.49799999999999</v>
      </c>
      <c r="G3802">
        <v>162.4</v>
      </c>
      <c r="H3802">
        <v>0</v>
      </c>
      <c r="I3802">
        <v>0</v>
      </c>
      <c r="J3802">
        <v>9</v>
      </c>
      <c r="K3802" s="1">
        <v>9000000000</v>
      </c>
      <c r="L3802" s="1">
        <v>9000000000</v>
      </c>
      <c r="M3802" s="1">
        <v>9000000000</v>
      </c>
    </row>
    <row r="3803" spans="1:13" ht="15" customHeight="1">
      <c r="A3803" t="s">
        <v>44</v>
      </c>
      <c r="B3803">
        <f t="shared" si="236"/>
        <v>33.709552000000002</v>
      </c>
      <c r="C3803">
        <f t="shared" si="237"/>
        <v>-117.85288199999999</v>
      </c>
      <c r="D3803">
        <f t="shared" si="238"/>
        <v>58</v>
      </c>
      <c r="E3803">
        <v>0.5</v>
      </c>
      <c r="F3803">
        <f t="shared" si="239"/>
        <v>57.5</v>
      </c>
      <c r="G3803">
        <v>5.5830000000000002</v>
      </c>
      <c r="H3803">
        <v>1.7000000000000001E-2</v>
      </c>
      <c r="I3803">
        <v>0.29899999999999999</v>
      </c>
      <c r="J3803">
        <v>1</v>
      </c>
      <c r="K3803">
        <v>3</v>
      </c>
      <c r="L3803">
        <v>5</v>
      </c>
      <c r="M3803">
        <v>0.37</v>
      </c>
    </row>
    <row r="3804" spans="1:13" ht="15" customHeight="1">
      <c r="A3804" t="s">
        <v>44</v>
      </c>
      <c r="B3804">
        <f t="shared" si="236"/>
        <v>33.709552000000002</v>
      </c>
      <c r="C3804">
        <f t="shared" si="237"/>
        <v>-117.85288199999999</v>
      </c>
      <c r="D3804">
        <f t="shared" si="238"/>
        <v>58</v>
      </c>
      <c r="E3804">
        <v>1.5</v>
      </c>
      <c r="F3804">
        <f t="shared" si="239"/>
        <v>56.5</v>
      </c>
      <c r="G3804">
        <v>5.95</v>
      </c>
      <c r="H3804">
        <v>0.03</v>
      </c>
      <c r="I3804">
        <v>0.504</v>
      </c>
      <c r="J3804">
        <v>1</v>
      </c>
      <c r="K3804">
        <v>3</v>
      </c>
      <c r="L3804">
        <v>5</v>
      </c>
      <c r="M3804">
        <v>0.39100000000000001</v>
      </c>
    </row>
    <row r="3805" spans="1:13" ht="15" customHeight="1">
      <c r="A3805" t="s">
        <v>44</v>
      </c>
      <c r="B3805">
        <f t="shared" si="236"/>
        <v>33.709552000000002</v>
      </c>
      <c r="C3805">
        <f t="shared" si="237"/>
        <v>-117.85288199999999</v>
      </c>
      <c r="D3805">
        <f t="shared" si="238"/>
        <v>58</v>
      </c>
      <c r="E3805">
        <v>2.5</v>
      </c>
      <c r="F3805">
        <f t="shared" si="239"/>
        <v>55.5</v>
      </c>
      <c r="G3805">
        <v>61.616999999999997</v>
      </c>
      <c r="H3805">
        <v>1.4450000000000001</v>
      </c>
      <c r="I3805">
        <v>2.3359999999999999</v>
      </c>
      <c r="J3805">
        <v>6</v>
      </c>
      <c r="K3805">
        <v>24</v>
      </c>
      <c r="L3805">
        <v>36</v>
      </c>
      <c r="M3805">
        <v>4.1139999999999999</v>
      </c>
    </row>
    <row r="3806" spans="1:13" ht="15" customHeight="1">
      <c r="A3806" t="s">
        <v>44</v>
      </c>
      <c r="B3806">
        <f t="shared" si="236"/>
        <v>33.709552000000002</v>
      </c>
      <c r="C3806">
        <f t="shared" si="237"/>
        <v>-117.85288199999999</v>
      </c>
      <c r="D3806">
        <f t="shared" si="238"/>
        <v>58</v>
      </c>
      <c r="E3806">
        <v>3.5</v>
      </c>
      <c r="F3806">
        <f t="shared" si="239"/>
        <v>54.5</v>
      </c>
      <c r="G3806">
        <v>43.55</v>
      </c>
      <c r="H3806">
        <v>1.3680000000000001</v>
      </c>
      <c r="I3806">
        <v>3.0960000000000001</v>
      </c>
      <c r="J3806">
        <v>6</v>
      </c>
      <c r="K3806">
        <v>17</v>
      </c>
      <c r="L3806">
        <v>26</v>
      </c>
      <c r="M3806">
        <v>2.9329999999999998</v>
      </c>
    </row>
    <row r="3807" spans="1:13" ht="15" customHeight="1">
      <c r="A3807" t="s">
        <v>44</v>
      </c>
      <c r="B3807">
        <f t="shared" si="236"/>
        <v>33.709552000000002</v>
      </c>
      <c r="C3807">
        <f t="shared" si="237"/>
        <v>-117.85288199999999</v>
      </c>
      <c r="D3807">
        <f t="shared" si="238"/>
        <v>58</v>
      </c>
      <c r="E3807">
        <v>4.5</v>
      </c>
      <c r="F3807">
        <f t="shared" si="239"/>
        <v>53.5</v>
      </c>
      <c r="G3807">
        <v>10.282999999999999</v>
      </c>
      <c r="H3807">
        <v>0.27300000000000002</v>
      </c>
      <c r="I3807">
        <v>2.5870000000000002</v>
      </c>
      <c r="J3807">
        <v>4</v>
      </c>
      <c r="K3807">
        <v>7</v>
      </c>
      <c r="L3807">
        <v>11</v>
      </c>
      <c r="M3807">
        <v>0.68700000000000006</v>
      </c>
    </row>
    <row r="3808" spans="1:13" ht="15" customHeight="1">
      <c r="A3808" t="s">
        <v>44</v>
      </c>
      <c r="B3808">
        <f t="shared" si="236"/>
        <v>33.709552000000002</v>
      </c>
      <c r="C3808">
        <f t="shared" si="237"/>
        <v>-117.85288199999999</v>
      </c>
      <c r="D3808">
        <f t="shared" si="238"/>
        <v>58</v>
      </c>
      <c r="E3808">
        <v>5.5</v>
      </c>
      <c r="F3808">
        <f t="shared" si="239"/>
        <v>52.5</v>
      </c>
      <c r="G3808">
        <v>22.667000000000002</v>
      </c>
      <c r="H3808">
        <v>0.59</v>
      </c>
      <c r="I3808">
        <v>2.5760000000000001</v>
      </c>
      <c r="J3808">
        <v>5</v>
      </c>
      <c r="K3808">
        <v>11</v>
      </c>
      <c r="L3808">
        <v>17</v>
      </c>
      <c r="M3808">
        <v>1.5049999999999999</v>
      </c>
    </row>
    <row r="3809" spans="1:13" ht="15" customHeight="1">
      <c r="A3809" t="s">
        <v>44</v>
      </c>
      <c r="B3809">
        <f t="shared" si="236"/>
        <v>33.709552000000002</v>
      </c>
      <c r="C3809">
        <f t="shared" si="237"/>
        <v>-117.85288199999999</v>
      </c>
      <c r="D3809">
        <f t="shared" si="238"/>
        <v>58</v>
      </c>
      <c r="E3809">
        <v>6.5</v>
      </c>
      <c r="F3809">
        <f t="shared" si="239"/>
        <v>51.5</v>
      </c>
      <c r="G3809">
        <v>17.867000000000001</v>
      </c>
      <c r="H3809">
        <v>0.57699999999999996</v>
      </c>
      <c r="I3809">
        <v>3.1859999999999999</v>
      </c>
      <c r="J3809">
        <v>5</v>
      </c>
      <c r="K3809">
        <v>9</v>
      </c>
      <c r="L3809">
        <v>14</v>
      </c>
      <c r="M3809">
        <v>1.181</v>
      </c>
    </row>
    <row r="3810" spans="1:13" ht="15" customHeight="1">
      <c r="A3810" t="s">
        <v>44</v>
      </c>
      <c r="B3810">
        <f t="shared" si="236"/>
        <v>33.709552000000002</v>
      </c>
      <c r="C3810">
        <f t="shared" si="237"/>
        <v>-117.85288199999999</v>
      </c>
      <c r="D3810">
        <f t="shared" si="238"/>
        <v>58</v>
      </c>
      <c r="E3810">
        <v>7.5</v>
      </c>
      <c r="F3810">
        <f t="shared" si="239"/>
        <v>50.5</v>
      </c>
      <c r="G3810">
        <v>19.600000000000001</v>
      </c>
      <c r="H3810">
        <v>0.53</v>
      </c>
      <c r="I3810">
        <v>2.677</v>
      </c>
      <c r="J3810">
        <v>5</v>
      </c>
      <c r="K3810">
        <v>9</v>
      </c>
      <c r="L3810">
        <v>14</v>
      </c>
      <c r="M3810">
        <v>1.29</v>
      </c>
    </row>
    <row r="3811" spans="1:13" ht="15" customHeight="1">
      <c r="A3811" t="s">
        <v>44</v>
      </c>
      <c r="B3811">
        <f t="shared" si="236"/>
        <v>33.709552000000002</v>
      </c>
      <c r="C3811">
        <f t="shared" si="237"/>
        <v>-117.85288199999999</v>
      </c>
      <c r="D3811">
        <f t="shared" si="238"/>
        <v>58</v>
      </c>
      <c r="E3811">
        <v>8.5</v>
      </c>
      <c r="F3811">
        <f t="shared" si="239"/>
        <v>49.5</v>
      </c>
      <c r="G3811">
        <v>62.582999999999998</v>
      </c>
      <c r="H3811">
        <v>1.3380000000000001</v>
      </c>
      <c r="I3811">
        <v>2.1320000000000001</v>
      </c>
      <c r="J3811">
        <v>7</v>
      </c>
      <c r="K3811">
        <v>20</v>
      </c>
      <c r="L3811">
        <v>30</v>
      </c>
      <c r="M3811" s="1">
        <v>9000000000</v>
      </c>
    </row>
    <row r="3812" spans="1:13" ht="15" customHeight="1">
      <c r="A3812" t="s">
        <v>44</v>
      </c>
      <c r="B3812">
        <f t="shared" si="236"/>
        <v>33.709552000000002</v>
      </c>
      <c r="C3812">
        <f t="shared" si="237"/>
        <v>-117.85288199999999</v>
      </c>
      <c r="D3812">
        <f t="shared" si="238"/>
        <v>58</v>
      </c>
      <c r="E3812">
        <v>9.5</v>
      </c>
      <c r="F3812">
        <f t="shared" si="239"/>
        <v>48.5</v>
      </c>
      <c r="G3812">
        <v>59.332999999999998</v>
      </c>
      <c r="H3812">
        <v>1.4</v>
      </c>
      <c r="I3812">
        <v>2.35</v>
      </c>
      <c r="J3812">
        <v>6</v>
      </c>
      <c r="K3812">
        <v>23</v>
      </c>
      <c r="L3812">
        <v>35</v>
      </c>
      <c r="M3812">
        <v>3.9329999999999998</v>
      </c>
    </row>
    <row r="3813" spans="1:13" ht="15" customHeight="1">
      <c r="A3813" t="s">
        <v>44</v>
      </c>
      <c r="B3813">
        <f t="shared" si="236"/>
        <v>33.709552000000002</v>
      </c>
      <c r="C3813">
        <f t="shared" si="237"/>
        <v>-117.85288199999999</v>
      </c>
      <c r="D3813">
        <f t="shared" si="238"/>
        <v>58</v>
      </c>
      <c r="E3813">
        <v>10.5</v>
      </c>
      <c r="F3813">
        <f t="shared" si="239"/>
        <v>47.5</v>
      </c>
      <c r="G3813">
        <v>66.757000000000005</v>
      </c>
      <c r="H3813">
        <v>1.5609999999999999</v>
      </c>
      <c r="I3813">
        <v>2.327</v>
      </c>
      <c r="J3813">
        <v>6</v>
      </c>
      <c r="K3813">
        <v>26</v>
      </c>
      <c r="L3813">
        <v>37</v>
      </c>
      <c r="M3813">
        <v>4.431</v>
      </c>
    </row>
    <row r="3814" spans="1:13" ht="15" customHeight="1">
      <c r="A3814" t="s">
        <v>44</v>
      </c>
      <c r="B3814">
        <f t="shared" si="236"/>
        <v>33.709552000000002</v>
      </c>
      <c r="C3814">
        <f t="shared" si="237"/>
        <v>-117.85288199999999</v>
      </c>
      <c r="D3814">
        <f t="shared" si="238"/>
        <v>58</v>
      </c>
      <c r="E3814">
        <v>11.5</v>
      </c>
      <c r="F3814">
        <f t="shared" si="239"/>
        <v>46.5</v>
      </c>
      <c r="G3814">
        <v>78.150000000000006</v>
      </c>
      <c r="H3814">
        <v>2.4820000000000002</v>
      </c>
      <c r="I3814">
        <v>3.157</v>
      </c>
      <c r="J3814">
        <v>6</v>
      </c>
      <c r="K3814">
        <v>30</v>
      </c>
      <c r="L3814">
        <v>40</v>
      </c>
      <c r="M3814">
        <v>5.194</v>
      </c>
    </row>
    <row r="3815" spans="1:13" ht="15" customHeight="1">
      <c r="A3815" t="s">
        <v>44</v>
      </c>
      <c r="B3815">
        <f t="shared" si="236"/>
        <v>33.709552000000002</v>
      </c>
      <c r="C3815">
        <f t="shared" si="237"/>
        <v>-117.85288199999999</v>
      </c>
      <c r="D3815">
        <f t="shared" si="238"/>
        <v>58</v>
      </c>
      <c r="E3815">
        <v>12.5</v>
      </c>
      <c r="F3815">
        <f t="shared" si="239"/>
        <v>45.5</v>
      </c>
      <c r="G3815">
        <v>33.466999999999999</v>
      </c>
      <c r="H3815">
        <v>0.95699999999999996</v>
      </c>
      <c r="I3815">
        <v>2.8210000000000002</v>
      </c>
      <c r="J3815">
        <v>6</v>
      </c>
      <c r="K3815">
        <v>13</v>
      </c>
      <c r="L3815">
        <v>16</v>
      </c>
      <c r="M3815">
        <v>2.2109999999999999</v>
      </c>
    </row>
    <row r="3816" spans="1:13" ht="15" customHeight="1">
      <c r="A3816" t="s">
        <v>44</v>
      </c>
      <c r="B3816">
        <f t="shared" si="236"/>
        <v>33.709552000000002</v>
      </c>
      <c r="C3816">
        <f t="shared" si="237"/>
        <v>-117.85288199999999</v>
      </c>
      <c r="D3816">
        <f t="shared" si="238"/>
        <v>58</v>
      </c>
      <c r="E3816">
        <v>13.5</v>
      </c>
      <c r="F3816">
        <f t="shared" si="239"/>
        <v>44.5</v>
      </c>
      <c r="G3816">
        <v>47.167000000000002</v>
      </c>
      <c r="H3816">
        <v>0.94199999999999995</v>
      </c>
      <c r="I3816">
        <v>1.9730000000000001</v>
      </c>
      <c r="J3816">
        <v>6</v>
      </c>
      <c r="K3816">
        <v>18</v>
      </c>
      <c r="L3816">
        <v>21</v>
      </c>
      <c r="M3816">
        <v>3.1269999999999998</v>
      </c>
    </row>
    <row r="3817" spans="1:13" ht="15" customHeight="1">
      <c r="A3817" t="s">
        <v>44</v>
      </c>
      <c r="B3817">
        <f t="shared" si="236"/>
        <v>33.709552000000002</v>
      </c>
      <c r="C3817">
        <f t="shared" si="237"/>
        <v>-117.85288199999999</v>
      </c>
      <c r="D3817">
        <f t="shared" si="238"/>
        <v>58</v>
      </c>
      <c r="E3817">
        <v>14.5</v>
      </c>
      <c r="F3817">
        <f t="shared" si="239"/>
        <v>43.5</v>
      </c>
      <c r="G3817">
        <v>52.85</v>
      </c>
      <c r="H3817">
        <v>0.88700000000000001</v>
      </c>
      <c r="I3817">
        <v>1.663</v>
      </c>
      <c r="J3817">
        <v>7</v>
      </c>
      <c r="K3817">
        <v>17</v>
      </c>
      <c r="L3817">
        <v>19</v>
      </c>
      <c r="M3817" s="1">
        <v>9000000000</v>
      </c>
    </row>
    <row r="3818" spans="1:13" ht="15" customHeight="1">
      <c r="A3818" t="s">
        <v>44</v>
      </c>
      <c r="B3818">
        <f t="shared" si="236"/>
        <v>33.709552000000002</v>
      </c>
      <c r="C3818">
        <f t="shared" si="237"/>
        <v>-117.85288199999999</v>
      </c>
      <c r="D3818">
        <f t="shared" si="238"/>
        <v>58</v>
      </c>
      <c r="E3818">
        <v>15.5</v>
      </c>
      <c r="F3818">
        <f t="shared" si="239"/>
        <v>42.5</v>
      </c>
      <c r="G3818">
        <v>67.933000000000007</v>
      </c>
      <c r="H3818">
        <v>1.133</v>
      </c>
      <c r="I3818">
        <v>1.65</v>
      </c>
      <c r="J3818">
        <v>7</v>
      </c>
      <c r="K3818">
        <v>22</v>
      </c>
      <c r="L3818">
        <v>23</v>
      </c>
      <c r="M3818" s="1">
        <v>9000000000</v>
      </c>
    </row>
    <row r="3819" spans="1:13" ht="15" customHeight="1">
      <c r="A3819" t="s">
        <v>44</v>
      </c>
      <c r="B3819">
        <f t="shared" si="236"/>
        <v>33.709552000000002</v>
      </c>
      <c r="C3819">
        <f t="shared" si="237"/>
        <v>-117.85288199999999</v>
      </c>
      <c r="D3819">
        <f t="shared" si="238"/>
        <v>58</v>
      </c>
      <c r="E3819">
        <v>16.5</v>
      </c>
      <c r="F3819">
        <f t="shared" si="239"/>
        <v>41.5</v>
      </c>
      <c r="G3819">
        <v>97.266999999999996</v>
      </c>
      <c r="H3819">
        <v>2.15</v>
      </c>
      <c r="I3819">
        <v>2.1779999999999999</v>
      </c>
      <c r="J3819">
        <v>7</v>
      </c>
      <c r="K3819">
        <v>32</v>
      </c>
      <c r="L3819">
        <v>32</v>
      </c>
      <c r="M3819" s="1">
        <v>9000000000</v>
      </c>
    </row>
    <row r="3820" spans="1:13" ht="15" customHeight="1">
      <c r="A3820" t="s">
        <v>44</v>
      </c>
      <c r="B3820">
        <f t="shared" si="236"/>
        <v>33.709552000000002</v>
      </c>
      <c r="C3820">
        <f t="shared" si="237"/>
        <v>-117.85288199999999</v>
      </c>
      <c r="D3820">
        <f t="shared" si="238"/>
        <v>58</v>
      </c>
      <c r="E3820">
        <v>17.5</v>
      </c>
      <c r="F3820">
        <f t="shared" si="239"/>
        <v>40.5</v>
      </c>
      <c r="G3820">
        <v>103.43300000000001</v>
      </c>
      <c r="H3820">
        <v>2.6829999999999998</v>
      </c>
      <c r="I3820">
        <v>2.5790000000000002</v>
      </c>
      <c r="J3820">
        <v>7</v>
      </c>
      <c r="K3820">
        <v>33</v>
      </c>
      <c r="L3820">
        <v>32</v>
      </c>
      <c r="M3820" s="1">
        <v>9000000000</v>
      </c>
    </row>
    <row r="3821" spans="1:13" ht="15" customHeight="1">
      <c r="A3821" t="s">
        <v>44</v>
      </c>
      <c r="B3821">
        <f t="shared" si="236"/>
        <v>33.709552000000002</v>
      </c>
      <c r="C3821">
        <f t="shared" si="237"/>
        <v>-117.85288199999999</v>
      </c>
      <c r="D3821">
        <f t="shared" si="238"/>
        <v>58</v>
      </c>
      <c r="E3821">
        <v>18.5</v>
      </c>
      <c r="F3821">
        <f t="shared" si="239"/>
        <v>39.5</v>
      </c>
      <c r="G3821">
        <v>71.266999999999996</v>
      </c>
      <c r="H3821">
        <v>2.04</v>
      </c>
      <c r="I3821">
        <v>2.8460000000000001</v>
      </c>
      <c r="J3821">
        <v>6</v>
      </c>
      <c r="K3821">
        <v>27</v>
      </c>
      <c r="L3821">
        <v>25</v>
      </c>
      <c r="M3821">
        <v>4.7039999999999997</v>
      </c>
    </row>
    <row r="3822" spans="1:13" ht="15" customHeight="1">
      <c r="A3822" t="s">
        <v>44</v>
      </c>
      <c r="B3822">
        <f t="shared" si="236"/>
        <v>33.709552000000002</v>
      </c>
      <c r="C3822">
        <f t="shared" si="237"/>
        <v>-117.85288199999999</v>
      </c>
      <c r="D3822">
        <f t="shared" si="238"/>
        <v>58</v>
      </c>
      <c r="E3822">
        <v>19.5</v>
      </c>
      <c r="F3822">
        <f t="shared" si="239"/>
        <v>38.5</v>
      </c>
      <c r="G3822">
        <v>57.567</v>
      </c>
      <c r="H3822">
        <v>1.383</v>
      </c>
      <c r="I3822">
        <v>2.379</v>
      </c>
      <c r="J3822">
        <v>6</v>
      </c>
      <c r="K3822">
        <v>22</v>
      </c>
      <c r="L3822">
        <v>19</v>
      </c>
      <c r="M3822">
        <v>3.798</v>
      </c>
    </row>
    <row r="3823" spans="1:13" ht="15" customHeight="1">
      <c r="A3823" t="s">
        <v>44</v>
      </c>
      <c r="B3823">
        <f t="shared" si="236"/>
        <v>33.709552000000002</v>
      </c>
      <c r="C3823">
        <f t="shared" si="237"/>
        <v>-117.85288199999999</v>
      </c>
      <c r="D3823">
        <f t="shared" si="238"/>
        <v>58</v>
      </c>
      <c r="E3823">
        <v>20.5</v>
      </c>
      <c r="F3823">
        <f t="shared" si="239"/>
        <v>37.5</v>
      </c>
      <c r="G3823">
        <v>51.1</v>
      </c>
      <c r="H3823">
        <v>1.0409999999999999</v>
      </c>
      <c r="I3823">
        <v>2.008</v>
      </c>
      <c r="J3823">
        <v>6</v>
      </c>
      <c r="K3823">
        <v>20</v>
      </c>
      <c r="L3823">
        <v>17</v>
      </c>
      <c r="M3823">
        <v>3.375</v>
      </c>
    </row>
    <row r="3824" spans="1:13" ht="15" customHeight="1">
      <c r="A3824" t="s">
        <v>44</v>
      </c>
      <c r="B3824">
        <f t="shared" si="236"/>
        <v>33.709552000000002</v>
      </c>
      <c r="C3824">
        <f t="shared" si="237"/>
        <v>-117.85288199999999</v>
      </c>
      <c r="D3824">
        <f t="shared" si="238"/>
        <v>58</v>
      </c>
      <c r="E3824">
        <v>21.5</v>
      </c>
      <c r="F3824">
        <f t="shared" si="239"/>
        <v>36.5</v>
      </c>
      <c r="G3824">
        <v>79.483000000000004</v>
      </c>
      <c r="H3824">
        <v>1.9419999999999999</v>
      </c>
      <c r="I3824">
        <v>2.4279999999999999</v>
      </c>
      <c r="J3824">
        <v>6</v>
      </c>
      <c r="K3824">
        <v>31</v>
      </c>
      <c r="L3824">
        <v>25</v>
      </c>
      <c r="M3824">
        <v>5.2450000000000001</v>
      </c>
    </row>
    <row r="3825" spans="1:13" ht="15" customHeight="1">
      <c r="A3825" t="s">
        <v>44</v>
      </c>
      <c r="B3825">
        <f t="shared" si="236"/>
        <v>33.709552000000002</v>
      </c>
      <c r="C3825">
        <f t="shared" si="237"/>
        <v>-117.85288199999999</v>
      </c>
      <c r="D3825">
        <f t="shared" si="238"/>
        <v>58</v>
      </c>
      <c r="E3825">
        <v>22.5</v>
      </c>
      <c r="F3825">
        <f t="shared" si="239"/>
        <v>35.5</v>
      </c>
      <c r="G3825">
        <v>31.667000000000002</v>
      </c>
      <c r="H3825">
        <v>1.5049999999999999</v>
      </c>
      <c r="I3825">
        <v>4.6980000000000004</v>
      </c>
      <c r="J3825">
        <v>3</v>
      </c>
      <c r="K3825">
        <v>31</v>
      </c>
      <c r="L3825">
        <v>24</v>
      </c>
      <c r="M3825">
        <v>2.044</v>
      </c>
    </row>
    <row r="3826" spans="1:13" ht="15" customHeight="1">
      <c r="A3826" t="s">
        <v>44</v>
      </c>
      <c r="B3826">
        <f t="shared" si="236"/>
        <v>33.709552000000002</v>
      </c>
      <c r="C3826">
        <f t="shared" si="237"/>
        <v>-117.85288199999999</v>
      </c>
      <c r="D3826">
        <f t="shared" si="238"/>
        <v>58</v>
      </c>
      <c r="E3826">
        <v>23.5</v>
      </c>
      <c r="F3826">
        <f t="shared" si="239"/>
        <v>34.5</v>
      </c>
      <c r="G3826">
        <v>25.65</v>
      </c>
      <c r="H3826">
        <v>1.258</v>
      </c>
      <c r="I3826">
        <v>4.8209999999999997</v>
      </c>
      <c r="J3826">
        <v>3</v>
      </c>
      <c r="K3826">
        <v>25</v>
      </c>
      <c r="L3826">
        <v>19</v>
      </c>
      <c r="M3826">
        <v>1.6439999999999999</v>
      </c>
    </row>
    <row r="3827" spans="1:13" ht="15" customHeight="1">
      <c r="A3827" t="s">
        <v>44</v>
      </c>
      <c r="B3827">
        <f t="shared" si="236"/>
        <v>33.709552000000002</v>
      </c>
      <c r="C3827">
        <f t="shared" si="237"/>
        <v>-117.85288199999999</v>
      </c>
      <c r="D3827">
        <f t="shared" si="238"/>
        <v>58</v>
      </c>
      <c r="E3827">
        <v>24.5</v>
      </c>
      <c r="F3827">
        <f t="shared" si="239"/>
        <v>33.5</v>
      </c>
      <c r="G3827">
        <v>28.766999999999999</v>
      </c>
      <c r="H3827">
        <v>1.4550000000000001</v>
      </c>
      <c r="I3827">
        <v>4.9909999999999997</v>
      </c>
      <c r="J3827">
        <v>3</v>
      </c>
      <c r="K3827">
        <v>28</v>
      </c>
      <c r="L3827">
        <v>21</v>
      </c>
      <c r="M3827">
        <v>1.8440000000000001</v>
      </c>
    </row>
    <row r="3828" spans="1:13" ht="15" customHeight="1">
      <c r="A3828" t="s">
        <v>44</v>
      </c>
      <c r="B3828">
        <f t="shared" si="236"/>
        <v>33.709552000000002</v>
      </c>
      <c r="C3828">
        <f t="shared" si="237"/>
        <v>-117.85288199999999</v>
      </c>
      <c r="D3828">
        <f t="shared" si="238"/>
        <v>58</v>
      </c>
      <c r="E3828">
        <v>25.5</v>
      </c>
      <c r="F3828">
        <f t="shared" si="239"/>
        <v>32.5</v>
      </c>
      <c r="G3828">
        <v>18.917000000000002</v>
      </c>
      <c r="H3828">
        <v>0.878</v>
      </c>
      <c r="I3828">
        <v>4.5549999999999997</v>
      </c>
      <c r="J3828">
        <v>3</v>
      </c>
      <c r="K3828">
        <v>18</v>
      </c>
      <c r="L3828">
        <v>13</v>
      </c>
      <c r="M3828">
        <v>1.1819999999999999</v>
      </c>
    </row>
    <row r="3829" spans="1:13" ht="15" customHeight="1">
      <c r="A3829" t="s">
        <v>44</v>
      </c>
      <c r="B3829">
        <f t="shared" si="236"/>
        <v>33.709552000000002</v>
      </c>
      <c r="C3829">
        <f t="shared" si="237"/>
        <v>-117.85288199999999</v>
      </c>
      <c r="D3829">
        <f t="shared" si="238"/>
        <v>58</v>
      </c>
      <c r="E3829">
        <v>26.5</v>
      </c>
      <c r="F3829">
        <f t="shared" si="239"/>
        <v>31.5</v>
      </c>
      <c r="G3829">
        <v>13.75</v>
      </c>
      <c r="H3829">
        <v>0.59799999999999998</v>
      </c>
      <c r="I3829">
        <v>4.2380000000000004</v>
      </c>
      <c r="J3829">
        <v>3</v>
      </c>
      <c r="K3829">
        <v>14</v>
      </c>
      <c r="L3829">
        <v>10</v>
      </c>
      <c r="M3829">
        <v>0.83299999999999996</v>
      </c>
    </row>
    <row r="3830" spans="1:13" ht="15" customHeight="1">
      <c r="A3830" t="s">
        <v>44</v>
      </c>
      <c r="B3830">
        <f t="shared" si="236"/>
        <v>33.709552000000002</v>
      </c>
      <c r="C3830">
        <f t="shared" si="237"/>
        <v>-117.85288199999999</v>
      </c>
      <c r="D3830">
        <f t="shared" si="238"/>
        <v>58</v>
      </c>
      <c r="E3830">
        <v>27.5</v>
      </c>
      <c r="F3830">
        <f t="shared" si="239"/>
        <v>30.5</v>
      </c>
      <c r="G3830">
        <v>13.583</v>
      </c>
      <c r="H3830">
        <v>0.69299999999999995</v>
      </c>
      <c r="I3830">
        <v>4.9580000000000002</v>
      </c>
      <c r="J3830">
        <v>3</v>
      </c>
      <c r="K3830">
        <v>13</v>
      </c>
      <c r="L3830">
        <v>9</v>
      </c>
      <c r="M3830">
        <v>0.82</v>
      </c>
    </row>
    <row r="3831" spans="1:13" ht="15" customHeight="1">
      <c r="A3831" t="s">
        <v>44</v>
      </c>
      <c r="B3831">
        <f t="shared" si="236"/>
        <v>33.709552000000002</v>
      </c>
      <c r="C3831">
        <f t="shared" si="237"/>
        <v>-117.85288199999999</v>
      </c>
      <c r="D3831">
        <f t="shared" si="238"/>
        <v>58</v>
      </c>
      <c r="E3831">
        <v>28.5</v>
      </c>
      <c r="F3831">
        <f t="shared" si="239"/>
        <v>29.5</v>
      </c>
      <c r="G3831">
        <v>14.733000000000001</v>
      </c>
      <c r="H3831">
        <v>0.84799999999999998</v>
      </c>
      <c r="I3831">
        <v>5.6</v>
      </c>
      <c r="J3831">
        <v>3</v>
      </c>
      <c r="K3831">
        <v>15</v>
      </c>
      <c r="L3831">
        <v>10</v>
      </c>
      <c r="M3831">
        <v>0.89400000000000002</v>
      </c>
    </row>
    <row r="3832" spans="1:13" ht="15" customHeight="1">
      <c r="A3832" t="s">
        <v>44</v>
      </c>
      <c r="B3832">
        <f t="shared" si="236"/>
        <v>33.709552000000002</v>
      </c>
      <c r="C3832">
        <f t="shared" si="237"/>
        <v>-117.85288199999999</v>
      </c>
      <c r="D3832">
        <f t="shared" si="238"/>
        <v>58</v>
      </c>
      <c r="E3832">
        <v>29.5</v>
      </c>
      <c r="F3832">
        <f t="shared" si="239"/>
        <v>28.5</v>
      </c>
      <c r="G3832">
        <v>15.667</v>
      </c>
      <c r="H3832">
        <v>0.84799999999999998</v>
      </c>
      <c r="I3832">
        <v>5.28</v>
      </c>
      <c r="J3832">
        <v>3</v>
      </c>
      <c r="K3832">
        <v>15</v>
      </c>
      <c r="L3832">
        <v>10</v>
      </c>
      <c r="M3832">
        <v>0.95</v>
      </c>
    </row>
    <row r="3833" spans="1:13" ht="15" customHeight="1">
      <c r="A3833" t="s">
        <v>44</v>
      </c>
      <c r="B3833">
        <f t="shared" si="236"/>
        <v>33.709552000000002</v>
      </c>
      <c r="C3833">
        <f t="shared" si="237"/>
        <v>-117.85288199999999</v>
      </c>
      <c r="D3833">
        <f t="shared" si="238"/>
        <v>58</v>
      </c>
      <c r="E3833">
        <v>30.5</v>
      </c>
      <c r="F3833">
        <f t="shared" si="239"/>
        <v>27.5</v>
      </c>
      <c r="G3833">
        <v>15.382999999999999</v>
      </c>
      <c r="H3833">
        <v>0.78300000000000003</v>
      </c>
      <c r="I3833">
        <v>4.9630000000000001</v>
      </c>
      <c r="J3833">
        <v>3</v>
      </c>
      <c r="K3833">
        <v>15</v>
      </c>
      <c r="L3833">
        <v>10</v>
      </c>
      <c r="M3833">
        <v>0.92700000000000005</v>
      </c>
    </row>
    <row r="3834" spans="1:13" ht="15" customHeight="1">
      <c r="A3834" t="s">
        <v>44</v>
      </c>
      <c r="B3834">
        <f t="shared" si="236"/>
        <v>33.709552000000002</v>
      </c>
      <c r="C3834">
        <f t="shared" si="237"/>
        <v>-117.85288199999999</v>
      </c>
      <c r="D3834">
        <f t="shared" si="238"/>
        <v>58</v>
      </c>
      <c r="E3834">
        <v>31.5</v>
      </c>
      <c r="F3834">
        <f t="shared" si="239"/>
        <v>26.5</v>
      </c>
      <c r="G3834">
        <v>16.713999999999999</v>
      </c>
      <c r="H3834">
        <v>0.70699999999999996</v>
      </c>
      <c r="I3834">
        <v>4.1040000000000001</v>
      </c>
      <c r="J3834">
        <v>3</v>
      </c>
      <c r="K3834">
        <v>17</v>
      </c>
      <c r="L3834">
        <v>11</v>
      </c>
      <c r="M3834">
        <v>1.02</v>
      </c>
    </row>
    <row r="3835" spans="1:13" ht="15" customHeight="1">
      <c r="A3835" t="s">
        <v>44</v>
      </c>
      <c r="B3835">
        <f t="shared" si="236"/>
        <v>33.709552000000002</v>
      </c>
      <c r="C3835">
        <f t="shared" si="237"/>
        <v>-117.85288199999999</v>
      </c>
      <c r="D3835">
        <f t="shared" si="238"/>
        <v>58</v>
      </c>
      <c r="E3835">
        <v>32.5</v>
      </c>
      <c r="F3835">
        <f t="shared" si="239"/>
        <v>25.5</v>
      </c>
      <c r="G3835">
        <v>16.283000000000001</v>
      </c>
      <c r="H3835">
        <v>0.64500000000000002</v>
      </c>
      <c r="I3835">
        <v>3.8170000000000002</v>
      </c>
      <c r="J3835">
        <v>4</v>
      </c>
      <c r="K3835">
        <v>11</v>
      </c>
      <c r="L3835">
        <v>7</v>
      </c>
      <c r="M3835">
        <v>0.99399999999999999</v>
      </c>
    </row>
    <row r="3836" spans="1:13" ht="15" customHeight="1">
      <c r="A3836" t="s">
        <v>44</v>
      </c>
      <c r="B3836">
        <f t="shared" si="236"/>
        <v>33.709552000000002</v>
      </c>
      <c r="C3836">
        <f t="shared" si="237"/>
        <v>-117.85288199999999</v>
      </c>
      <c r="D3836">
        <f t="shared" si="238"/>
        <v>58</v>
      </c>
      <c r="E3836">
        <v>33.5</v>
      </c>
      <c r="F3836">
        <f t="shared" si="239"/>
        <v>24.5</v>
      </c>
      <c r="G3836">
        <v>13.733000000000001</v>
      </c>
      <c r="H3836">
        <v>0.52</v>
      </c>
      <c r="I3836">
        <v>3.6190000000000002</v>
      </c>
      <c r="J3836">
        <v>4</v>
      </c>
      <c r="K3836">
        <v>9</v>
      </c>
      <c r="L3836">
        <v>6</v>
      </c>
      <c r="M3836">
        <v>0.82099999999999995</v>
      </c>
    </row>
    <row r="3837" spans="1:13" ht="15" customHeight="1">
      <c r="A3837" t="s">
        <v>44</v>
      </c>
      <c r="B3837">
        <f t="shared" si="236"/>
        <v>33.709552000000002</v>
      </c>
      <c r="C3837">
        <f t="shared" si="237"/>
        <v>-117.85288199999999</v>
      </c>
      <c r="D3837">
        <f t="shared" si="238"/>
        <v>58</v>
      </c>
      <c r="E3837">
        <v>34.5</v>
      </c>
      <c r="F3837">
        <f t="shared" si="239"/>
        <v>23.5</v>
      </c>
      <c r="G3837">
        <v>15.016999999999999</v>
      </c>
      <c r="H3837">
        <v>0.48799999999999999</v>
      </c>
      <c r="I3837">
        <v>3.117</v>
      </c>
      <c r="J3837">
        <v>5</v>
      </c>
      <c r="K3837">
        <v>8</v>
      </c>
      <c r="L3837">
        <v>5</v>
      </c>
      <c r="M3837">
        <v>0.90300000000000002</v>
      </c>
    </row>
    <row r="3838" spans="1:13" ht="15" customHeight="1">
      <c r="A3838" t="s">
        <v>44</v>
      </c>
      <c r="B3838">
        <f t="shared" si="236"/>
        <v>33.709552000000002</v>
      </c>
      <c r="C3838">
        <f t="shared" si="237"/>
        <v>-117.85288199999999</v>
      </c>
      <c r="D3838">
        <f t="shared" si="238"/>
        <v>58</v>
      </c>
      <c r="E3838">
        <v>35.5</v>
      </c>
      <c r="F3838">
        <f t="shared" si="239"/>
        <v>22.5</v>
      </c>
      <c r="G3838">
        <v>14.367000000000001</v>
      </c>
      <c r="H3838">
        <v>0.61499999999999999</v>
      </c>
      <c r="I3838">
        <v>4.0999999999999996</v>
      </c>
      <c r="J3838">
        <v>3</v>
      </c>
      <c r="K3838">
        <v>14</v>
      </c>
      <c r="L3838">
        <v>9</v>
      </c>
      <c r="M3838">
        <v>0.85499999999999998</v>
      </c>
    </row>
    <row r="3839" spans="1:13" ht="15" customHeight="1">
      <c r="A3839" t="s">
        <v>44</v>
      </c>
      <c r="B3839">
        <f t="shared" si="236"/>
        <v>33.709552000000002</v>
      </c>
      <c r="C3839">
        <f t="shared" si="237"/>
        <v>-117.85288199999999</v>
      </c>
      <c r="D3839">
        <f t="shared" si="238"/>
        <v>58</v>
      </c>
      <c r="E3839">
        <v>36.5</v>
      </c>
      <c r="F3839">
        <f t="shared" si="239"/>
        <v>21.5</v>
      </c>
      <c r="G3839">
        <v>15.833</v>
      </c>
      <c r="H3839">
        <v>0.59699999999999998</v>
      </c>
      <c r="I3839">
        <v>3.605</v>
      </c>
      <c r="J3839">
        <v>4</v>
      </c>
      <c r="K3839">
        <v>11</v>
      </c>
      <c r="L3839">
        <v>7</v>
      </c>
      <c r="M3839">
        <v>0.95399999999999996</v>
      </c>
    </row>
    <row r="3840" spans="1:13" ht="15" customHeight="1">
      <c r="A3840" t="s">
        <v>44</v>
      </c>
      <c r="B3840">
        <f t="shared" si="236"/>
        <v>33.709552000000002</v>
      </c>
      <c r="C3840">
        <f t="shared" si="237"/>
        <v>-117.85288199999999</v>
      </c>
      <c r="D3840">
        <f t="shared" si="238"/>
        <v>58</v>
      </c>
      <c r="E3840">
        <v>37.5</v>
      </c>
      <c r="F3840">
        <f t="shared" si="239"/>
        <v>20.5</v>
      </c>
      <c r="G3840">
        <v>16.716999999999999</v>
      </c>
      <c r="H3840">
        <v>0.54800000000000004</v>
      </c>
      <c r="I3840">
        <v>3.1269999999999998</v>
      </c>
      <c r="J3840">
        <v>5</v>
      </c>
      <c r="K3840">
        <v>8</v>
      </c>
      <c r="L3840">
        <v>5</v>
      </c>
      <c r="M3840">
        <v>1.016</v>
      </c>
    </row>
    <row r="3841" spans="1:13" ht="15" customHeight="1">
      <c r="A3841" t="s">
        <v>44</v>
      </c>
      <c r="B3841">
        <f t="shared" si="236"/>
        <v>33.709552000000002</v>
      </c>
      <c r="C3841">
        <f t="shared" si="237"/>
        <v>-117.85288199999999</v>
      </c>
      <c r="D3841">
        <f t="shared" si="238"/>
        <v>58</v>
      </c>
      <c r="E3841">
        <v>38.5</v>
      </c>
      <c r="F3841">
        <f t="shared" si="239"/>
        <v>19.5</v>
      </c>
      <c r="G3841">
        <v>14.05</v>
      </c>
      <c r="H3841">
        <v>0.40500000000000003</v>
      </c>
      <c r="I3841">
        <v>2.7</v>
      </c>
      <c r="J3841">
        <v>5</v>
      </c>
      <c r="K3841">
        <v>7</v>
      </c>
      <c r="L3841">
        <v>4</v>
      </c>
      <c r="M3841">
        <v>0.84299999999999997</v>
      </c>
    </row>
    <row r="3842" spans="1:13" ht="15" customHeight="1">
      <c r="A3842" t="s">
        <v>44</v>
      </c>
      <c r="B3842">
        <f t="shared" ref="B3842:B3905" si="240">VLOOKUP(A3842,XYdata,3,FALSE)</f>
        <v>33.709552000000002</v>
      </c>
      <c r="C3842">
        <f t="shared" ref="C3842:C3905" si="241">VLOOKUP(A3842,XYdata,2,FALSE)</f>
        <v>-117.85288199999999</v>
      </c>
      <c r="D3842">
        <f t="shared" ref="D3842:D3905" si="242">VLOOKUP(A3842,Elevation,2,FALSE)</f>
        <v>58</v>
      </c>
      <c r="E3842">
        <v>39.5</v>
      </c>
      <c r="F3842">
        <f t="shared" si="239"/>
        <v>18.5</v>
      </c>
      <c r="G3842">
        <v>16.850000000000001</v>
      </c>
      <c r="H3842">
        <v>0.61799999999999999</v>
      </c>
      <c r="I3842">
        <v>3.4769999999999999</v>
      </c>
      <c r="J3842">
        <v>4</v>
      </c>
      <c r="K3842">
        <v>11</v>
      </c>
      <c r="L3842">
        <v>7</v>
      </c>
      <c r="M3842">
        <v>1.024</v>
      </c>
    </row>
    <row r="3843" spans="1:13" ht="15" customHeight="1">
      <c r="A3843" t="s">
        <v>44</v>
      </c>
      <c r="B3843">
        <f t="shared" si="240"/>
        <v>33.709552000000002</v>
      </c>
      <c r="C3843">
        <f t="shared" si="241"/>
        <v>-117.85288199999999</v>
      </c>
      <c r="D3843">
        <f t="shared" si="242"/>
        <v>58</v>
      </c>
      <c r="E3843">
        <v>40.5</v>
      </c>
      <c r="F3843">
        <f t="shared" ref="F3843:F3906" si="243">D3843-E3843</f>
        <v>17.5</v>
      </c>
      <c r="G3843">
        <v>19.3</v>
      </c>
      <c r="H3843">
        <v>0.71799999999999997</v>
      </c>
      <c r="I3843">
        <v>3.55</v>
      </c>
      <c r="J3843">
        <v>4</v>
      </c>
      <c r="K3843">
        <v>13</v>
      </c>
      <c r="L3843">
        <v>8</v>
      </c>
      <c r="M3843">
        <v>1.1839999999999999</v>
      </c>
    </row>
    <row r="3844" spans="1:13" ht="15" customHeight="1">
      <c r="A3844" t="s">
        <v>44</v>
      </c>
      <c r="B3844">
        <f t="shared" si="240"/>
        <v>33.709552000000002</v>
      </c>
      <c r="C3844">
        <f t="shared" si="241"/>
        <v>-117.85288199999999</v>
      </c>
      <c r="D3844">
        <f t="shared" si="242"/>
        <v>58</v>
      </c>
      <c r="E3844">
        <v>41.499000000000002</v>
      </c>
      <c r="F3844">
        <f t="shared" si="243"/>
        <v>16.500999999999998</v>
      </c>
      <c r="G3844">
        <v>83.156999999999996</v>
      </c>
      <c r="H3844">
        <v>1.3</v>
      </c>
      <c r="I3844">
        <v>1.556</v>
      </c>
      <c r="J3844">
        <v>7</v>
      </c>
      <c r="K3844">
        <v>27</v>
      </c>
      <c r="L3844">
        <v>16</v>
      </c>
      <c r="M3844" s="1">
        <v>9000000000</v>
      </c>
    </row>
    <row r="3845" spans="1:13" ht="15" customHeight="1">
      <c r="A3845" t="s">
        <v>44</v>
      </c>
      <c r="B3845">
        <f t="shared" si="240"/>
        <v>33.709552000000002</v>
      </c>
      <c r="C3845">
        <f t="shared" si="241"/>
        <v>-117.85288199999999</v>
      </c>
      <c r="D3845">
        <f t="shared" si="242"/>
        <v>58</v>
      </c>
      <c r="E3845">
        <v>42.499000000000002</v>
      </c>
      <c r="F3845">
        <f t="shared" si="243"/>
        <v>15.500999999999998</v>
      </c>
      <c r="G3845">
        <v>29.567</v>
      </c>
      <c r="H3845">
        <v>1.5549999999999999</v>
      </c>
      <c r="I3845">
        <v>5.18</v>
      </c>
      <c r="J3845">
        <v>3</v>
      </c>
      <c r="K3845">
        <v>29</v>
      </c>
      <c r="L3845">
        <v>17</v>
      </c>
      <c r="M3845">
        <v>1.8280000000000001</v>
      </c>
    </row>
    <row r="3846" spans="1:13" ht="15" customHeight="1">
      <c r="A3846" t="s">
        <v>44</v>
      </c>
      <c r="B3846">
        <f t="shared" si="240"/>
        <v>33.709552000000002</v>
      </c>
      <c r="C3846">
        <f t="shared" si="241"/>
        <v>-117.85288199999999</v>
      </c>
      <c r="D3846">
        <f t="shared" si="242"/>
        <v>58</v>
      </c>
      <c r="E3846">
        <v>43.499000000000002</v>
      </c>
      <c r="F3846">
        <f t="shared" si="243"/>
        <v>14.500999999999998</v>
      </c>
      <c r="G3846">
        <v>29.382999999999999</v>
      </c>
      <c r="H3846">
        <v>1.7729999999999999</v>
      </c>
      <c r="I3846">
        <v>5.9370000000000003</v>
      </c>
      <c r="J3846">
        <v>3</v>
      </c>
      <c r="K3846">
        <v>29</v>
      </c>
      <c r="L3846">
        <v>16</v>
      </c>
      <c r="M3846">
        <v>1.8140000000000001</v>
      </c>
    </row>
    <row r="3847" spans="1:13" ht="15" customHeight="1">
      <c r="A3847" t="s">
        <v>44</v>
      </c>
      <c r="B3847">
        <f t="shared" si="240"/>
        <v>33.709552000000002</v>
      </c>
      <c r="C3847">
        <f t="shared" si="241"/>
        <v>-117.85288199999999</v>
      </c>
      <c r="D3847">
        <f t="shared" si="242"/>
        <v>58</v>
      </c>
      <c r="E3847">
        <v>44.499000000000002</v>
      </c>
      <c r="F3847">
        <f t="shared" si="243"/>
        <v>13.500999999999998</v>
      </c>
      <c r="G3847">
        <v>24.832999999999998</v>
      </c>
      <c r="H3847">
        <v>0.60299999999999998</v>
      </c>
      <c r="I3847">
        <v>2.363</v>
      </c>
      <c r="J3847">
        <v>6</v>
      </c>
      <c r="K3847">
        <v>10</v>
      </c>
      <c r="L3847">
        <v>6</v>
      </c>
      <c r="M3847">
        <v>1.5209999999999999</v>
      </c>
    </row>
    <row r="3848" spans="1:13" ht="15" customHeight="1">
      <c r="A3848" t="s">
        <v>44</v>
      </c>
      <c r="B3848">
        <f t="shared" si="240"/>
        <v>33.709552000000002</v>
      </c>
      <c r="C3848">
        <f t="shared" si="241"/>
        <v>-117.85288199999999</v>
      </c>
      <c r="D3848">
        <f t="shared" si="242"/>
        <v>58</v>
      </c>
      <c r="E3848">
        <v>45.499000000000002</v>
      </c>
      <c r="F3848">
        <f t="shared" si="243"/>
        <v>12.500999999999998</v>
      </c>
      <c r="G3848">
        <v>71.75</v>
      </c>
      <c r="H3848">
        <v>1.837</v>
      </c>
      <c r="I3848">
        <v>2.5369999999999999</v>
      </c>
      <c r="J3848">
        <v>6</v>
      </c>
      <c r="K3848">
        <v>28</v>
      </c>
      <c r="L3848">
        <v>16</v>
      </c>
      <c r="M3848">
        <v>4.6399999999999997</v>
      </c>
    </row>
    <row r="3849" spans="1:13" ht="15" customHeight="1">
      <c r="A3849" t="s">
        <v>44</v>
      </c>
      <c r="B3849">
        <f t="shared" si="240"/>
        <v>33.709552000000002</v>
      </c>
      <c r="C3849">
        <f t="shared" si="241"/>
        <v>-117.85288199999999</v>
      </c>
      <c r="D3849">
        <f t="shared" si="242"/>
        <v>58</v>
      </c>
      <c r="E3849">
        <v>46.499000000000002</v>
      </c>
      <c r="F3849">
        <f t="shared" si="243"/>
        <v>11.500999999999998</v>
      </c>
      <c r="G3849">
        <v>205.583</v>
      </c>
      <c r="H3849">
        <v>3.4849999999999999</v>
      </c>
      <c r="I3849">
        <v>1.6930000000000001</v>
      </c>
      <c r="J3849">
        <v>8</v>
      </c>
      <c r="K3849">
        <v>49</v>
      </c>
      <c r="L3849">
        <v>27</v>
      </c>
      <c r="M3849" s="1">
        <v>9000000000</v>
      </c>
    </row>
    <row r="3850" spans="1:13" ht="15" customHeight="1">
      <c r="A3850" t="s">
        <v>44</v>
      </c>
      <c r="B3850">
        <f t="shared" si="240"/>
        <v>33.709552000000002</v>
      </c>
      <c r="C3850">
        <f t="shared" si="241"/>
        <v>-117.85288199999999</v>
      </c>
      <c r="D3850">
        <f t="shared" si="242"/>
        <v>58</v>
      </c>
      <c r="E3850">
        <v>47.499000000000002</v>
      </c>
      <c r="F3850">
        <f t="shared" si="243"/>
        <v>10.500999999999998</v>
      </c>
      <c r="G3850">
        <v>62.067</v>
      </c>
      <c r="H3850">
        <v>2.5379999999999998</v>
      </c>
      <c r="I3850">
        <v>4.0549999999999997</v>
      </c>
      <c r="J3850">
        <v>5</v>
      </c>
      <c r="K3850">
        <v>30</v>
      </c>
      <c r="L3850">
        <v>16</v>
      </c>
      <c r="M3850">
        <v>3.9790000000000001</v>
      </c>
    </row>
    <row r="3851" spans="1:13" ht="15" customHeight="1">
      <c r="A3851" t="s">
        <v>44</v>
      </c>
      <c r="B3851">
        <f t="shared" si="240"/>
        <v>33.709552000000002</v>
      </c>
      <c r="C3851">
        <f t="shared" si="241"/>
        <v>-117.85288199999999</v>
      </c>
      <c r="D3851">
        <f t="shared" si="242"/>
        <v>58</v>
      </c>
      <c r="E3851">
        <v>48.499000000000002</v>
      </c>
      <c r="F3851">
        <f t="shared" si="243"/>
        <v>9.5009999999999977</v>
      </c>
      <c r="G3851">
        <v>23.016999999999999</v>
      </c>
      <c r="H3851">
        <v>0.79700000000000004</v>
      </c>
      <c r="I3851">
        <v>3.34</v>
      </c>
      <c r="J3851">
        <v>5</v>
      </c>
      <c r="K3851">
        <v>11</v>
      </c>
      <c r="L3851">
        <v>6</v>
      </c>
      <c r="M3851">
        <v>1.3919999999999999</v>
      </c>
    </row>
    <row r="3852" spans="1:13" ht="15" customHeight="1">
      <c r="A3852" t="s">
        <v>44</v>
      </c>
      <c r="B3852">
        <f t="shared" si="240"/>
        <v>33.709552000000002</v>
      </c>
      <c r="C3852">
        <f t="shared" si="241"/>
        <v>-117.85288199999999</v>
      </c>
      <c r="D3852">
        <f t="shared" si="242"/>
        <v>58</v>
      </c>
      <c r="E3852">
        <v>49.499000000000002</v>
      </c>
      <c r="F3852">
        <f t="shared" si="243"/>
        <v>8.5009999999999977</v>
      </c>
      <c r="G3852">
        <v>18.832999999999998</v>
      </c>
      <c r="H3852">
        <v>0.58799999999999997</v>
      </c>
      <c r="I3852">
        <v>2.964</v>
      </c>
      <c r="J3852">
        <v>5</v>
      </c>
      <c r="K3852">
        <v>10</v>
      </c>
      <c r="L3852">
        <v>5</v>
      </c>
      <c r="M3852">
        <v>1.121</v>
      </c>
    </row>
    <row r="3853" spans="1:13" ht="15" customHeight="1">
      <c r="A3853" t="s">
        <v>44</v>
      </c>
      <c r="B3853">
        <f t="shared" si="240"/>
        <v>33.709552000000002</v>
      </c>
      <c r="C3853">
        <f t="shared" si="241"/>
        <v>-117.85288199999999</v>
      </c>
      <c r="D3853">
        <f t="shared" si="242"/>
        <v>58</v>
      </c>
      <c r="E3853">
        <v>50.499000000000002</v>
      </c>
      <c r="F3853">
        <f t="shared" si="243"/>
        <v>7.5009999999999977</v>
      </c>
      <c r="G3853">
        <v>19.016999999999999</v>
      </c>
      <c r="H3853">
        <v>0.60199999999999998</v>
      </c>
      <c r="I3853">
        <v>2.9689999999999999</v>
      </c>
      <c r="J3853">
        <v>5</v>
      </c>
      <c r="K3853">
        <v>10</v>
      </c>
      <c r="L3853">
        <v>5</v>
      </c>
      <c r="M3853">
        <v>1.145</v>
      </c>
    </row>
    <row r="3854" spans="1:13" ht="15" customHeight="1">
      <c r="A3854" t="s">
        <v>44</v>
      </c>
      <c r="B3854">
        <f t="shared" si="240"/>
        <v>33.709552000000002</v>
      </c>
      <c r="C3854">
        <f t="shared" si="241"/>
        <v>-117.85288199999999</v>
      </c>
      <c r="D3854">
        <f t="shared" si="242"/>
        <v>58</v>
      </c>
      <c r="E3854">
        <v>51.499000000000002</v>
      </c>
      <c r="F3854">
        <f t="shared" si="243"/>
        <v>6.5009999999999977</v>
      </c>
      <c r="G3854">
        <v>44.05</v>
      </c>
      <c r="H3854">
        <v>1.37</v>
      </c>
      <c r="I3854">
        <v>3.06</v>
      </c>
      <c r="J3854">
        <v>6</v>
      </c>
      <c r="K3854">
        <v>17</v>
      </c>
      <c r="L3854">
        <v>9</v>
      </c>
      <c r="M3854">
        <v>2.774</v>
      </c>
    </row>
    <row r="3855" spans="1:13" ht="15" customHeight="1">
      <c r="A3855" t="s">
        <v>44</v>
      </c>
      <c r="B3855">
        <f t="shared" si="240"/>
        <v>33.709552000000002</v>
      </c>
      <c r="C3855">
        <f t="shared" si="241"/>
        <v>-117.85288199999999</v>
      </c>
      <c r="D3855">
        <f t="shared" si="242"/>
        <v>58</v>
      </c>
      <c r="E3855">
        <v>52.499000000000002</v>
      </c>
      <c r="F3855">
        <f t="shared" si="243"/>
        <v>5.5009999999999977</v>
      </c>
      <c r="G3855">
        <v>38.786000000000001</v>
      </c>
      <c r="H3855">
        <v>1.6</v>
      </c>
      <c r="I3855">
        <v>4.101</v>
      </c>
      <c r="J3855">
        <v>4</v>
      </c>
      <c r="K3855">
        <v>25</v>
      </c>
      <c r="L3855">
        <v>13</v>
      </c>
      <c r="M3855">
        <v>2.3860000000000001</v>
      </c>
    </row>
    <row r="3856" spans="1:13" ht="15" customHeight="1">
      <c r="A3856" t="s">
        <v>44</v>
      </c>
      <c r="B3856">
        <f t="shared" si="240"/>
        <v>33.709552000000002</v>
      </c>
      <c r="C3856">
        <f t="shared" si="241"/>
        <v>-117.85288199999999</v>
      </c>
      <c r="D3856">
        <f t="shared" si="242"/>
        <v>58</v>
      </c>
      <c r="E3856">
        <v>53.499000000000002</v>
      </c>
      <c r="F3856">
        <f t="shared" si="243"/>
        <v>4.5009999999999977</v>
      </c>
      <c r="G3856">
        <v>110.55</v>
      </c>
      <c r="H3856">
        <v>2.4820000000000002</v>
      </c>
      <c r="I3856">
        <v>2.2400000000000002</v>
      </c>
      <c r="J3856">
        <v>7</v>
      </c>
      <c r="K3856">
        <v>35</v>
      </c>
      <c r="L3856">
        <v>18</v>
      </c>
      <c r="M3856" s="1">
        <v>9000000000</v>
      </c>
    </row>
    <row r="3857" spans="1:13" ht="15" customHeight="1">
      <c r="A3857" t="s">
        <v>44</v>
      </c>
      <c r="B3857">
        <f t="shared" si="240"/>
        <v>33.709552000000002</v>
      </c>
      <c r="C3857">
        <f t="shared" si="241"/>
        <v>-117.85288199999999</v>
      </c>
      <c r="D3857">
        <f t="shared" si="242"/>
        <v>58</v>
      </c>
      <c r="E3857">
        <v>54.499000000000002</v>
      </c>
      <c r="F3857">
        <f t="shared" si="243"/>
        <v>3.5009999999999977</v>
      </c>
      <c r="G3857">
        <v>216.75</v>
      </c>
      <c r="H3857">
        <v>1.8080000000000001</v>
      </c>
      <c r="I3857">
        <v>0.83399999999999996</v>
      </c>
      <c r="J3857">
        <v>9</v>
      </c>
      <c r="K3857">
        <v>42</v>
      </c>
      <c r="L3857">
        <v>21</v>
      </c>
      <c r="M3857" s="1">
        <v>9000000000</v>
      </c>
    </row>
    <row r="3858" spans="1:13" ht="15" customHeight="1">
      <c r="A3858" t="s">
        <v>44</v>
      </c>
      <c r="B3858">
        <f t="shared" si="240"/>
        <v>33.709552000000002</v>
      </c>
      <c r="C3858">
        <f t="shared" si="241"/>
        <v>-117.85288199999999</v>
      </c>
      <c r="D3858">
        <f t="shared" si="242"/>
        <v>58</v>
      </c>
      <c r="E3858">
        <v>55.499000000000002</v>
      </c>
      <c r="F3858">
        <f t="shared" si="243"/>
        <v>2.5009999999999977</v>
      </c>
      <c r="G3858">
        <v>278.18299999999999</v>
      </c>
      <c r="H3858">
        <v>1.4830000000000001</v>
      </c>
      <c r="I3858">
        <v>0.53300000000000003</v>
      </c>
      <c r="J3858">
        <v>10</v>
      </c>
      <c r="K3858">
        <v>44</v>
      </c>
      <c r="L3858">
        <v>22</v>
      </c>
      <c r="M3858" s="1">
        <v>9000000000</v>
      </c>
    </row>
    <row r="3859" spans="1:13" ht="15" customHeight="1">
      <c r="A3859" t="s">
        <v>44</v>
      </c>
      <c r="B3859">
        <f t="shared" si="240"/>
        <v>33.709552000000002</v>
      </c>
      <c r="C3859">
        <f t="shared" si="241"/>
        <v>-117.85288199999999</v>
      </c>
      <c r="D3859">
        <f t="shared" si="242"/>
        <v>58</v>
      </c>
      <c r="E3859">
        <v>56.499000000000002</v>
      </c>
      <c r="F3859">
        <f t="shared" si="243"/>
        <v>1.5009999999999977</v>
      </c>
      <c r="G3859">
        <v>300.61700000000002</v>
      </c>
      <c r="H3859">
        <v>1.528</v>
      </c>
      <c r="I3859">
        <v>0.50800000000000001</v>
      </c>
      <c r="J3859">
        <v>10</v>
      </c>
      <c r="K3859">
        <v>48</v>
      </c>
      <c r="L3859">
        <v>24</v>
      </c>
      <c r="M3859" s="1">
        <v>9000000000</v>
      </c>
    </row>
    <row r="3860" spans="1:13" ht="15" customHeight="1">
      <c r="A3860" t="s">
        <v>44</v>
      </c>
      <c r="B3860">
        <f t="shared" si="240"/>
        <v>33.709552000000002</v>
      </c>
      <c r="C3860">
        <f t="shared" si="241"/>
        <v>-117.85288199999999</v>
      </c>
      <c r="D3860">
        <f t="shared" si="242"/>
        <v>58</v>
      </c>
      <c r="E3860">
        <v>57.499000000000002</v>
      </c>
      <c r="F3860">
        <f t="shared" si="243"/>
        <v>0.50099999999999767</v>
      </c>
      <c r="G3860">
        <v>346.41699999999997</v>
      </c>
      <c r="H3860">
        <v>1.5920000000000001</v>
      </c>
      <c r="I3860">
        <v>0.45900000000000002</v>
      </c>
      <c r="J3860">
        <v>10</v>
      </c>
      <c r="K3860">
        <v>55</v>
      </c>
      <c r="L3860">
        <v>28</v>
      </c>
      <c r="M3860" s="1">
        <v>9000000000</v>
      </c>
    </row>
    <row r="3861" spans="1:13" ht="15" customHeight="1">
      <c r="A3861" t="s">
        <v>44</v>
      </c>
      <c r="B3861">
        <f t="shared" si="240"/>
        <v>33.709552000000002</v>
      </c>
      <c r="C3861">
        <f t="shared" si="241"/>
        <v>-117.85288199999999</v>
      </c>
      <c r="D3861">
        <f t="shared" si="242"/>
        <v>58</v>
      </c>
      <c r="E3861">
        <v>58.499000000000002</v>
      </c>
      <c r="F3861">
        <f t="shared" si="243"/>
        <v>-0.49900000000000233</v>
      </c>
      <c r="G3861">
        <v>343.96699999999998</v>
      </c>
      <c r="H3861">
        <v>1.288</v>
      </c>
      <c r="I3861">
        <v>0.374</v>
      </c>
      <c r="J3861">
        <v>10</v>
      </c>
      <c r="K3861">
        <v>55</v>
      </c>
      <c r="L3861">
        <v>28</v>
      </c>
      <c r="M3861" s="1">
        <v>9000000000</v>
      </c>
    </row>
    <row r="3862" spans="1:13" ht="15" customHeight="1">
      <c r="A3862" t="s">
        <v>44</v>
      </c>
      <c r="B3862">
        <f t="shared" si="240"/>
        <v>33.709552000000002</v>
      </c>
      <c r="C3862">
        <f t="shared" si="241"/>
        <v>-117.85288199999999</v>
      </c>
      <c r="D3862">
        <f t="shared" si="242"/>
        <v>58</v>
      </c>
      <c r="E3862">
        <v>59.499000000000002</v>
      </c>
      <c r="F3862">
        <f t="shared" si="243"/>
        <v>-1.4990000000000023</v>
      </c>
      <c r="G3862">
        <v>355.11700000000002</v>
      </c>
      <c r="H3862">
        <v>1.512</v>
      </c>
      <c r="I3862">
        <v>0.42499999999999999</v>
      </c>
      <c r="J3862">
        <v>10</v>
      </c>
      <c r="K3862">
        <v>57</v>
      </c>
      <c r="L3862">
        <v>29</v>
      </c>
      <c r="M3862" s="1">
        <v>9000000000</v>
      </c>
    </row>
    <row r="3863" spans="1:13" ht="15" customHeight="1">
      <c r="A3863" t="s">
        <v>44</v>
      </c>
      <c r="B3863">
        <f t="shared" si="240"/>
        <v>33.709552000000002</v>
      </c>
      <c r="C3863">
        <f t="shared" si="241"/>
        <v>-117.85288199999999</v>
      </c>
      <c r="D3863">
        <f t="shared" si="242"/>
        <v>58</v>
      </c>
      <c r="E3863">
        <v>60.499000000000002</v>
      </c>
      <c r="F3863">
        <f t="shared" si="243"/>
        <v>-2.4990000000000023</v>
      </c>
      <c r="G3863">
        <v>366.93299999999999</v>
      </c>
      <c r="H3863">
        <v>1.645</v>
      </c>
      <c r="I3863">
        <v>0.44800000000000001</v>
      </c>
      <c r="J3863">
        <v>10</v>
      </c>
      <c r="K3863">
        <v>59</v>
      </c>
      <c r="L3863">
        <v>30</v>
      </c>
      <c r="M3863" s="1">
        <v>9000000000</v>
      </c>
    </row>
    <row r="3864" spans="1:13" ht="15" customHeight="1">
      <c r="A3864" t="s">
        <v>44</v>
      </c>
      <c r="B3864">
        <f t="shared" si="240"/>
        <v>33.709552000000002</v>
      </c>
      <c r="C3864">
        <f t="shared" si="241"/>
        <v>-117.85288199999999</v>
      </c>
      <c r="D3864">
        <f t="shared" si="242"/>
        <v>58</v>
      </c>
      <c r="E3864">
        <v>61.499000000000002</v>
      </c>
      <c r="F3864">
        <f t="shared" si="243"/>
        <v>-3.4990000000000023</v>
      </c>
      <c r="G3864">
        <v>368.08300000000003</v>
      </c>
      <c r="H3864">
        <v>1.857</v>
      </c>
      <c r="I3864">
        <v>0.504</v>
      </c>
      <c r="J3864">
        <v>10</v>
      </c>
      <c r="K3864">
        <v>59</v>
      </c>
      <c r="L3864">
        <v>30</v>
      </c>
      <c r="M3864" s="1">
        <v>9000000000</v>
      </c>
    </row>
    <row r="3865" spans="1:13" ht="15" customHeight="1">
      <c r="A3865" t="s">
        <v>44</v>
      </c>
      <c r="B3865">
        <f t="shared" si="240"/>
        <v>33.709552000000002</v>
      </c>
      <c r="C3865">
        <f t="shared" si="241"/>
        <v>-117.85288199999999</v>
      </c>
      <c r="D3865">
        <f t="shared" si="242"/>
        <v>58</v>
      </c>
      <c r="E3865">
        <v>62.499000000000002</v>
      </c>
      <c r="F3865">
        <f t="shared" si="243"/>
        <v>-4.4990000000000023</v>
      </c>
      <c r="G3865">
        <v>356.31400000000002</v>
      </c>
      <c r="H3865">
        <v>1.6839999999999999</v>
      </c>
      <c r="I3865">
        <v>0.47199999999999998</v>
      </c>
      <c r="J3865">
        <v>10</v>
      </c>
      <c r="K3865">
        <v>57</v>
      </c>
      <c r="L3865">
        <v>29</v>
      </c>
      <c r="M3865" s="1">
        <v>9000000000</v>
      </c>
    </row>
    <row r="3866" spans="1:13" ht="15" customHeight="1">
      <c r="A3866" t="s">
        <v>44</v>
      </c>
      <c r="B3866">
        <f t="shared" si="240"/>
        <v>33.709552000000002</v>
      </c>
      <c r="C3866">
        <f t="shared" si="241"/>
        <v>-117.85288199999999</v>
      </c>
      <c r="D3866">
        <f t="shared" si="242"/>
        <v>58</v>
      </c>
      <c r="E3866">
        <v>63.499000000000002</v>
      </c>
      <c r="F3866">
        <f t="shared" si="243"/>
        <v>-5.4990000000000023</v>
      </c>
      <c r="G3866">
        <v>344.88299999999998</v>
      </c>
      <c r="H3866">
        <v>1.6080000000000001</v>
      </c>
      <c r="I3866">
        <v>0.46600000000000003</v>
      </c>
      <c r="J3866">
        <v>10</v>
      </c>
      <c r="K3866">
        <v>55</v>
      </c>
      <c r="L3866">
        <v>28</v>
      </c>
      <c r="M3866" s="1">
        <v>9000000000</v>
      </c>
    </row>
    <row r="3867" spans="1:13" ht="15" customHeight="1">
      <c r="A3867" t="s">
        <v>44</v>
      </c>
      <c r="B3867">
        <f t="shared" si="240"/>
        <v>33.709552000000002</v>
      </c>
      <c r="C3867">
        <f t="shared" si="241"/>
        <v>-117.85288199999999</v>
      </c>
      <c r="D3867">
        <f t="shared" si="242"/>
        <v>58</v>
      </c>
      <c r="E3867">
        <v>64.498999999999995</v>
      </c>
      <c r="F3867">
        <f t="shared" si="243"/>
        <v>-6.4989999999999952</v>
      </c>
      <c r="G3867">
        <v>285.64999999999998</v>
      </c>
      <c r="H3867">
        <v>1.617</v>
      </c>
      <c r="I3867">
        <v>0.56599999999999995</v>
      </c>
      <c r="J3867">
        <v>10</v>
      </c>
      <c r="K3867">
        <v>46</v>
      </c>
      <c r="L3867">
        <v>23</v>
      </c>
      <c r="M3867" s="1">
        <v>9000000000</v>
      </c>
    </row>
    <row r="3868" spans="1:13" ht="15" customHeight="1">
      <c r="A3868" t="s">
        <v>44</v>
      </c>
      <c r="B3868">
        <f t="shared" si="240"/>
        <v>33.709552000000002</v>
      </c>
      <c r="C3868">
        <f t="shared" si="241"/>
        <v>-117.85288199999999</v>
      </c>
      <c r="D3868">
        <f t="shared" si="242"/>
        <v>58</v>
      </c>
      <c r="E3868">
        <v>65.498999999999995</v>
      </c>
      <c r="F3868">
        <f t="shared" si="243"/>
        <v>-7.4989999999999952</v>
      </c>
      <c r="G3868">
        <v>356.483</v>
      </c>
      <c r="H3868">
        <v>2.0030000000000001</v>
      </c>
      <c r="I3868">
        <v>0.56200000000000006</v>
      </c>
      <c r="J3868">
        <v>10</v>
      </c>
      <c r="K3868">
        <v>57</v>
      </c>
      <c r="L3868">
        <v>29</v>
      </c>
      <c r="M3868" s="1">
        <v>9000000000</v>
      </c>
    </row>
    <row r="3869" spans="1:13" ht="15" customHeight="1">
      <c r="A3869" t="s">
        <v>44</v>
      </c>
      <c r="B3869">
        <f t="shared" si="240"/>
        <v>33.709552000000002</v>
      </c>
      <c r="C3869">
        <f t="shared" si="241"/>
        <v>-117.85288199999999</v>
      </c>
      <c r="D3869">
        <f t="shared" si="242"/>
        <v>58</v>
      </c>
      <c r="E3869">
        <v>66.498999999999995</v>
      </c>
      <c r="F3869">
        <f t="shared" si="243"/>
        <v>-8.4989999999999952</v>
      </c>
      <c r="G3869">
        <v>392.4</v>
      </c>
      <c r="H3869">
        <v>2.3849999999999998</v>
      </c>
      <c r="I3869">
        <v>0.60699999999999998</v>
      </c>
      <c r="J3869">
        <v>10</v>
      </c>
      <c r="K3869">
        <v>63</v>
      </c>
      <c r="L3869">
        <v>32</v>
      </c>
      <c r="M3869" s="1">
        <v>9000000000</v>
      </c>
    </row>
    <row r="3870" spans="1:13" ht="15" customHeight="1">
      <c r="A3870" t="s">
        <v>44</v>
      </c>
      <c r="B3870">
        <f t="shared" si="240"/>
        <v>33.709552000000002</v>
      </c>
      <c r="C3870">
        <f t="shared" si="241"/>
        <v>-117.85288199999999</v>
      </c>
      <c r="D3870">
        <f t="shared" si="242"/>
        <v>58</v>
      </c>
      <c r="E3870">
        <v>67.498999999999995</v>
      </c>
      <c r="F3870">
        <f t="shared" si="243"/>
        <v>-9.4989999999999952</v>
      </c>
      <c r="G3870">
        <v>435.91699999999997</v>
      </c>
      <c r="H3870">
        <v>1.57</v>
      </c>
      <c r="I3870">
        <v>0.36</v>
      </c>
      <c r="J3870">
        <v>10</v>
      </c>
      <c r="K3870">
        <v>70</v>
      </c>
      <c r="L3870">
        <v>35</v>
      </c>
      <c r="M3870" s="1">
        <v>9000000000</v>
      </c>
    </row>
    <row r="3871" spans="1:13" ht="15" customHeight="1">
      <c r="A3871" t="s">
        <v>44</v>
      </c>
      <c r="B3871">
        <f t="shared" si="240"/>
        <v>33.709552000000002</v>
      </c>
      <c r="C3871">
        <f t="shared" si="241"/>
        <v>-117.85288199999999</v>
      </c>
      <c r="D3871">
        <f t="shared" si="242"/>
        <v>58</v>
      </c>
      <c r="E3871">
        <v>68.498999999999995</v>
      </c>
      <c r="F3871">
        <f t="shared" si="243"/>
        <v>-10.498999999999995</v>
      </c>
      <c r="G3871">
        <v>427.233</v>
      </c>
      <c r="H3871">
        <v>1.2649999999999999</v>
      </c>
      <c r="I3871">
        <v>0.29599999999999999</v>
      </c>
      <c r="J3871">
        <v>10</v>
      </c>
      <c r="K3871">
        <v>68</v>
      </c>
      <c r="L3871">
        <v>34</v>
      </c>
      <c r="M3871" s="1">
        <v>9000000000</v>
      </c>
    </row>
    <row r="3872" spans="1:13" ht="15" customHeight="1">
      <c r="A3872" t="s">
        <v>44</v>
      </c>
      <c r="B3872">
        <f t="shared" si="240"/>
        <v>33.709552000000002</v>
      </c>
      <c r="C3872">
        <f t="shared" si="241"/>
        <v>-117.85288199999999</v>
      </c>
      <c r="D3872">
        <f t="shared" si="242"/>
        <v>58</v>
      </c>
      <c r="E3872">
        <v>69.498999999999995</v>
      </c>
      <c r="F3872">
        <f t="shared" si="243"/>
        <v>-11.498999999999995</v>
      </c>
      <c r="G3872">
        <v>177.55</v>
      </c>
      <c r="H3872">
        <v>3.1379999999999999</v>
      </c>
      <c r="I3872">
        <v>1.764</v>
      </c>
      <c r="J3872">
        <v>8</v>
      </c>
      <c r="K3872">
        <v>43</v>
      </c>
      <c r="L3872">
        <v>22</v>
      </c>
      <c r="M3872" s="1">
        <v>9000000000</v>
      </c>
    </row>
    <row r="3873" spans="1:13" ht="15" customHeight="1">
      <c r="A3873" t="s">
        <v>44</v>
      </c>
      <c r="B3873">
        <f t="shared" si="240"/>
        <v>33.709552000000002</v>
      </c>
      <c r="C3873">
        <f t="shared" si="241"/>
        <v>-117.85288199999999</v>
      </c>
      <c r="D3873">
        <f t="shared" si="242"/>
        <v>58</v>
      </c>
      <c r="E3873">
        <v>70.498999999999995</v>
      </c>
      <c r="F3873">
        <f t="shared" si="243"/>
        <v>-12.498999999999995</v>
      </c>
      <c r="G3873">
        <v>169.1</v>
      </c>
      <c r="H3873">
        <v>1.748</v>
      </c>
      <c r="I3873">
        <v>1.032</v>
      </c>
      <c r="J3873">
        <v>9</v>
      </c>
      <c r="K3873">
        <v>32</v>
      </c>
      <c r="L3873">
        <v>16</v>
      </c>
      <c r="M3873" s="1">
        <v>9000000000</v>
      </c>
    </row>
    <row r="3874" spans="1:13" ht="15" customHeight="1">
      <c r="A3874" t="s">
        <v>44</v>
      </c>
      <c r="B3874">
        <f t="shared" si="240"/>
        <v>33.709552000000002</v>
      </c>
      <c r="C3874">
        <f t="shared" si="241"/>
        <v>-117.85288199999999</v>
      </c>
      <c r="D3874">
        <f t="shared" si="242"/>
        <v>58</v>
      </c>
      <c r="E3874">
        <v>71.498999999999995</v>
      </c>
      <c r="F3874">
        <f t="shared" si="243"/>
        <v>-13.498999999999995</v>
      </c>
      <c r="G3874">
        <v>29.766999999999999</v>
      </c>
      <c r="H3874">
        <v>0.94199999999999995</v>
      </c>
      <c r="I3874">
        <v>3.0819999999999999</v>
      </c>
      <c r="J3874">
        <v>5</v>
      </c>
      <c r="K3874">
        <v>15</v>
      </c>
      <c r="L3874">
        <v>8</v>
      </c>
      <c r="M3874">
        <v>1.7410000000000001</v>
      </c>
    </row>
    <row r="3875" spans="1:13" ht="15" customHeight="1">
      <c r="A3875" t="s">
        <v>44</v>
      </c>
      <c r="B3875">
        <f t="shared" si="240"/>
        <v>33.709552000000002</v>
      </c>
      <c r="C3875">
        <f t="shared" si="241"/>
        <v>-117.85288199999999</v>
      </c>
      <c r="D3875">
        <f t="shared" si="242"/>
        <v>58</v>
      </c>
      <c r="E3875">
        <v>72.498999999999995</v>
      </c>
      <c r="F3875">
        <f t="shared" si="243"/>
        <v>-14.498999999999995</v>
      </c>
      <c r="G3875">
        <v>23.629000000000001</v>
      </c>
      <c r="H3875">
        <v>1</v>
      </c>
      <c r="I3875">
        <v>3.9460000000000002</v>
      </c>
      <c r="J3875">
        <v>4</v>
      </c>
      <c r="K3875">
        <v>16</v>
      </c>
      <c r="L3875">
        <v>8</v>
      </c>
      <c r="M3875">
        <v>1.389</v>
      </c>
    </row>
    <row r="3876" spans="1:13" ht="15" customHeight="1">
      <c r="A3876" t="s">
        <v>44</v>
      </c>
      <c r="B3876">
        <f t="shared" si="240"/>
        <v>33.709552000000002</v>
      </c>
      <c r="C3876">
        <f t="shared" si="241"/>
        <v>-117.85288199999999</v>
      </c>
      <c r="D3876">
        <f t="shared" si="242"/>
        <v>58</v>
      </c>
      <c r="E3876">
        <v>73.498999999999995</v>
      </c>
      <c r="F3876">
        <f t="shared" si="243"/>
        <v>-15.498999999999995</v>
      </c>
      <c r="G3876">
        <v>25.05</v>
      </c>
      <c r="H3876">
        <v>1.073</v>
      </c>
      <c r="I3876">
        <v>4.0149999999999997</v>
      </c>
      <c r="J3876">
        <v>4</v>
      </c>
      <c r="K3876">
        <v>17</v>
      </c>
      <c r="L3876">
        <v>9</v>
      </c>
      <c r="M3876">
        <v>1.478</v>
      </c>
    </row>
    <row r="3877" spans="1:13" ht="15" customHeight="1">
      <c r="A3877" t="s">
        <v>44</v>
      </c>
      <c r="B3877">
        <f t="shared" si="240"/>
        <v>33.709552000000002</v>
      </c>
      <c r="C3877">
        <f t="shared" si="241"/>
        <v>-117.85288199999999</v>
      </c>
      <c r="D3877">
        <f t="shared" si="242"/>
        <v>58</v>
      </c>
      <c r="E3877">
        <v>74.498999999999995</v>
      </c>
      <c r="F3877">
        <f t="shared" si="243"/>
        <v>-16.498999999999995</v>
      </c>
      <c r="G3877">
        <v>22.417000000000002</v>
      </c>
      <c r="H3877">
        <v>0.72499999999999998</v>
      </c>
      <c r="I3877">
        <v>3.01</v>
      </c>
      <c r="J3877">
        <v>5</v>
      </c>
      <c r="K3877">
        <v>12</v>
      </c>
      <c r="L3877">
        <v>6</v>
      </c>
      <c r="M3877">
        <v>1.2969999999999999</v>
      </c>
    </row>
    <row r="3878" spans="1:13" ht="15" customHeight="1">
      <c r="A3878" t="s">
        <v>44</v>
      </c>
      <c r="B3878">
        <f t="shared" si="240"/>
        <v>33.709552000000002</v>
      </c>
      <c r="C3878">
        <f t="shared" si="241"/>
        <v>-117.85288199999999</v>
      </c>
      <c r="D3878">
        <f t="shared" si="242"/>
        <v>58</v>
      </c>
      <c r="E3878">
        <v>75.498999999999995</v>
      </c>
      <c r="F3878">
        <f t="shared" si="243"/>
        <v>-17.498999999999995</v>
      </c>
      <c r="G3878">
        <v>33.582999999999998</v>
      </c>
      <c r="H3878">
        <v>0.93799999999999994</v>
      </c>
      <c r="I3878">
        <v>2.6520000000000001</v>
      </c>
      <c r="J3878">
        <v>6</v>
      </c>
      <c r="K3878">
        <v>14</v>
      </c>
      <c r="L3878">
        <v>7</v>
      </c>
      <c r="M3878">
        <v>2.0459999999999998</v>
      </c>
    </row>
    <row r="3879" spans="1:13" ht="15" customHeight="1">
      <c r="A3879" t="s">
        <v>44</v>
      </c>
      <c r="B3879">
        <f t="shared" si="240"/>
        <v>33.709552000000002</v>
      </c>
      <c r="C3879">
        <f t="shared" si="241"/>
        <v>-117.85288199999999</v>
      </c>
      <c r="D3879">
        <f t="shared" si="242"/>
        <v>58</v>
      </c>
      <c r="E3879">
        <v>76.498999999999995</v>
      </c>
      <c r="F3879">
        <f t="shared" si="243"/>
        <v>-18.498999999999995</v>
      </c>
      <c r="G3879">
        <v>74.099999999999994</v>
      </c>
      <c r="H3879">
        <v>1.57</v>
      </c>
      <c r="I3879">
        <v>2.1059999999999999</v>
      </c>
      <c r="J3879">
        <v>7</v>
      </c>
      <c r="K3879">
        <v>24</v>
      </c>
      <c r="L3879">
        <v>12</v>
      </c>
      <c r="M3879" s="1">
        <v>9000000000</v>
      </c>
    </row>
    <row r="3880" spans="1:13" ht="15" customHeight="1">
      <c r="A3880" t="s">
        <v>44</v>
      </c>
      <c r="B3880">
        <f t="shared" si="240"/>
        <v>33.709552000000002</v>
      </c>
      <c r="C3880">
        <f t="shared" si="241"/>
        <v>-117.85288199999999</v>
      </c>
      <c r="D3880">
        <f t="shared" si="242"/>
        <v>58</v>
      </c>
      <c r="E3880">
        <v>77.498999999999995</v>
      </c>
      <c r="F3880">
        <f t="shared" si="243"/>
        <v>-19.498999999999995</v>
      </c>
      <c r="G3880">
        <v>182</v>
      </c>
      <c r="H3880">
        <v>1.113</v>
      </c>
      <c r="I3880">
        <v>0.61099999999999999</v>
      </c>
      <c r="J3880">
        <v>9</v>
      </c>
      <c r="K3880">
        <v>35</v>
      </c>
      <c r="L3880">
        <v>18</v>
      </c>
      <c r="M3880" s="1">
        <v>9000000000</v>
      </c>
    </row>
    <row r="3881" spans="1:13" ht="15" customHeight="1">
      <c r="A3881" t="s">
        <v>44</v>
      </c>
      <c r="B3881">
        <f t="shared" si="240"/>
        <v>33.709552000000002</v>
      </c>
      <c r="C3881">
        <f t="shared" si="241"/>
        <v>-117.85288199999999</v>
      </c>
      <c r="D3881">
        <f t="shared" si="242"/>
        <v>58</v>
      </c>
      <c r="E3881">
        <v>78.498999999999995</v>
      </c>
      <c r="F3881">
        <f t="shared" si="243"/>
        <v>-20.498999999999995</v>
      </c>
      <c r="G3881">
        <v>99.966999999999999</v>
      </c>
      <c r="H3881">
        <v>2.2120000000000002</v>
      </c>
      <c r="I3881">
        <v>2.2080000000000002</v>
      </c>
      <c r="J3881">
        <v>7</v>
      </c>
      <c r="K3881">
        <v>32</v>
      </c>
      <c r="L3881">
        <v>16</v>
      </c>
      <c r="M3881" s="1">
        <v>9000000000</v>
      </c>
    </row>
    <row r="3882" spans="1:13" ht="15" customHeight="1">
      <c r="A3882" t="s">
        <v>44</v>
      </c>
      <c r="B3882">
        <f t="shared" si="240"/>
        <v>33.709552000000002</v>
      </c>
      <c r="C3882">
        <f t="shared" si="241"/>
        <v>-117.85288199999999</v>
      </c>
      <c r="D3882">
        <f t="shared" si="242"/>
        <v>58</v>
      </c>
      <c r="E3882">
        <v>79.498999999999995</v>
      </c>
      <c r="F3882">
        <f t="shared" si="243"/>
        <v>-21.498999999999995</v>
      </c>
      <c r="G3882">
        <v>63.75</v>
      </c>
      <c r="H3882">
        <v>2.3530000000000002</v>
      </c>
      <c r="I3882">
        <v>3.681</v>
      </c>
      <c r="J3882">
        <v>5</v>
      </c>
      <c r="K3882">
        <v>31</v>
      </c>
      <c r="L3882">
        <v>16</v>
      </c>
      <c r="M3882">
        <v>3.9329999999999998</v>
      </c>
    </row>
    <row r="3883" spans="1:13" ht="15" customHeight="1">
      <c r="A3883" t="s">
        <v>44</v>
      </c>
      <c r="B3883">
        <f t="shared" si="240"/>
        <v>33.709552000000002</v>
      </c>
      <c r="C3883">
        <f t="shared" si="241"/>
        <v>-117.85288199999999</v>
      </c>
      <c r="D3883">
        <f t="shared" si="242"/>
        <v>58</v>
      </c>
      <c r="E3883">
        <v>80.498999999999995</v>
      </c>
      <c r="F3883">
        <f t="shared" si="243"/>
        <v>-22.498999999999995</v>
      </c>
      <c r="G3883">
        <v>39.517000000000003</v>
      </c>
      <c r="H3883">
        <v>1.597</v>
      </c>
      <c r="I3883">
        <v>4.0129999999999999</v>
      </c>
      <c r="J3883">
        <v>5</v>
      </c>
      <c r="K3883">
        <v>19</v>
      </c>
      <c r="L3883">
        <v>10</v>
      </c>
      <c r="M3883">
        <v>2.319</v>
      </c>
    </row>
    <row r="3884" spans="1:13" ht="15" customHeight="1">
      <c r="A3884" t="s">
        <v>44</v>
      </c>
      <c r="B3884">
        <f t="shared" si="240"/>
        <v>33.709552000000002</v>
      </c>
      <c r="C3884">
        <f t="shared" si="241"/>
        <v>-117.85288199999999</v>
      </c>
      <c r="D3884">
        <f t="shared" si="242"/>
        <v>58</v>
      </c>
      <c r="E3884">
        <v>81.498999999999995</v>
      </c>
      <c r="F3884">
        <f t="shared" si="243"/>
        <v>-23.498999999999995</v>
      </c>
      <c r="G3884">
        <v>34.950000000000003</v>
      </c>
      <c r="H3884">
        <v>1.38</v>
      </c>
      <c r="I3884">
        <v>3.9039999999999999</v>
      </c>
      <c r="J3884">
        <v>5</v>
      </c>
      <c r="K3884">
        <v>17</v>
      </c>
      <c r="L3884">
        <v>9</v>
      </c>
      <c r="M3884">
        <v>2.0190000000000001</v>
      </c>
    </row>
    <row r="3885" spans="1:13" ht="15" customHeight="1">
      <c r="A3885" t="s">
        <v>44</v>
      </c>
      <c r="B3885">
        <f t="shared" si="240"/>
        <v>33.709552000000002</v>
      </c>
      <c r="C3885">
        <f t="shared" si="241"/>
        <v>-117.85288199999999</v>
      </c>
      <c r="D3885">
        <f t="shared" si="242"/>
        <v>58</v>
      </c>
      <c r="E3885">
        <v>82.498999999999995</v>
      </c>
      <c r="F3885">
        <f t="shared" si="243"/>
        <v>-24.498999999999995</v>
      </c>
      <c r="G3885">
        <v>24.667000000000002</v>
      </c>
      <c r="H3885">
        <v>0.73499999999999999</v>
      </c>
      <c r="I3885">
        <v>2.9009999999999998</v>
      </c>
      <c r="J3885">
        <v>5</v>
      </c>
      <c r="K3885">
        <v>12</v>
      </c>
      <c r="L3885">
        <v>6</v>
      </c>
      <c r="M3885">
        <v>1.347</v>
      </c>
    </row>
    <row r="3886" spans="1:13" ht="15" customHeight="1">
      <c r="A3886" t="s">
        <v>44</v>
      </c>
      <c r="B3886">
        <f t="shared" si="240"/>
        <v>33.709552000000002</v>
      </c>
      <c r="C3886">
        <f t="shared" si="241"/>
        <v>-117.85288199999999</v>
      </c>
      <c r="D3886">
        <f t="shared" si="242"/>
        <v>58</v>
      </c>
      <c r="E3886">
        <v>83.498999999999995</v>
      </c>
      <c r="F3886">
        <f t="shared" si="243"/>
        <v>-25.498999999999995</v>
      </c>
      <c r="G3886">
        <v>27.670999999999999</v>
      </c>
      <c r="H3886">
        <v>0.96099999999999997</v>
      </c>
      <c r="I3886">
        <v>3.3069999999999999</v>
      </c>
      <c r="J3886">
        <v>5</v>
      </c>
      <c r="K3886">
        <v>14</v>
      </c>
      <c r="L3886">
        <v>7</v>
      </c>
      <c r="M3886">
        <v>1.5920000000000001</v>
      </c>
    </row>
    <row r="3887" spans="1:13" ht="15" customHeight="1">
      <c r="A3887" t="s">
        <v>44</v>
      </c>
      <c r="B3887">
        <f t="shared" si="240"/>
        <v>33.709552000000002</v>
      </c>
      <c r="C3887">
        <f t="shared" si="241"/>
        <v>-117.85288199999999</v>
      </c>
      <c r="D3887">
        <f t="shared" si="242"/>
        <v>58</v>
      </c>
      <c r="E3887">
        <v>84.498999999999995</v>
      </c>
      <c r="F3887">
        <f t="shared" si="243"/>
        <v>-26.498999999999995</v>
      </c>
      <c r="G3887">
        <v>22.233000000000001</v>
      </c>
      <c r="H3887">
        <v>0.755</v>
      </c>
      <c r="I3887">
        <v>3.1989999999999998</v>
      </c>
      <c r="J3887">
        <v>5</v>
      </c>
      <c r="K3887">
        <v>11</v>
      </c>
      <c r="L3887">
        <v>6</v>
      </c>
      <c r="M3887">
        <v>1.2230000000000001</v>
      </c>
    </row>
    <row r="3888" spans="1:13" ht="15" customHeight="1">
      <c r="A3888" t="s">
        <v>44</v>
      </c>
      <c r="B3888">
        <f t="shared" si="240"/>
        <v>33.709552000000002</v>
      </c>
      <c r="C3888">
        <f t="shared" si="241"/>
        <v>-117.85288199999999</v>
      </c>
      <c r="D3888">
        <f t="shared" si="242"/>
        <v>58</v>
      </c>
      <c r="E3888">
        <v>85.498999999999995</v>
      </c>
      <c r="F3888">
        <f t="shared" si="243"/>
        <v>-27.498999999999995</v>
      </c>
      <c r="G3888">
        <v>21.55</v>
      </c>
      <c r="H3888">
        <v>0.68200000000000005</v>
      </c>
      <c r="I3888">
        <v>2.9239999999999999</v>
      </c>
      <c r="J3888">
        <v>5</v>
      </c>
      <c r="K3888">
        <v>11</v>
      </c>
      <c r="L3888">
        <v>6</v>
      </c>
      <c r="M3888">
        <v>1.2</v>
      </c>
    </row>
    <row r="3889" spans="1:13" ht="15" customHeight="1">
      <c r="A3889" t="s">
        <v>44</v>
      </c>
      <c r="B3889">
        <f t="shared" si="240"/>
        <v>33.709552000000002</v>
      </c>
      <c r="C3889">
        <f t="shared" si="241"/>
        <v>-117.85288199999999</v>
      </c>
      <c r="D3889">
        <f t="shared" si="242"/>
        <v>58</v>
      </c>
      <c r="E3889">
        <v>86.498999999999995</v>
      </c>
      <c r="F3889">
        <f t="shared" si="243"/>
        <v>-28.498999999999995</v>
      </c>
      <c r="G3889">
        <v>20.216999999999999</v>
      </c>
      <c r="H3889">
        <v>0.60799999999999998</v>
      </c>
      <c r="I3889">
        <v>2.74</v>
      </c>
      <c r="J3889">
        <v>5</v>
      </c>
      <c r="K3889">
        <v>11</v>
      </c>
      <c r="L3889">
        <v>6</v>
      </c>
      <c r="M3889">
        <v>1.1220000000000001</v>
      </c>
    </row>
    <row r="3890" spans="1:13" ht="15" customHeight="1">
      <c r="A3890" t="s">
        <v>44</v>
      </c>
      <c r="B3890">
        <f t="shared" si="240"/>
        <v>33.709552000000002</v>
      </c>
      <c r="C3890">
        <f t="shared" si="241"/>
        <v>-117.85288199999999</v>
      </c>
      <c r="D3890">
        <f t="shared" si="242"/>
        <v>58</v>
      </c>
      <c r="E3890">
        <v>87.498999999999995</v>
      </c>
      <c r="F3890">
        <f t="shared" si="243"/>
        <v>-29.498999999999995</v>
      </c>
      <c r="G3890">
        <v>22.3</v>
      </c>
      <c r="H3890">
        <v>0.79800000000000004</v>
      </c>
      <c r="I3890">
        <v>3.319</v>
      </c>
      <c r="J3890">
        <v>5</v>
      </c>
      <c r="K3890">
        <v>12</v>
      </c>
      <c r="L3890">
        <v>6</v>
      </c>
      <c r="M3890">
        <v>1.2410000000000001</v>
      </c>
    </row>
    <row r="3891" spans="1:13" ht="15" customHeight="1">
      <c r="A3891" t="s">
        <v>44</v>
      </c>
      <c r="B3891">
        <f t="shared" si="240"/>
        <v>33.709552000000002</v>
      </c>
      <c r="C3891">
        <f t="shared" si="241"/>
        <v>-117.85288199999999</v>
      </c>
      <c r="D3891">
        <f t="shared" si="242"/>
        <v>58</v>
      </c>
      <c r="E3891">
        <v>88.498999999999995</v>
      </c>
      <c r="F3891">
        <f t="shared" si="243"/>
        <v>-30.498999999999995</v>
      </c>
      <c r="G3891">
        <v>23.783000000000001</v>
      </c>
      <c r="H3891">
        <v>0.88</v>
      </c>
      <c r="I3891">
        <v>3.4620000000000002</v>
      </c>
      <c r="J3891">
        <v>5</v>
      </c>
      <c r="K3891">
        <v>12</v>
      </c>
      <c r="L3891">
        <v>6</v>
      </c>
      <c r="M3891">
        <v>1.3280000000000001</v>
      </c>
    </row>
    <row r="3892" spans="1:13" ht="15" customHeight="1">
      <c r="A3892" t="s">
        <v>44</v>
      </c>
      <c r="B3892">
        <f t="shared" si="240"/>
        <v>33.709552000000002</v>
      </c>
      <c r="C3892">
        <f t="shared" si="241"/>
        <v>-117.85288199999999</v>
      </c>
      <c r="D3892">
        <f t="shared" si="242"/>
        <v>58</v>
      </c>
      <c r="E3892">
        <v>89.498999999999995</v>
      </c>
      <c r="F3892">
        <f t="shared" si="243"/>
        <v>-31.498999999999995</v>
      </c>
      <c r="G3892">
        <v>23.132999999999999</v>
      </c>
      <c r="H3892">
        <v>0.76800000000000002</v>
      </c>
      <c r="I3892">
        <v>3.0790000000000002</v>
      </c>
      <c r="J3892">
        <v>5</v>
      </c>
      <c r="K3892">
        <v>12</v>
      </c>
      <c r="L3892">
        <v>6</v>
      </c>
      <c r="M3892">
        <v>1.2929999999999999</v>
      </c>
    </row>
    <row r="3893" spans="1:13" ht="15" customHeight="1">
      <c r="A3893" t="s">
        <v>44</v>
      </c>
      <c r="B3893">
        <f t="shared" si="240"/>
        <v>33.709552000000002</v>
      </c>
      <c r="C3893">
        <f t="shared" si="241"/>
        <v>-117.85288199999999</v>
      </c>
      <c r="D3893">
        <f t="shared" si="242"/>
        <v>58</v>
      </c>
      <c r="E3893">
        <v>90.498999999999995</v>
      </c>
      <c r="F3893">
        <f t="shared" si="243"/>
        <v>-32.498999999999995</v>
      </c>
      <c r="G3893">
        <v>44.75</v>
      </c>
      <c r="H3893">
        <v>1.6080000000000001</v>
      </c>
      <c r="I3893">
        <v>3.4849999999999999</v>
      </c>
      <c r="J3893">
        <v>5</v>
      </c>
      <c r="K3893">
        <v>22</v>
      </c>
      <c r="L3893">
        <v>11</v>
      </c>
      <c r="M3893">
        <v>2.702</v>
      </c>
    </row>
    <row r="3894" spans="1:13" ht="15" customHeight="1">
      <c r="A3894" t="s">
        <v>44</v>
      </c>
      <c r="B3894">
        <f t="shared" si="240"/>
        <v>33.709552000000002</v>
      </c>
      <c r="C3894">
        <f t="shared" si="241"/>
        <v>-117.85288199999999</v>
      </c>
      <c r="D3894">
        <f t="shared" si="242"/>
        <v>58</v>
      </c>
      <c r="E3894">
        <v>91.498999999999995</v>
      </c>
      <c r="F3894">
        <f t="shared" si="243"/>
        <v>-33.498999999999995</v>
      </c>
      <c r="G3894">
        <v>45.1</v>
      </c>
      <c r="H3894">
        <v>1.5820000000000001</v>
      </c>
      <c r="I3894">
        <v>3.44</v>
      </c>
      <c r="J3894">
        <v>5</v>
      </c>
      <c r="K3894">
        <v>22</v>
      </c>
      <c r="L3894">
        <v>11</v>
      </c>
      <c r="M3894">
        <v>2.6859999999999999</v>
      </c>
    </row>
    <row r="3895" spans="1:13" ht="15" customHeight="1">
      <c r="A3895" t="s">
        <v>44</v>
      </c>
      <c r="B3895">
        <f t="shared" si="240"/>
        <v>33.709552000000002</v>
      </c>
      <c r="C3895">
        <f t="shared" si="241"/>
        <v>-117.85288199999999</v>
      </c>
      <c r="D3895">
        <f t="shared" si="242"/>
        <v>58</v>
      </c>
      <c r="E3895">
        <v>92.498999999999995</v>
      </c>
      <c r="F3895">
        <f t="shared" si="243"/>
        <v>-34.498999999999995</v>
      </c>
      <c r="G3895">
        <v>93.45</v>
      </c>
      <c r="H3895">
        <v>2.988</v>
      </c>
      <c r="I3895">
        <v>3.177</v>
      </c>
      <c r="J3895">
        <v>6</v>
      </c>
      <c r="K3895">
        <v>36</v>
      </c>
      <c r="L3895">
        <v>18</v>
      </c>
      <c r="M3895">
        <v>5.8879999999999999</v>
      </c>
    </row>
    <row r="3896" spans="1:13" ht="15" customHeight="1">
      <c r="A3896" t="s">
        <v>44</v>
      </c>
      <c r="B3896">
        <f t="shared" si="240"/>
        <v>33.709552000000002</v>
      </c>
      <c r="C3896">
        <f t="shared" si="241"/>
        <v>-117.85288199999999</v>
      </c>
      <c r="D3896">
        <f t="shared" si="242"/>
        <v>58</v>
      </c>
      <c r="E3896">
        <v>93.498999999999995</v>
      </c>
      <c r="F3896">
        <f t="shared" si="243"/>
        <v>-35.498999999999995</v>
      </c>
      <c r="G3896">
        <v>223</v>
      </c>
      <c r="H3896">
        <v>2.3010000000000002</v>
      </c>
      <c r="I3896">
        <v>1.0309999999999999</v>
      </c>
      <c r="J3896">
        <v>9</v>
      </c>
      <c r="K3896">
        <v>43</v>
      </c>
      <c r="L3896">
        <v>22</v>
      </c>
      <c r="M3896" s="1">
        <v>9000000000</v>
      </c>
    </row>
    <row r="3897" spans="1:13" ht="15" customHeight="1">
      <c r="A3897" t="s">
        <v>44</v>
      </c>
      <c r="B3897">
        <f t="shared" si="240"/>
        <v>33.709552000000002</v>
      </c>
      <c r="C3897">
        <f t="shared" si="241"/>
        <v>-117.85288199999999</v>
      </c>
      <c r="D3897">
        <f t="shared" si="242"/>
        <v>58</v>
      </c>
      <c r="E3897">
        <v>94.498999999999995</v>
      </c>
      <c r="F3897">
        <f t="shared" si="243"/>
        <v>-36.498999999999995</v>
      </c>
      <c r="G3897">
        <v>248.6</v>
      </c>
      <c r="H3897">
        <v>1.673</v>
      </c>
      <c r="I3897">
        <v>0.67300000000000004</v>
      </c>
      <c r="J3897">
        <v>9</v>
      </c>
      <c r="K3897">
        <v>48</v>
      </c>
      <c r="L3897">
        <v>24</v>
      </c>
      <c r="M3897" s="1">
        <v>9000000000</v>
      </c>
    </row>
    <row r="3898" spans="1:13" ht="15" customHeight="1">
      <c r="A3898" t="s">
        <v>44</v>
      </c>
      <c r="B3898">
        <f t="shared" si="240"/>
        <v>33.709552000000002</v>
      </c>
      <c r="C3898">
        <f t="shared" si="241"/>
        <v>-117.85288199999999</v>
      </c>
      <c r="D3898">
        <f t="shared" si="242"/>
        <v>58</v>
      </c>
      <c r="E3898">
        <v>95.498999999999995</v>
      </c>
      <c r="F3898">
        <f t="shared" si="243"/>
        <v>-37.498999999999995</v>
      </c>
      <c r="G3898">
        <v>318</v>
      </c>
      <c r="H3898">
        <v>1.63</v>
      </c>
      <c r="I3898">
        <v>0.51200000000000001</v>
      </c>
      <c r="J3898">
        <v>10</v>
      </c>
      <c r="K3898">
        <v>51</v>
      </c>
      <c r="L3898">
        <v>26</v>
      </c>
      <c r="M3898" s="1">
        <v>9000000000</v>
      </c>
    </row>
    <row r="3899" spans="1:13" ht="15" customHeight="1">
      <c r="A3899" t="s">
        <v>45</v>
      </c>
      <c r="B3899">
        <f t="shared" si="240"/>
        <v>33.712358000000002</v>
      </c>
      <c r="C3899">
        <f t="shared" si="241"/>
        <v>-117.844087</v>
      </c>
      <c r="D3899">
        <f t="shared" si="242"/>
        <v>62</v>
      </c>
      <c r="E3899">
        <v>0.5</v>
      </c>
      <c r="F3899">
        <f t="shared" si="243"/>
        <v>61.5</v>
      </c>
      <c r="G3899">
        <v>63.116999999999997</v>
      </c>
      <c r="H3899">
        <v>2.4550000000000001</v>
      </c>
      <c r="I3899">
        <v>3.887</v>
      </c>
      <c r="J3899">
        <v>5</v>
      </c>
      <c r="K3899">
        <v>30</v>
      </c>
      <c r="L3899">
        <v>45</v>
      </c>
      <c r="M3899">
        <v>4.2089999999999996</v>
      </c>
    </row>
    <row r="3900" spans="1:13" ht="15" customHeight="1">
      <c r="A3900" t="s">
        <v>45</v>
      </c>
      <c r="B3900">
        <f t="shared" si="240"/>
        <v>33.712358000000002</v>
      </c>
      <c r="C3900">
        <f t="shared" si="241"/>
        <v>-117.844087</v>
      </c>
      <c r="D3900">
        <f t="shared" si="242"/>
        <v>62</v>
      </c>
      <c r="E3900">
        <v>1.5</v>
      </c>
      <c r="F3900">
        <f t="shared" si="243"/>
        <v>60.5</v>
      </c>
      <c r="G3900">
        <v>109.467</v>
      </c>
      <c r="H3900">
        <v>5.9930000000000003</v>
      </c>
      <c r="I3900">
        <v>5.415</v>
      </c>
      <c r="J3900">
        <v>11</v>
      </c>
      <c r="K3900">
        <v>106</v>
      </c>
      <c r="L3900">
        <v>159</v>
      </c>
      <c r="M3900" s="1">
        <v>9000000000</v>
      </c>
    </row>
    <row r="3901" spans="1:13" ht="15" customHeight="1">
      <c r="A3901" t="s">
        <v>45</v>
      </c>
      <c r="B3901">
        <f t="shared" si="240"/>
        <v>33.712358000000002</v>
      </c>
      <c r="C3901">
        <f t="shared" si="241"/>
        <v>-117.844087</v>
      </c>
      <c r="D3901">
        <f t="shared" si="242"/>
        <v>62</v>
      </c>
      <c r="E3901">
        <v>2.5</v>
      </c>
      <c r="F3901">
        <f t="shared" si="243"/>
        <v>59.5</v>
      </c>
      <c r="G3901">
        <v>27.367000000000001</v>
      </c>
      <c r="H3901">
        <v>0.88</v>
      </c>
      <c r="I3901">
        <v>3.218</v>
      </c>
      <c r="J3901">
        <v>5</v>
      </c>
      <c r="K3901">
        <v>13</v>
      </c>
      <c r="L3901">
        <v>20</v>
      </c>
      <c r="M3901">
        <v>1.8129999999999999</v>
      </c>
    </row>
    <row r="3902" spans="1:13" ht="15" customHeight="1">
      <c r="A3902" t="s">
        <v>45</v>
      </c>
      <c r="B3902">
        <f t="shared" si="240"/>
        <v>33.712358000000002</v>
      </c>
      <c r="C3902">
        <f t="shared" si="241"/>
        <v>-117.844087</v>
      </c>
      <c r="D3902">
        <f t="shared" si="242"/>
        <v>62</v>
      </c>
      <c r="E3902">
        <v>3.5</v>
      </c>
      <c r="F3902">
        <f t="shared" si="243"/>
        <v>58.5</v>
      </c>
      <c r="G3902">
        <v>30.733000000000001</v>
      </c>
      <c r="H3902">
        <v>0.498</v>
      </c>
      <c r="I3902">
        <v>1.621</v>
      </c>
      <c r="J3902">
        <v>6</v>
      </c>
      <c r="K3902">
        <v>12</v>
      </c>
      <c r="L3902">
        <v>18</v>
      </c>
      <c r="M3902">
        <v>2.0339999999999998</v>
      </c>
    </row>
    <row r="3903" spans="1:13" ht="15" customHeight="1">
      <c r="A3903" t="s">
        <v>45</v>
      </c>
      <c r="B3903">
        <f t="shared" si="240"/>
        <v>33.712358000000002</v>
      </c>
      <c r="C3903">
        <f t="shared" si="241"/>
        <v>-117.844087</v>
      </c>
      <c r="D3903">
        <f t="shared" si="242"/>
        <v>62</v>
      </c>
      <c r="E3903">
        <v>4.5</v>
      </c>
      <c r="F3903">
        <f t="shared" si="243"/>
        <v>57.5</v>
      </c>
      <c r="G3903">
        <v>21.45</v>
      </c>
      <c r="H3903">
        <v>0.51700000000000002</v>
      </c>
      <c r="I3903">
        <v>2.411</v>
      </c>
      <c r="J3903">
        <v>5</v>
      </c>
      <c r="K3903">
        <v>10</v>
      </c>
      <c r="L3903">
        <v>15</v>
      </c>
      <c r="M3903">
        <v>1.41</v>
      </c>
    </row>
    <row r="3904" spans="1:13" ht="15" customHeight="1">
      <c r="A3904" t="s">
        <v>45</v>
      </c>
      <c r="B3904">
        <f t="shared" si="240"/>
        <v>33.712358000000002</v>
      </c>
      <c r="C3904">
        <f t="shared" si="241"/>
        <v>-117.844087</v>
      </c>
      <c r="D3904">
        <f t="shared" si="242"/>
        <v>62</v>
      </c>
      <c r="E3904">
        <v>5.5</v>
      </c>
      <c r="F3904">
        <f t="shared" si="243"/>
        <v>56.5</v>
      </c>
      <c r="G3904">
        <v>15.3</v>
      </c>
      <c r="H3904">
        <v>0.215</v>
      </c>
      <c r="I3904">
        <v>1.405</v>
      </c>
      <c r="J3904">
        <v>6</v>
      </c>
      <c r="K3904">
        <v>6</v>
      </c>
      <c r="L3904">
        <v>9</v>
      </c>
      <c r="M3904">
        <v>0.997</v>
      </c>
    </row>
    <row r="3905" spans="1:13" ht="15" customHeight="1">
      <c r="A3905" t="s">
        <v>45</v>
      </c>
      <c r="B3905">
        <f t="shared" si="240"/>
        <v>33.712358000000002</v>
      </c>
      <c r="C3905">
        <f t="shared" si="241"/>
        <v>-117.844087</v>
      </c>
      <c r="D3905">
        <f t="shared" si="242"/>
        <v>62</v>
      </c>
      <c r="E3905">
        <v>6.5</v>
      </c>
      <c r="F3905">
        <f t="shared" si="243"/>
        <v>55.5</v>
      </c>
      <c r="G3905">
        <v>21.783000000000001</v>
      </c>
      <c r="H3905">
        <v>0.27</v>
      </c>
      <c r="I3905">
        <v>1.2390000000000001</v>
      </c>
      <c r="J3905">
        <v>6</v>
      </c>
      <c r="K3905">
        <v>8</v>
      </c>
      <c r="L3905">
        <v>12</v>
      </c>
      <c r="M3905">
        <v>1.425</v>
      </c>
    </row>
    <row r="3906" spans="1:13" ht="15" customHeight="1">
      <c r="A3906" t="s">
        <v>45</v>
      </c>
      <c r="B3906">
        <f t="shared" ref="B3906:B3969" si="244">VLOOKUP(A3906,XYdata,3,FALSE)</f>
        <v>33.712358000000002</v>
      </c>
      <c r="C3906">
        <f t="shared" ref="C3906:C3969" si="245">VLOOKUP(A3906,XYdata,2,FALSE)</f>
        <v>-117.844087</v>
      </c>
      <c r="D3906">
        <f t="shared" ref="D3906:D3969" si="246">VLOOKUP(A3906,Elevation,2,FALSE)</f>
        <v>62</v>
      </c>
      <c r="E3906">
        <v>7.5</v>
      </c>
      <c r="F3906">
        <f t="shared" si="243"/>
        <v>54.5</v>
      </c>
      <c r="G3906">
        <v>26.817</v>
      </c>
      <c r="H3906">
        <v>0.84299999999999997</v>
      </c>
      <c r="I3906">
        <v>3.1469999999999998</v>
      </c>
      <c r="J3906">
        <v>5</v>
      </c>
      <c r="K3906">
        <v>13</v>
      </c>
      <c r="L3906">
        <v>20</v>
      </c>
      <c r="M3906">
        <v>1.7549999999999999</v>
      </c>
    </row>
    <row r="3907" spans="1:13" ht="15" customHeight="1">
      <c r="A3907" t="s">
        <v>45</v>
      </c>
      <c r="B3907">
        <f t="shared" si="244"/>
        <v>33.712358000000002</v>
      </c>
      <c r="C3907">
        <f t="shared" si="245"/>
        <v>-117.844087</v>
      </c>
      <c r="D3907">
        <f t="shared" si="246"/>
        <v>62</v>
      </c>
      <c r="E3907">
        <v>8.5</v>
      </c>
      <c r="F3907">
        <f t="shared" ref="F3907:F3970" si="247">D3907-E3907</f>
        <v>53.5</v>
      </c>
      <c r="G3907">
        <v>26.632999999999999</v>
      </c>
      <c r="H3907">
        <v>1.115</v>
      </c>
      <c r="I3907">
        <v>4.1890000000000001</v>
      </c>
      <c r="J3907">
        <v>4</v>
      </c>
      <c r="K3907">
        <v>17</v>
      </c>
      <c r="L3907">
        <v>26</v>
      </c>
      <c r="M3907">
        <v>1.7390000000000001</v>
      </c>
    </row>
    <row r="3908" spans="1:13" ht="15" customHeight="1">
      <c r="A3908" t="s">
        <v>45</v>
      </c>
      <c r="B3908">
        <f t="shared" si="244"/>
        <v>33.712358000000002</v>
      </c>
      <c r="C3908">
        <f t="shared" si="245"/>
        <v>-117.844087</v>
      </c>
      <c r="D3908">
        <f t="shared" si="246"/>
        <v>62</v>
      </c>
      <c r="E3908">
        <v>9.5</v>
      </c>
      <c r="F3908">
        <f t="shared" si="247"/>
        <v>52.5</v>
      </c>
      <c r="G3908">
        <v>21.933</v>
      </c>
      <c r="H3908">
        <v>0.95799999999999996</v>
      </c>
      <c r="I3908">
        <v>4.3689999999999998</v>
      </c>
      <c r="J3908">
        <v>3</v>
      </c>
      <c r="K3908">
        <v>21</v>
      </c>
      <c r="L3908">
        <v>31</v>
      </c>
      <c r="M3908">
        <v>1.4219999999999999</v>
      </c>
    </row>
    <row r="3909" spans="1:13" ht="15" customHeight="1">
      <c r="A3909" t="s">
        <v>45</v>
      </c>
      <c r="B3909">
        <f t="shared" si="244"/>
        <v>33.712358000000002</v>
      </c>
      <c r="C3909">
        <f t="shared" si="245"/>
        <v>-117.844087</v>
      </c>
      <c r="D3909">
        <f t="shared" si="246"/>
        <v>62</v>
      </c>
      <c r="E3909">
        <v>10.5</v>
      </c>
      <c r="F3909">
        <f t="shared" si="247"/>
        <v>51.5</v>
      </c>
      <c r="G3909">
        <v>20.742999999999999</v>
      </c>
      <c r="H3909">
        <v>0.82099999999999995</v>
      </c>
      <c r="I3909">
        <v>3.9660000000000002</v>
      </c>
      <c r="J3909">
        <v>4</v>
      </c>
      <c r="K3909">
        <v>13</v>
      </c>
      <c r="L3909">
        <v>18</v>
      </c>
      <c r="M3909">
        <v>1.337</v>
      </c>
    </row>
    <row r="3910" spans="1:13" ht="15" customHeight="1">
      <c r="A3910" t="s">
        <v>45</v>
      </c>
      <c r="B3910">
        <f t="shared" si="244"/>
        <v>33.712358000000002</v>
      </c>
      <c r="C3910">
        <f t="shared" si="245"/>
        <v>-117.844087</v>
      </c>
      <c r="D3910">
        <f t="shared" si="246"/>
        <v>62</v>
      </c>
      <c r="E3910">
        <v>11.5</v>
      </c>
      <c r="F3910">
        <f t="shared" si="247"/>
        <v>50.5</v>
      </c>
      <c r="G3910">
        <v>14.417</v>
      </c>
      <c r="H3910">
        <v>0.44700000000000001</v>
      </c>
      <c r="I3910">
        <v>3.08</v>
      </c>
      <c r="J3910">
        <v>4</v>
      </c>
      <c r="K3910">
        <v>9</v>
      </c>
      <c r="L3910">
        <v>12</v>
      </c>
      <c r="M3910">
        <v>0.91900000000000004</v>
      </c>
    </row>
    <row r="3911" spans="1:13" ht="15" customHeight="1">
      <c r="A3911" t="s">
        <v>45</v>
      </c>
      <c r="B3911">
        <f t="shared" si="244"/>
        <v>33.712358000000002</v>
      </c>
      <c r="C3911">
        <f t="shared" si="245"/>
        <v>-117.844087</v>
      </c>
      <c r="D3911">
        <f t="shared" si="246"/>
        <v>62</v>
      </c>
      <c r="E3911">
        <v>12.5</v>
      </c>
      <c r="F3911">
        <f t="shared" si="247"/>
        <v>49.5</v>
      </c>
      <c r="G3911">
        <v>10.367000000000001</v>
      </c>
      <c r="H3911">
        <v>0.35</v>
      </c>
      <c r="I3911">
        <v>3.3490000000000002</v>
      </c>
      <c r="J3911">
        <v>4</v>
      </c>
      <c r="K3911">
        <v>7</v>
      </c>
      <c r="L3911">
        <v>8</v>
      </c>
      <c r="M3911">
        <v>0.64500000000000002</v>
      </c>
    </row>
    <row r="3912" spans="1:13" ht="15" customHeight="1">
      <c r="A3912" t="s">
        <v>45</v>
      </c>
      <c r="B3912">
        <f t="shared" si="244"/>
        <v>33.712358000000002</v>
      </c>
      <c r="C3912">
        <f t="shared" si="245"/>
        <v>-117.844087</v>
      </c>
      <c r="D3912">
        <f t="shared" si="246"/>
        <v>62</v>
      </c>
      <c r="E3912">
        <v>13.5</v>
      </c>
      <c r="F3912">
        <f t="shared" si="247"/>
        <v>48.5</v>
      </c>
      <c r="G3912">
        <v>8.1669999999999998</v>
      </c>
      <c r="H3912">
        <v>0.255</v>
      </c>
      <c r="I3912">
        <v>3.0779999999999998</v>
      </c>
      <c r="J3912">
        <v>4</v>
      </c>
      <c r="K3912">
        <v>5</v>
      </c>
      <c r="L3912">
        <v>6</v>
      </c>
      <c r="M3912">
        <v>0.496</v>
      </c>
    </row>
    <row r="3913" spans="1:13" ht="15" customHeight="1">
      <c r="A3913" t="s">
        <v>45</v>
      </c>
      <c r="B3913">
        <f t="shared" si="244"/>
        <v>33.712358000000002</v>
      </c>
      <c r="C3913">
        <f t="shared" si="245"/>
        <v>-117.844087</v>
      </c>
      <c r="D3913">
        <f t="shared" si="246"/>
        <v>62</v>
      </c>
      <c r="E3913">
        <v>14.5</v>
      </c>
      <c r="F3913">
        <f t="shared" si="247"/>
        <v>47.5</v>
      </c>
      <c r="G3913">
        <v>9.5</v>
      </c>
      <c r="H3913">
        <v>0.34799999999999998</v>
      </c>
      <c r="I3913">
        <v>3.6280000000000001</v>
      </c>
      <c r="J3913">
        <v>3</v>
      </c>
      <c r="K3913">
        <v>9</v>
      </c>
      <c r="L3913">
        <v>10</v>
      </c>
      <c r="M3913">
        <v>0.57999999999999996</v>
      </c>
    </row>
    <row r="3914" spans="1:13" ht="15" customHeight="1">
      <c r="A3914" t="s">
        <v>45</v>
      </c>
      <c r="B3914">
        <f t="shared" si="244"/>
        <v>33.712358000000002</v>
      </c>
      <c r="C3914">
        <f t="shared" si="245"/>
        <v>-117.844087</v>
      </c>
      <c r="D3914">
        <f t="shared" si="246"/>
        <v>62</v>
      </c>
      <c r="E3914">
        <v>15.5</v>
      </c>
      <c r="F3914">
        <f t="shared" si="247"/>
        <v>46.5</v>
      </c>
      <c r="G3914">
        <v>11.467000000000001</v>
      </c>
      <c r="H3914">
        <v>0.39800000000000002</v>
      </c>
      <c r="I3914">
        <v>3.444</v>
      </c>
      <c r="J3914">
        <v>4</v>
      </c>
      <c r="K3914">
        <v>7</v>
      </c>
      <c r="L3914">
        <v>7</v>
      </c>
      <c r="M3914">
        <v>0.70699999999999996</v>
      </c>
    </row>
    <row r="3915" spans="1:13" ht="15" customHeight="1">
      <c r="A3915" t="s">
        <v>45</v>
      </c>
      <c r="B3915">
        <f t="shared" si="244"/>
        <v>33.712358000000002</v>
      </c>
      <c r="C3915">
        <f t="shared" si="245"/>
        <v>-117.844087</v>
      </c>
      <c r="D3915">
        <f t="shared" si="246"/>
        <v>62</v>
      </c>
      <c r="E3915">
        <v>16.5</v>
      </c>
      <c r="F3915">
        <f t="shared" si="247"/>
        <v>45.5</v>
      </c>
      <c r="G3915">
        <v>13.4</v>
      </c>
      <c r="H3915">
        <v>0.39700000000000002</v>
      </c>
      <c r="I3915">
        <v>2.92</v>
      </c>
      <c r="J3915">
        <v>5</v>
      </c>
      <c r="K3915">
        <v>7</v>
      </c>
      <c r="L3915">
        <v>7</v>
      </c>
      <c r="M3915">
        <v>0.83799999999999997</v>
      </c>
    </row>
    <row r="3916" spans="1:13" ht="15" customHeight="1">
      <c r="A3916" t="s">
        <v>45</v>
      </c>
      <c r="B3916">
        <f t="shared" si="244"/>
        <v>33.712358000000002</v>
      </c>
      <c r="C3916">
        <f t="shared" si="245"/>
        <v>-117.844087</v>
      </c>
      <c r="D3916">
        <f t="shared" si="246"/>
        <v>62</v>
      </c>
      <c r="E3916">
        <v>17.5</v>
      </c>
      <c r="F3916">
        <f t="shared" si="247"/>
        <v>44.5</v>
      </c>
      <c r="G3916">
        <v>11.917</v>
      </c>
      <c r="H3916">
        <v>0.36299999999999999</v>
      </c>
      <c r="I3916">
        <v>3.0110000000000001</v>
      </c>
      <c r="J3916">
        <v>4</v>
      </c>
      <c r="K3916">
        <v>8</v>
      </c>
      <c r="L3916">
        <v>8</v>
      </c>
      <c r="M3916">
        <v>0.73299999999999998</v>
      </c>
    </row>
    <row r="3917" spans="1:13" ht="15" customHeight="1">
      <c r="A3917" t="s">
        <v>45</v>
      </c>
      <c r="B3917">
        <f t="shared" si="244"/>
        <v>33.712358000000002</v>
      </c>
      <c r="C3917">
        <f t="shared" si="245"/>
        <v>-117.844087</v>
      </c>
      <c r="D3917">
        <f t="shared" si="246"/>
        <v>62</v>
      </c>
      <c r="E3917">
        <v>18.5</v>
      </c>
      <c r="F3917">
        <f t="shared" si="247"/>
        <v>43.5</v>
      </c>
      <c r="G3917">
        <v>15.317</v>
      </c>
      <c r="H3917">
        <v>0.48499999999999999</v>
      </c>
      <c r="I3917">
        <v>3.1320000000000001</v>
      </c>
      <c r="J3917">
        <v>5</v>
      </c>
      <c r="K3917">
        <v>7</v>
      </c>
      <c r="L3917">
        <v>6</v>
      </c>
      <c r="M3917">
        <v>0.95599999999999996</v>
      </c>
    </row>
    <row r="3918" spans="1:13" ht="15" customHeight="1">
      <c r="A3918" t="s">
        <v>45</v>
      </c>
      <c r="B3918">
        <f t="shared" si="244"/>
        <v>33.712358000000002</v>
      </c>
      <c r="C3918">
        <f t="shared" si="245"/>
        <v>-117.844087</v>
      </c>
      <c r="D3918">
        <f t="shared" si="246"/>
        <v>62</v>
      </c>
      <c r="E3918">
        <v>19.5</v>
      </c>
      <c r="F3918">
        <f t="shared" si="247"/>
        <v>42.5</v>
      </c>
      <c r="G3918">
        <v>18.582999999999998</v>
      </c>
      <c r="H3918">
        <v>0.65300000000000002</v>
      </c>
      <c r="I3918">
        <v>3.4780000000000002</v>
      </c>
      <c r="J3918">
        <v>4</v>
      </c>
      <c r="K3918">
        <v>12</v>
      </c>
      <c r="L3918">
        <v>10</v>
      </c>
      <c r="M3918">
        <v>1.1719999999999999</v>
      </c>
    </row>
    <row r="3919" spans="1:13" ht="15" customHeight="1">
      <c r="A3919" t="s">
        <v>45</v>
      </c>
      <c r="B3919">
        <f t="shared" si="244"/>
        <v>33.712358000000002</v>
      </c>
      <c r="C3919">
        <f t="shared" si="245"/>
        <v>-117.844087</v>
      </c>
      <c r="D3919">
        <f t="shared" si="246"/>
        <v>62</v>
      </c>
      <c r="E3919">
        <v>20.5</v>
      </c>
      <c r="F3919">
        <f t="shared" si="247"/>
        <v>41.5</v>
      </c>
      <c r="G3919">
        <v>21.6</v>
      </c>
      <c r="H3919">
        <v>0.82699999999999996</v>
      </c>
      <c r="I3919">
        <v>3.7919999999999998</v>
      </c>
      <c r="J3919">
        <v>4</v>
      </c>
      <c r="K3919">
        <v>14</v>
      </c>
      <c r="L3919">
        <v>12</v>
      </c>
      <c r="M3919">
        <v>1.37</v>
      </c>
    </row>
    <row r="3920" spans="1:13" ht="15" customHeight="1">
      <c r="A3920" t="s">
        <v>45</v>
      </c>
      <c r="B3920">
        <f t="shared" si="244"/>
        <v>33.712358000000002</v>
      </c>
      <c r="C3920">
        <f t="shared" si="245"/>
        <v>-117.844087</v>
      </c>
      <c r="D3920">
        <f t="shared" si="246"/>
        <v>62</v>
      </c>
      <c r="E3920">
        <v>21.5</v>
      </c>
      <c r="F3920">
        <f t="shared" si="247"/>
        <v>40.5</v>
      </c>
      <c r="G3920">
        <v>20.317</v>
      </c>
      <c r="H3920">
        <v>0.71699999999999997</v>
      </c>
      <c r="I3920">
        <v>3.4929999999999999</v>
      </c>
      <c r="J3920">
        <v>5</v>
      </c>
      <c r="K3920">
        <v>10</v>
      </c>
      <c r="L3920">
        <v>8</v>
      </c>
      <c r="M3920">
        <v>1.28</v>
      </c>
    </row>
    <row r="3921" spans="1:13" ht="15" customHeight="1">
      <c r="A3921" t="s">
        <v>45</v>
      </c>
      <c r="B3921">
        <f t="shared" si="244"/>
        <v>33.712358000000002</v>
      </c>
      <c r="C3921">
        <f t="shared" si="245"/>
        <v>-117.844087</v>
      </c>
      <c r="D3921">
        <f t="shared" si="246"/>
        <v>62</v>
      </c>
      <c r="E3921">
        <v>22.5</v>
      </c>
      <c r="F3921">
        <f t="shared" si="247"/>
        <v>39.5</v>
      </c>
      <c r="G3921">
        <v>15.35</v>
      </c>
      <c r="H3921">
        <v>0.63</v>
      </c>
      <c r="I3921">
        <v>4.056</v>
      </c>
      <c r="J3921">
        <v>3</v>
      </c>
      <c r="K3921">
        <v>15</v>
      </c>
      <c r="L3921">
        <v>12</v>
      </c>
      <c r="M3921">
        <v>0.94299999999999995</v>
      </c>
    </row>
    <row r="3922" spans="1:13" ht="15" customHeight="1">
      <c r="A3922" t="s">
        <v>45</v>
      </c>
      <c r="B3922">
        <f t="shared" si="244"/>
        <v>33.712358000000002</v>
      </c>
      <c r="C3922">
        <f t="shared" si="245"/>
        <v>-117.844087</v>
      </c>
      <c r="D3922">
        <f t="shared" si="246"/>
        <v>62</v>
      </c>
      <c r="E3922">
        <v>23.5</v>
      </c>
      <c r="F3922">
        <f t="shared" si="247"/>
        <v>38.5</v>
      </c>
      <c r="G3922">
        <v>14.117000000000001</v>
      </c>
      <c r="H3922">
        <v>0.48</v>
      </c>
      <c r="I3922">
        <v>3.3570000000000002</v>
      </c>
      <c r="J3922">
        <v>4</v>
      </c>
      <c r="K3922">
        <v>9</v>
      </c>
      <c r="L3922">
        <v>7</v>
      </c>
      <c r="M3922">
        <v>0.85699999999999998</v>
      </c>
    </row>
    <row r="3923" spans="1:13" ht="15" customHeight="1">
      <c r="A3923" t="s">
        <v>45</v>
      </c>
      <c r="B3923">
        <f t="shared" si="244"/>
        <v>33.712358000000002</v>
      </c>
      <c r="C3923">
        <f t="shared" si="245"/>
        <v>-117.844087</v>
      </c>
      <c r="D3923">
        <f t="shared" si="246"/>
        <v>62</v>
      </c>
      <c r="E3923">
        <v>24.5</v>
      </c>
      <c r="F3923">
        <f t="shared" si="247"/>
        <v>37.5</v>
      </c>
      <c r="G3923">
        <v>13.717000000000001</v>
      </c>
      <c r="H3923">
        <v>0.40699999999999997</v>
      </c>
      <c r="I3923">
        <v>2.9430000000000001</v>
      </c>
      <c r="J3923">
        <v>5</v>
      </c>
      <c r="K3923">
        <v>7</v>
      </c>
      <c r="L3923">
        <v>5</v>
      </c>
      <c r="M3923">
        <v>0.82099999999999995</v>
      </c>
    </row>
    <row r="3924" spans="1:13" ht="15" customHeight="1">
      <c r="A3924" t="s">
        <v>45</v>
      </c>
      <c r="B3924">
        <f t="shared" si="244"/>
        <v>33.712358000000002</v>
      </c>
      <c r="C3924">
        <f t="shared" si="245"/>
        <v>-117.844087</v>
      </c>
      <c r="D3924">
        <f t="shared" si="246"/>
        <v>62</v>
      </c>
      <c r="E3924">
        <v>25.5</v>
      </c>
      <c r="F3924">
        <f t="shared" si="247"/>
        <v>36.5</v>
      </c>
      <c r="G3924">
        <v>13.5</v>
      </c>
      <c r="H3924">
        <v>0.51300000000000001</v>
      </c>
      <c r="I3924">
        <v>3.7749999999999999</v>
      </c>
      <c r="J3924">
        <v>4</v>
      </c>
      <c r="K3924">
        <v>9</v>
      </c>
      <c r="L3924">
        <v>6</v>
      </c>
      <c r="M3924">
        <v>0.80200000000000005</v>
      </c>
    </row>
    <row r="3925" spans="1:13" ht="15" customHeight="1">
      <c r="A3925" t="s">
        <v>45</v>
      </c>
      <c r="B3925">
        <f t="shared" si="244"/>
        <v>33.712358000000002</v>
      </c>
      <c r="C3925">
        <f t="shared" si="245"/>
        <v>-117.844087</v>
      </c>
      <c r="D3925">
        <f t="shared" si="246"/>
        <v>62</v>
      </c>
      <c r="E3925">
        <v>26.5</v>
      </c>
      <c r="F3925">
        <f t="shared" si="247"/>
        <v>35.5</v>
      </c>
      <c r="G3925">
        <v>11.5</v>
      </c>
      <c r="H3925">
        <v>0.56000000000000005</v>
      </c>
      <c r="I3925">
        <v>4.8280000000000003</v>
      </c>
      <c r="J3925">
        <v>3</v>
      </c>
      <c r="K3925">
        <v>11</v>
      </c>
      <c r="L3925">
        <v>8</v>
      </c>
      <c r="M3925">
        <v>0.66500000000000004</v>
      </c>
    </row>
    <row r="3926" spans="1:13" ht="15" customHeight="1">
      <c r="A3926" t="s">
        <v>45</v>
      </c>
      <c r="B3926">
        <f t="shared" si="244"/>
        <v>33.712358000000002</v>
      </c>
      <c r="C3926">
        <f t="shared" si="245"/>
        <v>-117.844087</v>
      </c>
      <c r="D3926">
        <f t="shared" si="246"/>
        <v>62</v>
      </c>
      <c r="E3926">
        <v>27.5</v>
      </c>
      <c r="F3926">
        <f t="shared" si="247"/>
        <v>34.5</v>
      </c>
      <c r="G3926">
        <v>15.65</v>
      </c>
      <c r="H3926">
        <v>0.71199999999999997</v>
      </c>
      <c r="I3926">
        <v>4.5279999999999996</v>
      </c>
      <c r="J3926">
        <v>3</v>
      </c>
      <c r="K3926">
        <v>15</v>
      </c>
      <c r="L3926">
        <v>10</v>
      </c>
      <c r="M3926">
        <v>0.93500000000000005</v>
      </c>
    </row>
    <row r="3927" spans="1:13" ht="15" customHeight="1">
      <c r="A3927" t="s">
        <v>45</v>
      </c>
      <c r="B3927">
        <f t="shared" si="244"/>
        <v>33.712358000000002</v>
      </c>
      <c r="C3927">
        <f t="shared" si="245"/>
        <v>-117.844087</v>
      </c>
      <c r="D3927">
        <f t="shared" si="246"/>
        <v>62</v>
      </c>
      <c r="E3927">
        <v>28.5</v>
      </c>
      <c r="F3927">
        <f t="shared" si="247"/>
        <v>33.5</v>
      </c>
      <c r="G3927">
        <v>9.6829999999999998</v>
      </c>
      <c r="H3927">
        <v>0.34200000000000003</v>
      </c>
      <c r="I3927">
        <v>3.504</v>
      </c>
      <c r="J3927">
        <v>3</v>
      </c>
      <c r="K3927">
        <v>9</v>
      </c>
      <c r="L3927">
        <v>6</v>
      </c>
      <c r="M3927">
        <v>0.53300000000000003</v>
      </c>
    </row>
    <row r="3928" spans="1:13" ht="15" customHeight="1">
      <c r="A3928" t="s">
        <v>45</v>
      </c>
      <c r="B3928">
        <f t="shared" si="244"/>
        <v>33.712358000000002</v>
      </c>
      <c r="C3928">
        <f t="shared" si="245"/>
        <v>-117.844087</v>
      </c>
      <c r="D3928">
        <f t="shared" si="246"/>
        <v>62</v>
      </c>
      <c r="E3928">
        <v>29.5</v>
      </c>
      <c r="F3928">
        <f t="shared" si="247"/>
        <v>32.5</v>
      </c>
      <c r="G3928">
        <v>7.7329999999999997</v>
      </c>
      <c r="H3928">
        <v>0.23200000000000001</v>
      </c>
      <c r="I3928">
        <v>2.97</v>
      </c>
      <c r="J3928">
        <v>4</v>
      </c>
      <c r="K3928">
        <v>5</v>
      </c>
      <c r="L3928">
        <v>3</v>
      </c>
      <c r="M3928">
        <v>0.39900000000000002</v>
      </c>
    </row>
    <row r="3929" spans="1:13" ht="15" customHeight="1">
      <c r="A3929" t="s">
        <v>45</v>
      </c>
      <c r="B3929">
        <f t="shared" si="244"/>
        <v>33.712358000000002</v>
      </c>
      <c r="C3929">
        <f t="shared" si="245"/>
        <v>-117.844087</v>
      </c>
      <c r="D3929">
        <f t="shared" si="246"/>
        <v>62</v>
      </c>
      <c r="E3929">
        <v>30.5</v>
      </c>
      <c r="F3929">
        <f t="shared" si="247"/>
        <v>31.5</v>
      </c>
      <c r="G3929">
        <v>13.25</v>
      </c>
      <c r="H3929">
        <v>0.307</v>
      </c>
      <c r="I3929">
        <v>2.2909999999999999</v>
      </c>
      <c r="J3929">
        <v>5</v>
      </c>
      <c r="K3929">
        <v>6</v>
      </c>
      <c r="L3929">
        <v>4</v>
      </c>
      <c r="M3929">
        <v>0.76800000000000002</v>
      </c>
    </row>
    <row r="3930" spans="1:13" ht="15" customHeight="1">
      <c r="A3930" t="s">
        <v>45</v>
      </c>
      <c r="B3930">
        <f t="shared" si="244"/>
        <v>33.712358000000002</v>
      </c>
      <c r="C3930">
        <f t="shared" si="245"/>
        <v>-117.844087</v>
      </c>
      <c r="D3930">
        <f t="shared" si="246"/>
        <v>62</v>
      </c>
      <c r="E3930">
        <v>31.5</v>
      </c>
      <c r="F3930">
        <f t="shared" si="247"/>
        <v>30.5</v>
      </c>
      <c r="G3930">
        <v>20.2</v>
      </c>
      <c r="H3930">
        <v>0.80400000000000005</v>
      </c>
      <c r="I3930">
        <v>3.968</v>
      </c>
      <c r="J3930">
        <v>4</v>
      </c>
      <c r="K3930">
        <v>13</v>
      </c>
      <c r="L3930">
        <v>9</v>
      </c>
      <c r="M3930">
        <v>1.2230000000000001</v>
      </c>
    </row>
    <row r="3931" spans="1:13" ht="15" customHeight="1">
      <c r="A3931" t="s">
        <v>45</v>
      </c>
      <c r="B3931">
        <f t="shared" si="244"/>
        <v>33.712358000000002</v>
      </c>
      <c r="C3931">
        <f t="shared" si="245"/>
        <v>-117.844087</v>
      </c>
      <c r="D3931">
        <f t="shared" si="246"/>
        <v>62</v>
      </c>
      <c r="E3931">
        <v>32.5</v>
      </c>
      <c r="F3931">
        <f t="shared" si="247"/>
        <v>29.5</v>
      </c>
      <c r="G3931">
        <v>13.967000000000001</v>
      </c>
      <c r="H3931">
        <v>0.43</v>
      </c>
      <c r="I3931">
        <v>3.05</v>
      </c>
      <c r="J3931">
        <v>4</v>
      </c>
      <c r="K3931">
        <v>9</v>
      </c>
      <c r="L3931">
        <v>6</v>
      </c>
      <c r="M3931">
        <v>0.80700000000000005</v>
      </c>
    </row>
    <row r="3932" spans="1:13" ht="15" customHeight="1">
      <c r="A3932" t="s">
        <v>45</v>
      </c>
      <c r="B3932">
        <f t="shared" si="244"/>
        <v>33.712358000000002</v>
      </c>
      <c r="C3932">
        <f t="shared" si="245"/>
        <v>-117.844087</v>
      </c>
      <c r="D3932">
        <f t="shared" si="246"/>
        <v>62</v>
      </c>
      <c r="E3932">
        <v>33.5</v>
      </c>
      <c r="F3932">
        <f t="shared" si="247"/>
        <v>28.5</v>
      </c>
      <c r="G3932">
        <v>25.733000000000001</v>
      </c>
      <c r="H3932">
        <v>0.70699999999999996</v>
      </c>
      <c r="I3932">
        <v>2.7589999999999999</v>
      </c>
      <c r="J3932">
        <v>5</v>
      </c>
      <c r="K3932">
        <v>12</v>
      </c>
      <c r="L3932">
        <v>8</v>
      </c>
      <c r="M3932">
        <v>1.571</v>
      </c>
    </row>
    <row r="3933" spans="1:13" ht="15" customHeight="1">
      <c r="A3933" t="s">
        <v>45</v>
      </c>
      <c r="B3933">
        <f t="shared" si="244"/>
        <v>33.712358000000002</v>
      </c>
      <c r="C3933">
        <f t="shared" si="245"/>
        <v>-117.844087</v>
      </c>
      <c r="D3933">
        <f t="shared" si="246"/>
        <v>62</v>
      </c>
      <c r="E3933">
        <v>34.5</v>
      </c>
      <c r="F3933">
        <f t="shared" si="247"/>
        <v>27.5</v>
      </c>
      <c r="G3933">
        <v>28.016999999999999</v>
      </c>
      <c r="H3933">
        <v>0.97</v>
      </c>
      <c r="I3933">
        <v>3.47</v>
      </c>
      <c r="J3933">
        <v>5</v>
      </c>
      <c r="K3933">
        <v>13</v>
      </c>
      <c r="L3933">
        <v>8</v>
      </c>
      <c r="M3933">
        <v>1.7230000000000001</v>
      </c>
    </row>
    <row r="3934" spans="1:13" ht="15" customHeight="1">
      <c r="A3934" t="s">
        <v>45</v>
      </c>
      <c r="B3934">
        <f t="shared" si="244"/>
        <v>33.712358000000002</v>
      </c>
      <c r="C3934">
        <f t="shared" si="245"/>
        <v>-117.844087</v>
      </c>
      <c r="D3934">
        <f t="shared" si="246"/>
        <v>62</v>
      </c>
      <c r="E3934">
        <v>35.5</v>
      </c>
      <c r="F3934">
        <f t="shared" si="247"/>
        <v>26.5</v>
      </c>
      <c r="G3934">
        <v>21.983000000000001</v>
      </c>
      <c r="H3934">
        <v>0.83699999999999997</v>
      </c>
      <c r="I3934">
        <v>3.82</v>
      </c>
      <c r="J3934">
        <v>4</v>
      </c>
      <c r="K3934">
        <v>14</v>
      </c>
      <c r="L3934">
        <v>9</v>
      </c>
      <c r="M3934">
        <v>1.3149999999999999</v>
      </c>
    </row>
    <row r="3935" spans="1:13" ht="15" customHeight="1">
      <c r="A3935" t="s">
        <v>45</v>
      </c>
      <c r="B3935">
        <f t="shared" si="244"/>
        <v>33.712358000000002</v>
      </c>
      <c r="C3935">
        <f t="shared" si="245"/>
        <v>-117.844087</v>
      </c>
      <c r="D3935">
        <f t="shared" si="246"/>
        <v>62</v>
      </c>
      <c r="E3935">
        <v>36.5</v>
      </c>
      <c r="F3935">
        <f t="shared" si="247"/>
        <v>25.5</v>
      </c>
      <c r="G3935">
        <v>18.2</v>
      </c>
      <c r="H3935">
        <v>0.41699999999999998</v>
      </c>
      <c r="I3935">
        <v>2.2959999999999998</v>
      </c>
      <c r="J3935">
        <v>5</v>
      </c>
      <c r="K3935">
        <v>9</v>
      </c>
      <c r="L3935">
        <v>6</v>
      </c>
      <c r="M3935">
        <v>1.0609999999999999</v>
      </c>
    </row>
    <row r="3936" spans="1:13" ht="15" customHeight="1">
      <c r="A3936" t="s">
        <v>45</v>
      </c>
      <c r="B3936">
        <f t="shared" si="244"/>
        <v>33.712358000000002</v>
      </c>
      <c r="C3936">
        <f t="shared" si="245"/>
        <v>-117.844087</v>
      </c>
      <c r="D3936">
        <f t="shared" si="246"/>
        <v>62</v>
      </c>
      <c r="E3936">
        <v>37.5</v>
      </c>
      <c r="F3936">
        <f t="shared" si="247"/>
        <v>24.5</v>
      </c>
      <c r="G3936">
        <v>26.382999999999999</v>
      </c>
      <c r="H3936">
        <v>0.86299999999999999</v>
      </c>
      <c r="I3936">
        <v>3.2810000000000001</v>
      </c>
      <c r="J3936">
        <v>5</v>
      </c>
      <c r="K3936">
        <v>13</v>
      </c>
      <c r="L3936">
        <v>8</v>
      </c>
      <c r="M3936">
        <v>1.601</v>
      </c>
    </row>
    <row r="3937" spans="1:13" ht="15" customHeight="1">
      <c r="A3937" t="s">
        <v>45</v>
      </c>
      <c r="B3937">
        <f t="shared" si="244"/>
        <v>33.712358000000002</v>
      </c>
      <c r="C3937">
        <f t="shared" si="245"/>
        <v>-117.844087</v>
      </c>
      <c r="D3937">
        <f t="shared" si="246"/>
        <v>62</v>
      </c>
      <c r="E3937">
        <v>38.5</v>
      </c>
      <c r="F3937">
        <f t="shared" si="247"/>
        <v>23.5</v>
      </c>
      <c r="G3937">
        <v>35.883000000000003</v>
      </c>
      <c r="H3937">
        <v>1.363</v>
      </c>
      <c r="I3937">
        <v>3.806</v>
      </c>
      <c r="J3937">
        <v>5</v>
      </c>
      <c r="K3937">
        <v>17</v>
      </c>
      <c r="L3937">
        <v>10</v>
      </c>
      <c r="M3937">
        <v>2.23</v>
      </c>
    </row>
    <row r="3938" spans="1:13" ht="15" customHeight="1">
      <c r="A3938" t="s">
        <v>45</v>
      </c>
      <c r="B3938">
        <f t="shared" si="244"/>
        <v>33.712358000000002</v>
      </c>
      <c r="C3938">
        <f t="shared" si="245"/>
        <v>-117.844087</v>
      </c>
      <c r="D3938">
        <f t="shared" si="246"/>
        <v>62</v>
      </c>
      <c r="E3938">
        <v>39.5</v>
      </c>
      <c r="F3938">
        <f t="shared" si="247"/>
        <v>22.5</v>
      </c>
      <c r="G3938">
        <v>82.216999999999999</v>
      </c>
      <c r="H3938">
        <v>2.6269999999999998</v>
      </c>
      <c r="I3938">
        <v>3.1989999999999998</v>
      </c>
      <c r="J3938">
        <v>6</v>
      </c>
      <c r="K3938">
        <v>31</v>
      </c>
      <c r="L3938">
        <v>18</v>
      </c>
      <c r="M3938">
        <v>5.3120000000000003</v>
      </c>
    </row>
    <row r="3939" spans="1:13" ht="15" customHeight="1">
      <c r="A3939" t="s">
        <v>45</v>
      </c>
      <c r="B3939">
        <f t="shared" si="244"/>
        <v>33.712358000000002</v>
      </c>
      <c r="C3939">
        <f t="shared" si="245"/>
        <v>-117.844087</v>
      </c>
      <c r="D3939">
        <f t="shared" si="246"/>
        <v>62</v>
      </c>
      <c r="E3939">
        <v>40.5</v>
      </c>
      <c r="F3939">
        <f t="shared" si="247"/>
        <v>21.5</v>
      </c>
      <c r="G3939">
        <v>101.68300000000001</v>
      </c>
      <c r="H3939">
        <v>2.258</v>
      </c>
      <c r="I3939">
        <v>2.2250000000000001</v>
      </c>
      <c r="J3939">
        <v>7</v>
      </c>
      <c r="K3939">
        <v>32</v>
      </c>
      <c r="L3939">
        <v>19</v>
      </c>
      <c r="M3939" s="1">
        <v>9000000000</v>
      </c>
    </row>
    <row r="3940" spans="1:13" ht="15" customHeight="1">
      <c r="A3940" t="s">
        <v>45</v>
      </c>
      <c r="B3940">
        <f t="shared" si="244"/>
        <v>33.712358000000002</v>
      </c>
      <c r="C3940">
        <f t="shared" si="245"/>
        <v>-117.844087</v>
      </c>
      <c r="D3940">
        <f t="shared" si="246"/>
        <v>62</v>
      </c>
      <c r="E3940">
        <v>41.499000000000002</v>
      </c>
      <c r="F3940">
        <f t="shared" si="247"/>
        <v>20.500999999999998</v>
      </c>
      <c r="G3940">
        <v>122.643</v>
      </c>
      <c r="H3940">
        <v>4.6139999999999999</v>
      </c>
      <c r="I3940">
        <v>3.766</v>
      </c>
      <c r="J3940">
        <v>6</v>
      </c>
      <c r="K3940">
        <v>47</v>
      </c>
      <c r="L3940">
        <v>27</v>
      </c>
      <c r="M3940">
        <v>7.9989999999999997</v>
      </c>
    </row>
    <row r="3941" spans="1:13" ht="15" customHeight="1">
      <c r="A3941" t="s">
        <v>45</v>
      </c>
      <c r="B3941">
        <f t="shared" si="244"/>
        <v>33.712358000000002</v>
      </c>
      <c r="C3941">
        <f t="shared" si="245"/>
        <v>-117.844087</v>
      </c>
      <c r="D3941">
        <f t="shared" si="246"/>
        <v>62</v>
      </c>
      <c r="E3941">
        <v>42.499000000000002</v>
      </c>
      <c r="F3941">
        <f t="shared" si="247"/>
        <v>19.500999999999998</v>
      </c>
      <c r="G3941">
        <v>38.700000000000003</v>
      </c>
      <c r="H3941">
        <v>1.405</v>
      </c>
      <c r="I3941">
        <v>3.645</v>
      </c>
      <c r="J3941">
        <v>5</v>
      </c>
      <c r="K3941">
        <v>18</v>
      </c>
      <c r="L3941">
        <v>10</v>
      </c>
      <c r="M3941">
        <v>2.3959999999999999</v>
      </c>
    </row>
    <row r="3942" spans="1:13" ht="15" customHeight="1">
      <c r="A3942" t="s">
        <v>45</v>
      </c>
      <c r="B3942">
        <f t="shared" si="244"/>
        <v>33.712358000000002</v>
      </c>
      <c r="C3942">
        <f t="shared" si="245"/>
        <v>-117.844087</v>
      </c>
      <c r="D3942">
        <f t="shared" si="246"/>
        <v>62</v>
      </c>
      <c r="E3942">
        <v>43.499000000000002</v>
      </c>
      <c r="F3942">
        <f t="shared" si="247"/>
        <v>18.500999999999998</v>
      </c>
      <c r="G3942">
        <v>43.582999999999998</v>
      </c>
      <c r="H3942">
        <v>1.867</v>
      </c>
      <c r="I3942">
        <v>4.2930000000000001</v>
      </c>
      <c r="J3942">
        <v>4</v>
      </c>
      <c r="K3942">
        <v>28</v>
      </c>
      <c r="L3942">
        <v>16</v>
      </c>
      <c r="M3942">
        <v>2.7210000000000001</v>
      </c>
    </row>
    <row r="3943" spans="1:13" ht="15" customHeight="1">
      <c r="A3943" t="s">
        <v>45</v>
      </c>
      <c r="B3943">
        <f t="shared" si="244"/>
        <v>33.712358000000002</v>
      </c>
      <c r="C3943">
        <f t="shared" si="245"/>
        <v>-117.844087</v>
      </c>
      <c r="D3943">
        <f t="shared" si="246"/>
        <v>62</v>
      </c>
      <c r="E3943">
        <v>44.499000000000002</v>
      </c>
      <c r="F3943">
        <f t="shared" si="247"/>
        <v>17.500999999999998</v>
      </c>
      <c r="G3943">
        <v>68.7</v>
      </c>
      <c r="H3943">
        <v>2.8879999999999999</v>
      </c>
      <c r="I3943">
        <v>4.2119999999999997</v>
      </c>
      <c r="J3943">
        <v>5</v>
      </c>
      <c r="K3943">
        <v>33</v>
      </c>
      <c r="L3943">
        <v>18</v>
      </c>
      <c r="M3943">
        <v>4.3890000000000002</v>
      </c>
    </row>
    <row r="3944" spans="1:13" ht="15" customHeight="1">
      <c r="A3944" t="s">
        <v>45</v>
      </c>
      <c r="B3944">
        <f t="shared" si="244"/>
        <v>33.712358000000002</v>
      </c>
      <c r="C3944">
        <f t="shared" si="245"/>
        <v>-117.844087</v>
      </c>
      <c r="D3944">
        <f t="shared" si="246"/>
        <v>62</v>
      </c>
      <c r="E3944">
        <v>45.499000000000002</v>
      </c>
      <c r="F3944">
        <f t="shared" si="247"/>
        <v>16.500999999999998</v>
      </c>
      <c r="G3944">
        <v>51.783000000000001</v>
      </c>
      <c r="H3944">
        <v>2.508</v>
      </c>
      <c r="I3944">
        <v>4.8550000000000004</v>
      </c>
      <c r="J3944">
        <v>4</v>
      </c>
      <c r="K3944">
        <v>33</v>
      </c>
      <c r="L3944">
        <v>18</v>
      </c>
      <c r="M3944">
        <v>3.258</v>
      </c>
    </row>
    <row r="3945" spans="1:13" ht="15" customHeight="1">
      <c r="A3945" t="s">
        <v>45</v>
      </c>
      <c r="B3945">
        <f t="shared" si="244"/>
        <v>33.712358000000002</v>
      </c>
      <c r="C3945">
        <f t="shared" si="245"/>
        <v>-117.844087</v>
      </c>
      <c r="D3945">
        <f t="shared" si="246"/>
        <v>62</v>
      </c>
      <c r="E3945">
        <v>46.499000000000002</v>
      </c>
      <c r="F3945">
        <f t="shared" si="247"/>
        <v>15.500999999999998</v>
      </c>
      <c r="G3945">
        <v>58.633000000000003</v>
      </c>
      <c r="H3945">
        <v>2.4279999999999999</v>
      </c>
      <c r="I3945">
        <v>4.1509999999999998</v>
      </c>
      <c r="J3945">
        <v>5</v>
      </c>
      <c r="K3945">
        <v>28</v>
      </c>
      <c r="L3945">
        <v>15</v>
      </c>
      <c r="M3945">
        <v>3.71</v>
      </c>
    </row>
    <row r="3946" spans="1:13" ht="15" customHeight="1">
      <c r="A3946" t="s">
        <v>45</v>
      </c>
      <c r="B3946">
        <f t="shared" si="244"/>
        <v>33.712358000000002</v>
      </c>
      <c r="C3946">
        <f t="shared" si="245"/>
        <v>-117.844087</v>
      </c>
      <c r="D3946">
        <f t="shared" si="246"/>
        <v>62</v>
      </c>
      <c r="E3946">
        <v>47.499000000000002</v>
      </c>
      <c r="F3946">
        <f t="shared" si="247"/>
        <v>14.500999999999998</v>
      </c>
      <c r="G3946">
        <v>88.332999999999998</v>
      </c>
      <c r="H3946">
        <v>2.5680000000000001</v>
      </c>
      <c r="I3946">
        <v>2.9129999999999998</v>
      </c>
      <c r="J3946">
        <v>6</v>
      </c>
      <c r="K3946">
        <v>34</v>
      </c>
      <c r="L3946">
        <v>18</v>
      </c>
      <c r="M3946">
        <v>5.6829999999999998</v>
      </c>
    </row>
    <row r="3947" spans="1:13" ht="15" customHeight="1">
      <c r="A3947" t="s">
        <v>45</v>
      </c>
      <c r="B3947">
        <f t="shared" si="244"/>
        <v>33.712358000000002</v>
      </c>
      <c r="C3947">
        <f t="shared" si="245"/>
        <v>-117.844087</v>
      </c>
      <c r="D3947">
        <f t="shared" si="246"/>
        <v>62</v>
      </c>
      <c r="E3947">
        <v>48.499000000000002</v>
      </c>
      <c r="F3947">
        <f t="shared" si="247"/>
        <v>13.500999999999998</v>
      </c>
      <c r="G3947">
        <v>131.35</v>
      </c>
      <c r="H3947">
        <v>4.76</v>
      </c>
      <c r="I3947">
        <v>3.629</v>
      </c>
      <c r="J3947">
        <v>6</v>
      </c>
      <c r="K3947">
        <v>50</v>
      </c>
      <c r="L3947">
        <v>27</v>
      </c>
      <c r="M3947">
        <v>8.5459999999999994</v>
      </c>
    </row>
    <row r="3948" spans="1:13" ht="15" customHeight="1">
      <c r="A3948" t="s">
        <v>45</v>
      </c>
      <c r="B3948">
        <f t="shared" si="244"/>
        <v>33.712358000000002</v>
      </c>
      <c r="C3948">
        <f t="shared" si="245"/>
        <v>-117.844087</v>
      </c>
      <c r="D3948">
        <f t="shared" si="246"/>
        <v>62</v>
      </c>
      <c r="E3948">
        <v>49.499000000000002</v>
      </c>
      <c r="F3948">
        <f t="shared" si="247"/>
        <v>12.500999999999998</v>
      </c>
      <c r="G3948">
        <v>67.25</v>
      </c>
      <c r="H3948">
        <v>2.3580000000000001</v>
      </c>
      <c r="I3948">
        <v>3.516</v>
      </c>
      <c r="J3948">
        <v>5</v>
      </c>
      <c r="K3948">
        <v>32</v>
      </c>
      <c r="L3948">
        <v>17</v>
      </c>
      <c r="M3948">
        <v>4.2679999999999998</v>
      </c>
    </row>
    <row r="3949" spans="1:13" ht="15" customHeight="1">
      <c r="A3949" t="s">
        <v>45</v>
      </c>
      <c r="B3949">
        <f t="shared" si="244"/>
        <v>33.712358000000002</v>
      </c>
      <c r="C3949">
        <f t="shared" si="245"/>
        <v>-117.844087</v>
      </c>
      <c r="D3949">
        <f t="shared" si="246"/>
        <v>62</v>
      </c>
      <c r="E3949">
        <v>50.499000000000002</v>
      </c>
      <c r="F3949">
        <f t="shared" si="247"/>
        <v>11.500999999999998</v>
      </c>
      <c r="G3949">
        <v>119.533</v>
      </c>
      <c r="H3949">
        <v>3.1619999999999999</v>
      </c>
      <c r="I3949">
        <v>2.649</v>
      </c>
      <c r="J3949">
        <v>7</v>
      </c>
      <c r="K3949">
        <v>38</v>
      </c>
      <c r="L3949">
        <v>20</v>
      </c>
      <c r="M3949" s="1">
        <v>9000000000</v>
      </c>
    </row>
    <row r="3950" spans="1:13" ht="15" customHeight="1">
      <c r="A3950" t="s">
        <v>45</v>
      </c>
      <c r="B3950">
        <f t="shared" si="244"/>
        <v>33.712358000000002</v>
      </c>
      <c r="C3950">
        <f t="shared" si="245"/>
        <v>-117.844087</v>
      </c>
      <c r="D3950">
        <f t="shared" si="246"/>
        <v>62</v>
      </c>
      <c r="E3950">
        <v>51.499000000000002</v>
      </c>
      <c r="F3950">
        <f t="shared" si="247"/>
        <v>10.500999999999998</v>
      </c>
      <c r="G3950">
        <v>144.68299999999999</v>
      </c>
      <c r="H3950">
        <v>3.4079999999999999</v>
      </c>
      <c r="I3950">
        <v>2.359</v>
      </c>
      <c r="J3950">
        <v>7</v>
      </c>
      <c r="K3950">
        <v>46</v>
      </c>
      <c r="L3950">
        <v>24</v>
      </c>
      <c r="M3950" s="1">
        <v>9000000000</v>
      </c>
    </row>
    <row r="3951" spans="1:13" ht="15" customHeight="1">
      <c r="A3951" t="s">
        <v>45</v>
      </c>
      <c r="B3951">
        <f t="shared" si="244"/>
        <v>33.712358000000002</v>
      </c>
      <c r="C3951">
        <f t="shared" si="245"/>
        <v>-117.844087</v>
      </c>
      <c r="D3951">
        <f t="shared" si="246"/>
        <v>62</v>
      </c>
      <c r="E3951">
        <v>52.499000000000002</v>
      </c>
      <c r="F3951">
        <f t="shared" si="247"/>
        <v>9.5009999999999977</v>
      </c>
      <c r="G3951">
        <v>192.029</v>
      </c>
      <c r="H3951">
        <v>5.2759999999999998</v>
      </c>
      <c r="I3951">
        <v>2.75</v>
      </c>
      <c r="J3951">
        <v>7</v>
      </c>
      <c r="K3951">
        <v>61</v>
      </c>
      <c r="L3951">
        <v>31</v>
      </c>
      <c r="M3951" s="1">
        <v>9000000000</v>
      </c>
    </row>
    <row r="3952" spans="1:13" ht="15" customHeight="1">
      <c r="A3952" t="s">
        <v>45</v>
      </c>
      <c r="B3952">
        <f t="shared" si="244"/>
        <v>33.712358000000002</v>
      </c>
      <c r="C3952">
        <f t="shared" si="245"/>
        <v>-117.844087</v>
      </c>
      <c r="D3952">
        <f t="shared" si="246"/>
        <v>62</v>
      </c>
      <c r="E3952">
        <v>53.499000000000002</v>
      </c>
      <c r="F3952">
        <f t="shared" si="247"/>
        <v>8.5009999999999977</v>
      </c>
      <c r="G3952">
        <v>181.333</v>
      </c>
      <c r="H3952">
        <v>4.883</v>
      </c>
      <c r="I3952">
        <v>2.6960000000000002</v>
      </c>
      <c r="J3952">
        <v>7</v>
      </c>
      <c r="K3952">
        <v>58</v>
      </c>
      <c r="L3952">
        <v>30</v>
      </c>
      <c r="M3952" s="1">
        <v>9000000000</v>
      </c>
    </row>
    <row r="3953" spans="1:13" ht="15" customHeight="1">
      <c r="A3953" t="s">
        <v>45</v>
      </c>
      <c r="B3953">
        <f t="shared" si="244"/>
        <v>33.712358000000002</v>
      </c>
      <c r="C3953">
        <f t="shared" si="245"/>
        <v>-117.844087</v>
      </c>
      <c r="D3953">
        <f t="shared" si="246"/>
        <v>62</v>
      </c>
      <c r="E3953">
        <v>54.499000000000002</v>
      </c>
      <c r="F3953">
        <f t="shared" si="247"/>
        <v>7.5009999999999977</v>
      </c>
      <c r="G3953">
        <v>26.5</v>
      </c>
      <c r="H3953">
        <v>1.3819999999999999</v>
      </c>
      <c r="I3953">
        <v>5.2530000000000001</v>
      </c>
      <c r="J3953">
        <v>3</v>
      </c>
      <c r="K3953">
        <v>25</v>
      </c>
      <c r="L3953">
        <v>13</v>
      </c>
      <c r="M3953">
        <v>1.53</v>
      </c>
    </row>
    <row r="3954" spans="1:13" ht="15" customHeight="1">
      <c r="A3954" t="s">
        <v>45</v>
      </c>
      <c r="B3954">
        <f t="shared" si="244"/>
        <v>33.712358000000002</v>
      </c>
      <c r="C3954">
        <f t="shared" si="245"/>
        <v>-117.844087</v>
      </c>
      <c r="D3954">
        <f t="shared" si="246"/>
        <v>62</v>
      </c>
      <c r="E3954">
        <v>55.499000000000002</v>
      </c>
      <c r="F3954">
        <f t="shared" si="247"/>
        <v>6.5009999999999977</v>
      </c>
      <c r="G3954">
        <v>19.216999999999999</v>
      </c>
      <c r="H3954">
        <v>0.65500000000000003</v>
      </c>
      <c r="I3954">
        <v>3.444</v>
      </c>
      <c r="J3954">
        <v>4</v>
      </c>
      <c r="K3954">
        <v>12</v>
      </c>
      <c r="L3954">
        <v>6</v>
      </c>
      <c r="M3954">
        <v>1.0409999999999999</v>
      </c>
    </row>
    <row r="3955" spans="1:13" ht="15" customHeight="1">
      <c r="A3955" t="s">
        <v>45</v>
      </c>
      <c r="B3955">
        <f t="shared" si="244"/>
        <v>33.712358000000002</v>
      </c>
      <c r="C3955">
        <f t="shared" si="245"/>
        <v>-117.844087</v>
      </c>
      <c r="D3955">
        <f t="shared" si="246"/>
        <v>62</v>
      </c>
      <c r="E3955">
        <v>56.499000000000002</v>
      </c>
      <c r="F3955">
        <f t="shared" si="247"/>
        <v>5.5009999999999977</v>
      </c>
      <c r="G3955">
        <v>20.082999999999998</v>
      </c>
      <c r="H3955">
        <v>0.67200000000000004</v>
      </c>
      <c r="I3955">
        <v>3.375</v>
      </c>
      <c r="J3955">
        <v>5</v>
      </c>
      <c r="K3955">
        <v>10</v>
      </c>
      <c r="L3955">
        <v>5</v>
      </c>
      <c r="M3955">
        <v>1.095</v>
      </c>
    </row>
    <row r="3956" spans="1:13" ht="15" customHeight="1">
      <c r="A3956" t="s">
        <v>45</v>
      </c>
      <c r="B3956">
        <f t="shared" si="244"/>
        <v>33.712358000000002</v>
      </c>
      <c r="C3956">
        <f t="shared" si="245"/>
        <v>-117.844087</v>
      </c>
      <c r="D3956">
        <f t="shared" si="246"/>
        <v>62</v>
      </c>
      <c r="E3956">
        <v>57.499000000000002</v>
      </c>
      <c r="F3956">
        <f t="shared" si="247"/>
        <v>4.5009999999999977</v>
      </c>
      <c r="G3956">
        <v>21.733000000000001</v>
      </c>
      <c r="H3956">
        <v>0.85799999999999998</v>
      </c>
      <c r="I3956">
        <v>3.9860000000000002</v>
      </c>
      <c r="J3956">
        <v>4</v>
      </c>
      <c r="K3956">
        <v>14</v>
      </c>
      <c r="L3956">
        <v>7</v>
      </c>
      <c r="M3956">
        <v>1.2</v>
      </c>
    </row>
    <row r="3957" spans="1:13" ht="15" customHeight="1">
      <c r="A3957" t="s">
        <v>45</v>
      </c>
      <c r="B3957">
        <f t="shared" si="244"/>
        <v>33.712358000000002</v>
      </c>
      <c r="C3957">
        <f t="shared" si="245"/>
        <v>-117.844087</v>
      </c>
      <c r="D3957">
        <f t="shared" si="246"/>
        <v>62</v>
      </c>
      <c r="E3957">
        <v>58.499000000000002</v>
      </c>
      <c r="F3957">
        <f t="shared" si="247"/>
        <v>3.5009999999999977</v>
      </c>
      <c r="G3957">
        <v>24.082999999999998</v>
      </c>
      <c r="H3957">
        <v>0.72499999999999998</v>
      </c>
      <c r="I3957">
        <v>3.036</v>
      </c>
      <c r="J3957">
        <v>5</v>
      </c>
      <c r="K3957">
        <v>11</v>
      </c>
      <c r="L3957">
        <v>6</v>
      </c>
      <c r="M3957">
        <v>1.353</v>
      </c>
    </row>
    <row r="3958" spans="1:13" ht="15" customHeight="1">
      <c r="A3958" t="s">
        <v>45</v>
      </c>
      <c r="B3958">
        <f t="shared" si="244"/>
        <v>33.712358000000002</v>
      </c>
      <c r="C3958">
        <f t="shared" si="245"/>
        <v>-117.844087</v>
      </c>
      <c r="D3958">
        <f t="shared" si="246"/>
        <v>62</v>
      </c>
      <c r="E3958">
        <v>59.499000000000002</v>
      </c>
      <c r="F3958">
        <f t="shared" si="247"/>
        <v>2.5009999999999977</v>
      </c>
      <c r="G3958">
        <v>28.266999999999999</v>
      </c>
      <c r="H3958">
        <v>0.73199999999999998</v>
      </c>
      <c r="I3958">
        <v>2.6070000000000002</v>
      </c>
      <c r="J3958">
        <v>6</v>
      </c>
      <c r="K3958">
        <v>11</v>
      </c>
      <c r="L3958">
        <v>6</v>
      </c>
      <c r="M3958">
        <v>1.627</v>
      </c>
    </row>
    <row r="3959" spans="1:13" ht="15" customHeight="1">
      <c r="A3959" t="s">
        <v>45</v>
      </c>
      <c r="B3959">
        <f t="shared" si="244"/>
        <v>33.712358000000002</v>
      </c>
      <c r="C3959">
        <f t="shared" si="245"/>
        <v>-117.844087</v>
      </c>
      <c r="D3959">
        <f t="shared" si="246"/>
        <v>62</v>
      </c>
      <c r="E3959">
        <v>60.499000000000002</v>
      </c>
      <c r="F3959">
        <f t="shared" si="247"/>
        <v>1.5009999999999977</v>
      </c>
      <c r="G3959">
        <v>29.6</v>
      </c>
      <c r="H3959">
        <v>0.748</v>
      </c>
      <c r="I3959">
        <v>2.5449999999999999</v>
      </c>
      <c r="J3959">
        <v>6</v>
      </c>
      <c r="K3959">
        <v>11</v>
      </c>
      <c r="L3959">
        <v>6</v>
      </c>
      <c r="M3959">
        <v>1.712</v>
      </c>
    </row>
    <row r="3960" spans="1:13" ht="15" customHeight="1">
      <c r="A3960" t="s">
        <v>45</v>
      </c>
      <c r="B3960">
        <f t="shared" si="244"/>
        <v>33.712358000000002</v>
      </c>
      <c r="C3960">
        <f t="shared" si="245"/>
        <v>-117.844087</v>
      </c>
      <c r="D3960">
        <f t="shared" si="246"/>
        <v>62</v>
      </c>
      <c r="E3960">
        <v>61.499000000000002</v>
      </c>
      <c r="F3960">
        <f t="shared" si="247"/>
        <v>0.50099999999999767</v>
      </c>
      <c r="G3960">
        <v>36.067</v>
      </c>
      <c r="H3960">
        <v>1.417</v>
      </c>
      <c r="I3960">
        <v>3.9460000000000002</v>
      </c>
      <c r="J3960">
        <v>5</v>
      </c>
      <c r="K3960">
        <v>17</v>
      </c>
      <c r="L3960">
        <v>9</v>
      </c>
      <c r="M3960">
        <v>2.141</v>
      </c>
    </row>
    <row r="3961" spans="1:13" ht="15" customHeight="1">
      <c r="A3961" t="s">
        <v>45</v>
      </c>
      <c r="B3961">
        <f t="shared" si="244"/>
        <v>33.712358000000002</v>
      </c>
      <c r="C3961">
        <f t="shared" si="245"/>
        <v>-117.844087</v>
      </c>
      <c r="D3961">
        <f t="shared" si="246"/>
        <v>62</v>
      </c>
      <c r="E3961">
        <v>62.499000000000002</v>
      </c>
      <c r="F3961">
        <f t="shared" si="247"/>
        <v>-0.49900000000000233</v>
      </c>
      <c r="G3961">
        <v>42.643000000000001</v>
      </c>
      <c r="H3961">
        <v>2.0190000000000001</v>
      </c>
      <c r="I3961">
        <v>4.7510000000000003</v>
      </c>
      <c r="J3961">
        <v>4</v>
      </c>
      <c r="K3961">
        <v>27</v>
      </c>
      <c r="L3961">
        <v>14</v>
      </c>
      <c r="M3961">
        <v>2.5760000000000001</v>
      </c>
    </row>
    <row r="3962" spans="1:13" ht="15" customHeight="1">
      <c r="A3962" t="s">
        <v>45</v>
      </c>
      <c r="B3962">
        <f t="shared" si="244"/>
        <v>33.712358000000002</v>
      </c>
      <c r="C3962">
        <f t="shared" si="245"/>
        <v>-117.844087</v>
      </c>
      <c r="D3962">
        <f t="shared" si="246"/>
        <v>62</v>
      </c>
      <c r="E3962">
        <v>63.499000000000002</v>
      </c>
      <c r="F3962">
        <f t="shared" si="247"/>
        <v>-1.4990000000000023</v>
      </c>
      <c r="G3962">
        <v>23.05</v>
      </c>
      <c r="H3962">
        <v>0.82799999999999996</v>
      </c>
      <c r="I3962">
        <v>3.617</v>
      </c>
      <c r="J3962">
        <v>4</v>
      </c>
      <c r="K3962">
        <v>15</v>
      </c>
      <c r="L3962">
        <v>8</v>
      </c>
      <c r="M3962">
        <v>1.266</v>
      </c>
    </row>
    <row r="3963" spans="1:13" ht="15" customHeight="1">
      <c r="A3963" t="s">
        <v>45</v>
      </c>
      <c r="B3963">
        <f t="shared" si="244"/>
        <v>33.712358000000002</v>
      </c>
      <c r="C3963">
        <f t="shared" si="245"/>
        <v>-117.844087</v>
      </c>
      <c r="D3963">
        <f t="shared" si="246"/>
        <v>62</v>
      </c>
      <c r="E3963">
        <v>64.498999999999995</v>
      </c>
      <c r="F3963">
        <f t="shared" si="247"/>
        <v>-2.4989999999999952</v>
      </c>
      <c r="G3963">
        <v>146.4</v>
      </c>
      <c r="H3963">
        <v>1.873</v>
      </c>
      <c r="I3963">
        <v>1.2809999999999999</v>
      </c>
      <c r="J3963">
        <v>8</v>
      </c>
      <c r="K3963">
        <v>35</v>
      </c>
      <c r="L3963">
        <v>18</v>
      </c>
      <c r="M3963" s="1">
        <v>9000000000</v>
      </c>
    </row>
    <row r="3964" spans="1:13" ht="15" customHeight="1">
      <c r="A3964" t="s">
        <v>45</v>
      </c>
      <c r="B3964">
        <f t="shared" si="244"/>
        <v>33.712358000000002</v>
      </c>
      <c r="C3964">
        <f t="shared" si="245"/>
        <v>-117.844087</v>
      </c>
      <c r="D3964">
        <f t="shared" si="246"/>
        <v>62</v>
      </c>
      <c r="E3964">
        <v>65.498999999999995</v>
      </c>
      <c r="F3964">
        <f t="shared" si="247"/>
        <v>-3.4989999999999952</v>
      </c>
      <c r="G3964">
        <v>121.983</v>
      </c>
      <c r="H3964">
        <v>2.46</v>
      </c>
      <c r="I3964">
        <v>2.02</v>
      </c>
      <c r="J3964">
        <v>7</v>
      </c>
      <c r="K3964">
        <v>39</v>
      </c>
      <c r="L3964">
        <v>20</v>
      </c>
      <c r="M3964" s="1">
        <v>9000000000</v>
      </c>
    </row>
    <row r="3965" spans="1:13" ht="15" customHeight="1">
      <c r="A3965" t="s">
        <v>45</v>
      </c>
      <c r="B3965">
        <f t="shared" si="244"/>
        <v>33.712358000000002</v>
      </c>
      <c r="C3965">
        <f t="shared" si="245"/>
        <v>-117.844087</v>
      </c>
      <c r="D3965">
        <f t="shared" si="246"/>
        <v>62</v>
      </c>
      <c r="E3965">
        <v>66.498999999999995</v>
      </c>
      <c r="F3965">
        <f t="shared" si="247"/>
        <v>-4.4989999999999952</v>
      </c>
      <c r="G3965">
        <v>95.533000000000001</v>
      </c>
      <c r="H3965">
        <v>3.9620000000000002</v>
      </c>
      <c r="I3965">
        <v>4.1550000000000002</v>
      </c>
      <c r="J3965">
        <v>5</v>
      </c>
      <c r="K3965">
        <v>46</v>
      </c>
      <c r="L3965">
        <v>23</v>
      </c>
      <c r="M3965">
        <v>6.0839999999999996</v>
      </c>
    </row>
    <row r="3966" spans="1:13" ht="15" customHeight="1">
      <c r="A3966" t="s">
        <v>45</v>
      </c>
      <c r="B3966">
        <f t="shared" si="244"/>
        <v>33.712358000000002</v>
      </c>
      <c r="C3966">
        <f t="shared" si="245"/>
        <v>-117.844087</v>
      </c>
      <c r="D3966">
        <f t="shared" si="246"/>
        <v>62</v>
      </c>
      <c r="E3966">
        <v>67.498999999999995</v>
      </c>
      <c r="F3966">
        <f t="shared" si="247"/>
        <v>-5.4989999999999952</v>
      </c>
      <c r="G3966">
        <v>77.582999999999998</v>
      </c>
      <c r="H3966">
        <v>4.1369999999999996</v>
      </c>
      <c r="I3966">
        <v>5.3460000000000001</v>
      </c>
      <c r="J3966">
        <v>11</v>
      </c>
      <c r="K3966">
        <v>74</v>
      </c>
      <c r="L3966">
        <v>37</v>
      </c>
      <c r="M3966" s="1">
        <v>9000000000</v>
      </c>
    </row>
    <row r="3967" spans="1:13" ht="15" customHeight="1">
      <c r="A3967" t="s">
        <v>45</v>
      </c>
      <c r="B3967">
        <f t="shared" si="244"/>
        <v>33.712358000000002</v>
      </c>
      <c r="C3967">
        <f t="shared" si="245"/>
        <v>-117.844087</v>
      </c>
      <c r="D3967">
        <f t="shared" si="246"/>
        <v>62</v>
      </c>
      <c r="E3967">
        <v>68.498999999999995</v>
      </c>
      <c r="F3967">
        <f t="shared" si="247"/>
        <v>-6.4989999999999952</v>
      </c>
      <c r="G3967">
        <v>60.866999999999997</v>
      </c>
      <c r="H3967">
        <v>2.7269999999999999</v>
      </c>
      <c r="I3967">
        <v>4.4950000000000001</v>
      </c>
      <c r="J3967">
        <v>4</v>
      </c>
      <c r="K3967">
        <v>39</v>
      </c>
      <c r="L3967">
        <v>20</v>
      </c>
      <c r="M3967">
        <v>3.7629999999999999</v>
      </c>
    </row>
    <row r="3968" spans="1:13" ht="15" customHeight="1">
      <c r="A3968" t="s">
        <v>45</v>
      </c>
      <c r="B3968">
        <f t="shared" si="244"/>
        <v>33.712358000000002</v>
      </c>
      <c r="C3968">
        <f t="shared" si="245"/>
        <v>-117.844087</v>
      </c>
      <c r="D3968">
        <f t="shared" si="246"/>
        <v>62</v>
      </c>
      <c r="E3968">
        <v>69.498999999999995</v>
      </c>
      <c r="F3968">
        <f t="shared" si="247"/>
        <v>-7.4989999999999952</v>
      </c>
      <c r="G3968">
        <v>76.349999999999994</v>
      </c>
      <c r="H3968">
        <v>2.0979999999999999</v>
      </c>
      <c r="I3968">
        <v>2.7549999999999999</v>
      </c>
      <c r="J3968">
        <v>6</v>
      </c>
      <c r="K3968">
        <v>29</v>
      </c>
      <c r="L3968">
        <v>15</v>
      </c>
      <c r="M3968">
        <v>4.7919999999999998</v>
      </c>
    </row>
    <row r="3969" spans="1:13" ht="15" customHeight="1">
      <c r="A3969" t="s">
        <v>45</v>
      </c>
      <c r="B3969">
        <f t="shared" si="244"/>
        <v>33.712358000000002</v>
      </c>
      <c r="C3969">
        <f t="shared" si="245"/>
        <v>-117.844087</v>
      </c>
      <c r="D3969">
        <f t="shared" si="246"/>
        <v>62</v>
      </c>
      <c r="E3969">
        <v>70.498999999999995</v>
      </c>
      <c r="F3969">
        <f t="shared" si="247"/>
        <v>-8.4989999999999952</v>
      </c>
      <c r="G3969">
        <v>55.167000000000002</v>
      </c>
      <c r="H3969">
        <v>2.613</v>
      </c>
      <c r="I3969">
        <v>4.7539999999999996</v>
      </c>
      <c r="J3969">
        <v>4</v>
      </c>
      <c r="K3969">
        <v>35</v>
      </c>
      <c r="L3969">
        <v>18</v>
      </c>
      <c r="M3969">
        <v>3.375</v>
      </c>
    </row>
    <row r="3970" spans="1:13" ht="15" customHeight="1">
      <c r="A3970" t="s">
        <v>45</v>
      </c>
      <c r="B3970">
        <f t="shared" ref="B3970:B4033" si="248">VLOOKUP(A3970,XYdata,3,FALSE)</f>
        <v>33.712358000000002</v>
      </c>
      <c r="C3970">
        <f t="shared" ref="C3970:C4033" si="249">VLOOKUP(A3970,XYdata,2,FALSE)</f>
        <v>-117.844087</v>
      </c>
      <c r="D3970">
        <f t="shared" ref="D3970:D4033" si="250">VLOOKUP(A3970,Elevation,2,FALSE)</f>
        <v>62</v>
      </c>
      <c r="E3970">
        <v>71.498999999999995</v>
      </c>
      <c r="F3970">
        <f t="shared" si="247"/>
        <v>-9.4989999999999952</v>
      </c>
      <c r="G3970">
        <v>111.233</v>
      </c>
      <c r="H3970">
        <v>2.3420000000000001</v>
      </c>
      <c r="I3970">
        <v>2.109</v>
      </c>
      <c r="J3970">
        <v>7</v>
      </c>
      <c r="K3970">
        <v>35</v>
      </c>
      <c r="L3970">
        <v>18</v>
      </c>
      <c r="M3970" s="1">
        <v>9000000000</v>
      </c>
    </row>
    <row r="3971" spans="1:13" ht="15" customHeight="1">
      <c r="A3971" t="s">
        <v>45</v>
      </c>
      <c r="B3971">
        <f t="shared" si="248"/>
        <v>33.712358000000002</v>
      </c>
      <c r="C3971">
        <f t="shared" si="249"/>
        <v>-117.844087</v>
      </c>
      <c r="D3971">
        <f t="shared" si="250"/>
        <v>62</v>
      </c>
      <c r="E3971">
        <v>72.498999999999995</v>
      </c>
      <c r="F3971">
        <f t="shared" ref="F3971:F4034" si="251">D3971-E3971</f>
        <v>-10.498999999999995</v>
      </c>
      <c r="G3971">
        <v>116.31399999999999</v>
      </c>
      <c r="H3971">
        <v>3.01</v>
      </c>
      <c r="I3971">
        <v>2.5920000000000001</v>
      </c>
      <c r="J3971">
        <v>7</v>
      </c>
      <c r="K3971">
        <v>37</v>
      </c>
      <c r="L3971">
        <v>19</v>
      </c>
      <c r="M3971" s="1">
        <v>9000000000</v>
      </c>
    </row>
    <row r="3972" spans="1:13" ht="15" customHeight="1">
      <c r="A3972" t="s">
        <v>45</v>
      </c>
      <c r="B3972">
        <f t="shared" si="248"/>
        <v>33.712358000000002</v>
      </c>
      <c r="C3972">
        <f t="shared" si="249"/>
        <v>-117.844087</v>
      </c>
      <c r="D3972">
        <f t="shared" si="250"/>
        <v>62</v>
      </c>
      <c r="E3972">
        <v>73.498999999999995</v>
      </c>
      <c r="F3972">
        <f t="shared" si="251"/>
        <v>-11.498999999999995</v>
      </c>
      <c r="G3972">
        <v>122.93300000000001</v>
      </c>
      <c r="H3972">
        <v>3.383</v>
      </c>
      <c r="I3972">
        <v>2.7570000000000001</v>
      </c>
      <c r="J3972">
        <v>6</v>
      </c>
      <c r="K3972">
        <v>47</v>
      </c>
      <c r="L3972">
        <v>24</v>
      </c>
      <c r="M3972">
        <v>7.88</v>
      </c>
    </row>
    <row r="3973" spans="1:13" ht="15" customHeight="1">
      <c r="A3973" t="s">
        <v>45</v>
      </c>
      <c r="B3973">
        <f t="shared" si="248"/>
        <v>33.712358000000002</v>
      </c>
      <c r="C3973">
        <f t="shared" si="249"/>
        <v>-117.844087</v>
      </c>
      <c r="D3973">
        <f t="shared" si="250"/>
        <v>62</v>
      </c>
      <c r="E3973">
        <v>74.498999999999995</v>
      </c>
      <c r="F3973">
        <f t="shared" si="251"/>
        <v>-12.498999999999995</v>
      </c>
      <c r="G3973">
        <v>249</v>
      </c>
      <c r="H3973">
        <v>1.893</v>
      </c>
      <c r="I3973">
        <v>0.76100000000000001</v>
      </c>
      <c r="J3973">
        <v>9</v>
      </c>
      <c r="K3973">
        <v>48</v>
      </c>
      <c r="L3973">
        <v>24</v>
      </c>
      <c r="M3973" s="1">
        <v>9000000000</v>
      </c>
    </row>
    <row r="3974" spans="1:13" ht="15" customHeight="1">
      <c r="A3974" t="s">
        <v>45</v>
      </c>
      <c r="B3974">
        <f t="shared" si="248"/>
        <v>33.712358000000002</v>
      </c>
      <c r="C3974">
        <f t="shared" si="249"/>
        <v>-117.844087</v>
      </c>
      <c r="D3974">
        <f t="shared" si="250"/>
        <v>62</v>
      </c>
      <c r="E3974">
        <v>75.498999999999995</v>
      </c>
      <c r="F3974">
        <f t="shared" si="251"/>
        <v>-13.498999999999995</v>
      </c>
      <c r="G3974">
        <v>187.267</v>
      </c>
      <c r="H3974">
        <v>1.8029999999999999</v>
      </c>
      <c r="I3974">
        <v>0.96399999999999997</v>
      </c>
      <c r="J3974">
        <v>9</v>
      </c>
      <c r="K3974">
        <v>36</v>
      </c>
      <c r="L3974">
        <v>18</v>
      </c>
      <c r="M3974" s="1">
        <v>9000000000</v>
      </c>
    </row>
    <row r="3975" spans="1:13" ht="15" customHeight="1">
      <c r="A3975" t="s">
        <v>45</v>
      </c>
      <c r="B3975">
        <f t="shared" si="248"/>
        <v>33.712358000000002</v>
      </c>
      <c r="C3975">
        <f t="shared" si="249"/>
        <v>-117.844087</v>
      </c>
      <c r="D3975">
        <f t="shared" si="250"/>
        <v>62</v>
      </c>
      <c r="E3975">
        <v>76.498999999999995</v>
      </c>
      <c r="F3975">
        <f t="shared" si="251"/>
        <v>-14.498999999999995</v>
      </c>
      <c r="G3975">
        <v>39.216999999999999</v>
      </c>
      <c r="H3975">
        <v>1.397</v>
      </c>
      <c r="I3975">
        <v>3.5739999999999998</v>
      </c>
      <c r="J3975">
        <v>5</v>
      </c>
      <c r="K3975">
        <v>19</v>
      </c>
      <c r="L3975">
        <v>10</v>
      </c>
      <c r="M3975">
        <v>2.2909999999999999</v>
      </c>
    </row>
    <row r="3976" spans="1:13" ht="15" customHeight="1">
      <c r="A3976" t="s">
        <v>45</v>
      </c>
      <c r="B3976">
        <f t="shared" si="248"/>
        <v>33.712358000000002</v>
      </c>
      <c r="C3976">
        <f t="shared" si="249"/>
        <v>-117.844087</v>
      </c>
      <c r="D3976">
        <f t="shared" si="250"/>
        <v>62</v>
      </c>
      <c r="E3976">
        <v>77.498999999999995</v>
      </c>
      <c r="F3976">
        <f t="shared" si="251"/>
        <v>-15.498999999999995</v>
      </c>
      <c r="G3976">
        <v>63.716999999999999</v>
      </c>
      <c r="H3976">
        <v>2.0419999999999998</v>
      </c>
      <c r="I3976">
        <v>3.2090000000000001</v>
      </c>
      <c r="J3976">
        <v>6</v>
      </c>
      <c r="K3976">
        <v>24</v>
      </c>
      <c r="L3976">
        <v>12</v>
      </c>
      <c r="M3976">
        <v>3.923</v>
      </c>
    </row>
    <row r="3977" spans="1:13" ht="15" customHeight="1">
      <c r="A3977" t="s">
        <v>45</v>
      </c>
      <c r="B3977">
        <f t="shared" si="248"/>
        <v>33.712358000000002</v>
      </c>
      <c r="C3977">
        <f t="shared" si="249"/>
        <v>-117.844087</v>
      </c>
      <c r="D3977">
        <f t="shared" si="250"/>
        <v>62</v>
      </c>
      <c r="E3977">
        <v>78.498999999999995</v>
      </c>
      <c r="F3977">
        <f t="shared" si="251"/>
        <v>-16.498999999999995</v>
      </c>
      <c r="G3977">
        <v>24.95</v>
      </c>
      <c r="H3977">
        <v>0.85299999999999998</v>
      </c>
      <c r="I3977">
        <v>3.4340000000000002</v>
      </c>
      <c r="J3977">
        <v>5</v>
      </c>
      <c r="K3977">
        <v>12</v>
      </c>
      <c r="L3977">
        <v>6</v>
      </c>
      <c r="M3977">
        <v>1.3340000000000001</v>
      </c>
    </row>
    <row r="3978" spans="1:13" ht="15" customHeight="1">
      <c r="A3978" t="s">
        <v>45</v>
      </c>
      <c r="B3978">
        <f t="shared" si="248"/>
        <v>33.712358000000002</v>
      </c>
      <c r="C3978">
        <f t="shared" si="249"/>
        <v>-117.844087</v>
      </c>
      <c r="D3978">
        <f t="shared" si="250"/>
        <v>62</v>
      </c>
      <c r="E3978">
        <v>79.498999999999995</v>
      </c>
      <c r="F3978">
        <f t="shared" si="251"/>
        <v>-17.498999999999995</v>
      </c>
      <c r="G3978">
        <v>24.917000000000002</v>
      </c>
      <c r="H3978">
        <v>0.85299999999999998</v>
      </c>
      <c r="I3978">
        <v>3.4390000000000001</v>
      </c>
      <c r="J3978">
        <v>5</v>
      </c>
      <c r="K3978">
        <v>12</v>
      </c>
      <c r="L3978">
        <v>6</v>
      </c>
      <c r="M3978">
        <v>1.3280000000000001</v>
      </c>
    </row>
    <row r="3979" spans="1:13" ht="15" customHeight="1">
      <c r="A3979" t="s">
        <v>45</v>
      </c>
      <c r="B3979">
        <f t="shared" si="248"/>
        <v>33.712358000000002</v>
      </c>
      <c r="C3979">
        <f t="shared" si="249"/>
        <v>-117.844087</v>
      </c>
      <c r="D3979">
        <f t="shared" si="250"/>
        <v>62</v>
      </c>
      <c r="E3979">
        <v>80.498999999999995</v>
      </c>
      <c r="F3979">
        <f t="shared" si="251"/>
        <v>-18.498999999999995</v>
      </c>
      <c r="G3979">
        <v>35.116999999999997</v>
      </c>
      <c r="H3979">
        <v>1.2450000000000001</v>
      </c>
      <c r="I3979">
        <v>3.54</v>
      </c>
      <c r="J3979">
        <v>5</v>
      </c>
      <c r="K3979">
        <v>17</v>
      </c>
      <c r="L3979">
        <v>9</v>
      </c>
      <c r="M3979">
        <v>2.0129999999999999</v>
      </c>
    </row>
    <row r="3980" spans="1:13" ht="15" customHeight="1">
      <c r="A3980" t="s">
        <v>45</v>
      </c>
      <c r="B3980">
        <f t="shared" si="248"/>
        <v>33.712358000000002</v>
      </c>
      <c r="C3980">
        <f t="shared" si="249"/>
        <v>-117.844087</v>
      </c>
      <c r="D3980">
        <f t="shared" si="250"/>
        <v>62</v>
      </c>
      <c r="E3980">
        <v>81.498999999999995</v>
      </c>
      <c r="F3980">
        <f t="shared" si="251"/>
        <v>-19.498999999999995</v>
      </c>
      <c r="G3980">
        <v>23.466999999999999</v>
      </c>
      <c r="H3980">
        <v>0.68700000000000006</v>
      </c>
      <c r="I3980">
        <v>2.9140000000000001</v>
      </c>
      <c r="J3980">
        <v>5</v>
      </c>
      <c r="K3980">
        <v>11</v>
      </c>
      <c r="L3980">
        <v>6</v>
      </c>
      <c r="M3980">
        <v>1.236</v>
      </c>
    </row>
    <row r="3981" spans="1:13" ht="15" customHeight="1">
      <c r="A3981" t="s">
        <v>45</v>
      </c>
      <c r="B3981">
        <f t="shared" si="248"/>
        <v>33.712358000000002</v>
      </c>
      <c r="C3981">
        <f t="shared" si="249"/>
        <v>-117.844087</v>
      </c>
      <c r="D3981">
        <f t="shared" si="250"/>
        <v>62</v>
      </c>
      <c r="E3981">
        <v>82.498999999999995</v>
      </c>
      <c r="F3981">
        <f t="shared" si="251"/>
        <v>-20.498999999999995</v>
      </c>
      <c r="G3981">
        <v>25.1</v>
      </c>
      <c r="H3981">
        <v>0.878</v>
      </c>
      <c r="I3981">
        <v>3.492</v>
      </c>
      <c r="J3981">
        <v>5</v>
      </c>
      <c r="K3981">
        <v>12</v>
      </c>
      <c r="L3981">
        <v>6</v>
      </c>
      <c r="M3981">
        <v>1.337</v>
      </c>
    </row>
    <row r="3982" spans="1:13" ht="15" customHeight="1">
      <c r="A3982" t="s">
        <v>45</v>
      </c>
      <c r="B3982">
        <f t="shared" si="248"/>
        <v>33.712358000000002</v>
      </c>
      <c r="C3982">
        <f t="shared" si="249"/>
        <v>-117.844087</v>
      </c>
      <c r="D3982">
        <f t="shared" si="250"/>
        <v>62</v>
      </c>
      <c r="E3982">
        <v>83.498999999999995</v>
      </c>
      <c r="F3982">
        <f t="shared" si="251"/>
        <v>-21.498999999999995</v>
      </c>
      <c r="G3982">
        <v>28.643000000000001</v>
      </c>
      <c r="H3982">
        <v>0.89</v>
      </c>
      <c r="I3982">
        <v>3.048</v>
      </c>
      <c r="J3982">
        <v>5</v>
      </c>
      <c r="K3982">
        <v>14</v>
      </c>
      <c r="L3982">
        <v>7</v>
      </c>
      <c r="M3982">
        <v>1.603</v>
      </c>
    </row>
    <row r="3983" spans="1:13" ht="15" customHeight="1">
      <c r="A3983" t="s">
        <v>45</v>
      </c>
      <c r="B3983">
        <f t="shared" si="248"/>
        <v>33.712358000000002</v>
      </c>
      <c r="C3983">
        <f t="shared" si="249"/>
        <v>-117.844087</v>
      </c>
      <c r="D3983">
        <f t="shared" si="250"/>
        <v>62</v>
      </c>
      <c r="E3983">
        <v>84.498999999999995</v>
      </c>
      <c r="F3983">
        <f t="shared" si="251"/>
        <v>-22.498999999999995</v>
      </c>
      <c r="G3983">
        <v>34.383000000000003</v>
      </c>
      <c r="H3983">
        <v>0.99299999999999999</v>
      </c>
      <c r="I3983">
        <v>2.8679999999999999</v>
      </c>
      <c r="J3983">
        <v>6</v>
      </c>
      <c r="K3983">
        <v>13</v>
      </c>
      <c r="L3983">
        <v>7</v>
      </c>
      <c r="M3983">
        <v>1.9610000000000001</v>
      </c>
    </row>
    <row r="3984" spans="1:13" ht="15" customHeight="1">
      <c r="A3984" t="s">
        <v>45</v>
      </c>
      <c r="B3984">
        <f t="shared" si="248"/>
        <v>33.712358000000002</v>
      </c>
      <c r="C3984">
        <f t="shared" si="249"/>
        <v>-117.844087</v>
      </c>
      <c r="D3984">
        <f t="shared" si="250"/>
        <v>62</v>
      </c>
      <c r="E3984">
        <v>85.498999999999995</v>
      </c>
      <c r="F3984">
        <f t="shared" si="251"/>
        <v>-23.498999999999995</v>
      </c>
      <c r="G3984">
        <v>28.483000000000001</v>
      </c>
      <c r="H3984">
        <v>0.88500000000000001</v>
      </c>
      <c r="I3984">
        <v>3.073</v>
      </c>
      <c r="J3984">
        <v>5</v>
      </c>
      <c r="K3984">
        <v>14</v>
      </c>
      <c r="L3984">
        <v>7</v>
      </c>
      <c r="M3984">
        <v>1.5680000000000001</v>
      </c>
    </row>
    <row r="3985" spans="1:13" ht="15" customHeight="1">
      <c r="A3985" t="s">
        <v>45</v>
      </c>
      <c r="B3985">
        <f t="shared" si="248"/>
        <v>33.712358000000002</v>
      </c>
      <c r="C3985">
        <f t="shared" si="249"/>
        <v>-117.844087</v>
      </c>
      <c r="D3985">
        <f t="shared" si="250"/>
        <v>62</v>
      </c>
      <c r="E3985">
        <v>86.498999999999995</v>
      </c>
      <c r="F3985">
        <f t="shared" si="251"/>
        <v>-24.498999999999995</v>
      </c>
      <c r="G3985">
        <v>149.61699999999999</v>
      </c>
      <c r="H3985">
        <v>4.2729999999999997</v>
      </c>
      <c r="I3985">
        <v>2.8559999999999999</v>
      </c>
      <c r="J3985">
        <v>7</v>
      </c>
      <c r="K3985">
        <v>48</v>
      </c>
      <c r="L3985">
        <v>24</v>
      </c>
      <c r="M3985" s="1">
        <v>9000000000</v>
      </c>
    </row>
    <row r="3986" spans="1:13" ht="15" customHeight="1">
      <c r="A3986" t="s">
        <v>45</v>
      </c>
      <c r="B3986">
        <f t="shared" si="248"/>
        <v>33.712358000000002</v>
      </c>
      <c r="C3986">
        <f t="shared" si="249"/>
        <v>-117.844087</v>
      </c>
      <c r="D3986">
        <f t="shared" si="250"/>
        <v>62</v>
      </c>
      <c r="E3986">
        <v>87.498999999999995</v>
      </c>
      <c r="F3986">
        <f t="shared" si="251"/>
        <v>-25.498999999999995</v>
      </c>
      <c r="G3986">
        <v>89.15</v>
      </c>
      <c r="H3986">
        <v>3.3730000000000002</v>
      </c>
      <c r="I3986">
        <v>3.7909999999999999</v>
      </c>
      <c r="J3986">
        <v>5</v>
      </c>
      <c r="K3986">
        <v>43</v>
      </c>
      <c r="L3986">
        <v>22</v>
      </c>
      <c r="M3986">
        <v>5.5720000000000001</v>
      </c>
    </row>
    <row r="3987" spans="1:13" ht="15" customHeight="1">
      <c r="A3987" t="s">
        <v>45</v>
      </c>
      <c r="B3987">
        <f t="shared" si="248"/>
        <v>33.712358000000002</v>
      </c>
      <c r="C3987">
        <f t="shared" si="249"/>
        <v>-117.844087</v>
      </c>
      <c r="D3987">
        <f t="shared" si="250"/>
        <v>62</v>
      </c>
      <c r="E3987">
        <v>88.498999999999995</v>
      </c>
      <c r="F3987">
        <f t="shared" si="251"/>
        <v>-26.498999999999995</v>
      </c>
      <c r="G3987">
        <v>28.85</v>
      </c>
      <c r="H3987">
        <v>0.85199999999999998</v>
      </c>
      <c r="I3987">
        <v>2.9729999999999999</v>
      </c>
      <c r="J3987">
        <v>5</v>
      </c>
      <c r="K3987">
        <v>14</v>
      </c>
      <c r="L3987">
        <v>7</v>
      </c>
      <c r="M3987">
        <v>1.546</v>
      </c>
    </row>
    <row r="3988" spans="1:13" ht="15" customHeight="1">
      <c r="A3988" t="s">
        <v>45</v>
      </c>
      <c r="B3988">
        <f t="shared" si="248"/>
        <v>33.712358000000002</v>
      </c>
      <c r="C3988">
        <f t="shared" si="249"/>
        <v>-117.844087</v>
      </c>
      <c r="D3988">
        <f t="shared" si="250"/>
        <v>62</v>
      </c>
      <c r="E3988">
        <v>89.498999999999995</v>
      </c>
      <c r="F3988">
        <f t="shared" si="251"/>
        <v>-27.498999999999995</v>
      </c>
      <c r="G3988">
        <v>31.367000000000001</v>
      </c>
      <c r="H3988">
        <v>1.1519999999999999</v>
      </c>
      <c r="I3988">
        <v>3.6909999999999998</v>
      </c>
      <c r="J3988">
        <v>5</v>
      </c>
      <c r="K3988">
        <v>15</v>
      </c>
      <c r="L3988">
        <v>8</v>
      </c>
      <c r="M3988">
        <v>1.712</v>
      </c>
    </row>
    <row r="3989" spans="1:13" ht="15" customHeight="1">
      <c r="A3989" t="s">
        <v>45</v>
      </c>
      <c r="B3989">
        <f t="shared" si="248"/>
        <v>33.712358000000002</v>
      </c>
      <c r="C3989">
        <f t="shared" si="249"/>
        <v>-117.844087</v>
      </c>
      <c r="D3989">
        <f t="shared" si="250"/>
        <v>62</v>
      </c>
      <c r="E3989">
        <v>90.498999999999995</v>
      </c>
      <c r="F3989">
        <f t="shared" si="251"/>
        <v>-28.498999999999995</v>
      </c>
      <c r="G3989">
        <v>21.75</v>
      </c>
      <c r="H3989">
        <v>0.61</v>
      </c>
      <c r="I3989">
        <v>2.831</v>
      </c>
      <c r="J3989">
        <v>5</v>
      </c>
      <c r="K3989">
        <v>10</v>
      </c>
      <c r="L3989">
        <v>5</v>
      </c>
      <c r="M3989">
        <v>1.0640000000000001</v>
      </c>
    </row>
    <row r="3990" spans="1:13" ht="15" customHeight="1">
      <c r="A3990" t="s">
        <v>45</v>
      </c>
      <c r="B3990">
        <f t="shared" si="248"/>
        <v>33.712358000000002</v>
      </c>
      <c r="C3990">
        <f t="shared" si="249"/>
        <v>-117.844087</v>
      </c>
      <c r="D3990">
        <f t="shared" si="250"/>
        <v>62</v>
      </c>
      <c r="E3990">
        <v>91.498999999999995</v>
      </c>
      <c r="F3990">
        <f t="shared" si="251"/>
        <v>-29.498999999999995</v>
      </c>
      <c r="G3990">
        <v>19.917000000000002</v>
      </c>
      <c r="H3990">
        <v>0.5</v>
      </c>
      <c r="I3990">
        <v>2.536</v>
      </c>
      <c r="J3990">
        <v>5</v>
      </c>
      <c r="K3990">
        <v>9</v>
      </c>
      <c r="L3990">
        <v>5</v>
      </c>
      <c r="M3990">
        <v>0.93799999999999994</v>
      </c>
    </row>
    <row r="3991" spans="1:13" ht="15" customHeight="1">
      <c r="A3991" t="s">
        <v>45</v>
      </c>
      <c r="B3991">
        <f t="shared" si="248"/>
        <v>33.712358000000002</v>
      </c>
      <c r="C3991">
        <f t="shared" si="249"/>
        <v>-117.844087</v>
      </c>
      <c r="D3991">
        <f t="shared" si="250"/>
        <v>62</v>
      </c>
      <c r="E3991">
        <v>92.498999999999995</v>
      </c>
      <c r="F3991">
        <f t="shared" si="251"/>
        <v>-30.498999999999995</v>
      </c>
      <c r="G3991">
        <v>36.35</v>
      </c>
      <c r="H3991">
        <v>1.147</v>
      </c>
      <c r="I3991">
        <v>3.1709999999999998</v>
      </c>
      <c r="J3991">
        <v>5</v>
      </c>
      <c r="K3991">
        <v>17</v>
      </c>
      <c r="L3991">
        <v>9</v>
      </c>
      <c r="M3991">
        <v>2.0299999999999998</v>
      </c>
    </row>
    <row r="3992" spans="1:13" ht="15" customHeight="1">
      <c r="A3992" t="s">
        <v>45</v>
      </c>
      <c r="B3992">
        <f t="shared" si="248"/>
        <v>33.712358000000002</v>
      </c>
      <c r="C3992">
        <f t="shared" si="249"/>
        <v>-117.844087</v>
      </c>
      <c r="D3992">
        <f t="shared" si="250"/>
        <v>62</v>
      </c>
      <c r="E3992">
        <v>93.498999999999995</v>
      </c>
      <c r="F3992">
        <f t="shared" si="251"/>
        <v>-31.498999999999995</v>
      </c>
      <c r="G3992">
        <v>30.414000000000001</v>
      </c>
      <c r="H3992">
        <v>1.0660000000000001</v>
      </c>
      <c r="I3992">
        <v>3.5270000000000001</v>
      </c>
      <c r="J3992">
        <v>5</v>
      </c>
      <c r="K3992">
        <v>14</v>
      </c>
      <c r="L3992">
        <v>7</v>
      </c>
      <c r="M3992">
        <v>1.629</v>
      </c>
    </row>
    <row r="3993" spans="1:13" ht="15" customHeight="1">
      <c r="A3993" t="s">
        <v>45</v>
      </c>
      <c r="B3993">
        <f t="shared" si="248"/>
        <v>33.712358000000002</v>
      </c>
      <c r="C3993">
        <f t="shared" si="249"/>
        <v>-117.844087</v>
      </c>
      <c r="D3993">
        <f t="shared" si="250"/>
        <v>62</v>
      </c>
      <c r="E3993">
        <v>94.498999999999995</v>
      </c>
      <c r="F3993">
        <f t="shared" si="251"/>
        <v>-32.498999999999995</v>
      </c>
      <c r="G3993">
        <v>31.033000000000001</v>
      </c>
      <c r="H3993">
        <v>0.99299999999999999</v>
      </c>
      <c r="I3993">
        <v>3.218</v>
      </c>
      <c r="J3993">
        <v>5</v>
      </c>
      <c r="K3993">
        <v>15</v>
      </c>
      <c r="L3993">
        <v>8</v>
      </c>
      <c r="M3993">
        <v>1.669</v>
      </c>
    </row>
    <row r="3994" spans="1:13" ht="15" customHeight="1">
      <c r="A3994" t="s">
        <v>45</v>
      </c>
      <c r="B3994">
        <f t="shared" si="248"/>
        <v>33.712358000000002</v>
      </c>
      <c r="C3994">
        <f t="shared" si="249"/>
        <v>-117.844087</v>
      </c>
      <c r="D3994">
        <f t="shared" si="250"/>
        <v>62</v>
      </c>
      <c r="E3994">
        <v>95.498999999999995</v>
      </c>
      <c r="F3994">
        <f t="shared" si="251"/>
        <v>-33.498999999999995</v>
      </c>
      <c r="G3994">
        <v>35.817</v>
      </c>
      <c r="H3994">
        <v>1.548</v>
      </c>
      <c r="I3994">
        <v>4.3449999999999998</v>
      </c>
      <c r="J3994">
        <v>4</v>
      </c>
      <c r="K3994">
        <v>23</v>
      </c>
      <c r="L3994">
        <v>12</v>
      </c>
      <c r="M3994">
        <v>1.982</v>
      </c>
    </row>
    <row r="3995" spans="1:13" ht="15" customHeight="1">
      <c r="A3995" t="s">
        <v>45</v>
      </c>
      <c r="B3995">
        <f t="shared" si="248"/>
        <v>33.712358000000002</v>
      </c>
      <c r="C3995">
        <f t="shared" si="249"/>
        <v>-117.844087</v>
      </c>
      <c r="D3995">
        <f t="shared" si="250"/>
        <v>62</v>
      </c>
      <c r="E3995">
        <v>96.498999999999995</v>
      </c>
      <c r="F3995">
        <f t="shared" si="251"/>
        <v>-34.498999999999995</v>
      </c>
      <c r="G3995">
        <v>28.382999999999999</v>
      </c>
      <c r="H3995">
        <v>1.0569999999999999</v>
      </c>
      <c r="I3995">
        <v>3.74</v>
      </c>
      <c r="J3995">
        <v>5</v>
      </c>
      <c r="K3995">
        <v>14</v>
      </c>
      <c r="L3995">
        <v>7</v>
      </c>
      <c r="M3995">
        <v>1.486</v>
      </c>
    </row>
    <row r="3996" spans="1:13" ht="15" customHeight="1">
      <c r="A3996" t="s">
        <v>45</v>
      </c>
      <c r="B3996">
        <f t="shared" si="248"/>
        <v>33.712358000000002</v>
      </c>
      <c r="C3996">
        <f t="shared" si="249"/>
        <v>-117.844087</v>
      </c>
      <c r="D3996">
        <f t="shared" si="250"/>
        <v>62</v>
      </c>
      <c r="E3996">
        <v>97.498999999999995</v>
      </c>
      <c r="F3996">
        <f t="shared" si="251"/>
        <v>-35.498999999999995</v>
      </c>
      <c r="G3996">
        <v>27.683</v>
      </c>
      <c r="H3996">
        <v>0.83</v>
      </c>
      <c r="I3996">
        <v>3.0150000000000001</v>
      </c>
      <c r="J3996">
        <v>5</v>
      </c>
      <c r="K3996">
        <v>13</v>
      </c>
      <c r="L3996">
        <v>7</v>
      </c>
      <c r="M3996">
        <v>1.4339999999999999</v>
      </c>
    </row>
    <row r="3997" spans="1:13" ht="15" customHeight="1">
      <c r="A3997" t="s">
        <v>45</v>
      </c>
      <c r="B3997">
        <f t="shared" si="248"/>
        <v>33.712358000000002</v>
      </c>
      <c r="C3997">
        <f t="shared" si="249"/>
        <v>-117.844087</v>
      </c>
      <c r="D3997">
        <f t="shared" si="250"/>
        <v>62</v>
      </c>
      <c r="E3997">
        <v>98.498999999999995</v>
      </c>
      <c r="F3997">
        <f t="shared" si="251"/>
        <v>-36.498999999999995</v>
      </c>
      <c r="G3997">
        <v>32.482999999999997</v>
      </c>
      <c r="H3997">
        <v>0.94</v>
      </c>
      <c r="I3997">
        <v>2.9060000000000001</v>
      </c>
      <c r="J3997">
        <v>5</v>
      </c>
      <c r="K3997">
        <v>15</v>
      </c>
      <c r="L3997">
        <v>8</v>
      </c>
      <c r="M3997">
        <v>1.7509999999999999</v>
      </c>
    </row>
    <row r="3998" spans="1:13" ht="15" customHeight="1">
      <c r="A3998" t="s">
        <v>45</v>
      </c>
      <c r="B3998">
        <f t="shared" si="248"/>
        <v>33.712358000000002</v>
      </c>
      <c r="C3998">
        <f t="shared" si="249"/>
        <v>-117.844087</v>
      </c>
      <c r="D3998">
        <f t="shared" si="250"/>
        <v>62</v>
      </c>
      <c r="E3998">
        <v>99.498999999999995</v>
      </c>
      <c r="F3998">
        <f t="shared" si="251"/>
        <v>-37.498999999999995</v>
      </c>
      <c r="G3998">
        <v>28.683</v>
      </c>
      <c r="H3998">
        <v>0.82499999999999996</v>
      </c>
      <c r="I3998">
        <v>2.8929999999999998</v>
      </c>
      <c r="J3998">
        <v>5</v>
      </c>
      <c r="K3998">
        <v>14</v>
      </c>
      <c r="L3998">
        <v>7</v>
      </c>
      <c r="M3998">
        <v>1.4910000000000001</v>
      </c>
    </row>
    <row r="3999" spans="1:13" ht="15" customHeight="1">
      <c r="A3999" t="s">
        <v>45</v>
      </c>
      <c r="B3999">
        <f t="shared" si="248"/>
        <v>33.712358000000002</v>
      </c>
      <c r="C3999">
        <f t="shared" si="249"/>
        <v>-117.844087</v>
      </c>
      <c r="D3999">
        <f t="shared" si="250"/>
        <v>62</v>
      </c>
      <c r="E3999">
        <v>100.499</v>
      </c>
      <c r="F3999">
        <f t="shared" si="251"/>
        <v>-38.498999999999995</v>
      </c>
      <c r="G3999">
        <v>45.667000000000002</v>
      </c>
      <c r="H3999">
        <v>1.4670000000000001</v>
      </c>
      <c r="I3999">
        <v>3.22</v>
      </c>
      <c r="J3999">
        <v>5</v>
      </c>
      <c r="K3999">
        <v>22</v>
      </c>
      <c r="L3999">
        <v>11</v>
      </c>
      <c r="M3999">
        <v>2.6230000000000002</v>
      </c>
    </row>
    <row r="4000" spans="1:13" ht="15" customHeight="1">
      <c r="A4000" t="s">
        <v>45</v>
      </c>
      <c r="B4000">
        <f t="shared" si="248"/>
        <v>33.712358000000002</v>
      </c>
      <c r="C4000">
        <f t="shared" si="249"/>
        <v>-117.844087</v>
      </c>
      <c r="D4000">
        <f t="shared" si="250"/>
        <v>62</v>
      </c>
      <c r="E4000">
        <v>101.499</v>
      </c>
      <c r="F4000">
        <f t="shared" si="251"/>
        <v>-39.498999999999995</v>
      </c>
      <c r="G4000">
        <v>30.367000000000001</v>
      </c>
      <c r="H4000">
        <v>0.96499999999999997</v>
      </c>
      <c r="I4000">
        <v>3.19</v>
      </c>
      <c r="J4000">
        <v>5</v>
      </c>
      <c r="K4000">
        <v>14</v>
      </c>
      <c r="L4000">
        <v>7</v>
      </c>
      <c r="M4000">
        <v>1.5980000000000001</v>
      </c>
    </row>
    <row r="4001" spans="1:13" ht="15" customHeight="1">
      <c r="A4001" t="s">
        <v>45</v>
      </c>
      <c r="B4001">
        <f t="shared" si="248"/>
        <v>33.712358000000002</v>
      </c>
      <c r="C4001">
        <f t="shared" si="249"/>
        <v>-117.844087</v>
      </c>
      <c r="D4001">
        <f t="shared" si="250"/>
        <v>62</v>
      </c>
      <c r="E4001">
        <v>102.499</v>
      </c>
      <c r="F4001">
        <f t="shared" si="251"/>
        <v>-40.498999999999995</v>
      </c>
      <c r="G4001">
        <v>32.533000000000001</v>
      </c>
      <c r="H4001">
        <v>1.2769999999999999</v>
      </c>
      <c r="I4001">
        <v>3.9380000000000002</v>
      </c>
      <c r="J4001">
        <v>4</v>
      </c>
      <c r="K4001">
        <v>21</v>
      </c>
      <c r="L4001">
        <v>11</v>
      </c>
      <c r="M4001">
        <v>1.7390000000000001</v>
      </c>
    </row>
    <row r="4002" spans="1:13" ht="15" customHeight="1">
      <c r="A4002" t="s">
        <v>45</v>
      </c>
      <c r="B4002">
        <f t="shared" si="248"/>
        <v>33.712358000000002</v>
      </c>
      <c r="C4002">
        <f t="shared" si="249"/>
        <v>-117.844087</v>
      </c>
      <c r="D4002">
        <f t="shared" si="250"/>
        <v>62</v>
      </c>
      <c r="E4002">
        <v>103.499</v>
      </c>
      <c r="F4002">
        <f t="shared" si="251"/>
        <v>-41.498999999999995</v>
      </c>
      <c r="G4002">
        <v>29.317</v>
      </c>
      <c r="H4002">
        <v>0.98</v>
      </c>
      <c r="I4002">
        <v>3.36</v>
      </c>
      <c r="J4002">
        <v>5</v>
      </c>
      <c r="K4002">
        <v>14</v>
      </c>
      <c r="L4002">
        <v>7</v>
      </c>
      <c r="M4002">
        <v>1.518</v>
      </c>
    </row>
    <row r="4003" spans="1:13" ht="15" customHeight="1">
      <c r="A4003" t="s">
        <v>45</v>
      </c>
      <c r="B4003">
        <f t="shared" si="248"/>
        <v>33.712358000000002</v>
      </c>
      <c r="C4003">
        <f t="shared" si="249"/>
        <v>-117.844087</v>
      </c>
      <c r="D4003">
        <f t="shared" si="250"/>
        <v>62</v>
      </c>
      <c r="E4003">
        <v>104.499</v>
      </c>
      <c r="F4003">
        <f t="shared" si="251"/>
        <v>-42.498999999999995</v>
      </c>
      <c r="G4003">
        <v>33.628999999999998</v>
      </c>
      <c r="H4003">
        <v>1.0609999999999999</v>
      </c>
      <c r="I4003">
        <v>3.1680000000000001</v>
      </c>
      <c r="J4003">
        <v>5</v>
      </c>
      <c r="K4003">
        <v>16</v>
      </c>
      <c r="L4003">
        <v>8</v>
      </c>
      <c r="M4003">
        <v>1.8029999999999999</v>
      </c>
    </row>
    <row r="4004" spans="1:13" ht="15" customHeight="1">
      <c r="A4004" t="s">
        <v>45</v>
      </c>
      <c r="B4004">
        <f t="shared" si="248"/>
        <v>33.712358000000002</v>
      </c>
      <c r="C4004">
        <f t="shared" si="249"/>
        <v>-117.844087</v>
      </c>
      <c r="D4004">
        <f t="shared" si="250"/>
        <v>62</v>
      </c>
      <c r="E4004">
        <v>105.499</v>
      </c>
      <c r="F4004">
        <f t="shared" si="251"/>
        <v>-43.498999999999995</v>
      </c>
      <c r="G4004">
        <v>34.466999999999999</v>
      </c>
      <c r="H4004">
        <v>1.2070000000000001</v>
      </c>
      <c r="I4004">
        <v>3.5129999999999999</v>
      </c>
      <c r="J4004">
        <v>5</v>
      </c>
      <c r="K4004">
        <v>16</v>
      </c>
      <c r="L4004">
        <v>8</v>
      </c>
      <c r="M4004">
        <v>1.855</v>
      </c>
    </row>
    <row r="4005" spans="1:13" ht="15" customHeight="1">
      <c r="A4005" t="s">
        <v>45</v>
      </c>
      <c r="B4005">
        <f t="shared" si="248"/>
        <v>33.712358000000002</v>
      </c>
      <c r="C4005">
        <f t="shared" si="249"/>
        <v>-117.844087</v>
      </c>
      <c r="D4005">
        <f t="shared" si="250"/>
        <v>62</v>
      </c>
      <c r="E4005">
        <v>106.499</v>
      </c>
      <c r="F4005">
        <f t="shared" si="251"/>
        <v>-44.498999999999995</v>
      </c>
      <c r="G4005">
        <v>47.917000000000002</v>
      </c>
      <c r="H4005">
        <v>2.552</v>
      </c>
      <c r="I4005">
        <v>5.3360000000000003</v>
      </c>
      <c r="J4005">
        <v>3</v>
      </c>
      <c r="K4005">
        <v>46</v>
      </c>
      <c r="L4005">
        <v>23</v>
      </c>
      <c r="M4005">
        <v>2.7490000000000001</v>
      </c>
    </row>
    <row r="4006" spans="1:13" ht="15" customHeight="1">
      <c r="A4006" t="s">
        <v>45</v>
      </c>
      <c r="B4006">
        <f t="shared" si="248"/>
        <v>33.712358000000002</v>
      </c>
      <c r="C4006">
        <f t="shared" si="249"/>
        <v>-117.844087</v>
      </c>
      <c r="D4006">
        <f t="shared" si="250"/>
        <v>62</v>
      </c>
      <c r="E4006">
        <v>107.499</v>
      </c>
      <c r="F4006">
        <f t="shared" si="251"/>
        <v>-45.498999999999995</v>
      </c>
      <c r="G4006">
        <v>156.75</v>
      </c>
      <c r="H4006">
        <v>4.3650000000000002</v>
      </c>
      <c r="I4006">
        <v>2.7869999999999999</v>
      </c>
      <c r="J4006">
        <v>7</v>
      </c>
      <c r="K4006">
        <v>50</v>
      </c>
      <c r="L4006">
        <v>25</v>
      </c>
      <c r="M4006" s="1">
        <v>9000000000</v>
      </c>
    </row>
    <row r="4007" spans="1:13" ht="15" customHeight="1">
      <c r="A4007" t="s">
        <v>45</v>
      </c>
      <c r="B4007">
        <f t="shared" si="248"/>
        <v>33.712358000000002</v>
      </c>
      <c r="C4007">
        <f t="shared" si="249"/>
        <v>-117.844087</v>
      </c>
      <c r="D4007">
        <f t="shared" si="250"/>
        <v>62</v>
      </c>
      <c r="E4007">
        <v>108.499</v>
      </c>
      <c r="F4007">
        <f t="shared" si="251"/>
        <v>-46.498999999999995</v>
      </c>
      <c r="G4007">
        <v>215.71700000000001</v>
      </c>
      <c r="H4007">
        <v>5.4249999999999998</v>
      </c>
      <c r="I4007">
        <v>2.5169999999999999</v>
      </c>
      <c r="J4007">
        <v>7</v>
      </c>
      <c r="K4007">
        <v>69</v>
      </c>
      <c r="L4007">
        <v>35</v>
      </c>
      <c r="M4007" s="1">
        <v>9000000000</v>
      </c>
    </row>
    <row r="4008" spans="1:13" ht="15" customHeight="1">
      <c r="A4008" t="s">
        <v>45</v>
      </c>
      <c r="B4008">
        <f t="shared" si="248"/>
        <v>33.712358000000002</v>
      </c>
      <c r="C4008">
        <f t="shared" si="249"/>
        <v>-117.844087</v>
      </c>
      <c r="D4008">
        <f t="shared" si="250"/>
        <v>62</v>
      </c>
      <c r="E4008">
        <v>109.499</v>
      </c>
      <c r="F4008">
        <f t="shared" si="251"/>
        <v>-47.498999999999995</v>
      </c>
      <c r="G4008">
        <v>257.267</v>
      </c>
      <c r="H4008">
        <v>3.0830000000000002</v>
      </c>
      <c r="I4008">
        <v>1.1990000000000001</v>
      </c>
      <c r="J4008">
        <v>9</v>
      </c>
      <c r="K4008">
        <v>49</v>
      </c>
      <c r="L4008">
        <v>25</v>
      </c>
      <c r="M4008" s="1">
        <v>9000000000</v>
      </c>
    </row>
    <row r="4009" spans="1:13" ht="15" customHeight="1">
      <c r="A4009" t="s">
        <v>45</v>
      </c>
      <c r="B4009">
        <f t="shared" si="248"/>
        <v>33.712358000000002</v>
      </c>
      <c r="C4009">
        <f t="shared" si="249"/>
        <v>-117.844087</v>
      </c>
      <c r="D4009">
        <f t="shared" si="250"/>
        <v>62</v>
      </c>
      <c r="E4009">
        <v>110.499</v>
      </c>
      <c r="F4009">
        <f t="shared" si="251"/>
        <v>-48.498999999999995</v>
      </c>
      <c r="G4009">
        <v>55.317</v>
      </c>
      <c r="H4009">
        <v>2.1749999999999998</v>
      </c>
      <c r="I4009">
        <v>3.9409999999999998</v>
      </c>
      <c r="J4009">
        <v>5</v>
      </c>
      <c r="K4009">
        <v>26</v>
      </c>
      <c r="L4009">
        <v>13</v>
      </c>
      <c r="M4009">
        <v>3.2229999999999999</v>
      </c>
    </row>
    <row r="4010" spans="1:13" ht="15" customHeight="1">
      <c r="A4010" t="s">
        <v>45</v>
      </c>
      <c r="B4010">
        <f t="shared" si="248"/>
        <v>33.712358000000002</v>
      </c>
      <c r="C4010">
        <f t="shared" si="249"/>
        <v>-117.844087</v>
      </c>
      <c r="D4010">
        <f t="shared" si="250"/>
        <v>62</v>
      </c>
      <c r="E4010">
        <v>111.499</v>
      </c>
      <c r="F4010">
        <f t="shared" si="251"/>
        <v>-49.498999999999995</v>
      </c>
      <c r="G4010">
        <v>64.516999999999996</v>
      </c>
      <c r="H4010">
        <v>2.4180000000000001</v>
      </c>
      <c r="I4010">
        <v>3.7559999999999998</v>
      </c>
      <c r="J4010">
        <v>5</v>
      </c>
      <c r="K4010">
        <v>31</v>
      </c>
      <c r="L4010">
        <v>16</v>
      </c>
      <c r="M4010">
        <v>3.8330000000000002</v>
      </c>
    </row>
    <row r="4011" spans="1:13" ht="15" customHeight="1">
      <c r="A4011" t="s">
        <v>45</v>
      </c>
      <c r="B4011">
        <f t="shared" si="248"/>
        <v>33.712358000000002</v>
      </c>
      <c r="C4011">
        <f t="shared" si="249"/>
        <v>-117.844087</v>
      </c>
      <c r="D4011">
        <f t="shared" si="250"/>
        <v>62</v>
      </c>
      <c r="E4011">
        <v>112.499</v>
      </c>
      <c r="F4011">
        <f t="shared" si="251"/>
        <v>-50.498999999999995</v>
      </c>
      <c r="G4011">
        <v>47.033000000000001</v>
      </c>
      <c r="H4011">
        <v>1.81</v>
      </c>
      <c r="I4011">
        <v>3.855</v>
      </c>
      <c r="J4011">
        <v>5</v>
      </c>
      <c r="K4011">
        <v>22</v>
      </c>
      <c r="L4011">
        <v>11</v>
      </c>
      <c r="M4011">
        <v>2.6659999999999999</v>
      </c>
    </row>
    <row r="4012" spans="1:13" ht="15" customHeight="1">
      <c r="A4012" t="s">
        <v>45</v>
      </c>
      <c r="B4012">
        <f t="shared" si="248"/>
        <v>33.712358000000002</v>
      </c>
      <c r="C4012">
        <f t="shared" si="249"/>
        <v>-117.844087</v>
      </c>
      <c r="D4012">
        <f t="shared" si="250"/>
        <v>62</v>
      </c>
      <c r="E4012">
        <v>113.499</v>
      </c>
      <c r="F4012">
        <f t="shared" si="251"/>
        <v>-51.498999999999995</v>
      </c>
      <c r="G4012">
        <v>47.216999999999999</v>
      </c>
      <c r="H4012">
        <v>1.8069999999999999</v>
      </c>
      <c r="I4012">
        <v>3.8319999999999999</v>
      </c>
      <c r="J4012">
        <v>5</v>
      </c>
      <c r="K4012">
        <v>23</v>
      </c>
      <c r="L4012">
        <v>12</v>
      </c>
      <c r="M4012">
        <v>2.6749999999999998</v>
      </c>
    </row>
    <row r="4013" spans="1:13" ht="15" customHeight="1">
      <c r="A4013" t="s">
        <v>45</v>
      </c>
      <c r="B4013">
        <f t="shared" si="248"/>
        <v>33.712358000000002</v>
      </c>
      <c r="C4013">
        <f t="shared" si="249"/>
        <v>-117.844087</v>
      </c>
      <c r="D4013">
        <f t="shared" si="250"/>
        <v>62</v>
      </c>
      <c r="E4013">
        <v>114.499</v>
      </c>
      <c r="F4013">
        <f t="shared" si="251"/>
        <v>-52.498999999999995</v>
      </c>
      <c r="G4013">
        <v>122.886</v>
      </c>
      <c r="H4013">
        <v>4.3029999999999999</v>
      </c>
      <c r="I4013">
        <v>3.504</v>
      </c>
      <c r="J4013">
        <v>6</v>
      </c>
      <c r="K4013">
        <v>47</v>
      </c>
      <c r="L4013">
        <v>24</v>
      </c>
      <c r="M4013">
        <v>7.7140000000000004</v>
      </c>
    </row>
    <row r="4014" spans="1:13" ht="15" customHeight="1">
      <c r="A4014" t="s">
        <v>45</v>
      </c>
      <c r="B4014">
        <f t="shared" si="248"/>
        <v>33.712358000000002</v>
      </c>
      <c r="C4014">
        <f t="shared" si="249"/>
        <v>-117.844087</v>
      </c>
      <c r="D4014">
        <f t="shared" si="250"/>
        <v>62</v>
      </c>
      <c r="E4014">
        <v>115.499</v>
      </c>
      <c r="F4014">
        <f t="shared" si="251"/>
        <v>-53.498999999999995</v>
      </c>
      <c r="G4014">
        <v>105.733</v>
      </c>
      <c r="H4014">
        <v>4.7</v>
      </c>
      <c r="I4014">
        <v>4.45</v>
      </c>
      <c r="J4014">
        <v>11</v>
      </c>
      <c r="K4014">
        <v>101</v>
      </c>
      <c r="L4014">
        <v>51</v>
      </c>
      <c r="M4014" s="1">
        <v>9000000000</v>
      </c>
    </row>
    <row r="4015" spans="1:13" ht="15" customHeight="1">
      <c r="A4015" t="s">
        <v>45</v>
      </c>
      <c r="B4015">
        <f t="shared" si="248"/>
        <v>33.712358000000002</v>
      </c>
      <c r="C4015">
        <f t="shared" si="249"/>
        <v>-117.844087</v>
      </c>
      <c r="D4015">
        <f t="shared" si="250"/>
        <v>62</v>
      </c>
      <c r="E4015">
        <v>116.499</v>
      </c>
      <c r="F4015">
        <f t="shared" si="251"/>
        <v>-54.498999999999995</v>
      </c>
      <c r="G4015">
        <v>276.233</v>
      </c>
      <c r="H4015">
        <v>2.94</v>
      </c>
      <c r="I4015">
        <v>1.0649999999999999</v>
      </c>
      <c r="J4015">
        <v>9</v>
      </c>
      <c r="K4015">
        <v>53</v>
      </c>
      <c r="L4015">
        <v>27</v>
      </c>
      <c r="M4015" s="1">
        <v>9000000000</v>
      </c>
    </row>
    <row r="4016" spans="1:13" ht="15" customHeight="1">
      <c r="A4016" t="s">
        <v>45</v>
      </c>
      <c r="B4016">
        <f t="shared" si="248"/>
        <v>33.712358000000002</v>
      </c>
      <c r="C4016">
        <f t="shared" si="249"/>
        <v>-117.844087</v>
      </c>
      <c r="D4016">
        <f t="shared" si="250"/>
        <v>62</v>
      </c>
      <c r="E4016">
        <v>117.498</v>
      </c>
      <c r="F4016">
        <f t="shared" si="251"/>
        <v>-55.498000000000005</v>
      </c>
      <c r="G4016">
        <v>334.45</v>
      </c>
      <c r="H4016">
        <v>4.1070000000000002</v>
      </c>
      <c r="I4016">
        <v>1.228</v>
      </c>
      <c r="J4016">
        <v>9</v>
      </c>
      <c r="K4016">
        <v>64</v>
      </c>
      <c r="L4016">
        <v>32</v>
      </c>
      <c r="M4016" s="1">
        <v>9000000000</v>
      </c>
    </row>
    <row r="4017" spans="1:13" ht="15" customHeight="1">
      <c r="A4017" t="s">
        <v>45</v>
      </c>
      <c r="B4017">
        <f t="shared" si="248"/>
        <v>33.712358000000002</v>
      </c>
      <c r="C4017">
        <f t="shared" si="249"/>
        <v>-117.844087</v>
      </c>
      <c r="D4017">
        <f t="shared" si="250"/>
        <v>62</v>
      </c>
      <c r="E4017">
        <v>118.498</v>
      </c>
      <c r="F4017">
        <f t="shared" si="251"/>
        <v>-56.498000000000005</v>
      </c>
      <c r="G4017">
        <v>341.06700000000001</v>
      </c>
      <c r="H4017">
        <v>3.8319999999999999</v>
      </c>
      <c r="I4017">
        <v>1.1220000000000001</v>
      </c>
      <c r="J4017">
        <v>9</v>
      </c>
      <c r="K4017">
        <v>65</v>
      </c>
      <c r="L4017">
        <v>33</v>
      </c>
      <c r="M4017" s="1">
        <v>9000000000</v>
      </c>
    </row>
    <row r="4018" spans="1:13" ht="15" customHeight="1">
      <c r="A4018" t="s">
        <v>46</v>
      </c>
      <c r="B4018">
        <f t="shared" si="248"/>
        <v>33.717903</v>
      </c>
      <c r="C4018">
        <f t="shared" si="249"/>
        <v>-117.844086</v>
      </c>
      <c r="D4018">
        <f t="shared" si="250"/>
        <v>72</v>
      </c>
      <c r="E4018">
        <v>0.5</v>
      </c>
      <c r="F4018">
        <f t="shared" si="251"/>
        <v>71.5</v>
      </c>
      <c r="G4018">
        <v>13.867000000000001</v>
      </c>
      <c r="H4018">
        <v>5.8000000000000003E-2</v>
      </c>
      <c r="I4018">
        <v>0.42099999999999999</v>
      </c>
      <c r="J4018">
        <v>6</v>
      </c>
      <c r="K4018">
        <v>5</v>
      </c>
      <c r="L4018">
        <v>8</v>
      </c>
      <c r="M4018">
        <v>0.92100000000000004</v>
      </c>
    </row>
    <row r="4019" spans="1:13" ht="15" customHeight="1">
      <c r="A4019" t="s">
        <v>46</v>
      </c>
      <c r="B4019">
        <f t="shared" si="248"/>
        <v>33.717903</v>
      </c>
      <c r="C4019">
        <f t="shared" si="249"/>
        <v>-117.844086</v>
      </c>
      <c r="D4019">
        <f t="shared" si="250"/>
        <v>72</v>
      </c>
      <c r="E4019">
        <v>1.5</v>
      </c>
      <c r="F4019">
        <f t="shared" si="251"/>
        <v>70.5</v>
      </c>
      <c r="G4019">
        <v>66.349999999999994</v>
      </c>
      <c r="H4019">
        <v>1.1719999999999999</v>
      </c>
      <c r="I4019">
        <v>1.766</v>
      </c>
      <c r="J4019">
        <v>7</v>
      </c>
      <c r="K4019">
        <v>21</v>
      </c>
      <c r="L4019">
        <v>32</v>
      </c>
      <c r="M4019" s="1">
        <v>9000000000</v>
      </c>
    </row>
    <row r="4020" spans="1:13" ht="15" customHeight="1">
      <c r="A4020" t="s">
        <v>46</v>
      </c>
      <c r="B4020">
        <f t="shared" si="248"/>
        <v>33.717903</v>
      </c>
      <c r="C4020">
        <f t="shared" si="249"/>
        <v>-117.844086</v>
      </c>
      <c r="D4020">
        <f t="shared" si="250"/>
        <v>72</v>
      </c>
      <c r="E4020">
        <v>2.5</v>
      </c>
      <c r="F4020">
        <f t="shared" si="251"/>
        <v>69.5</v>
      </c>
      <c r="G4020">
        <v>13.3</v>
      </c>
      <c r="H4020">
        <v>0.435</v>
      </c>
      <c r="I4020">
        <v>3.23</v>
      </c>
      <c r="J4020">
        <v>4</v>
      </c>
      <c r="K4020">
        <v>9</v>
      </c>
      <c r="L4020">
        <v>14</v>
      </c>
      <c r="M4020">
        <v>0.88800000000000001</v>
      </c>
    </row>
    <row r="4021" spans="1:13" ht="15" customHeight="1">
      <c r="A4021" t="s">
        <v>46</v>
      </c>
      <c r="B4021">
        <f t="shared" si="248"/>
        <v>33.717903</v>
      </c>
      <c r="C4021">
        <f t="shared" si="249"/>
        <v>-117.844086</v>
      </c>
      <c r="D4021">
        <f t="shared" si="250"/>
        <v>72</v>
      </c>
      <c r="E4021">
        <v>3.5</v>
      </c>
      <c r="F4021">
        <f t="shared" si="251"/>
        <v>68.5</v>
      </c>
      <c r="G4021">
        <v>10.717000000000001</v>
      </c>
      <c r="H4021">
        <v>0.44800000000000001</v>
      </c>
      <c r="I4021">
        <v>4.1900000000000004</v>
      </c>
      <c r="J4021">
        <v>3</v>
      </c>
      <c r="K4021">
        <v>10</v>
      </c>
      <c r="L4021">
        <v>15</v>
      </c>
      <c r="M4021">
        <v>0.69899999999999995</v>
      </c>
    </row>
    <row r="4022" spans="1:13" ht="15" customHeight="1">
      <c r="A4022" t="s">
        <v>46</v>
      </c>
      <c r="B4022">
        <f t="shared" si="248"/>
        <v>33.717903</v>
      </c>
      <c r="C4022">
        <f t="shared" si="249"/>
        <v>-117.844086</v>
      </c>
      <c r="D4022">
        <f t="shared" si="250"/>
        <v>72</v>
      </c>
      <c r="E4022">
        <v>4.5</v>
      </c>
      <c r="F4022">
        <f t="shared" si="251"/>
        <v>67.5</v>
      </c>
      <c r="G4022">
        <v>7.95</v>
      </c>
      <c r="H4022">
        <v>0.35199999999999998</v>
      </c>
      <c r="I4022">
        <v>4.3959999999999999</v>
      </c>
      <c r="J4022">
        <v>3</v>
      </c>
      <c r="K4022">
        <v>8</v>
      </c>
      <c r="L4022">
        <v>12</v>
      </c>
      <c r="M4022">
        <v>0.51500000000000001</v>
      </c>
    </row>
    <row r="4023" spans="1:13" ht="15" customHeight="1">
      <c r="A4023" t="s">
        <v>46</v>
      </c>
      <c r="B4023">
        <f t="shared" si="248"/>
        <v>33.717903</v>
      </c>
      <c r="C4023">
        <f t="shared" si="249"/>
        <v>-117.844086</v>
      </c>
      <c r="D4023">
        <f t="shared" si="250"/>
        <v>72</v>
      </c>
      <c r="E4023">
        <v>5.5</v>
      </c>
      <c r="F4023">
        <f t="shared" si="251"/>
        <v>66.5</v>
      </c>
      <c r="G4023">
        <v>8.0670000000000002</v>
      </c>
      <c r="H4023">
        <v>0.375</v>
      </c>
      <c r="I4023">
        <v>4.6109999999999998</v>
      </c>
      <c r="J4023">
        <v>3</v>
      </c>
      <c r="K4023">
        <v>8</v>
      </c>
      <c r="L4023">
        <v>12</v>
      </c>
      <c r="M4023">
        <v>0.52</v>
      </c>
    </row>
    <row r="4024" spans="1:13" ht="15" customHeight="1">
      <c r="A4024" t="s">
        <v>46</v>
      </c>
      <c r="B4024">
        <f t="shared" si="248"/>
        <v>33.717903</v>
      </c>
      <c r="C4024">
        <f t="shared" si="249"/>
        <v>-117.844086</v>
      </c>
      <c r="D4024">
        <f t="shared" si="250"/>
        <v>72</v>
      </c>
      <c r="E4024">
        <v>6.5</v>
      </c>
      <c r="F4024">
        <f t="shared" si="251"/>
        <v>65.5</v>
      </c>
      <c r="G4024">
        <v>7.9669999999999996</v>
      </c>
      <c r="H4024">
        <v>0.32</v>
      </c>
      <c r="I4024">
        <v>4.0170000000000003</v>
      </c>
      <c r="J4024">
        <v>3</v>
      </c>
      <c r="K4024">
        <v>8</v>
      </c>
      <c r="L4024">
        <v>12</v>
      </c>
      <c r="M4024">
        <v>0.505</v>
      </c>
    </row>
    <row r="4025" spans="1:13" ht="15" customHeight="1">
      <c r="A4025" t="s">
        <v>46</v>
      </c>
      <c r="B4025">
        <f t="shared" si="248"/>
        <v>33.717903</v>
      </c>
      <c r="C4025">
        <f t="shared" si="249"/>
        <v>-117.844086</v>
      </c>
      <c r="D4025">
        <f t="shared" si="250"/>
        <v>72</v>
      </c>
      <c r="E4025">
        <v>7.5</v>
      </c>
      <c r="F4025">
        <f t="shared" si="251"/>
        <v>64.5</v>
      </c>
      <c r="G4025">
        <v>10.333</v>
      </c>
      <c r="H4025">
        <v>0.45700000000000002</v>
      </c>
      <c r="I4025">
        <v>4.4260000000000002</v>
      </c>
      <c r="J4025">
        <v>3</v>
      </c>
      <c r="K4025">
        <v>10</v>
      </c>
      <c r="L4025">
        <v>15</v>
      </c>
      <c r="M4025">
        <v>0.65800000000000003</v>
      </c>
    </row>
    <row r="4026" spans="1:13" ht="15" customHeight="1">
      <c r="A4026" t="s">
        <v>46</v>
      </c>
      <c r="B4026">
        <f t="shared" si="248"/>
        <v>33.717903</v>
      </c>
      <c r="C4026">
        <f t="shared" si="249"/>
        <v>-117.844086</v>
      </c>
      <c r="D4026">
        <f t="shared" si="250"/>
        <v>72</v>
      </c>
      <c r="E4026">
        <v>8.5</v>
      </c>
      <c r="F4026">
        <f t="shared" si="251"/>
        <v>63.5</v>
      </c>
      <c r="G4026">
        <v>13.2</v>
      </c>
      <c r="H4026">
        <v>0.54500000000000004</v>
      </c>
      <c r="I4026">
        <v>4.1390000000000002</v>
      </c>
      <c r="J4026">
        <v>3</v>
      </c>
      <c r="K4026">
        <v>13</v>
      </c>
      <c r="L4026">
        <v>20</v>
      </c>
      <c r="M4026">
        <v>0.84399999999999997</v>
      </c>
    </row>
    <row r="4027" spans="1:13" ht="15" customHeight="1">
      <c r="A4027" t="s">
        <v>46</v>
      </c>
      <c r="B4027">
        <f t="shared" si="248"/>
        <v>33.717903</v>
      </c>
      <c r="C4027">
        <f t="shared" si="249"/>
        <v>-117.844086</v>
      </c>
      <c r="D4027">
        <f t="shared" si="250"/>
        <v>72</v>
      </c>
      <c r="E4027">
        <v>9.5</v>
      </c>
      <c r="F4027">
        <f t="shared" si="251"/>
        <v>62.5</v>
      </c>
      <c r="G4027">
        <v>6.2169999999999996</v>
      </c>
      <c r="H4027">
        <v>0.26300000000000001</v>
      </c>
      <c r="I4027">
        <v>4.2469999999999999</v>
      </c>
      <c r="J4027">
        <v>3</v>
      </c>
      <c r="K4027">
        <v>6</v>
      </c>
      <c r="L4027">
        <v>9</v>
      </c>
      <c r="M4027">
        <v>0.375</v>
      </c>
    </row>
    <row r="4028" spans="1:13" ht="15" customHeight="1">
      <c r="A4028" t="s">
        <v>46</v>
      </c>
      <c r="B4028">
        <f t="shared" si="248"/>
        <v>33.717903</v>
      </c>
      <c r="C4028">
        <f t="shared" si="249"/>
        <v>-117.844086</v>
      </c>
      <c r="D4028">
        <f t="shared" si="250"/>
        <v>72</v>
      </c>
      <c r="E4028">
        <v>10.5</v>
      </c>
      <c r="F4028">
        <f t="shared" si="251"/>
        <v>61.5</v>
      </c>
      <c r="G4028">
        <v>11.743</v>
      </c>
      <c r="H4028">
        <v>0.42099999999999999</v>
      </c>
      <c r="I4028">
        <v>3.593</v>
      </c>
      <c r="J4028">
        <v>4</v>
      </c>
      <c r="K4028">
        <v>7</v>
      </c>
      <c r="L4028">
        <v>10</v>
      </c>
      <c r="M4028">
        <v>0.74</v>
      </c>
    </row>
    <row r="4029" spans="1:13" ht="15" customHeight="1">
      <c r="A4029" t="s">
        <v>46</v>
      </c>
      <c r="B4029">
        <f t="shared" si="248"/>
        <v>33.717903</v>
      </c>
      <c r="C4029">
        <f t="shared" si="249"/>
        <v>-117.844086</v>
      </c>
      <c r="D4029">
        <f t="shared" si="250"/>
        <v>72</v>
      </c>
      <c r="E4029">
        <v>11.5</v>
      </c>
      <c r="F4029">
        <f t="shared" si="251"/>
        <v>60.5</v>
      </c>
      <c r="G4029">
        <v>22.466999999999999</v>
      </c>
      <c r="H4029">
        <v>0.48699999999999999</v>
      </c>
      <c r="I4029">
        <v>2.169</v>
      </c>
      <c r="J4029">
        <v>6</v>
      </c>
      <c r="K4029">
        <v>9</v>
      </c>
      <c r="L4029">
        <v>12</v>
      </c>
      <c r="M4029">
        <v>1.4490000000000001</v>
      </c>
    </row>
    <row r="4030" spans="1:13" ht="15" customHeight="1">
      <c r="A4030" t="s">
        <v>46</v>
      </c>
      <c r="B4030">
        <f t="shared" si="248"/>
        <v>33.717903</v>
      </c>
      <c r="C4030">
        <f t="shared" si="249"/>
        <v>-117.844086</v>
      </c>
      <c r="D4030">
        <f t="shared" si="250"/>
        <v>72</v>
      </c>
      <c r="E4030">
        <v>12.5</v>
      </c>
      <c r="F4030">
        <f t="shared" si="251"/>
        <v>59.5</v>
      </c>
      <c r="G4030">
        <v>5.9</v>
      </c>
      <c r="H4030">
        <v>0.19700000000000001</v>
      </c>
      <c r="I4030">
        <v>3.3519999999999999</v>
      </c>
      <c r="J4030">
        <v>3</v>
      </c>
      <c r="K4030">
        <v>6</v>
      </c>
      <c r="L4030">
        <v>7</v>
      </c>
      <c r="M4030">
        <v>0.34100000000000003</v>
      </c>
    </row>
    <row r="4031" spans="1:13" ht="15" customHeight="1">
      <c r="A4031" t="s">
        <v>46</v>
      </c>
      <c r="B4031">
        <f t="shared" si="248"/>
        <v>33.717903</v>
      </c>
      <c r="C4031">
        <f t="shared" si="249"/>
        <v>-117.844086</v>
      </c>
      <c r="D4031">
        <f t="shared" si="250"/>
        <v>72</v>
      </c>
      <c r="E4031">
        <v>13.5</v>
      </c>
      <c r="F4031">
        <f t="shared" si="251"/>
        <v>58.5</v>
      </c>
      <c r="G4031">
        <v>6.9329999999999998</v>
      </c>
      <c r="H4031">
        <v>0.23300000000000001</v>
      </c>
      <c r="I4031">
        <v>3.3730000000000002</v>
      </c>
      <c r="J4031">
        <v>3</v>
      </c>
      <c r="K4031">
        <v>7</v>
      </c>
      <c r="L4031">
        <v>8</v>
      </c>
      <c r="M4031">
        <v>0.40699999999999997</v>
      </c>
    </row>
    <row r="4032" spans="1:13" ht="15" customHeight="1">
      <c r="A4032" t="s">
        <v>46</v>
      </c>
      <c r="B4032">
        <f t="shared" si="248"/>
        <v>33.717903</v>
      </c>
      <c r="C4032">
        <f t="shared" si="249"/>
        <v>-117.844086</v>
      </c>
      <c r="D4032">
        <f t="shared" si="250"/>
        <v>72</v>
      </c>
      <c r="E4032">
        <v>14.5</v>
      </c>
      <c r="F4032">
        <f t="shared" si="251"/>
        <v>57.5</v>
      </c>
      <c r="G4032">
        <v>5.7169999999999996</v>
      </c>
      <c r="H4032">
        <v>0.20699999999999999</v>
      </c>
      <c r="I4032">
        <v>3.6150000000000002</v>
      </c>
      <c r="J4032">
        <v>3</v>
      </c>
      <c r="K4032">
        <v>5</v>
      </c>
      <c r="L4032">
        <v>6</v>
      </c>
      <c r="M4032">
        <v>0.32300000000000001</v>
      </c>
    </row>
    <row r="4033" spans="1:13" ht="15" customHeight="1">
      <c r="A4033" t="s">
        <v>46</v>
      </c>
      <c r="B4033">
        <f t="shared" si="248"/>
        <v>33.717903</v>
      </c>
      <c r="C4033">
        <f t="shared" si="249"/>
        <v>-117.844086</v>
      </c>
      <c r="D4033">
        <f t="shared" si="250"/>
        <v>72</v>
      </c>
      <c r="E4033">
        <v>15.5</v>
      </c>
      <c r="F4033">
        <f t="shared" si="251"/>
        <v>56.5</v>
      </c>
      <c r="G4033">
        <v>6.45</v>
      </c>
      <c r="H4033">
        <v>0.253</v>
      </c>
      <c r="I4033">
        <v>3.9279999999999999</v>
      </c>
      <c r="J4033">
        <v>3</v>
      </c>
      <c r="K4033">
        <v>6</v>
      </c>
      <c r="L4033">
        <v>6</v>
      </c>
      <c r="M4033">
        <v>0.36699999999999999</v>
      </c>
    </row>
    <row r="4034" spans="1:13" ht="15" customHeight="1">
      <c r="A4034" t="s">
        <v>46</v>
      </c>
      <c r="B4034">
        <f t="shared" ref="B4034:B4097" si="252">VLOOKUP(A4034,XYdata,3,FALSE)</f>
        <v>33.717903</v>
      </c>
      <c r="C4034">
        <f t="shared" ref="C4034:C4097" si="253">VLOOKUP(A4034,XYdata,2,FALSE)</f>
        <v>-117.844086</v>
      </c>
      <c r="D4034">
        <f t="shared" ref="D4034:D4097" si="254">VLOOKUP(A4034,Elevation,2,FALSE)</f>
        <v>72</v>
      </c>
      <c r="E4034">
        <v>16.5</v>
      </c>
      <c r="F4034">
        <f t="shared" si="251"/>
        <v>55.5</v>
      </c>
      <c r="G4034">
        <v>7</v>
      </c>
      <c r="H4034">
        <v>0.27200000000000002</v>
      </c>
      <c r="I4034">
        <v>3.8809999999999998</v>
      </c>
      <c r="J4034">
        <v>3</v>
      </c>
      <c r="K4034">
        <v>7</v>
      </c>
      <c r="L4034">
        <v>7</v>
      </c>
      <c r="M4034">
        <v>0.4</v>
      </c>
    </row>
    <row r="4035" spans="1:13" ht="15" customHeight="1">
      <c r="A4035" t="s">
        <v>46</v>
      </c>
      <c r="B4035">
        <f t="shared" si="252"/>
        <v>33.717903</v>
      </c>
      <c r="C4035">
        <f t="shared" si="253"/>
        <v>-117.844086</v>
      </c>
      <c r="D4035">
        <f t="shared" si="254"/>
        <v>72</v>
      </c>
      <c r="E4035">
        <v>17.5</v>
      </c>
      <c r="F4035">
        <f t="shared" ref="F4035:F4098" si="255">D4035-E4035</f>
        <v>54.5</v>
      </c>
      <c r="G4035">
        <v>6.9169999999999998</v>
      </c>
      <c r="H4035">
        <v>0.22</v>
      </c>
      <c r="I4035">
        <v>3.181</v>
      </c>
      <c r="J4035">
        <v>3</v>
      </c>
      <c r="K4035">
        <v>7</v>
      </c>
      <c r="L4035">
        <v>7</v>
      </c>
      <c r="M4035">
        <v>0.39100000000000001</v>
      </c>
    </row>
    <row r="4036" spans="1:13" ht="15" customHeight="1">
      <c r="A4036" t="s">
        <v>46</v>
      </c>
      <c r="B4036">
        <f t="shared" si="252"/>
        <v>33.717903</v>
      </c>
      <c r="C4036">
        <f t="shared" si="253"/>
        <v>-117.844086</v>
      </c>
      <c r="D4036">
        <f t="shared" si="254"/>
        <v>72</v>
      </c>
      <c r="E4036">
        <v>18.5</v>
      </c>
      <c r="F4036">
        <f t="shared" si="255"/>
        <v>53.5</v>
      </c>
      <c r="G4036">
        <v>7.6</v>
      </c>
      <c r="H4036">
        <v>0.26200000000000001</v>
      </c>
      <c r="I4036">
        <v>3.4279999999999999</v>
      </c>
      <c r="J4036">
        <v>3</v>
      </c>
      <c r="K4036">
        <v>7</v>
      </c>
      <c r="L4036">
        <v>6</v>
      </c>
      <c r="M4036">
        <v>0.434</v>
      </c>
    </row>
    <row r="4037" spans="1:13" ht="15" customHeight="1">
      <c r="A4037" t="s">
        <v>46</v>
      </c>
      <c r="B4037">
        <f t="shared" si="252"/>
        <v>33.717903</v>
      </c>
      <c r="C4037">
        <f t="shared" si="253"/>
        <v>-117.844086</v>
      </c>
      <c r="D4037">
        <f t="shared" si="254"/>
        <v>72</v>
      </c>
      <c r="E4037">
        <v>19.5</v>
      </c>
      <c r="F4037">
        <f t="shared" si="255"/>
        <v>52.5</v>
      </c>
      <c r="G4037">
        <v>7.6</v>
      </c>
      <c r="H4037">
        <v>0.26</v>
      </c>
      <c r="I4037">
        <v>3.4209999999999998</v>
      </c>
      <c r="J4037">
        <v>3</v>
      </c>
      <c r="K4037">
        <v>7</v>
      </c>
      <c r="L4037">
        <v>6</v>
      </c>
      <c r="M4037">
        <v>0.42799999999999999</v>
      </c>
    </row>
    <row r="4038" spans="1:13" ht="15" customHeight="1">
      <c r="A4038" t="s">
        <v>46</v>
      </c>
      <c r="B4038">
        <f t="shared" si="252"/>
        <v>33.717903</v>
      </c>
      <c r="C4038">
        <f t="shared" si="253"/>
        <v>-117.844086</v>
      </c>
      <c r="D4038">
        <f t="shared" si="254"/>
        <v>72</v>
      </c>
      <c r="E4038">
        <v>20.5</v>
      </c>
      <c r="F4038">
        <f t="shared" si="255"/>
        <v>51.5</v>
      </c>
      <c r="G4038">
        <v>7.8570000000000002</v>
      </c>
      <c r="H4038">
        <v>0.26600000000000001</v>
      </c>
      <c r="I4038">
        <v>3.37</v>
      </c>
      <c r="J4038">
        <v>3</v>
      </c>
      <c r="K4038">
        <v>8</v>
      </c>
      <c r="L4038">
        <v>7</v>
      </c>
      <c r="M4038">
        <v>0.443</v>
      </c>
    </row>
    <row r="4039" spans="1:13" ht="15" customHeight="1">
      <c r="A4039" t="s">
        <v>46</v>
      </c>
      <c r="B4039">
        <f t="shared" si="252"/>
        <v>33.717903</v>
      </c>
      <c r="C4039">
        <f t="shared" si="253"/>
        <v>-117.844086</v>
      </c>
      <c r="D4039">
        <f t="shared" si="254"/>
        <v>72</v>
      </c>
      <c r="E4039">
        <v>21.5</v>
      </c>
      <c r="F4039">
        <f t="shared" si="255"/>
        <v>50.5</v>
      </c>
      <c r="G4039">
        <v>10.067</v>
      </c>
      <c r="H4039">
        <v>0.35199999999999998</v>
      </c>
      <c r="I4039">
        <v>3.4929999999999999</v>
      </c>
      <c r="J4039">
        <v>3</v>
      </c>
      <c r="K4039">
        <v>10</v>
      </c>
      <c r="L4039">
        <v>8</v>
      </c>
      <c r="M4039">
        <v>0.58499999999999996</v>
      </c>
    </row>
    <row r="4040" spans="1:13" ht="15" customHeight="1">
      <c r="A4040" t="s">
        <v>46</v>
      </c>
      <c r="B4040">
        <f t="shared" si="252"/>
        <v>33.717903</v>
      </c>
      <c r="C4040">
        <f t="shared" si="253"/>
        <v>-117.844086</v>
      </c>
      <c r="D4040">
        <f t="shared" si="254"/>
        <v>72</v>
      </c>
      <c r="E4040">
        <v>22.5</v>
      </c>
      <c r="F4040">
        <f t="shared" si="255"/>
        <v>49.5</v>
      </c>
      <c r="G4040">
        <v>10.9</v>
      </c>
      <c r="H4040">
        <v>0.41199999999999998</v>
      </c>
      <c r="I4040">
        <v>3.7650000000000001</v>
      </c>
      <c r="J4040">
        <v>3</v>
      </c>
      <c r="K4040">
        <v>10</v>
      </c>
      <c r="L4040">
        <v>8</v>
      </c>
      <c r="M4040">
        <v>0.63800000000000001</v>
      </c>
    </row>
    <row r="4041" spans="1:13" ht="15" customHeight="1">
      <c r="A4041" t="s">
        <v>46</v>
      </c>
      <c r="B4041">
        <f t="shared" si="252"/>
        <v>33.717903</v>
      </c>
      <c r="C4041">
        <f t="shared" si="253"/>
        <v>-117.844086</v>
      </c>
      <c r="D4041">
        <f t="shared" si="254"/>
        <v>72</v>
      </c>
      <c r="E4041">
        <v>23.5</v>
      </c>
      <c r="F4041">
        <f t="shared" si="255"/>
        <v>48.5</v>
      </c>
      <c r="G4041">
        <v>11.7</v>
      </c>
      <c r="H4041">
        <v>0.42</v>
      </c>
      <c r="I4041">
        <v>3.5739999999999998</v>
      </c>
      <c r="J4041">
        <v>4</v>
      </c>
      <c r="K4041">
        <v>8</v>
      </c>
      <c r="L4041">
        <v>6</v>
      </c>
      <c r="M4041">
        <v>0.68899999999999995</v>
      </c>
    </row>
    <row r="4042" spans="1:13" ht="15" customHeight="1">
      <c r="A4042" t="s">
        <v>46</v>
      </c>
      <c r="B4042">
        <f t="shared" si="252"/>
        <v>33.717903</v>
      </c>
      <c r="C4042">
        <f t="shared" si="253"/>
        <v>-117.844086</v>
      </c>
      <c r="D4042">
        <f t="shared" si="254"/>
        <v>72</v>
      </c>
      <c r="E4042">
        <v>24.5</v>
      </c>
      <c r="F4042">
        <f t="shared" si="255"/>
        <v>47.5</v>
      </c>
      <c r="G4042">
        <v>46.3</v>
      </c>
      <c r="H4042">
        <v>0.67500000000000004</v>
      </c>
      <c r="I4042">
        <v>1.4590000000000001</v>
      </c>
      <c r="J4042">
        <v>7</v>
      </c>
      <c r="K4042">
        <v>15</v>
      </c>
      <c r="L4042">
        <v>11</v>
      </c>
      <c r="M4042" s="1">
        <v>9000000000</v>
      </c>
    </row>
    <row r="4043" spans="1:13" ht="15" customHeight="1">
      <c r="A4043" t="s">
        <v>46</v>
      </c>
      <c r="B4043">
        <f t="shared" si="252"/>
        <v>33.717903</v>
      </c>
      <c r="C4043">
        <f t="shared" si="253"/>
        <v>-117.844086</v>
      </c>
      <c r="D4043">
        <f t="shared" si="254"/>
        <v>72</v>
      </c>
      <c r="E4043">
        <v>25.5</v>
      </c>
      <c r="F4043">
        <f t="shared" si="255"/>
        <v>46.5</v>
      </c>
      <c r="G4043">
        <v>41.283000000000001</v>
      </c>
      <c r="H4043">
        <v>0.90500000000000003</v>
      </c>
      <c r="I4043">
        <v>2.2000000000000002</v>
      </c>
      <c r="J4043">
        <v>6</v>
      </c>
      <c r="K4043">
        <v>16</v>
      </c>
      <c r="L4043">
        <v>12</v>
      </c>
      <c r="M4043">
        <v>2.6389999999999998</v>
      </c>
    </row>
    <row r="4044" spans="1:13" ht="15" customHeight="1">
      <c r="A4044" t="s">
        <v>46</v>
      </c>
      <c r="B4044">
        <f t="shared" si="252"/>
        <v>33.717903</v>
      </c>
      <c r="C4044">
        <f t="shared" si="253"/>
        <v>-117.844086</v>
      </c>
      <c r="D4044">
        <f t="shared" si="254"/>
        <v>72</v>
      </c>
      <c r="E4044">
        <v>26.5</v>
      </c>
      <c r="F4044">
        <f t="shared" si="255"/>
        <v>45.5</v>
      </c>
      <c r="G4044">
        <v>12.467000000000001</v>
      </c>
      <c r="H4044">
        <v>0.47799999999999998</v>
      </c>
      <c r="I4044">
        <v>3.8839999999999999</v>
      </c>
      <c r="J4044">
        <v>3</v>
      </c>
      <c r="K4044">
        <v>12</v>
      </c>
      <c r="L4044">
        <v>9</v>
      </c>
      <c r="M4044">
        <v>0.71399999999999997</v>
      </c>
    </row>
    <row r="4045" spans="1:13" ht="15" customHeight="1">
      <c r="A4045" t="s">
        <v>46</v>
      </c>
      <c r="B4045">
        <f t="shared" si="252"/>
        <v>33.717903</v>
      </c>
      <c r="C4045">
        <f t="shared" si="253"/>
        <v>-117.844086</v>
      </c>
      <c r="D4045">
        <f t="shared" si="254"/>
        <v>72</v>
      </c>
      <c r="E4045">
        <v>27.5</v>
      </c>
      <c r="F4045">
        <f t="shared" si="255"/>
        <v>44.5</v>
      </c>
      <c r="G4045">
        <v>18.183</v>
      </c>
      <c r="H4045">
        <v>0.70799999999999996</v>
      </c>
      <c r="I4045">
        <v>3.9209999999999998</v>
      </c>
      <c r="J4045">
        <v>4</v>
      </c>
      <c r="K4045">
        <v>12</v>
      </c>
      <c r="L4045">
        <v>8</v>
      </c>
      <c r="M4045">
        <v>1.093</v>
      </c>
    </row>
    <row r="4046" spans="1:13" ht="15" customHeight="1">
      <c r="A4046" t="s">
        <v>46</v>
      </c>
      <c r="B4046">
        <f t="shared" si="252"/>
        <v>33.717903</v>
      </c>
      <c r="C4046">
        <f t="shared" si="253"/>
        <v>-117.844086</v>
      </c>
      <c r="D4046">
        <f t="shared" si="254"/>
        <v>72</v>
      </c>
      <c r="E4046">
        <v>28.5</v>
      </c>
      <c r="F4046">
        <f t="shared" si="255"/>
        <v>43.5</v>
      </c>
      <c r="G4046">
        <v>43.517000000000003</v>
      </c>
      <c r="H4046">
        <v>1.4219999999999999</v>
      </c>
      <c r="I4046">
        <v>3.278</v>
      </c>
      <c r="J4046">
        <v>5</v>
      </c>
      <c r="K4046">
        <v>21</v>
      </c>
      <c r="L4046">
        <v>15</v>
      </c>
      <c r="M4046">
        <v>2.7759999999999998</v>
      </c>
    </row>
    <row r="4047" spans="1:13" ht="15" customHeight="1">
      <c r="A4047" t="s">
        <v>46</v>
      </c>
      <c r="B4047">
        <f t="shared" si="252"/>
        <v>33.717903</v>
      </c>
      <c r="C4047">
        <f t="shared" si="253"/>
        <v>-117.844086</v>
      </c>
      <c r="D4047">
        <f t="shared" si="254"/>
        <v>72</v>
      </c>
      <c r="E4047">
        <v>29.5</v>
      </c>
      <c r="F4047">
        <f t="shared" si="255"/>
        <v>42.5</v>
      </c>
      <c r="G4047">
        <v>21.516999999999999</v>
      </c>
      <c r="H4047">
        <v>0.81799999999999995</v>
      </c>
      <c r="I4047">
        <v>3.8330000000000002</v>
      </c>
      <c r="J4047">
        <v>4</v>
      </c>
      <c r="K4047">
        <v>14</v>
      </c>
      <c r="L4047">
        <v>10</v>
      </c>
      <c r="M4047">
        <v>1.304</v>
      </c>
    </row>
    <row r="4048" spans="1:13" ht="15" customHeight="1">
      <c r="A4048" t="s">
        <v>46</v>
      </c>
      <c r="B4048">
        <f t="shared" si="252"/>
        <v>33.717903</v>
      </c>
      <c r="C4048">
        <f t="shared" si="253"/>
        <v>-117.844086</v>
      </c>
      <c r="D4048">
        <f t="shared" si="254"/>
        <v>72</v>
      </c>
      <c r="E4048">
        <v>30.5</v>
      </c>
      <c r="F4048">
        <f t="shared" si="255"/>
        <v>41.5</v>
      </c>
      <c r="G4048">
        <v>10.9</v>
      </c>
      <c r="H4048">
        <v>0.27500000000000002</v>
      </c>
      <c r="I4048">
        <v>2.57</v>
      </c>
      <c r="J4048">
        <v>4</v>
      </c>
      <c r="K4048">
        <v>7</v>
      </c>
      <c r="L4048">
        <v>5</v>
      </c>
      <c r="M4048">
        <v>0.59</v>
      </c>
    </row>
    <row r="4049" spans="1:13" ht="15" customHeight="1">
      <c r="A4049" t="s">
        <v>46</v>
      </c>
      <c r="B4049">
        <f t="shared" si="252"/>
        <v>33.717903</v>
      </c>
      <c r="C4049">
        <f t="shared" si="253"/>
        <v>-117.844086</v>
      </c>
      <c r="D4049">
        <f t="shared" si="254"/>
        <v>72</v>
      </c>
      <c r="E4049">
        <v>31.5</v>
      </c>
      <c r="F4049">
        <f t="shared" si="255"/>
        <v>40.5</v>
      </c>
      <c r="G4049">
        <v>14.029</v>
      </c>
      <c r="H4049">
        <v>0.49099999999999999</v>
      </c>
      <c r="I4049">
        <v>3.5539999999999998</v>
      </c>
      <c r="J4049">
        <v>4</v>
      </c>
      <c r="K4049">
        <v>9</v>
      </c>
      <c r="L4049">
        <v>6</v>
      </c>
      <c r="M4049">
        <v>0.79500000000000004</v>
      </c>
    </row>
    <row r="4050" spans="1:13" ht="15" customHeight="1">
      <c r="A4050" t="s">
        <v>46</v>
      </c>
      <c r="B4050">
        <f t="shared" si="252"/>
        <v>33.717903</v>
      </c>
      <c r="C4050">
        <f t="shared" si="253"/>
        <v>-117.844086</v>
      </c>
      <c r="D4050">
        <f t="shared" si="254"/>
        <v>72</v>
      </c>
      <c r="E4050">
        <v>32.5</v>
      </c>
      <c r="F4050">
        <f t="shared" si="255"/>
        <v>39.5</v>
      </c>
      <c r="G4050">
        <v>17.600000000000001</v>
      </c>
      <c r="H4050">
        <v>0.83799999999999997</v>
      </c>
      <c r="I4050">
        <v>4.8090000000000002</v>
      </c>
      <c r="J4050">
        <v>3</v>
      </c>
      <c r="K4050">
        <v>17</v>
      </c>
      <c r="L4050">
        <v>11</v>
      </c>
      <c r="M4050">
        <v>1.0309999999999999</v>
      </c>
    </row>
    <row r="4051" spans="1:13" ht="15" customHeight="1">
      <c r="A4051" t="s">
        <v>46</v>
      </c>
      <c r="B4051">
        <f t="shared" si="252"/>
        <v>33.717903</v>
      </c>
      <c r="C4051">
        <f t="shared" si="253"/>
        <v>-117.844086</v>
      </c>
      <c r="D4051">
        <f t="shared" si="254"/>
        <v>72</v>
      </c>
      <c r="E4051">
        <v>33.5</v>
      </c>
      <c r="F4051">
        <f t="shared" si="255"/>
        <v>38.5</v>
      </c>
      <c r="G4051">
        <v>15.583</v>
      </c>
      <c r="H4051">
        <v>0.64800000000000002</v>
      </c>
      <c r="I4051">
        <v>4.2009999999999996</v>
      </c>
      <c r="J4051">
        <v>3</v>
      </c>
      <c r="K4051">
        <v>15</v>
      </c>
      <c r="L4051">
        <v>10</v>
      </c>
      <c r="M4051">
        <v>0.89300000000000002</v>
      </c>
    </row>
    <row r="4052" spans="1:13" ht="15" customHeight="1">
      <c r="A4052" t="s">
        <v>46</v>
      </c>
      <c r="B4052">
        <f t="shared" si="252"/>
        <v>33.717903</v>
      </c>
      <c r="C4052">
        <f t="shared" si="253"/>
        <v>-117.844086</v>
      </c>
      <c r="D4052">
        <f t="shared" si="254"/>
        <v>72</v>
      </c>
      <c r="E4052">
        <v>34.5</v>
      </c>
      <c r="F4052">
        <f t="shared" si="255"/>
        <v>37.5</v>
      </c>
      <c r="G4052">
        <v>19.117000000000001</v>
      </c>
      <c r="H4052">
        <v>0.72799999999999998</v>
      </c>
      <c r="I4052">
        <v>3.843</v>
      </c>
      <c r="J4052">
        <v>4</v>
      </c>
      <c r="K4052">
        <v>12</v>
      </c>
      <c r="L4052">
        <v>8</v>
      </c>
      <c r="M4052">
        <v>1.1240000000000001</v>
      </c>
    </row>
    <row r="4053" spans="1:13" ht="15" customHeight="1">
      <c r="A4053" t="s">
        <v>46</v>
      </c>
      <c r="B4053">
        <f t="shared" si="252"/>
        <v>33.717903</v>
      </c>
      <c r="C4053">
        <f t="shared" si="253"/>
        <v>-117.844086</v>
      </c>
      <c r="D4053">
        <f t="shared" si="254"/>
        <v>72</v>
      </c>
      <c r="E4053">
        <v>35.5</v>
      </c>
      <c r="F4053">
        <f t="shared" si="255"/>
        <v>36.5</v>
      </c>
      <c r="G4053">
        <v>24.966999999999999</v>
      </c>
      <c r="H4053">
        <v>1.115</v>
      </c>
      <c r="I4053">
        <v>4.4930000000000003</v>
      </c>
      <c r="J4053">
        <v>3</v>
      </c>
      <c r="K4053">
        <v>24</v>
      </c>
      <c r="L4053">
        <v>15</v>
      </c>
      <c r="M4053">
        <v>1.5109999999999999</v>
      </c>
    </row>
    <row r="4054" spans="1:13" ht="15" customHeight="1">
      <c r="A4054" t="s">
        <v>46</v>
      </c>
      <c r="B4054">
        <f t="shared" si="252"/>
        <v>33.717903</v>
      </c>
      <c r="C4054">
        <f t="shared" si="253"/>
        <v>-117.844086</v>
      </c>
      <c r="D4054">
        <f t="shared" si="254"/>
        <v>72</v>
      </c>
      <c r="E4054">
        <v>36.5</v>
      </c>
      <c r="F4054">
        <f t="shared" si="255"/>
        <v>35.5</v>
      </c>
      <c r="G4054">
        <v>30.233000000000001</v>
      </c>
      <c r="H4054">
        <v>1.538</v>
      </c>
      <c r="I4054">
        <v>5.1189999999999998</v>
      </c>
      <c r="J4054">
        <v>3</v>
      </c>
      <c r="K4054">
        <v>29</v>
      </c>
      <c r="L4054">
        <v>18</v>
      </c>
      <c r="M4054">
        <v>1.855</v>
      </c>
    </row>
    <row r="4055" spans="1:13" ht="15" customHeight="1">
      <c r="A4055" t="s">
        <v>46</v>
      </c>
      <c r="B4055">
        <f t="shared" si="252"/>
        <v>33.717903</v>
      </c>
      <c r="C4055">
        <f t="shared" si="253"/>
        <v>-117.844086</v>
      </c>
      <c r="D4055">
        <f t="shared" si="254"/>
        <v>72</v>
      </c>
      <c r="E4055">
        <v>37.5</v>
      </c>
      <c r="F4055">
        <f t="shared" si="255"/>
        <v>34.5</v>
      </c>
      <c r="G4055">
        <v>27.25</v>
      </c>
      <c r="H4055">
        <v>1.1379999999999999</v>
      </c>
      <c r="I4055">
        <v>4.1980000000000004</v>
      </c>
      <c r="J4055">
        <v>4</v>
      </c>
      <c r="K4055">
        <v>17</v>
      </c>
      <c r="L4055">
        <v>10</v>
      </c>
      <c r="M4055">
        <v>1.6559999999999999</v>
      </c>
    </row>
    <row r="4056" spans="1:13" ht="15" customHeight="1">
      <c r="A4056" t="s">
        <v>46</v>
      </c>
      <c r="B4056">
        <f t="shared" si="252"/>
        <v>33.717903</v>
      </c>
      <c r="C4056">
        <f t="shared" si="253"/>
        <v>-117.844086</v>
      </c>
      <c r="D4056">
        <f t="shared" si="254"/>
        <v>72</v>
      </c>
      <c r="E4056">
        <v>38.5</v>
      </c>
      <c r="F4056">
        <f t="shared" si="255"/>
        <v>33.5</v>
      </c>
      <c r="G4056">
        <v>199.81700000000001</v>
      </c>
      <c r="H4056">
        <v>1.708</v>
      </c>
      <c r="I4056">
        <v>0.85599999999999998</v>
      </c>
      <c r="J4056">
        <v>9</v>
      </c>
      <c r="K4056">
        <v>38</v>
      </c>
      <c r="L4056">
        <v>23</v>
      </c>
      <c r="M4056" s="1">
        <v>9000000000</v>
      </c>
    </row>
    <row r="4057" spans="1:13" ht="15" customHeight="1">
      <c r="A4057" t="s">
        <v>46</v>
      </c>
      <c r="B4057">
        <f t="shared" si="252"/>
        <v>33.717903</v>
      </c>
      <c r="C4057">
        <f t="shared" si="253"/>
        <v>-117.844086</v>
      </c>
      <c r="D4057">
        <f t="shared" si="254"/>
        <v>72</v>
      </c>
      <c r="E4057">
        <v>39.5</v>
      </c>
      <c r="F4057">
        <f t="shared" si="255"/>
        <v>32.5</v>
      </c>
      <c r="G4057">
        <v>27.15</v>
      </c>
      <c r="H4057">
        <v>0.77800000000000002</v>
      </c>
      <c r="I4057">
        <v>2.8879999999999999</v>
      </c>
      <c r="J4057">
        <v>5</v>
      </c>
      <c r="K4057">
        <v>13</v>
      </c>
      <c r="L4057">
        <v>8</v>
      </c>
      <c r="M4057">
        <v>1.6359999999999999</v>
      </c>
    </row>
    <row r="4058" spans="1:13" ht="15" customHeight="1">
      <c r="A4058" t="s">
        <v>46</v>
      </c>
      <c r="B4058">
        <f t="shared" si="252"/>
        <v>33.717903</v>
      </c>
      <c r="C4058">
        <f t="shared" si="253"/>
        <v>-117.844086</v>
      </c>
      <c r="D4058">
        <f t="shared" si="254"/>
        <v>72</v>
      </c>
      <c r="E4058">
        <v>40.5</v>
      </c>
      <c r="F4058">
        <f t="shared" si="255"/>
        <v>31.5</v>
      </c>
      <c r="G4058">
        <v>24.082999999999998</v>
      </c>
      <c r="H4058">
        <v>0.86699999999999999</v>
      </c>
      <c r="I4058">
        <v>3.6240000000000001</v>
      </c>
      <c r="J4058">
        <v>5</v>
      </c>
      <c r="K4058">
        <v>11</v>
      </c>
      <c r="L4058">
        <v>6</v>
      </c>
      <c r="M4058">
        <v>1.43</v>
      </c>
    </row>
    <row r="4059" spans="1:13" ht="15" customHeight="1">
      <c r="A4059" t="s">
        <v>46</v>
      </c>
      <c r="B4059">
        <f t="shared" si="252"/>
        <v>33.717903</v>
      </c>
      <c r="C4059">
        <f t="shared" si="253"/>
        <v>-117.844086</v>
      </c>
      <c r="D4059">
        <f t="shared" si="254"/>
        <v>72</v>
      </c>
      <c r="E4059">
        <v>41.499000000000002</v>
      </c>
      <c r="F4059">
        <f t="shared" si="255"/>
        <v>30.500999999999998</v>
      </c>
      <c r="G4059">
        <v>35</v>
      </c>
      <c r="H4059">
        <v>1.496</v>
      </c>
      <c r="I4059">
        <v>4.2910000000000004</v>
      </c>
      <c r="J4059">
        <v>4</v>
      </c>
      <c r="K4059">
        <v>22</v>
      </c>
      <c r="L4059">
        <v>13</v>
      </c>
      <c r="M4059">
        <v>2.1549999999999998</v>
      </c>
    </row>
    <row r="4060" spans="1:13" ht="15" customHeight="1">
      <c r="A4060" t="s">
        <v>46</v>
      </c>
      <c r="B4060">
        <f t="shared" si="252"/>
        <v>33.717903</v>
      </c>
      <c r="C4060">
        <f t="shared" si="253"/>
        <v>-117.844086</v>
      </c>
      <c r="D4060">
        <f t="shared" si="254"/>
        <v>72</v>
      </c>
      <c r="E4060">
        <v>42.499000000000002</v>
      </c>
      <c r="F4060">
        <f t="shared" si="255"/>
        <v>29.500999999999998</v>
      </c>
      <c r="G4060">
        <v>30.25</v>
      </c>
      <c r="H4060">
        <v>1.2250000000000001</v>
      </c>
      <c r="I4060">
        <v>4.07</v>
      </c>
      <c r="J4060">
        <v>4</v>
      </c>
      <c r="K4060">
        <v>19</v>
      </c>
      <c r="L4060">
        <v>11</v>
      </c>
      <c r="M4060">
        <v>1.8340000000000001</v>
      </c>
    </row>
    <row r="4061" spans="1:13" ht="15" customHeight="1">
      <c r="A4061" t="s">
        <v>46</v>
      </c>
      <c r="B4061">
        <f t="shared" si="252"/>
        <v>33.717903</v>
      </c>
      <c r="C4061">
        <f t="shared" si="253"/>
        <v>-117.844086</v>
      </c>
      <c r="D4061">
        <f t="shared" si="254"/>
        <v>72</v>
      </c>
      <c r="E4061">
        <v>43.499000000000002</v>
      </c>
      <c r="F4061">
        <f t="shared" si="255"/>
        <v>28.500999999999998</v>
      </c>
      <c r="G4061">
        <v>18.233000000000001</v>
      </c>
      <c r="H4061">
        <v>0.59299999999999997</v>
      </c>
      <c r="I4061">
        <v>3.278</v>
      </c>
      <c r="J4061">
        <v>5</v>
      </c>
      <c r="K4061">
        <v>9</v>
      </c>
      <c r="L4061">
        <v>5</v>
      </c>
      <c r="M4061">
        <v>1.03</v>
      </c>
    </row>
    <row r="4062" spans="1:13" ht="15" customHeight="1">
      <c r="A4062" t="s">
        <v>46</v>
      </c>
      <c r="B4062">
        <f t="shared" si="252"/>
        <v>33.717903</v>
      </c>
      <c r="C4062">
        <f t="shared" si="253"/>
        <v>-117.844086</v>
      </c>
      <c r="D4062">
        <f t="shared" si="254"/>
        <v>72</v>
      </c>
      <c r="E4062">
        <v>44.499000000000002</v>
      </c>
      <c r="F4062">
        <f t="shared" si="255"/>
        <v>27.500999999999998</v>
      </c>
      <c r="G4062">
        <v>29.332999999999998</v>
      </c>
      <c r="H4062">
        <v>1.143</v>
      </c>
      <c r="I4062">
        <v>3.9180000000000001</v>
      </c>
      <c r="J4062">
        <v>4</v>
      </c>
      <c r="K4062">
        <v>19</v>
      </c>
      <c r="L4062">
        <v>11</v>
      </c>
      <c r="M4062">
        <v>1.764</v>
      </c>
    </row>
    <row r="4063" spans="1:13" ht="15" customHeight="1">
      <c r="A4063" t="s">
        <v>46</v>
      </c>
      <c r="B4063">
        <f t="shared" si="252"/>
        <v>33.717903</v>
      </c>
      <c r="C4063">
        <f t="shared" si="253"/>
        <v>-117.844086</v>
      </c>
      <c r="D4063">
        <f t="shared" si="254"/>
        <v>72</v>
      </c>
      <c r="E4063">
        <v>45.499000000000002</v>
      </c>
      <c r="F4063">
        <f t="shared" si="255"/>
        <v>26.500999999999998</v>
      </c>
      <c r="G4063">
        <v>31.3</v>
      </c>
      <c r="H4063">
        <v>1.468</v>
      </c>
      <c r="I4063">
        <v>4.7060000000000004</v>
      </c>
      <c r="J4063">
        <v>3</v>
      </c>
      <c r="K4063">
        <v>30</v>
      </c>
      <c r="L4063">
        <v>17</v>
      </c>
      <c r="M4063">
        <v>1.895</v>
      </c>
    </row>
    <row r="4064" spans="1:13" ht="15" customHeight="1">
      <c r="A4064" t="s">
        <v>46</v>
      </c>
      <c r="B4064">
        <f t="shared" si="252"/>
        <v>33.717903</v>
      </c>
      <c r="C4064">
        <f t="shared" si="253"/>
        <v>-117.844086</v>
      </c>
      <c r="D4064">
        <f t="shared" si="254"/>
        <v>72</v>
      </c>
      <c r="E4064">
        <v>46.499000000000002</v>
      </c>
      <c r="F4064">
        <f t="shared" si="255"/>
        <v>25.500999999999998</v>
      </c>
      <c r="G4064">
        <v>22.033000000000001</v>
      </c>
      <c r="H4064">
        <v>0.98499999999999999</v>
      </c>
      <c r="I4064">
        <v>4.5049999999999999</v>
      </c>
      <c r="J4064">
        <v>3</v>
      </c>
      <c r="K4064">
        <v>21</v>
      </c>
      <c r="L4064">
        <v>12</v>
      </c>
      <c r="M4064">
        <v>1.268</v>
      </c>
    </row>
    <row r="4065" spans="1:13" ht="15" customHeight="1">
      <c r="A4065" t="s">
        <v>46</v>
      </c>
      <c r="B4065">
        <f t="shared" si="252"/>
        <v>33.717903</v>
      </c>
      <c r="C4065">
        <f t="shared" si="253"/>
        <v>-117.844086</v>
      </c>
      <c r="D4065">
        <f t="shared" si="254"/>
        <v>72</v>
      </c>
      <c r="E4065">
        <v>47.499000000000002</v>
      </c>
      <c r="F4065">
        <f t="shared" si="255"/>
        <v>24.500999999999998</v>
      </c>
      <c r="G4065">
        <v>25.45</v>
      </c>
      <c r="H4065">
        <v>0.82199999999999995</v>
      </c>
      <c r="I4065">
        <v>3.25</v>
      </c>
      <c r="J4065">
        <v>5</v>
      </c>
      <c r="K4065">
        <v>12</v>
      </c>
      <c r="L4065">
        <v>7</v>
      </c>
      <c r="M4065">
        <v>1.492</v>
      </c>
    </row>
    <row r="4066" spans="1:13" ht="15" customHeight="1">
      <c r="A4066" t="s">
        <v>46</v>
      </c>
      <c r="B4066">
        <f t="shared" si="252"/>
        <v>33.717903</v>
      </c>
      <c r="C4066">
        <f t="shared" si="253"/>
        <v>-117.844086</v>
      </c>
      <c r="D4066">
        <f t="shared" si="254"/>
        <v>72</v>
      </c>
      <c r="E4066">
        <v>48.499000000000002</v>
      </c>
      <c r="F4066">
        <f t="shared" si="255"/>
        <v>23.500999999999998</v>
      </c>
      <c r="G4066">
        <v>26.716999999999999</v>
      </c>
      <c r="H4066">
        <v>1.32</v>
      </c>
      <c r="I4066">
        <v>4.9660000000000002</v>
      </c>
      <c r="J4066">
        <v>3</v>
      </c>
      <c r="K4066">
        <v>25</v>
      </c>
      <c r="L4066">
        <v>13</v>
      </c>
      <c r="M4066">
        <v>1.5740000000000001</v>
      </c>
    </row>
    <row r="4067" spans="1:13" ht="15" customHeight="1">
      <c r="A4067" t="s">
        <v>46</v>
      </c>
      <c r="B4067">
        <f t="shared" si="252"/>
        <v>33.717903</v>
      </c>
      <c r="C4067">
        <f t="shared" si="253"/>
        <v>-117.844086</v>
      </c>
      <c r="D4067">
        <f t="shared" si="254"/>
        <v>72</v>
      </c>
      <c r="E4067">
        <v>49.499000000000002</v>
      </c>
      <c r="F4067">
        <f t="shared" si="255"/>
        <v>22.500999999999998</v>
      </c>
      <c r="G4067">
        <v>25.716999999999999</v>
      </c>
      <c r="H4067">
        <v>0.98</v>
      </c>
      <c r="I4067">
        <v>3.8330000000000002</v>
      </c>
      <c r="J4067">
        <v>4</v>
      </c>
      <c r="K4067">
        <v>16</v>
      </c>
      <c r="L4067">
        <v>9</v>
      </c>
      <c r="M4067">
        <v>1.502</v>
      </c>
    </row>
    <row r="4068" spans="1:13" ht="15" customHeight="1">
      <c r="A4068" t="s">
        <v>46</v>
      </c>
      <c r="B4068">
        <f t="shared" si="252"/>
        <v>33.717903</v>
      </c>
      <c r="C4068">
        <f t="shared" si="253"/>
        <v>-117.844086</v>
      </c>
      <c r="D4068">
        <f t="shared" si="254"/>
        <v>72</v>
      </c>
      <c r="E4068">
        <v>50.499000000000002</v>
      </c>
      <c r="F4068">
        <f t="shared" si="255"/>
        <v>21.500999999999998</v>
      </c>
      <c r="G4068">
        <v>34.85</v>
      </c>
      <c r="H4068">
        <v>1.44</v>
      </c>
      <c r="I4068">
        <v>4.1459999999999999</v>
      </c>
      <c r="J4068">
        <v>4</v>
      </c>
      <c r="K4068">
        <v>22</v>
      </c>
      <c r="L4068">
        <v>12</v>
      </c>
      <c r="M4068">
        <v>2.109</v>
      </c>
    </row>
    <row r="4069" spans="1:13" ht="15" customHeight="1">
      <c r="A4069" t="s">
        <v>46</v>
      </c>
      <c r="B4069">
        <f t="shared" si="252"/>
        <v>33.717903</v>
      </c>
      <c r="C4069">
        <f t="shared" si="253"/>
        <v>-117.844086</v>
      </c>
      <c r="D4069">
        <f t="shared" si="254"/>
        <v>72</v>
      </c>
      <c r="E4069">
        <v>51.499000000000002</v>
      </c>
      <c r="F4069">
        <f t="shared" si="255"/>
        <v>20.500999999999998</v>
      </c>
      <c r="G4069">
        <v>57.2</v>
      </c>
      <c r="H4069">
        <v>2.9870000000000001</v>
      </c>
      <c r="I4069">
        <v>5.234</v>
      </c>
      <c r="J4069">
        <v>3</v>
      </c>
      <c r="K4069">
        <v>55</v>
      </c>
      <c r="L4069">
        <v>29</v>
      </c>
      <c r="M4069">
        <v>3.5939999999999999</v>
      </c>
    </row>
    <row r="4070" spans="1:13" ht="15" customHeight="1">
      <c r="A4070" t="s">
        <v>46</v>
      </c>
      <c r="B4070">
        <f t="shared" si="252"/>
        <v>33.717903</v>
      </c>
      <c r="C4070">
        <f t="shared" si="253"/>
        <v>-117.844086</v>
      </c>
      <c r="D4070">
        <f t="shared" si="254"/>
        <v>72</v>
      </c>
      <c r="E4070">
        <v>52.499000000000002</v>
      </c>
      <c r="F4070">
        <f t="shared" si="255"/>
        <v>19.500999999999998</v>
      </c>
      <c r="G4070">
        <v>78.156999999999996</v>
      </c>
      <c r="H4070">
        <v>4.2</v>
      </c>
      <c r="I4070">
        <v>5.38</v>
      </c>
      <c r="J4070">
        <v>11</v>
      </c>
      <c r="K4070">
        <v>75</v>
      </c>
      <c r="L4070">
        <v>39</v>
      </c>
      <c r="M4070" s="1">
        <v>9000000000</v>
      </c>
    </row>
    <row r="4071" spans="1:13" ht="15" customHeight="1">
      <c r="A4071" t="s">
        <v>46</v>
      </c>
      <c r="B4071">
        <f t="shared" si="252"/>
        <v>33.717903</v>
      </c>
      <c r="C4071">
        <f t="shared" si="253"/>
        <v>-117.844086</v>
      </c>
      <c r="D4071">
        <f t="shared" si="254"/>
        <v>72</v>
      </c>
      <c r="E4071">
        <v>53.499000000000002</v>
      </c>
      <c r="F4071">
        <f t="shared" si="255"/>
        <v>18.500999999999998</v>
      </c>
      <c r="G4071">
        <v>129.44999999999999</v>
      </c>
      <c r="H4071">
        <v>7.59</v>
      </c>
      <c r="I4071">
        <v>5.8689999999999998</v>
      </c>
      <c r="J4071">
        <v>11</v>
      </c>
      <c r="K4071">
        <v>124</v>
      </c>
      <c r="L4071">
        <v>63</v>
      </c>
      <c r="M4071" s="1">
        <v>9000000000</v>
      </c>
    </row>
    <row r="4072" spans="1:13" ht="15" customHeight="1">
      <c r="A4072" t="s">
        <v>46</v>
      </c>
      <c r="B4072">
        <f t="shared" si="252"/>
        <v>33.717903</v>
      </c>
      <c r="C4072">
        <f t="shared" si="253"/>
        <v>-117.844086</v>
      </c>
      <c r="D4072">
        <f t="shared" si="254"/>
        <v>72</v>
      </c>
      <c r="E4072">
        <v>54.499000000000002</v>
      </c>
      <c r="F4072">
        <f t="shared" si="255"/>
        <v>17.500999999999998</v>
      </c>
      <c r="G4072">
        <v>121.4</v>
      </c>
      <c r="H4072">
        <v>7.7930000000000001</v>
      </c>
      <c r="I4072">
        <v>6.4269999999999996</v>
      </c>
      <c r="J4072">
        <v>11</v>
      </c>
      <c r="K4072">
        <v>116</v>
      </c>
      <c r="L4072">
        <v>58</v>
      </c>
      <c r="M4072" s="1">
        <v>9000000000</v>
      </c>
    </row>
    <row r="4073" spans="1:13" ht="15" customHeight="1">
      <c r="A4073" t="s">
        <v>46</v>
      </c>
      <c r="B4073">
        <f t="shared" si="252"/>
        <v>33.717903</v>
      </c>
      <c r="C4073">
        <f t="shared" si="253"/>
        <v>-117.844086</v>
      </c>
      <c r="D4073">
        <f t="shared" si="254"/>
        <v>72</v>
      </c>
      <c r="E4073">
        <v>55.499000000000002</v>
      </c>
      <c r="F4073">
        <f t="shared" si="255"/>
        <v>16.500999999999998</v>
      </c>
      <c r="G4073">
        <v>119.917</v>
      </c>
      <c r="H4073">
        <v>4.367</v>
      </c>
      <c r="I4073">
        <v>3.6469999999999998</v>
      </c>
      <c r="J4073">
        <v>6</v>
      </c>
      <c r="K4073">
        <v>46</v>
      </c>
      <c r="L4073">
        <v>23</v>
      </c>
      <c r="M4073">
        <v>7.7539999999999996</v>
      </c>
    </row>
    <row r="4074" spans="1:13" ht="15" customHeight="1">
      <c r="A4074" t="s">
        <v>46</v>
      </c>
      <c r="B4074">
        <f t="shared" si="252"/>
        <v>33.717903</v>
      </c>
      <c r="C4074">
        <f t="shared" si="253"/>
        <v>-117.844086</v>
      </c>
      <c r="D4074">
        <f t="shared" si="254"/>
        <v>72</v>
      </c>
      <c r="E4074">
        <v>56.499000000000002</v>
      </c>
      <c r="F4074">
        <f t="shared" si="255"/>
        <v>15.500999999999998</v>
      </c>
      <c r="G4074">
        <v>147.35</v>
      </c>
      <c r="H4074">
        <v>4.9480000000000004</v>
      </c>
      <c r="I4074">
        <v>3.363</v>
      </c>
      <c r="J4074">
        <v>6</v>
      </c>
      <c r="K4074">
        <v>56</v>
      </c>
      <c r="L4074">
        <v>28</v>
      </c>
      <c r="M4074">
        <v>9.5779999999999994</v>
      </c>
    </row>
    <row r="4075" spans="1:13" ht="15" customHeight="1">
      <c r="A4075" t="s">
        <v>46</v>
      </c>
      <c r="B4075">
        <f t="shared" si="252"/>
        <v>33.717903</v>
      </c>
      <c r="C4075">
        <f t="shared" si="253"/>
        <v>-117.844086</v>
      </c>
      <c r="D4075">
        <f t="shared" si="254"/>
        <v>72</v>
      </c>
      <c r="E4075">
        <v>57.499000000000002</v>
      </c>
      <c r="F4075">
        <f t="shared" si="255"/>
        <v>14.500999999999998</v>
      </c>
      <c r="G4075">
        <v>131.65</v>
      </c>
      <c r="H4075">
        <v>4.4480000000000004</v>
      </c>
      <c r="I4075">
        <v>3.3839999999999999</v>
      </c>
      <c r="J4075">
        <v>6</v>
      </c>
      <c r="K4075">
        <v>50</v>
      </c>
      <c r="L4075">
        <v>25</v>
      </c>
      <c r="M4075">
        <v>8.5269999999999992</v>
      </c>
    </row>
    <row r="4076" spans="1:13" ht="15" customHeight="1">
      <c r="A4076" t="s">
        <v>46</v>
      </c>
      <c r="B4076">
        <f t="shared" si="252"/>
        <v>33.717903</v>
      </c>
      <c r="C4076">
        <f t="shared" si="253"/>
        <v>-117.844086</v>
      </c>
      <c r="D4076">
        <f t="shared" si="254"/>
        <v>72</v>
      </c>
      <c r="E4076">
        <v>58.499000000000002</v>
      </c>
      <c r="F4076">
        <f t="shared" si="255"/>
        <v>13.500999999999998</v>
      </c>
      <c r="G4076">
        <v>104.31699999999999</v>
      </c>
      <c r="H4076">
        <v>3.13</v>
      </c>
      <c r="I4076">
        <v>3.0049999999999999</v>
      </c>
      <c r="J4076">
        <v>6</v>
      </c>
      <c r="K4076">
        <v>40</v>
      </c>
      <c r="L4076">
        <v>20</v>
      </c>
      <c r="M4076">
        <v>6.7030000000000003</v>
      </c>
    </row>
    <row r="4077" spans="1:13" ht="15" customHeight="1">
      <c r="A4077" t="s">
        <v>46</v>
      </c>
      <c r="B4077">
        <f t="shared" si="252"/>
        <v>33.717903</v>
      </c>
      <c r="C4077">
        <f t="shared" si="253"/>
        <v>-117.844086</v>
      </c>
      <c r="D4077">
        <f t="shared" si="254"/>
        <v>72</v>
      </c>
      <c r="E4077">
        <v>59.499000000000002</v>
      </c>
      <c r="F4077">
        <f t="shared" si="255"/>
        <v>12.500999999999998</v>
      </c>
      <c r="G4077">
        <v>68.832999999999998</v>
      </c>
      <c r="H4077">
        <v>2.843</v>
      </c>
      <c r="I4077">
        <v>4.141</v>
      </c>
      <c r="J4077">
        <v>5</v>
      </c>
      <c r="K4077">
        <v>33</v>
      </c>
      <c r="L4077">
        <v>17</v>
      </c>
      <c r="M4077">
        <v>4.3330000000000002</v>
      </c>
    </row>
    <row r="4078" spans="1:13" ht="15" customHeight="1">
      <c r="A4078" t="s">
        <v>46</v>
      </c>
      <c r="B4078">
        <f t="shared" si="252"/>
        <v>33.717903</v>
      </c>
      <c r="C4078">
        <f t="shared" si="253"/>
        <v>-117.844086</v>
      </c>
      <c r="D4078">
        <f t="shared" si="254"/>
        <v>72</v>
      </c>
      <c r="E4078">
        <v>60.499000000000002</v>
      </c>
      <c r="F4078">
        <f t="shared" si="255"/>
        <v>11.500999999999998</v>
      </c>
      <c r="G4078">
        <v>16.832999999999998</v>
      </c>
      <c r="H4078">
        <v>0.47199999999999998</v>
      </c>
      <c r="I4078">
        <v>2.8359999999999999</v>
      </c>
      <c r="J4078">
        <v>5</v>
      </c>
      <c r="K4078">
        <v>8</v>
      </c>
      <c r="L4078">
        <v>4</v>
      </c>
      <c r="M4078">
        <v>0.86</v>
      </c>
    </row>
    <row r="4079" spans="1:13" ht="15" customHeight="1">
      <c r="A4079" t="s">
        <v>46</v>
      </c>
      <c r="B4079">
        <f t="shared" si="252"/>
        <v>33.717903</v>
      </c>
      <c r="C4079">
        <f t="shared" si="253"/>
        <v>-117.844086</v>
      </c>
      <c r="D4079">
        <f t="shared" si="254"/>
        <v>72</v>
      </c>
      <c r="E4079">
        <v>61.499000000000002</v>
      </c>
      <c r="F4079">
        <f t="shared" si="255"/>
        <v>10.500999999999998</v>
      </c>
      <c r="G4079">
        <v>18.283000000000001</v>
      </c>
      <c r="H4079">
        <v>0.53500000000000003</v>
      </c>
      <c r="I4079">
        <v>2.95</v>
      </c>
      <c r="J4079">
        <v>5</v>
      </c>
      <c r="K4079">
        <v>9</v>
      </c>
      <c r="L4079">
        <v>5</v>
      </c>
      <c r="M4079">
        <v>0.95599999999999996</v>
      </c>
    </row>
    <row r="4080" spans="1:13" ht="15" customHeight="1">
      <c r="A4080" t="s">
        <v>46</v>
      </c>
      <c r="B4080">
        <f t="shared" si="252"/>
        <v>33.717903</v>
      </c>
      <c r="C4080">
        <f t="shared" si="253"/>
        <v>-117.844086</v>
      </c>
      <c r="D4080">
        <f t="shared" si="254"/>
        <v>72</v>
      </c>
      <c r="E4080">
        <v>62.499000000000002</v>
      </c>
      <c r="F4080">
        <f t="shared" si="255"/>
        <v>9.5009999999999977</v>
      </c>
      <c r="G4080">
        <v>19.486000000000001</v>
      </c>
      <c r="H4080">
        <v>0.51900000000000002</v>
      </c>
      <c r="I4080">
        <v>2.677</v>
      </c>
      <c r="J4080">
        <v>5</v>
      </c>
      <c r="K4080">
        <v>9</v>
      </c>
      <c r="L4080">
        <v>5</v>
      </c>
      <c r="M4080">
        <v>1.0349999999999999</v>
      </c>
    </row>
    <row r="4081" spans="1:13" ht="15" customHeight="1">
      <c r="A4081" t="s">
        <v>46</v>
      </c>
      <c r="B4081">
        <f t="shared" si="252"/>
        <v>33.717903</v>
      </c>
      <c r="C4081">
        <f t="shared" si="253"/>
        <v>-117.844086</v>
      </c>
      <c r="D4081">
        <f t="shared" si="254"/>
        <v>72</v>
      </c>
      <c r="E4081">
        <v>63.499000000000002</v>
      </c>
      <c r="F4081">
        <f t="shared" si="255"/>
        <v>8.5009999999999977</v>
      </c>
      <c r="G4081">
        <v>18.8</v>
      </c>
      <c r="H4081">
        <v>0.65</v>
      </c>
      <c r="I4081">
        <v>3.464</v>
      </c>
      <c r="J4081">
        <v>4</v>
      </c>
      <c r="K4081">
        <v>12</v>
      </c>
      <c r="L4081">
        <v>6</v>
      </c>
      <c r="M4081">
        <v>0.99</v>
      </c>
    </row>
    <row r="4082" spans="1:13" ht="15" customHeight="1">
      <c r="A4082" t="s">
        <v>46</v>
      </c>
      <c r="B4082">
        <f t="shared" si="252"/>
        <v>33.717903</v>
      </c>
      <c r="C4082">
        <f t="shared" si="253"/>
        <v>-117.844086</v>
      </c>
      <c r="D4082">
        <f t="shared" si="254"/>
        <v>72</v>
      </c>
      <c r="E4082">
        <v>64.498999999999995</v>
      </c>
      <c r="F4082">
        <f t="shared" si="255"/>
        <v>7.5010000000000048</v>
      </c>
      <c r="G4082">
        <v>20.167000000000002</v>
      </c>
      <c r="H4082">
        <v>0.71</v>
      </c>
      <c r="I4082">
        <v>3.43</v>
      </c>
      <c r="J4082">
        <v>5</v>
      </c>
      <c r="K4082">
        <v>10</v>
      </c>
      <c r="L4082">
        <v>5</v>
      </c>
      <c r="M4082">
        <v>1.115</v>
      </c>
    </row>
    <row r="4083" spans="1:13" ht="15" customHeight="1">
      <c r="A4083" t="s">
        <v>46</v>
      </c>
      <c r="B4083">
        <f t="shared" si="252"/>
        <v>33.717903</v>
      </c>
      <c r="C4083">
        <f t="shared" si="253"/>
        <v>-117.844086</v>
      </c>
      <c r="D4083">
        <f t="shared" si="254"/>
        <v>72</v>
      </c>
      <c r="E4083">
        <v>65.498999999999995</v>
      </c>
      <c r="F4083">
        <f t="shared" si="255"/>
        <v>6.5010000000000048</v>
      </c>
      <c r="G4083">
        <v>26.382999999999999</v>
      </c>
      <c r="H4083">
        <v>1.07</v>
      </c>
      <c r="I4083">
        <v>4.0229999999999997</v>
      </c>
      <c r="J4083">
        <v>4</v>
      </c>
      <c r="K4083">
        <v>17</v>
      </c>
      <c r="L4083">
        <v>9</v>
      </c>
      <c r="M4083">
        <v>1.504</v>
      </c>
    </row>
    <row r="4084" spans="1:13" ht="15" customHeight="1">
      <c r="A4084" t="s">
        <v>46</v>
      </c>
      <c r="B4084">
        <f t="shared" si="252"/>
        <v>33.717903</v>
      </c>
      <c r="C4084">
        <f t="shared" si="253"/>
        <v>-117.844086</v>
      </c>
      <c r="D4084">
        <f t="shared" si="254"/>
        <v>72</v>
      </c>
      <c r="E4084">
        <v>66.498999999999995</v>
      </c>
      <c r="F4084">
        <f t="shared" si="255"/>
        <v>5.5010000000000048</v>
      </c>
      <c r="G4084">
        <v>32.517000000000003</v>
      </c>
      <c r="H4084">
        <v>1.4750000000000001</v>
      </c>
      <c r="I4084">
        <v>4.5519999999999996</v>
      </c>
      <c r="J4084">
        <v>4</v>
      </c>
      <c r="K4084">
        <v>21</v>
      </c>
      <c r="L4084">
        <v>11</v>
      </c>
      <c r="M4084">
        <v>1.887</v>
      </c>
    </row>
    <row r="4085" spans="1:13" ht="15" customHeight="1">
      <c r="A4085" t="s">
        <v>46</v>
      </c>
      <c r="B4085">
        <f t="shared" si="252"/>
        <v>33.717903</v>
      </c>
      <c r="C4085">
        <f t="shared" si="253"/>
        <v>-117.844086</v>
      </c>
      <c r="D4085">
        <f t="shared" si="254"/>
        <v>72</v>
      </c>
      <c r="E4085">
        <v>67.498999999999995</v>
      </c>
      <c r="F4085">
        <f t="shared" si="255"/>
        <v>4.5010000000000048</v>
      </c>
      <c r="G4085">
        <v>24</v>
      </c>
      <c r="H4085">
        <v>0.95699999999999996</v>
      </c>
      <c r="I4085">
        <v>4.0030000000000001</v>
      </c>
      <c r="J4085">
        <v>4</v>
      </c>
      <c r="K4085">
        <v>15</v>
      </c>
      <c r="L4085">
        <v>8</v>
      </c>
      <c r="M4085">
        <v>1.3160000000000001</v>
      </c>
    </row>
    <row r="4086" spans="1:13" ht="15" customHeight="1">
      <c r="A4086" t="s">
        <v>46</v>
      </c>
      <c r="B4086">
        <f t="shared" si="252"/>
        <v>33.717903</v>
      </c>
      <c r="C4086">
        <f t="shared" si="253"/>
        <v>-117.844086</v>
      </c>
      <c r="D4086">
        <f t="shared" si="254"/>
        <v>72</v>
      </c>
      <c r="E4086">
        <v>68.498999999999995</v>
      </c>
      <c r="F4086">
        <f t="shared" si="255"/>
        <v>3.5010000000000048</v>
      </c>
      <c r="G4086">
        <v>25.216999999999999</v>
      </c>
      <c r="H4086">
        <v>0.97199999999999998</v>
      </c>
      <c r="I4086">
        <v>3.8580000000000001</v>
      </c>
      <c r="J4086">
        <v>4</v>
      </c>
      <c r="K4086">
        <v>16</v>
      </c>
      <c r="L4086">
        <v>8</v>
      </c>
      <c r="M4086">
        <v>1.3979999999999999</v>
      </c>
    </row>
    <row r="4087" spans="1:13" ht="15" customHeight="1">
      <c r="A4087" t="s">
        <v>46</v>
      </c>
      <c r="B4087">
        <f t="shared" si="252"/>
        <v>33.717903</v>
      </c>
      <c r="C4087">
        <f t="shared" si="253"/>
        <v>-117.844086</v>
      </c>
      <c r="D4087">
        <f t="shared" si="254"/>
        <v>72</v>
      </c>
      <c r="E4087">
        <v>69.498999999999995</v>
      </c>
      <c r="F4087">
        <f t="shared" si="255"/>
        <v>2.5010000000000048</v>
      </c>
      <c r="G4087">
        <v>22.882999999999999</v>
      </c>
      <c r="H4087">
        <v>0.82199999999999995</v>
      </c>
      <c r="I4087">
        <v>3.5830000000000002</v>
      </c>
      <c r="J4087">
        <v>5</v>
      </c>
      <c r="K4087">
        <v>11</v>
      </c>
      <c r="L4087">
        <v>6</v>
      </c>
      <c r="M4087">
        <v>1.2430000000000001</v>
      </c>
    </row>
    <row r="4088" spans="1:13" ht="15" customHeight="1">
      <c r="A4088" t="s">
        <v>46</v>
      </c>
      <c r="B4088">
        <f t="shared" si="252"/>
        <v>33.717903</v>
      </c>
      <c r="C4088">
        <f t="shared" si="253"/>
        <v>-117.844086</v>
      </c>
      <c r="D4088">
        <f t="shared" si="254"/>
        <v>72</v>
      </c>
      <c r="E4088">
        <v>70.498999999999995</v>
      </c>
      <c r="F4088">
        <f t="shared" si="255"/>
        <v>1.5010000000000048</v>
      </c>
      <c r="G4088">
        <v>25.683</v>
      </c>
      <c r="H4088">
        <v>1.115</v>
      </c>
      <c r="I4088">
        <v>4.2939999999999996</v>
      </c>
      <c r="J4088">
        <v>4</v>
      </c>
      <c r="K4088">
        <v>17</v>
      </c>
      <c r="L4088">
        <v>9</v>
      </c>
      <c r="M4088">
        <v>1.4410000000000001</v>
      </c>
    </row>
    <row r="4089" spans="1:13" ht="15" customHeight="1">
      <c r="A4089" t="s">
        <v>46</v>
      </c>
      <c r="B4089">
        <f t="shared" si="252"/>
        <v>33.717903</v>
      </c>
      <c r="C4089">
        <f t="shared" si="253"/>
        <v>-117.844086</v>
      </c>
      <c r="D4089">
        <f t="shared" si="254"/>
        <v>72</v>
      </c>
      <c r="E4089">
        <v>71.498999999999995</v>
      </c>
      <c r="F4089">
        <f t="shared" si="255"/>
        <v>0.50100000000000477</v>
      </c>
      <c r="G4089">
        <v>29.567</v>
      </c>
      <c r="H4089">
        <v>1.218</v>
      </c>
      <c r="I4089">
        <v>4.0359999999999996</v>
      </c>
      <c r="J4089">
        <v>4</v>
      </c>
      <c r="K4089">
        <v>19</v>
      </c>
      <c r="L4089">
        <v>10</v>
      </c>
      <c r="M4089">
        <v>1.718</v>
      </c>
    </row>
    <row r="4090" spans="1:13" ht="15" customHeight="1">
      <c r="A4090" t="s">
        <v>46</v>
      </c>
      <c r="B4090">
        <f t="shared" si="252"/>
        <v>33.717903</v>
      </c>
      <c r="C4090">
        <f t="shared" si="253"/>
        <v>-117.844086</v>
      </c>
      <c r="D4090">
        <f t="shared" si="254"/>
        <v>72</v>
      </c>
      <c r="E4090">
        <v>72.498999999999995</v>
      </c>
      <c r="F4090">
        <f t="shared" si="255"/>
        <v>-0.49899999999999523</v>
      </c>
      <c r="G4090">
        <v>48.5</v>
      </c>
      <c r="H4090">
        <v>2.4670000000000001</v>
      </c>
      <c r="I4090">
        <v>5.0350000000000001</v>
      </c>
      <c r="J4090">
        <v>4</v>
      </c>
      <c r="K4090">
        <v>31</v>
      </c>
      <c r="L4090">
        <v>16</v>
      </c>
      <c r="M4090">
        <v>2.9689999999999999</v>
      </c>
    </row>
    <row r="4091" spans="1:13" ht="15" customHeight="1">
      <c r="A4091" t="s">
        <v>46</v>
      </c>
      <c r="B4091">
        <f t="shared" si="252"/>
        <v>33.717903</v>
      </c>
      <c r="C4091">
        <f t="shared" si="253"/>
        <v>-117.844086</v>
      </c>
      <c r="D4091">
        <f t="shared" si="254"/>
        <v>72</v>
      </c>
      <c r="E4091">
        <v>73.498999999999995</v>
      </c>
      <c r="F4091">
        <f t="shared" si="255"/>
        <v>-1.4989999999999952</v>
      </c>
      <c r="G4091">
        <v>91.1</v>
      </c>
      <c r="H4091">
        <v>3.4449999999999998</v>
      </c>
      <c r="I4091">
        <v>3.7869999999999999</v>
      </c>
      <c r="J4091">
        <v>5</v>
      </c>
      <c r="K4091">
        <v>44</v>
      </c>
      <c r="L4091">
        <v>22</v>
      </c>
      <c r="M4091">
        <v>5.7619999999999996</v>
      </c>
    </row>
    <row r="4092" spans="1:13" ht="15" customHeight="1">
      <c r="A4092" t="s">
        <v>46</v>
      </c>
      <c r="B4092">
        <f t="shared" si="252"/>
        <v>33.717903</v>
      </c>
      <c r="C4092">
        <f t="shared" si="253"/>
        <v>-117.844086</v>
      </c>
      <c r="D4092">
        <f t="shared" si="254"/>
        <v>72</v>
      </c>
      <c r="E4092">
        <v>74.498999999999995</v>
      </c>
      <c r="F4092">
        <f t="shared" si="255"/>
        <v>-2.4989999999999952</v>
      </c>
      <c r="G4092">
        <v>92.533000000000001</v>
      </c>
      <c r="H4092">
        <v>3.1629999999999998</v>
      </c>
      <c r="I4092">
        <v>3.4249999999999998</v>
      </c>
      <c r="J4092">
        <v>6</v>
      </c>
      <c r="K4092">
        <v>35</v>
      </c>
      <c r="L4092">
        <v>18</v>
      </c>
      <c r="M4092">
        <v>5.851</v>
      </c>
    </row>
    <row r="4093" spans="1:13" ht="15" customHeight="1">
      <c r="A4093" t="s">
        <v>46</v>
      </c>
      <c r="B4093">
        <f t="shared" si="252"/>
        <v>33.717903</v>
      </c>
      <c r="C4093">
        <f t="shared" si="253"/>
        <v>-117.844086</v>
      </c>
      <c r="D4093">
        <f t="shared" si="254"/>
        <v>72</v>
      </c>
      <c r="E4093">
        <v>75.498999999999995</v>
      </c>
      <c r="F4093">
        <f t="shared" si="255"/>
        <v>-3.4989999999999952</v>
      </c>
      <c r="G4093">
        <v>157.78299999999999</v>
      </c>
      <c r="H4093">
        <v>3.1779999999999999</v>
      </c>
      <c r="I4093">
        <v>2.016</v>
      </c>
      <c r="J4093">
        <v>7</v>
      </c>
      <c r="K4093">
        <v>50</v>
      </c>
      <c r="L4093">
        <v>25</v>
      </c>
      <c r="M4093" s="1">
        <v>9000000000</v>
      </c>
    </row>
    <row r="4094" spans="1:13" ht="15" customHeight="1">
      <c r="A4094" t="s">
        <v>46</v>
      </c>
      <c r="B4094">
        <f t="shared" si="252"/>
        <v>33.717903</v>
      </c>
      <c r="C4094">
        <f t="shared" si="253"/>
        <v>-117.844086</v>
      </c>
      <c r="D4094">
        <f t="shared" si="254"/>
        <v>72</v>
      </c>
      <c r="E4094">
        <v>76.498999999999995</v>
      </c>
      <c r="F4094">
        <f t="shared" si="255"/>
        <v>-4.4989999999999952</v>
      </c>
      <c r="G4094">
        <v>230.4</v>
      </c>
      <c r="H4094">
        <v>1.9019999999999999</v>
      </c>
      <c r="I4094">
        <v>0.82599999999999996</v>
      </c>
      <c r="J4094">
        <v>9</v>
      </c>
      <c r="K4094">
        <v>44</v>
      </c>
      <c r="L4094">
        <v>22</v>
      </c>
      <c r="M4094" s="1">
        <v>9000000000</v>
      </c>
    </row>
    <row r="4095" spans="1:13" ht="15" customHeight="1">
      <c r="A4095" t="s">
        <v>46</v>
      </c>
      <c r="B4095">
        <f t="shared" si="252"/>
        <v>33.717903</v>
      </c>
      <c r="C4095">
        <f t="shared" si="253"/>
        <v>-117.844086</v>
      </c>
      <c r="D4095">
        <f t="shared" si="254"/>
        <v>72</v>
      </c>
      <c r="E4095">
        <v>77.498999999999995</v>
      </c>
      <c r="F4095">
        <f t="shared" si="255"/>
        <v>-5.4989999999999952</v>
      </c>
      <c r="G4095">
        <v>181.983</v>
      </c>
      <c r="H4095">
        <v>2.613</v>
      </c>
      <c r="I4095">
        <v>1.4370000000000001</v>
      </c>
      <c r="J4095">
        <v>8</v>
      </c>
      <c r="K4095">
        <v>44</v>
      </c>
      <c r="L4095">
        <v>22</v>
      </c>
      <c r="M4095" s="1">
        <v>9000000000</v>
      </c>
    </row>
    <row r="4096" spans="1:13" ht="15" customHeight="1">
      <c r="A4096" t="s">
        <v>46</v>
      </c>
      <c r="B4096">
        <f t="shared" si="252"/>
        <v>33.717903</v>
      </c>
      <c r="C4096">
        <f t="shared" si="253"/>
        <v>-117.844086</v>
      </c>
      <c r="D4096">
        <f t="shared" si="254"/>
        <v>72</v>
      </c>
      <c r="E4096">
        <v>78.498999999999995</v>
      </c>
      <c r="F4096">
        <f t="shared" si="255"/>
        <v>-6.4989999999999952</v>
      </c>
      <c r="G4096">
        <v>225.53299999999999</v>
      </c>
      <c r="H4096">
        <v>2.9129999999999998</v>
      </c>
      <c r="I4096">
        <v>1.2929999999999999</v>
      </c>
      <c r="J4096">
        <v>9</v>
      </c>
      <c r="K4096">
        <v>43</v>
      </c>
      <c r="L4096">
        <v>22</v>
      </c>
      <c r="M4096" s="1">
        <v>9000000000</v>
      </c>
    </row>
    <row r="4097" spans="1:13" ht="15" customHeight="1">
      <c r="A4097" t="s">
        <v>46</v>
      </c>
      <c r="B4097">
        <f t="shared" si="252"/>
        <v>33.717903</v>
      </c>
      <c r="C4097">
        <f t="shared" si="253"/>
        <v>-117.844086</v>
      </c>
      <c r="D4097">
        <f t="shared" si="254"/>
        <v>72</v>
      </c>
      <c r="E4097">
        <v>79.498999999999995</v>
      </c>
      <c r="F4097">
        <f t="shared" si="255"/>
        <v>-7.4989999999999952</v>
      </c>
      <c r="G4097">
        <v>306.78300000000002</v>
      </c>
      <c r="H4097">
        <v>2.8130000000000002</v>
      </c>
      <c r="I4097">
        <v>0.91700000000000004</v>
      </c>
      <c r="J4097">
        <v>9</v>
      </c>
      <c r="K4097">
        <v>59</v>
      </c>
      <c r="L4097">
        <v>30</v>
      </c>
      <c r="M4097" s="1">
        <v>9000000000</v>
      </c>
    </row>
    <row r="4098" spans="1:13" ht="15" customHeight="1">
      <c r="A4098" t="s">
        <v>46</v>
      </c>
      <c r="B4098">
        <f t="shared" ref="B4098:B4161" si="256">VLOOKUP(A4098,XYdata,3,FALSE)</f>
        <v>33.717903</v>
      </c>
      <c r="C4098">
        <f t="shared" ref="C4098:C4161" si="257">VLOOKUP(A4098,XYdata,2,FALSE)</f>
        <v>-117.844086</v>
      </c>
      <c r="D4098">
        <f t="shared" ref="D4098:D4161" si="258">VLOOKUP(A4098,Elevation,2,FALSE)</f>
        <v>72</v>
      </c>
      <c r="E4098">
        <v>80.498999999999995</v>
      </c>
      <c r="F4098">
        <f t="shared" si="255"/>
        <v>-8.4989999999999952</v>
      </c>
      <c r="G4098">
        <v>322.43299999999999</v>
      </c>
      <c r="H4098">
        <v>1.7450000000000001</v>
      </c>
      <c r="I4098">
        <v>0.54100000000000004</v>
      </c>
      <c r="J4098">
        <v>10</v>
      </c>
      <c r="K4098">
        <v>51</v>
      </c>
      <c r="L4098">
        <v>26</v>
      </c>
      <c r="M4098" s="1">
        <v>9000000000</v>
      </c>
    </row>
    <row r="4099" spans="1:13" ht="15" customHeight="1">
      <c r="A4099" t="s">
        <v>46</v>
      </c>
      <c r="B4099">
        <f t="shared" si="256"/>
        <v>33.717903</v>
      </c>
      <c r="C4099">
        <f t="shared" si="257"/>
        <v>-117.844086</v>
      </c>
      <c r="D4099">
        <f t="shared" si="258"/>
        <v>72</v>
      </c>
      <c r="E4099">
        <v>81.498999999999995</v>
      </c>
      <c r="F4099">
        <f t="shared" ref="F4099:F4162" si="259">D4099-E4099</f>
        <v>-9.4989999999999952</v>
      </c>
      <c r="G4099">
        <v>295.71699999999998</v>
      </c>
      <c r="H4099">
        <v>2.0030000000000001</v>
      </c>
      <c r="I4099">
        <v>0.67800000000000005</v>
      </c>
      <c r="J4099">
        <v>9</v>
      </c>
      <c r="K4099">
        <v>57</v>
      </c>
      <c r="L4099">
        <v>29</v>
      </c>
      <c r="M4099" s="1">
        <v>9000000000</v>
      </c>
    </row>
    <row r="4100" spans="1:13" ht="15" customHeight="1">
      <c r="A4100" t="s">
        <v>46</v>
      </c>
      <c r="B4100">
        <f t="shared" si="256"/>
        <v>33.717903</v>
      </c>
      <c r="C4100">
        <f t="shared" si="257"/>
        <v>-117.844086</v>
      </c>
      <c r="D4100">
        <f t="shared" si="258"/>
        <v>72</v>
      </c>
      <c r="E4100">
        <v>82.498999999999995</v>
      </c>
      <c r="F4100">
        <f t="shared" si="259"/>
        <v>-10.498999999999995</v>
      </c>
      <c r="G4100">
        <v>304.58300000000003</v>
      </c>
      <c r="H4100">
        <v>3.1579999999999999</v>
      </c>
      <c r="I4100">
        <v>1.0369999999999999</v>
      </c>
      <c r="J4100">
        <v>9</v>
      </c>
      <c r="K4100">
        <v>58</v>
      </c>
      <c r="L4100">
        <v>29</v>
      </c>
      <c r="M4100" s="1">
        <v>9000000000</v>
      </c>
    </row>
    <row r="4101" spans="1:13" ht="15" customHeight="1">
      <c r="A4101" t="s">
        <v>46</v>
      </c>
      <c r="B4101">
        <f t="shared" si="256"/>
        <v>33.717903</v>
      </c>
      <c r="C4101">
        <f t="shared" si="257"/>
        <v>-117.844086</v>
      </c>
      <c r="D4101">
        <f t="shared" si="258"/>
        <v>72</v>
      </c>
      <c r="E4101">
        <v>83.498999999999995</v>
      </c>
      <c r="F4101">
        <f t="shared" si="259"/>
        <v>-11.498999999999995</v>
      </c>
      <c r="G4101">
        <v>248.72900000000001</v>
      </c>
      <c r="H4101">
        <v>1.1910000000000001</v>
      </c>
      <c r="I4101">
        <v>0.47899999999999998</v>
      </c>
      <c r="J4101">
        <v>9</v>
      </c>
      <c r="K4101">
        <v>48</v>
      </c>
      <c r="L4101">
        <v>24</v>
      </c>
      <c r="M4101" s="1">
        <v>9000000000</v>
      </c>
    </row>
    <row r="4102" spans="1:13" ht="15" customHeight="1">
      <c r="A4102" t="s">
        <v>46</v>
      </c>
      <c r="B4102">
        <f t="shared" si="256"/>
        <v>33.717903</v>
      </c>
      <c r="C4102">
        <f t="shared" si="257"/>
        <v>-117.844086</v>
      </c>
      <c r="D4102">
        <f t="shared" si="258"/>
        <v>72</v>
      </c>
      <c r="E4102">
        <v>84.498999999999995</v>
      </c>
      <c r="F4102">
        <f t="shared" si="259"/>
        <v>-12.498999999999995</v>
      </c>
      <c r="G4102">
        <v>254.417</v>
      </c>
      <c r="H4102">
        <v>1.238</v>
      </c>
      <c r="I4102">
        <v>0.48699999999999999</v>
      </c>
      <c r="J4102">
        <v>9</v>
      </c>
      <c r="K4102">
        <v>49</v>
      </c>
      <c r="L4102">
        <v>25</v>
      </c>
      <c r="M4102" s="1">
        <v>9000000000</v>
      </c>
    </row>
    <row r="4103" spans="1:13" ht="15" customHeight="1">
      <c r="A4103" t="s">
        <v>46</v>
      </c>
      <c r="B4103">
        <f t="shared" si="256"/>
        <v>33.717903</v>
      </c>
      <c r="C4103">
        <f t="shared" si="257"/>
        <v>-117.844086</v>
      </c>
      <c r="D4103">
        <f t="shared" si="258"/>
        <v>72</v>
      </c>
      <c r="E4103">
        <v>85.498999999999995</v>
      </c>
      <c r="F4103">
        <f t="shared" si="259"/>
        <v>-13.498999999999995</v>
      </c>
      <c r="G4103">
        <v>238.517</v>
      </c>
      <c r="H4103">
        <v>1.2470000000000001</v>
      </c>
      <c r="I4103">
        <v>0.52300000000000002</v>
      </c>
      <c r="J4103">
        <v>9</v>
      </c>
      <c r="K4103">
        <v>46</v>
      </c>
      <c r="L4103">
        <v>23</v>
      </c>
      <c r="M4103" s="1">
        <v>9000000000</v>
      </c>
    </row>
    <row r="4104" spans="1:13" ht="15" customHeight="1">
      <c r="A4104" t="s">
        <v>46</v>
      </c>
      <c r="B4104">
        <f t="shared" si="256"/>
        <v>33.717903</v>
      </c>
      <c r="C4104">
        <f t="shared" si="257"/>
        <v>-117.844086</v>
      </c>
      <c r="D4104">
        <f t="shared" si="258"/>
        <v>72</v>
      </c>
      <c r="E4104">
        <v>86.498999999999995</v>
      </c>
      <c r="F4104">
        <f t="shared" si="259"/>
        <v>-14.498999999999995</v>
      </c>
      <c r="G4104">
        <v>79.650000000000006</v>
      </c>
      <c r="H4104">
        <v>1.417</v>
      </c>
      <c r="I4104">
        <v>1.782</v>
      </c>
      <c r="J4104">
        <v>7</v>
      </c>
      <c r="K4104">
        <v>25</v>
      </c>
      <c r="L4104">
        <v>13</v>
      </c>
      <c r="M4104" s="1">
        <v>9000000000</v>
      </c>
    </row>
    <row r="4105" spans="1:13" ht="15" customHeight="1">
      <c r="A4105" t="s">
        <v>46</v>
      </c>
      <c r="B4105">
        <f t="shared" si="256"/>
        <v>33.717903</v>
      </c>
      <c r="C4105">
        <f t="shared" si="257"/>
        <v>-117.844086</v>
      </c>
      <c r="D4105">
        <f t="shared" si="258"/>
        <v>72</v>
      </c>
      <c r="E4105">
        <v>87.498999999999995</v>
      </c>
      <c r="F4105">
        <f t="shared" si="259"/>
        <v>-15.498999999999995</v>
      </c>
      <c r="G4105">
        <v>29.6</v>
      </c>
      <c r="H4105">
        <v>0.74199999999999999</v>
      </c>
      <c r="I4105">
        <v>2.5129999999999999</v>
      </c>
      <c r="J4105">
        <v>6</v>
      </c>
      <c r="K4105">
        <v>11</v>
      </c>
      <c r="L4105">
        <v>6</v>
      </c>
      <c r="M4105">
        <v>1.607</v>
      </c>
    </row>
    <row r="4106" spans="1:13" ht="15" customHeight="1">
      <c r="A4106" t="s">
        <v>46</v>
      </c>
      <c r="B4106">
        <f t="shared" si="256"/>
        <v>33.717903</v>
      </c>
      <c r="C4106">
        <f t="shared" si="257"/>
        <v>-117.844086</v>
      </c>
      <c r="D4106">
        <f t="shared" si="258"/>
        <v>72</v>
      </c>
      <c r="E4106">
        <v>88.498999999999995</v>
      </c>
      <c r="F4106">
        <f t="shared" si="259"/>
        <v>-16.498999999999995</v>
      </c>
      <c r="G4106">
        <v>46.832999999999998</v>
      </c>
      <c r="H4106">
        <v>1.8280000000000001</v>
      </c>
      <c r="I4106">
        <v>3.9089999999999998</v>
      </c>
      <c r="J4106">
        <v>5</v>
      </c>
      <c r="K4106">
        <v>22</v>
      </c>
      <c r="L4106">
        <v>11</v>
      </c>
      <c r="M4106">
        <v>2.7530000000000001</v>
      </c>
    </row>
    <row r="4107" spans="1:13" ht="15" customHeight="1">
      <c r="A4107" t="s">
        <v>46</v>
      </c>
      <c r="B4107">
        <f t="shared" si="256"/>
        <v>33.717903</v>
      </c>
      <c r="C4107">
        <f t="shared" si="257"/>
        <v>-117.844086</v>
      </c>
      <c r="D4107">
        <f t="shared" si="258"/>
        <v>72</v>
      </c>
      <c r="E4107">
        <v>89.498999999999995</v>
      </c>
      <c r="F4107">
        <f t="shared" si="259"/>
        <v>-17.498999999999995</v>
      </c>
      <c r="G4107">
        <v>33.817</v>
      </c>
      <c r="H4107">
        <v>1.077</v>
      </c>
      <c r="I4107">
        <v>3.1850000000000001</v>
      </c>
      <c r="J4107">
        <v>5</v>
      </c>
      <c r="K4107">
        <v>16</v>
      </c>
      <c r="L4107">
        <v>8</v>
      </c>
      <c r="M4107">
        <v>1.885</v>
      </c>
    </row>
    <row r="4108" spans="1:13" ht="15" customHeight="1">
      <c r="A4108" t="s">
        <v>46</v>
      </c>
      <c r="B4108">
        <f t="shared" si="256"/>
        <v>33.717903</v>
      </c>
      <c r="C4108">
        <f t="shared" si="257"/>
        <v>-117.844086</v>
      </c>
      <c r="D4108">
        <f t="shared" si="258"/>
        <v>72</v>
      </c>
      <c r="E4108">
        <v>90.498999999999995</v>
      </c>
      <c r="F4108">
        <f t="shared" si="259"/>
        <v>-18.498999999999995</v>
      </c>
      <c r="G4108">
        <v>73.332999999999998</v>
      </c>
      <c r="H4108">
        <v>3.32</v>
      </c>
      <c r="I4108">
        <v>4.5270000000000001</v>
      </c>
      <c r="J4108">
        <v>5</v>
      </c>
      <c r="K4108">
        <v>35</v>
      </c>
      <c r="L4108">
        <v>18</v>
      </c>
      <c r="M4108">
        <v>4.516</v>
      </c>
    </row>
    <row r="4109" spans="1:13" ht="15" customHeight="1">
      <c r="A4109" t="s">
        <v>46</v>
      </c>
      <c r="B4109">
        <f t="shared" si="256"/>
        <v>33.717903</v>
      </c>
      <c r="C4109">
        <f t="shared" si="257"/>
        <v>-117.844086</v>
      </c>
      <c r="D4109">
        <f t="shared" si="258"/>
        <v>72</v>
      </c>
      <c r="E4109">
        <v>91.498999999999995</v>
      </c>
      <c r="F4109">
        <f t="shared" si="259"/>
        <v>-19.498999999999995</v>
      </c>
      <c r="G4109">
        <v>65.332999999999998</v>
      </c>
      <c r="H4109">
        <v>3.07</v>
      </c>
      <c r="I4109">
        <v>4.7110000000000003</v>
      </c>
      <c r="J4109">
        <v>4</v>
      </c>
      <c r="K4109">
        <v>42</v>
      </c>
      <c r="L4109">
        <v>21</v>
      </c>
      <c r="M4109">
        <v>3.9670000000000001</v>
      </c>
    </row>
    <row r="4110" spans="1:13" ht="15" customHeight="1">
      <c r="A4110" t="s">
        <v>46</v>
      </c>
      <c r="B4110">
        <f t="shared" si="256"/>
        <v>33.717903</v>
      </c>
      <c r="C4110">
        <f t="shared" si="257"/>
        <v>-117.844086</v>
      </c>
      <c r="D4110">
        <f t="shared" si="258"/>
        <v>72</v>
      </c>
      <c r="E4110">
        <v>92.498999999999995</v>
      </c>
      <c r="F4110">
        <f t="shared" si="259"/>
        <v>-20.498999999999995</v>
      </c>
      <c r="G4110">
        <v>54.2</v>
      </c>
      <c r="H4110">
        <v>1.905</v>
      </c>
      <c r="I4110">
        <v>3.5230000000000001</v>
      </c>
      <c r="J4110">
        <v>5</v>
      </c>
      <c r="K4110">
        <v>26</v>
      </c>
      <c r="L4110">
        <v>13</v>
      </c>
      <c r="M4110">
        <v>3.2229999999999999</v>
      </c>
    </row>
    <row r="4111" spans="1:13" ht="15" customHeight="1">
      <c r="A4111" t="s">
        <v>46</v>
      </c>
      <c r="B4111">
        <f t="shared" si="256"/>
        <v>33.717903</v>
      </c>
      <c r="C4111">
        <f t="shared" si="257"/>
        <v>-117.844086</v>
      </c>
      <c r="D4111">
        <f t="shared" si="258"/>
        <v>72</v>
      </c>
      <c r="E4111">
        <v>93.498999999999995</v>
      </c>
      <c r="F4111">
        <f t="shared" si="259"/>
        <v>-21.498999999999995</v>
      </c>
      <c r="G4111">
        <v>28.757000000000001</v>
      </c>
      <c r="H4111">
        <v>0.69899999999999995</v>
      </c>
      <c r="I4111">
        <v>2.4409999999999998</v>
      </c>
      <c r="J4111">
        <v>6</v>
      </c>
      <c r="K4111">
        <v>11</v>
      </c>
      <c r="L4111">
        <v>6</v>
      </c>
      <c r="M4111">
        <v>1.522</v>
      </c>
    </row>
    <row r="4112" spans="1:13" ht="15" customHeight="1">
      <c r="A4112" t="s">
        <v>46</v>
      </c>
      <c r="B4112">
        <f t="shared" si="256"/>
        <v>33.717903</v>
      </c>
      <c r="C4112">
        <f t="shared" si="257"/>
        <v>-117.844086</v>
      </c>
      <c r="D4112">
        <f t="shared" si="258"/>
        <v>72</v>
      </c>
      <c r="E4112">
        <v>94.498999999999995</v>
      </c>
      <c r="F4112">
        <f t="shared" si="259"/>
        <v>-22.498999999999995</v>
      </c>
      <c r="G4112">
        <v>25.882999999999999</v>
      </c>
      <c r="H4112">
        <v>0.752</v>
      </c>
      <c r="I4112">
        <v>2.9169999999999998</v>
      </c>
      <c r="J4112">
        <v>5</v>
      </c>
      <c r="K4112">
        <v>12</v>
      </c>
      <c r="L4112">
        <v>6</v>
      </c>
      <c r="M4112">
        <v>1.3280000000000001</v>
      </c>
    </row>
    <row r="4113" spans="1:13" ht="15" customHeight="1">
      <c r="A4113" t="s">
        <v>46</v>
      </c>
      <c r="B4113">
        <f t="shared" si="256"/>
        <v>33.717903</v>
      </c>
      <c r="C4113">
        <f t="shared" si="257"/>
        <v>-117.844086</v>
      </c>
      <c r="D4113">
        <f t="shared" si="258"/>
        <v>72</v>
      </c>
      <c r="E4113">
        <v>95.498999999999995</v>
      </c>
      <c r="F4113">
        <f t="shared" si="259"/>
        <v>-23.498999999999995</v>
      </c>
      <c r="G4113">
        <v>29.95</v>
      </c>
      <c r="H4113">
        <v>0.78300000000000003</v>
      </c>
      <c r="I4113">
        <v>2.6240000000000001</v>
      </c>
      <c r="J4113">
        <v>6</v>
      </c>
      <c r="K4113">
        <v>11</v>
      </c>
      <c r="L4113">
        <v>6</v>
      </c>
      <c r="M4113">
        <v>1.5960000000000001</v>
      </c>
    </row>
    <row r="4114" spans="1:13" ht="15" customHeight="1">
      <c r="A4114" t="s">
        <v>46</v>
      </c>
      <c r="B4114">
        <f t="shared" si="256"/>
        <v>33.717903</v>
      </c>
      <c r="C4114">
        <f t="shared" si="257"/>
        <v>-117.844086</v>
      </c>
      <c r="D4114">
        <f t="shared" si="258"/>
        <v>72</v>
      </c>
      <c r="E4114">
        <v>96.498999999999995</v>
      </c>
      <c r="F4114">
        <f t="shared" si="259"/>
        <v>-24.498999999999995</v>
      </c>
      <c r="G4114">
        <v>157.19999999999999</v>
      </c>
      <c r="H4114">
        <v>3.7069999999999999</v>
      </c>
      <c r="I4114">
        <v>2.359</v>
      </c>
      <c r="J4114">
        <v>7</v>
      </c>
      <c r="K4114">
        <v>50</v>
      </c>
      <c r="L4114">
        <v>25</v>
      </c>
      <c r="M4114" s="1">
        <v>9000000000</v>
      </c>
    </row>
    <row r="4115" spans="1:13" ht="15" customHeight="1">
      <c r="A4115" t="s">
        <v>46</v>
      </c>
      <c r="B4115">
        <f t="shared" si="256"/>
        <v>33.717903</v>
      </c>
      <c r="C4115">
        <f t="shared" si="257"/>
        <v>-117.844086</v>
      </c>
      <c r="D4115">
        <f t="shared" si="258"/>
        <v>72</v>
      </c>
      <c r="E4115">
        <v>97.498999999999995</v>
      </c>
      <c r="F4115">
        <f t="shared" si="259"/>
        <v>-25.498999999999995</v>
      </c>
      <c r="G4115">
        <v>143.88300000000001</v>
      </c>
      <c r="H4115">
        <v>4.585</v>
      </c>
      <c r="I4115">
        <v>3.1909999999999998</v>
      </c>
      <c r="J4115">
        <v>6</v>
      </c>
      <c r="K4115">
        <v>55</v>
      </c>
      <c r="L4115">
        <v>28</v>
      </c>
      <c r="M4115">
        <v>9.1769999999999996</v>
      </c>
    </row>
    <row r="4116" spans="1:13" ht="15" customHeight="1">
      <c r="A4116" t="s">
        <v>46</v>
      </c>
      <c r="B4116">
        <f t="shared" si="256"/>
        <v>33.717903</v>
      </c>
      <c r="C4116">
        <f t="shared" si="257"/>
        <v>-117.844086</v>
      </c>
      <c r="D4116">
        <f t="shared" si="258"/>
        <v>72</v>
      </c>
      <c r="E4116">
        <v>98.498999999999995</v>
      </c>
      <c r="F4116">
        <f t="shared" si="259"/>
        <v>-26.498999999999995</v>
      </c>
      <c r="G4116">
        <v>78.066999999999993</v>
      </c>
      <c r="H4116">
        <v>4.4050000000000002</v>
      </c>
      <c r="I4116">
        <v>5.6550000000000002</v>
      </c>
      <c r="J4116">
        <v>11</v>
      </c>
      <c r="K4116">
        <v>75</v>
      </c>
      <c r="L4116">
        <v>38</v>
      </c>
      <c r="M4116" s="1">
        <v>9000000000</v>
      </c>
    </row>
    <row r="4117" spans="1:13" ht="15" customHeight="1">
      <c r="A4117" t="s">
        <v>46</v>
      </c>
      <c r="B4117">
        <f t="shared" si="256"/>
        <v>33.717903</v>
      </c>
      <c r="C4117">
        <f t="shared" si="257"/>
        <v>-117.844086</v>
      </c>
      <c r="D4117">
        <f t="shared" si="258"/>
        <v>72</v>
      </c>
      <c r="E4117">
        <v>99.498999999999995</v>
      </c>
      <c r="F4117">
        <f t="shared" si="259"/>
        <v>-27.498999999999995</v>
      </c>
      <c r="G4117">
        <v>36.767000000000003</v>
      </c>
      <c r="H4117">
        <v>1.5780000000000001</v>
      </c>
      <c r="I4117">
        <v>4.3120000000000003</v>
      </c>
      <c r="J4117">
        <v>4</v>
      </c>
      <c r="K4117">
        <v>23</v>
      </c>
      <c r="L4117">
        <v>12</v>
      </c>
      <c r="M4117">
        <v>2.0289999999999999</v>
      </c>
    </row>
    <row r="4118" spans="1:13" ht="15" customHeight="1">
      <c r="A4118" t="s">
        <v>46</v>
      </c>
      <c r="B4118">
        <f t="shared" si="256"/>
        <v>33.717903</v>
      </c>
      <c r="C4118">
        <f t="shared" si="257"/>
        <v>-117.844086</v>
      </c>
      <c r="D4118">
        <f t="shared" si="258"/>
        <v>72</v>
      </c>
      <c r="E4118">
        <v>100.499</v>
      </c>
      <c r="F4118">
        <f t="shared" si="259"/>
        <v>-28.498999999999995</v>
      </c>
      <c r="G4118">
        <v>29.882999999999999</v>
      </c>
      <c r="H4118">
        <v>0.88500000000000001</v>
      </c>
      <c r="I4118">
        <v>2.98</v>
      </c>
      <c r="J4118">
        <v>5</v>
      </c>
      <c r="K4118">
        <v>14</v>
      </c>
      <c r="L4118">
        <v>7</v>
      </c>
      <c r="M4118">
        <v>1.5649999999999999</v>
      </c>
    </row>
    <row r="4119" spans="1:13" ht="15" customHeight="1">
      <c r="A4119" t="s">
        <v>46</v>
      </c>
      <c r="B4119">
        <f t="shared" si="256"/>
        <v>33.717903</v>
      </c>
      <c r="C4119">
        <f t="shared" si="257"/>
        <v>-117.844086</v>
      </c>
      <c r="D4119">
        <f t="shared" si="258"/>
        <v>72</v>
      </c>
      <c r="E4119">
        <v>101.499</v>
      </c>
      <c r="F4119">
        <f t="shared" si="259"/>
        <v>-29.498999999999995</v>
      </c>
      <c r="G4119">
        <v>31.15</v>
      </c>
      <c r="H4119">
        <v>0.82799999999999996</v>
      </c>
      <c r="I4119">
        <v>2.6760000000000002</v>
      </c>
      <c r="J4119">
        <v>6</v>
      </c>
      <c r="K4119">
        <v>12</v>
      </c>
      <c r="L4119">
        <v>6</v>
      </c>
      <c r="M4119">
        <v>1.6439999999999999</v>
      </c>
    </row>
    <row r="4120" spans="1:13" ht="15" customHeight="1">
      <c r="A4120" t="s">
        <v>46</v>
      </c>
      <c r="B4120">
        <f t="shared" si="256"/>
        <v>33.717903</v>
      </c>
      <c r="C4120">
        <f t="shared" si="257"/>
        <v>-117.844086</v>
      </c>
      <c r="D4120">
        <f t="shared" si="258"/>
        <v>72</v>
      </c>
      <c r="E4120">
        <v>102.499</v>
      </c>
      <c r="F4120">
        <f t="shared" si="259"/>
        <v>-30.498999999999995</v>
      </c>
      <c r="G4120">
        <v>37.267000000000003</v>
      </c>
      <c r="H4120">
        <v>1.238</v>
      </c>
      <c r="I4120">
        <v>3.3380000000000001</v>
      </c>
      <c r="J4120">
        <v>5</v>
      </c>
      <c r="K4120">
        <v>18</v>
      </c>
      <c r="L4120">
        <v>9</v>
      </c>
      <c r="M4120">
        <v>2.0499999999999998</v>
      </c>
    </row>
    <row r="4121" spans="1:13" ht="15" customHeight="1">
      <c r="A4121" t="s">
        <v>46</v>
      </c>
      <c r="B4121">
        <f t="shared" si="256"/>
        <v>33.717903</v>
      </c>
      <c r="C4121">
        <f t="shared" si="257"/>
        <v>-117.844086</v>
      </c>
      <c r="D4121">
        <f t="shared" si="258"/>
        <v>72</v>
      </c>
      <c r="E4121">
        <v>103.499</v>
      </c>
      <c r="F4121">
        <f t="shared" si="259"/>
        <v>-31.498999999999995</v>
      </c>
      <c r="G4121">
        <v>34.883000000000003</v>
      </c>
      <c r="H4121">
        <v>1.008</v>
      </c>
      <c r="I4121">
        <v>2.9060000000000001</v>
      </c>
      <c r="J4121">
        <v>6</v>
      </c>
      <c r="K4121">
        <v>13</v>
      </c>
      <c r="L4121">
        <v>7</v>
      </c>
      <c r="M4121">
        <v>1.8859999999999999</v>
      </c>
    </row>
    <row r="4122" spans="1:13" ht="15" customHeight="1">
      <c r="A4122" t="s">
        <v>46</v>
      </c>
      <c r="B4122">
        <f t="shared" si="256"/>
        <v>33.717903</v>
      </c>
      <c r="C4122">
        <f t="shared" si="257"/>
        <v>-117.844086</v>
      </c>
      <c r="D4122">
        <f t="shared" si="258"/>
        <v>72</v>
      </c>
      <c r="E4122">
        <v>104.499</v>
      </c>
      <c r="F4122">
        <f t="shared" si="259"/>
        <v>-32.498999999999995</v>
      </c>
      <c r="G4122">
        <v>31.843</v>
      </c>
      <c r="H4122">
        <v>0.93400000000000005</v>
      </c>
      <c r="I4122">
        <v>2.9529999999999998</v>
      </c>
      <c r="J4122">
        <v>5</v>
      </c>
      <c r="K4122">
        <v>15</v>
      </c>
      <c r="L4122">
        <v>8</v>
      </c>
      <c r="M4122">
        <v>1.6779999999999999</v>
      </c>
    </row>
    <row r="4123" spans="1:13" ht="15" customHeight="1">
      <c r="A4123" t="s">
        <v>46</v>
      </c>
      <c r="B4123">
        <f t="shared" si="256"/>
        <v>33.717903</v>
      </c>
      <c r="C4123">
        <f t="shared" si="257"/>
        <v>-117.844086</v>
      </c>
      <c r="D4123">
        <f t="shared" si="258"/>
        <v>72</v>
      </c>
      <c r="E4123">
        <v>105.499</v>
      </c>
      <c r="F4123">
        <f t="shared" si="259"/>
        <v>-33.498999999999995</v>
      </c>
      <c r="G4123">
        <v>28.317</v>
      </c>
      <c r="H4123">
        <v>0.83799999999999997</v>
      </c>
      <c r="I4123">
        <v>2.9780000000000002</v>
      </c>
      <c r="J4123">
        <v>5</v>
      </c>
      <c r="K4123">
        <v>13</v>
      </c>
      <c r="L4123">
        <v>7</v>
      </c>
      <c r="M4123">
        <v>1.4410000000000001</v>
      </c>
    </row>
    <row r="4124" spans="1:13" ht="15" customHeight="1">
      <c r="A4124" t="s">
        <v>46</v>
      </c>
      <c r="B4124">
        <f t="shared" si="256"/>
        <v>33.717903</v>
      </c>
      <c r="C4124">
        <f t="shared" si="257"/>
        <v>-117.844086</v>
      </c>
      <c r="D4124">
        <f t="shared" si="258"/>
        <v>72</v>
      </c>
      <c r="E4124">
        <v>106.499</v>
      </c>
      <c r="F4124">
        <f t="shared" si="259"/>
        <v>-34.498999999999995</v>
      </c>
      <c r="G4124">
        <v>28.6</v>
      </c>
      <c r="H4124">
        <v>0.64300000000000002</v>
      </c>
      <c r="I4124">
        <v>2.2629999999999999</v>
      </c>
      <c r="J4124">
        <v>6</v>
      </c>
      <c r="K4124">
        <v>11</v>
      </c>
      <c r="L4124">
        <v>6</v>
      </c>
      <c r="M4124">
        <v>1.456</v>
      </c>
    </row>
    <row r="4125" spans="1:13" ht="15" customHeight="1">
      <c r="A4125" t="s">
        <v>46</v>
      </c>
      <c r="B4125">
        <f t="shared" si="256"/>
        <v>33.717903</v>
      </c>
      <c r="C4125">
        <f t="shared" si="257"/>
        <v>-117.844086</v>
      </c>
      <c r="D4125">
        <f t="shared" si="258"/>
        <v>72</v>
      </c>
      <c r="E4125">
        <v>107.499</v>
      </c>
      <c r="F4125">
        <f t="shared" si="259"/>
        <v>-35.498999999999995</v>
      </c>
      <c r="G4125">
        <v>38.232999999999997</v>
      </c>
      <c r="H4125">
        <v>1.3680000000000001</v>
      </c>
      <c r="I4125">
        <v>3.5950000000000002</v>
      </c>
      <c r="J4125">
        <v>5</v>
      </c>
      <c r="K4125">
        <v>18</v>
      </c>
      <c r="L4125">
        <v>9</v>
      </c>
      <c r="M4125">
        <v>2.0939999999999999</v>
      </c>
    </row>
    <row r="4126" spans="1:13" ht="15" customHeight="1">
      <c r="A4126" t="s">
        <v>46</v>
      </c>
      <c r="B4126">
        <f t="shared" si="256"/>
        <v>33.717903</v>
      </c>
      <c r="C4126">
        <f t="shared" si="257"/>
        <v>-117.844086</v>
      </c>
      <c r="D4126">
        <f t="shared" si="258"/>
        <v>72</v>
      </c>
      <c r="E4126">
        <v>108.499</v>
      </c>
      <c r="F4126">
        <f t="shared" si="259"/>
        <v>-36.498999999999995</v>
      </c>
      <c r="G4126">
        <v>42.8</v>
      </c>
      <c r="H4126">
        <v>1.7649999999999999</v>
      </c>
      <c r="I4126">
        <v>4.1369999999999996</v>
      </c>
      <c r="J4126">
        <v>4</v>
      </c>
      <c r="K4126">
        <v>27</v>
      </c>
      <c r="L4126">
        <v>14</v>
      </c>
      <c r="M4126">
        <v>2.3959999999999999</v>
      </c>
    </row>
    <row r="4127" spans="1:13" ht="15" customHeight="1">
      <c r="A4127" t="s">
        <v>46</v>
      </c>
      <c r="B4127">
        <f t="shared" si="256"/>
        <v>33.717903</v>
      </c>
      <c r="C4127">
        <f t="shared" si="257"/>
        <v>-117.844086</v>
      </c>
      <c r="D4127">
        <f t="shared" si="258"/>
        <v>72</v>
      </c>
      <c r="E4127">
        <v>109.499</v>
      </c>
      <c r="F4127">
        <f t="shared" si="259"/>
        <v>-37.498999999999995</v>
      </c>
      <c r="G4127">
        <v>30.617000000000001</v>
      </c>
      <c r="H4127">
        <v>0.75</v>
      </c>
      <c r="I4127">
        <v>2.4630000000000001</v>
      </c>
      <c r="J4127">
        <v>6</v>
      </c>
      <c r="K4127">
        <v>12</v>
      </c>
      <c r="L4127">
        <v>6</v>
      </c>
      <c r="M4127">
        <v>1.5780000000000001</v>
      </c>
    </row>
    <row r="4128" spans="1:13" ht="15" customHeight="1">
      <c r="A4128" t="s">
        <v>46</v>
      </c>
      <c r="B4128">
        <f t="shared" si="256"/>
        <v>33.717903</v>
      </c>
      <c r="C4128">
        <f t="shared" si="257"/>
        <v>-117.844086</v>
      </c>
      <c r="D4128">
        <f t="shared" si="258"/>
        <v>72</v>
      </c>
      <c r="E4128">
        <v>110.499</v>
      </c>
      <c r="F4128">
        <f t="shared" si="259"/>
        <v>-38.498999999999995</v>
      </c>
      <c r="G4128">
        <v>37.299999999999997</v>
      </c>
      <c r="H4128">
        <v>1.35</v>
      </c>
      <c r="I4128">
        <v>3.637</v>
      </c>
      <c r="J4128">
        <v>5</v>
      </c>
      <c r="K4128">
        <v>18</v>
      </c>
      <c r="L4128">
        <v>9</v>
      </c>
      <c r="M4128">
        <v>2.0179999999999998</v>
      </c>
    </row>
    <row r="4129" spans="1:13" ht="15" customHeight="1">
      <c r="A4129" t="s">
        <v>46</v>
      </c>
      <c r="B4129">
        <f t="shared" si="256"/>
        <v>33.717903</v>
      </c>
      <c r="C4129">
        <f t="shared" si="257"/>
        <v>-117.844086</v>
      </c>
      <c r="D4129">
        <f t="shared" si="258"/>
        <v>72</v>
      </c>
      <c r="E4129">
        <v>111.499</v>
      </c>
      <c r="F4129">
        <f t="shared" si="259"/>
        <v>-39.498999999999995</v>
      </c>
      <c r="G4129">
        <v>29.567</v>
      </c>
      <c r="H4129">
        <v>0.875</v>
      </c>
      <c r="I4129">
        <v>2.9750000000000001</v>
      </c>
      <c r="J4129">
        <v>5</v>
      </c>
      <c r="K4129">
        <v>14</v>
      </c>
      <c r="L4129">
        <v>7</v>
      </c>
      <c r="M4129">
        <v>1.5009999999999999</v>
      </c>
    </row>
    <row r="4130" spans="1:13" ht="15" customHeight="1">
      <c r="A4130" t="s">
        <v>46</v>
      </c>
      <c r="B4130">
        <f t="shared" si="256"/>
        <v>33.717903</v>
      </c>
      <c r="C4130">
        <f t="shared" si="257"/>
        <v>-117.844086</v>
      </c>
      <c r="D4130">
        <f t="shared" si="258"/>
        <v>72</v>
      </c>
      <c r="E4130">
        <v>112.499</v>
      </c>
      <c r="F4130">
        <f t="shared" si="259"/>
        <v>-40.498999999999995</v>
      </c>
      <c r="G4130">
        <v>31.817</v>
      </c>
      <c r="H4130">
        <v>0.98799999999999999</v>
      </c>
      <c r="I4130">
        <v>3.1179999999999999</v>
      </c>
      <c r="J4130">
        <v>5</v>
      </c>
      <c r="K4130">
        <v>15</v>
      </c>
      <c r="L4130">
        <v>8</v>
      </c>
      <c r="M4130">
        <v>1.649</v>
      </c>
    </row>
    <row r="4131" spans="1:13" ht="15" customHeight="1">
      <c r="A4131" t="s">
        <v>46</v>
      </c>
      <c r="B4131">
        <f t="shared" si="256"/>
        <v>33.717903</v>
      </c>
      <c r="C4131">
        <f t="shared" si="257"/>
        <v>-117.844086</v>
      </c>
      <c r="D4131">
        <f t="shared" si="258"/>
        <v>72</v>
      </c>
      <c r="E4131">
        <v>113.499</v>
      </c>
      <c r="F4131">
        <f t="shared" si="259"/>
        <v>-41.498999999999995</v>
      </c>
      <c r="G4131">
        <v>31.2</v>
      </c>
      <c r="H4131">
        <v>1.0249999999999999</v>
      </c>
      <c r="I4131">
        <v>3.3010000000000002</v>
      </c>
      <c r="J4131">
        <v>5</v>
      </c>
      <c r="K4131">
        <v>15</v>
      </c>
      <c r="L4131">
        <v>8</v>
      </c>
      <c r="M4131">
        <v>1.601</v>
      </c>
    </row>
    <row r="4132" spans="1:13" ht="15" customHeight="1">
      <c r="A4132" t="s">
        <v>46</v>
      </c>
      <c r="B4132">
        <f t="shared" si="256"/>
        <v>33.717903</v>
      </c>
      <c r="C4132">
        <f t="shared" si="257"/>
        <v>-117.844086</v>
      </c>
      <c r="D4132">
        <f t="shared" si="258"/>
        <v>72</v>
      </c>
      <c r="E4132">
        <v>114.499</v>
      </c>
      <c r="F4132">
        <f t="shared" si="259"/>
        <v>-42.498999999999995</v>
      </c>
      <c r="G4132">
        <v>32.700000000000003</v>
      </c>
      <c r="H4132">
        <v>1.1599999999999999</v>
      </c>
      <c r="I4132">
        <v>3.5649999999999999</v>
      </c>
      <c r="J4132">
        <v>5</v>
      </c>
      <c r="K4132">
        <v>16</v>
      </c>
      <c r="L4132">
        <v>8</v>
      </c>
      <c r="M4132">
        <v>1.696</v>
      </c>
    </row>
    <row r="4133" spans="1:13" ht="15" customHeight="1">
      <c r="A4133" t="s">
        <v>46</v>
      </c>
      <c r="B4133">
        <f t="shared" si="256"/>
        <v>33.717903</v>
      </c>
      <c r="C4133">
        <f t="shared" si="257"/>
        <v>-117.844086</v>
      </c>
      <c r="D4133">
        <f t="shared" si="258"/>
        <v>72</v>
      </c>
      <c r="E4133">
        <v>115.499</v>
      </c>
      <c r="F4133">
        <f t="shared" si="259"/>
        <v>-43.498999999999995</v>
      </c>
      <c r="G4133">
        <v>27.867000000000001</v>
      </c>
      <c r="H4133">
        <v>0.88500000000000001</v>
      </c>
      <c r="I4133">
        <v>3.1909999999999998</v>
      </c>
      <c r="J4133">
        <v>5</v>
      </c>
      <c r="K4133">
        <v>13</v>
      </c>
      <c r="L4133">
        <v>7</v>
      </c>
      <c r="M4133">
        <v>1.3720000000000001</v>
      </c>
    </row>
    <row r="4134" spans="1:13" ht="15" customHeight="1">
      <c r="A4134" t="s">
        <v>46</v>
      </c>
      <c r="B4134">
        <f t="shared" si="256"/>
        <v>33.717903</v>
      </c>
      <c r="C4134">
        <f t="shared" si="257"/>
        <v>-117.844086</v>
      </c>
      <c r="D4134">
        <f t="shared" si="258"/>
        <v>72</v>
      </c>
      <c r="E4134">
        <v>116.499</v>
      </c>
      <c r="F4134">
        <f t="shared" si="259"/>
        <v>-44.498999999999995</v>
      </c>
      <c r="G4134">
        <v>39.232999999999997</v>
      </c>
      <c r="H4134">
        <v>1.4350000000000001</v>
      </c>
      <c r="I4134">
        <v>3.67</v>
      </c>
      <c r="J4134">
        <v>5</v>
      </c>
      <c r="K4134">
        <v>19</v>
      </c>
      <c r="L4134">
        <v>10</v>
      </c>
      <c r="M4134">
        <v>2.125</v>
      </c>
    </row>
    <row r="4135" spans="1:13" ht="15" customHeight="1">
      <c r="A4135" t="s">
        <v>46</v>
      </c>
      <c r="B4135">
        <f t="shared" si="256"/>
        <v>33.717903</v>
      </c>
      <c r="C4135">
        <f t="shared" si="257"/>
        <v>-117.844086</v>
      </c>
      <c r="D4135">
        <f t="shared" si="258"/>
        <v>72</v>
      </c>
      <c r="E4135">
        <v>117.498</v>
      </c>
      <c r="F4135">
        <f t="shared" si="259"/>
        <v>-45.498000000000005</v>
      </c>
      <c r="G4135">
        <v>32.4</v>
      </c>
      <c r="H4135">
        <v>0.85</v>
      </c>
      <c r="I4135">
        <v>2.6360000000000001</v>
      </c>
      <c r="J4135">
        <v>6</v>
      </c>
      <c r="K4135">
        <v>12</v>
      </c>
      <c r="L4135">
        <v>6</v>
      </c>
      <c r="M4135">
        <v>1.6639999999999999</v>
      </c>
    </row>
    <row r="4136" spans="1:13" ht="15" customHeight="1">
      <c r="A4136" t="s">
        <v>46</v>
      </c>
      <c r="B4136">
        <f t="shared" si="256"/>
        <v>33.717903</v>
      </c>
      <c r="C4136">
        <f t="shared" si="257"/>
        <v>-117.844086</v>
      </c>
      <c r="D4136">
        <f t="shared" si="258"/>
        <v>72</v>
      </c>
      <c r="E4136">
        <v>118.498</v>
      </c>
      <c r="F4136">
        <f t="shared" si="259"/>
        <v>-46.498000000000005</v>
      </c>
      <c r="G4136">
        <v>108.233</v>
      </c>
      <c r="H4136">
        <v>3.1869999999999998</v>
      </c>
      <c r="I4136">
        <v>2.9489999999999998</v>
      </c>
      <c r="J4136">
        <v>6</v>
      </c>
      <c r="K4136">
        <v>41</v>
      </c>
      <c r="L4136">
        <v>21</v>
      </c>
      <c r="M4136">
        <v>6.7149999999999999</v>
      </c>
    </row>
    <row r="4137" spans="1:13" ht="15" customHeight="1">
      <c r="A4137" t="s">
        <v>46</v>
      </c>
      <c r="B4137">
        <f t="shared" si="256"/>
        <v>33.717903</v>
      </c>
      <c r="C4137">
        <f t="shared" si="257"/>
        <v>-117.844086</v>
      </c>
      <c r="D4137">
        <f t="shared" si="258"/>
        <v>72</v>
      </c>
      <c r="E4137">
        <v>119.498</v>
      </c>
      <c r="F4137">
        <f t="shared" si="259"/>
        <v>-47.498000000000005</v>
      </c>
      <c r="G4137">
        <v>44.15</v>
      </c>
      <c r="H4137">
        <v>1.9019999999999999</v>
      </c>
      <c r="I4137">
        <v>4.3250000000000002</v>
      </c>
      <c r="J4137">
        <v>4</v>
      </c>
      <c r="K4137">
        <v>28</v>
      </c>
      <c r="L4137">
        <v>14</v>
      </c>
      <c r="M4137">
        <v>2.4369999999999998</v>
      </c>
    </row>
    <row r="4138" spans="1:13" ht="15" customHeight="1">
      <c r="A4138" t="s">
        <v>46</v>
      </c>
      <c r="B4138">
        <f t="shared" si="256"/>
        <v>33.717903</v>
      </c>
      <c r="C4138">
        <f t="shared" si="257"/>
        <v>-117.844086</v>
      </c>
      <c r="D4138">
        <f t="shared" si="258"/>
        <v>72</v>
      </c>
      <c r="E4138">
        <v>120.498</v>
      </c>
      <c r="F4138">
        <f t="shared" si="259"/>
        <v>-48.498000000000005</v>
      </c>
      <c r="G4138">
        <v>35</v>
      </c>
      <c r="H4138">
        <v>1.012</v>
      </c>
      <c r="I4138">
        <v>2.9039999999999999</v>
      </c>
      <c r="J4138">
        <v>6</v>
      </c>
      <c r="K4138">
        <v>13</v>
      </c>
      <c r="L4138">
        <v>7</v>
      </c>
      <c r="M4138">
        <v>1.8240000000000001</v>
      </c>
    </row>
    <row r="4139" spans="1:13" ht="15" customHeight="1">
      <c r="A4139" t="s">
        <v>46</v>
      </c>
      <c r="B4139">
        <f t="shared" si="256"/>
        <v>33.717903</v>
      </c>
      <c r="C4139">
        <f t="shared" si="257"/>
        <v>-117.844086</v>
      </c>
      <c r="D4139">
        <f t="shared" si="258"/>
        <v>72</v>
      </c>
      <c r="E4139">
        <v>121.498</v>
      </c>
      <c r="F4139">
        <f t="shared" si="259"/>
        <v>-49.498000000000005</v>
      </c>
      <c r="G4139">
        <v>34.667000000000002</v>
      </c>
      <c r="H4139">
        <v>0.83</v>
      </c>
      <c r="I4139">
        <v>2.4079999999999999</v>
      </c>
      <c r="J4139">
        <v>6</v>
      </c>
      <c r="K4139">
        <v>13</v>
      </c>
      <c r="L4139">
        <v>7</v>
      </c>
      <c r="M4139">
        <v>1.7949999999999999</v>
      </c>
    </row>
    <row r="4140" spans="1:13" ht="15" customHeight="1">
      <c r="A4140" t="s">
        <v>46</v>
      </c>
      <c r="B4140">
        <f t="shared" si="256"/>
        <v>33.717903</v>
      </c>
      <c r="C4140">
        <f t="shared" si="257"/>
        <v>-117.844086</v>
      </c>
      <c r="D4140">
        <f t="shared" si="258"/>
        <v>72</v>
      </c>
      <c r="E4140">
        <v>122.498</v>
      </c>
      <c r="F4140">
        <f t="shared" si="259"/>
        <v>-50.498000000000005</v>
      </c>
      <c r="G4140">
        <v>53.05</v>
      </c>
      <c r="H4140">
        <v>2.0329999999999999</v>
      </c>
      <c r="I4140">
        <v>3.8439999999999999</v>
      </c>
      <c r="J4140">
        <v>5</v>
      </c>
      <c r="K4140">
        <v>25</v>
      </c>
      <c r="L4140">
        <v>13</v>
      </c>
      <c r="M4140">
        <v>3.02</v>
      </c>
    </row>
    <row r="4141" spans="1:13" ht="15" customHeight="1">
      <c r="A4141" t="s">
        <v>46</v>
      </c>
      <c r="B4141">
        <f t="shared" si="256"/>
        <v>33.717903</v>
      </c>
      <c r="C4141">
        <f t="shared" si="257"/>
        <v>-117.844086</v>
      </c>
      <c r="D4141">
        <f t="shared" si="258"/>
        <v>72</v>
      </c>
      <c r="E4141">
        <v>123.498</v>
      </c>
      <c r="F4141">
        <f t="shared" si="259"/>
        <v>-51.498000000000005</v>
      </c>
      <c r="G4141">
        <v>49.133000000000003</v>
      </c>
      <c r="H4141">
        <v>1.843</v>
      </c>
      <c r="I4141">
        <v>3.7639999999999998</v>
      </c>
      <c r="J4141">
        <v>5</v>
      </c>
      <c r="K4141">
        <v>23</v>
      </c>
      <c r="L4141">
        <v>12</v>
      </c>
      <c r="M4141">
        <v>2.754</v>
      </c>
    </row>
    <row r="4142" spans="1:13" ht="15" customHeight="1">
      <c r="A4142" t="s">
        <v>46</v>
      </c>
      <c r="B4142">
        <f t="shared" si="256"/>
        <v>33.717903</v>
      </c>
      <c r="C4142">
        <f t="shared" si="257"/>
        <v>-117.844086</v>
      </c>
      <c r="D4142">
        <f t="shared" si="258"/>
        <v>72</v>
      </c>
      <c r="E4142">
        <v>124.498</v>
      </c>
      <c r="F4142">
        <f t="shared" si="259"/>
        <v>-52.498000000000005</v>
      </c>
      <c r="G4142">
        <v>61.866999999999997</v>
      </c>
      <c r="H4142">
        <v>3.0920000000000001</v>
      </c>
      <c r="I4142">
        <v>5.0140000000000002</v>
      </c>
      <c r="J4142">
        <v>4</v>
      </c>
      <c r="K4142">
        <v>39</v>
      </c>
      <c r="L4142">
        <v>20</v>
      </c>
      <c r="M4142">
        <v>3.5960000000000001</v>
      </c>
    </row>
    <row r="4143" spans="1:13" ht="15" customHeight="1">
      <c r="A4143" t="s">
        <v>46</v>
      </c>
      <c r="B4143">
        <f t="shared" si="256"/>
        <v>33.717903</v>
      </c>
      <c r="C4143">
        <f t="shared" si="257"/>
        <v>-117.844086</v>
      </c>
      <c r="D4143">
        <f t="shared" si="258"/>
        <v>72</v>
      </c>
      <c r="E4143">
        <v>125.498</v>
      </c>
      <c r="F4143">
        <f t="shared" si="259"/>
        <v>-53.498000000000005</v>
      </c>
      <c r="G4143">
        <v>110.371</v>
      </c>
      <c r="H4143">
        <v>5.5289999999999999</v>
      </c>
      <c r="I4143">
        <v>5.016</v>
      </c>
      <c r="J4143">
        <v>11</v>
      </c>
      <c r="K4143">
        <v>106</v>
      </c>
      <c r="L4143">
        <v>53</v>
      </c>
      <c r="M4143" s="1">
        <v>9000000000</v>
      </c>
    </row>
    <row r="4144" spans="1:13" ht="15" customHeight="1">
      <c r="A4144" t="s">
        <v>46</v>
      </c>
      <c r="B4144">
        <f t="shared" si="256"/>
        <v>33.717903</v>
      </c>
      <c r="C4144">
        <f t="shared" si="257"/>
        <v>-117.844086</v>
      </c>
      <c r="D4144">
        <f t="shared" si="258"/>
        <v>72</v>
      </c>
      <c r="E4144">
        <v>126.498</v>
      </c>
      <c r="F4144">
        <f t="shared" si="259"/>
        <v>-54.498000000000005</v>
      </c>
      <c r="G4144">
        <v>50.466999999999999</v>
      </c>
      <c r="H4144">
        <v>2.3279999999999998</v>
      </c>
      <c r="I4144">
        <v>4.63</v>
      </c>
      <c r="J4144">
        <v>4</v>
      </c>
      <c r="K4144">
        <v>32</v>
      </c>
      <c r="L4144">
        <v>16</v>
      </c>
      <c r="M4144">
        <v>2.8290000000000002</v>
      </c>
    </row>
    <row r="4145" spans="1:13" ht="15" customHeight="1">
      <c r="A4145" t="s">
        <v>46</v>
      </c>
      <c r="B4145">
        <f t="shared" si="256"/>
        <v>33.717903</v>
      </c>
      <c r="C4145">
        <f t="shared" si="257"/>
        <v>-117.844086</v>
      </c>
      <c r="D4145">
        <f t="shared" si="258"/>
        <v>72</v>
      </c>
      <c r="E4145">
        <v>127.498</v>
      </c>
      <c r="F4145">
        <f t="shared" si="259"/>
        <v>-55.498000000000005</v>
      </c>
      <c r="G4145">
        <v>64.016999999999996</v>
      </c>
      <c r="H4145">
        <v>3.05</v>
      </c>
      <c r="I4145">
        <v>4.7759999999999998</v>
      </c>
      <c r="J4145">
        <v>4</v>
      </c>
      <c r="K4145">
        <v>41</v>
      </c>
      <c r="L4145">
        <v>21</v>
      </c>
      <c r="M4145">
        <v>3.73</v>
      </c>
    </row>
    <row r="4146" spans="1:13" ht="15" customHeight="1">
      <c r="A4146" t="s">
        <v>46</v>
      </c>
      <c r="B4146">
        <f t="shared" si="256"/>
        <v>33.717903</v>
      </c>
      <c r="C4146">
        <f t="shared" si="257"/>
        <v>-117.844086</v>
      </c>
      <c r="D4146">
        <f t="shared" si="258"/>
        <v>72</v>
      </c>
      <c r="E4146">
        <v>128.49799999999999</v>
      </c>
      <c r="F4146">
        <f t="shared" si="259"/>
        <v>-56.49799999999999</v>
      </c>
      <c r="G4146">
        <v>144.96700000000001</v>
      </c>
      <c r="H4146">
        <v>5.7779999999999996</v>
      </c>
      <c r="I4146">
        <v>3.99</v>
      </c>
      <c r="J4146">
        <v>11</v>
      </c>
      <c r="K4146">
        <v>139</v>
      </c>
      <c r="L4146">
        <v>70</v>
      </c>
      <c r="M4146" s="1">
        <v>9000000000</v>
      </c>
    </row>
    <row r="4147" spans="1:13" ht="15" customHeight="1">
      <c r="A4147" t="s">
        <v>46</v>
      </c>
      <c r="B4147">
        <f t="shared" si="256"/>
        <v>33.717903</v>
      </c>
      <c r="C4147">
        <f t="shared" si="257"/>
        <v>-117.844086</v>
      </c>
      <c r="D4147">
        <f t="shared" si="258"/>
        <v>72</v>
      </c>
      <c r="E4147">
        <v>129.49799999999999</v>
      </c>
      <c r="F4147">
        <f t="shared" si="259"/>
        <v>-57.49799999999999</v>
      </c>
      <c r="G4147">
        <v>120.5</v>
      </c>
      <c r="H4147">
        <v>7.99</v>
      </c>
      <c r="I4147">
        <v>6.6420000000000003</v>
      </c>
      <c r="J4147">
        <v>11</v>
      </c>
      <c r="K4147">
        <v>115</v>
      </c>
      <c r="L4147">
        <v>58</v>
      </c>
      <c r="M4147" s="1">
        <v>9000000000</v>
      </c>
    </row>
    <row r="4148" spans="1:13" ht="15" customHeight="1">
      <c r="A4148" t="s">
        <v>47</v>
      </c>
      <c r="B4148">
        <f t="shared" si="256"/>
        <v>33.713436000000002</v>
      </c>
      <c r="C4148">
        <f t="shared" si="257"/>
        <v>-117.843433</v>
      </c>
      <c r="D4148">
        <f t="shared" si="258"/>
        <v>65</v>
      </c>
      <c r="E4148">
        <v>0.5</v>
      </c>
      <c r="F4148">
        <f t="shared" si="259"/>
        <v>64.5</v>
      </c>
      <c r="G4148">
        <v>2.0670000000000002</v>
      </c>
      <c r="H4148">
        <v>0.01</v>
      </c>
      <c r="I4148">
        <v>0.48399999999999999</v>
      </c>
      <c r="J4148">
        <v>1</v>
      </c>
      <c r="K4148">
        <v>1</v>
      </c>
      <c r="L4148">
        <v>2</v>
      </c>
      <c r="M4148">
        <v>0.13600000000000001</v>
      </c>
    </row>
    <row r="4149" spans="1:13" ht="15" customHeight="1">
      <c r="A4149" t="s">
        <v>47</v>
      </c>
      <c r="B4149">
        <f t="shared" si="256"/>
        <v>33.713436000000002</v>
      </c>
      <c r="C4149">
        <f t="shared" si="257"/>
        <v>-117.843433</v>
      </c>
      <c r="D4149">
        <f t="shared" si="258"/>
        <v>65</v>
      </c>
      <c r="E4149">
        <v>1.5</v>
      </c>
      <c r="F4149">
        <f t="shared" si="259"/>
        <v>63.5</v>
      </c>
      <c r="G4149">
        <v>23.766999999999999</v>
      </c>
      <c r="H4149">
        <v>0.65700000000000003</v>
      </c>
      <c r="I4149">
        <v>2.7610000000000001</v>
      </c>
      <c r="J4149">
        <v>5</v>
      </c>
      <c r="K4149">
        <v>11</v>
      </c>
      <c r="L4149">
        <v>17</v>
      </c>
      <c r="M4149">
        <v>1.58</v>
      </c>
    </row>
    <row r="4150" spans="1:13" ht="15" customHeight="1">
      <c r="A4150" t="s">
        <v>47</v>
      </c>
      <c r="B4150">
        <f t="shared" si="256"/>
        <v>33.713436000000002</v>
      </c>
      <c r="C4150">
        <f t="shared" si="257"/>
        <v>-117.843433</v>
      </c>
      <c r="D4150">
        <f t="shared" si="258"/>
        <v>65</v>
      </c>
      <c r="E4150">
        <v>2.5</v>
      </c>
      <c r="F4150">
        <f t="shared" si="259"/>
        <v>62.5</v>
      </c>
      <c r="G4150">
        <v>13.3</v>
      </c>
      <c r="H4150">
        <v>0.40500000000000003</v>
      </c>
      <c r="I4150">
        <v>3.0529999999999999</v>
      </c>
      <c r="J4150">
        <v>4</v>
      </c>
      <c r="K4150">
        <v>8</v>
      </c>
      <c r="L4150">
        <v>12</v>
      </c>
      <c r="M4150">
        <v>0.875</v>
      </c>
    </row>
    <row r="4151" spans="1:13" ht="15" customHeight="1">
      <c r="A4151" t="s">
        <v>47</v>
      </c>
      <c r="B4151">
        <f t="shared" si="256"/>
        <v>33.713436000000002</v>
      </c>
      <c r="C4151">
        <f t="shared" si="257"/>
        <v>-117.843433</v>
      </c>
      <c r="D4151">
        <f t="shared" si="258"/>
        <v>65</v>
      </c>
      <c r="E4151">
        <v>3.5</v>
      </c>
      <c r="F4151">
        <f t="shared" si="259"/>
        <v>61.5</v>
      </c>
      <c r="G4151">
        <v>11.333</v>
      </c>
      <c r="H4151">
        <v>0.44800000000000001</v>
      </c>
      <c r="I4151">
        <v>3.956</v>
      </c>
      <c r="J4151">
        <v>3</v>
      </c>
      <c r="K4151">
        <v>11</v>
      </c>
      <c r="L4151">
        <v>17</v>
      </c>
      <c r="M4151">
        <v>0.74199999999999999</v>
      </c>
    </row>
    <row r="4152" spans="1:13" ht="15" customHeight="1">
      <c r="A4152" t="s">
        <v>47</v>
      </c>
      <c r="B4152">
        <f t="shared" si="256"/>
        <v>33.713436000000002</v>
      </c>
      <c r="C4152">
        <f t="shared" si="257"/>
        <v>-117.843433</v>
      </c>
      <c r="D4152">
        <f t="shared" si="258"/>
        <v>65</v>
      </c>
      <c r="E4152">
        <v>4.5</v>
      </c>
      <c r="F4152">
        <f t="shared" si="259"/>
        <v>60.5</v>
      </c>
      <c r="G4152">
        <v>9.4329999999999998</v>
      </c>
      <c r="H4152">
        <v>0.39500000000000002</v>
      </c>
      <c r="I4152">
        <v>4.1429999999999998</v>
      </c>
      <c r="J4152">
        <v>3</v>
      </c>
      <c r="K4152">
        <v>9</v>
      </c>
      <c r="L4152">
        <v>14</v>
      </c>
      <c r="M4152">
        <v>0.61799999999999999</v>
      </c>
    </row>
    <row r="4153" spans="1:13" ht="15" customHeight="1">
      <c r="A4153" t="s">
        <v>47</v>
      </c>
      <c r="B4153">
        <f t="shared" si="256"/>
        <v>33.713436000000002</v>
      </c>
      <c r="C4153">
        <f t="shared" si="257"/>
        <v>-117.843433</v>
      </c>
      <c r="D4153">
        <f t="shared" si="258"/>
        <v>65</v>
      </c>
      <c r="E4153">
        <v>5.5</v>
      </c>
      <c r="F4153">
        <f t="shared" si="259"/>
        <v>59.5</v>
      </c>
      <c r="G4153">
        <v>16.7</v>
      </c>
      <c r="H4153">
        <v>0.56999999999999995</v>
      </c>
      <c r="I4153">
        <v>3.42</v>
      </c>
      <c r="J4153">
        <v>4</v>
      </c>
      <c r="K4153">
        <v>11</v>
      </c>
      <c r="L4153">
        <v>17</v>
      </c>
      <c r="M4153">
        <v>1.089</v>
      </c>
    </row>
    <row r="4154" spans="1:13" ht="15" customHeight="1">
      <c r="A4154" t="s">
        <v>47</v>
      </c>
      <c r="B4154">
        <f t="shared" si="256"/>
        <v>33.713436000000002</v>
      </c>
      <c r="C4154">
        <f t="shared" si="257"/>
        <v>-117.843433</v>
      </c>
      <c r="D4154">
        <f t="shared" si="258"/>
        <v>65</v>
      </c>
      <c r="E4154">
        <v>6.5</v>
      </c>
      <c r="F4154">
        <f t="shared" si="259"/>
        <v>58.5</v>
      </c>
      <c r="G4154">
        <v>14.183</v>
      </c>
      <c r="H4154">
        <v>0.35799999999999998</v>
      </c>
      <c r="I4154">
        <v>2.5259999999999998</v>
      </c>
      <c r="J4154">
        <v>5</v>
      </c>
      <c r="K4154">
        <v>7</v>
      </c>
      <c r="L4154">
        <v>11</v>
      </c>
      <c r="M4154">
        <v>0.92</v>
      </c>
    </row>
    <row r="4155" spans="1:13" ht="15" customHeight="1">
      <c r="A4155" t="s">
        <v>47</v>
      </c>
      <c r="B4155">
        <f t="shared" si="256"/>
        <v>33.713436000000002</v>
      </c>
      <c r="C4155">
        <f t="shared" si="257"/>
        <v>-117.843433</v>
      </c>
      <c r="D4155">
        <f t="shared" si="258"/>
        <v>65</v>
      </c>
      <c r="E4155">
        <v>7.5</v>
      </c>
      <c r="F4155">
        <f t="shared" si="259"/>
        <v>57.5</v>
      </c>
      <c r="G4155">
        <v>11.016999999999999</v>
      </c>
      <c r="H4155">
        <v>0.28299999999999997</v>
      </c>
      <c r="I4155">
        <v>2.5720000000000001</v>
      </c>
      <c r="J4155">
        <v>4</v>
      </c>
      <c r="K4155">
        <v>7</v>
      </c>
      <c r="L4155">
        <v>11</v>
      </c>
      <c r="M4155">
        <v>0.70499999999999996</v>
      </c>
    </row>
    <row r="4156" spans="1:13" ht="15" customHeight="1">
      <c r="A4156" t="s">
        <v>47</v>
      </c>
      <c r="B4156">
        <f t="shared" si="256"/>
        <v>33.713436000000002</v>
      </c>
      <c r="C4156">
        <f t="shared" si="257"/>
        <v>-117.843433</v>
      </c>
      <c r="D4156">
        <f t="shared" si="258"/>
        <v>65</v>
      </c>
      <c r="E4156">
        <v>8.5</v>
      </c>
      <c r="F4156">
        <f t="shared" si="259"/>
        <v>56.5</v>
      </c>
      <c r="G4156">
        <v>4.95</v>
      </c>
      <c r="H4156">
        <v>0.16300000000000001</v>
      </c>
      <c r="I4156">
        <v>3.3330000000000002</v>
      </c>
      <c r="J4156">
        <v>3</v>
      </c>
      <c r="K4156">
        <v>5</v>
      </c>
      <c r="L4156">
        <v>8</v>
      </c>
      <c r="M4156">
        <v>0.29299999999999998</v>
      </c>
    </row>
    <row r="4157" spans="1:13" ht="15" customHeight="1">
      <c r="A4157" t="s">
        <v>47</v>
      </c>
      <c r="B4157">
        <f t="shared" si="256"/>
        <v>33.713436000000002</v>
      </c>
      <c r="C4157">
        <f t="shared" si="257"/>
        <v>-117.843433</v>
      </c>
      <c r="D4157">
        <f t="shared" si="258"/>
        <v>65</v>
      </c>
      <c r="E4157">
        <v>9.5</v>
      </c>
      <c r="F4157">
        <f t="shared" si="259"/>
        <v>55.5</v>
      </c>
      <c r="G4157">
        <v>15.717000000000001</v>
      </c>
      <c r="H4157">
        <v>0.16</v>
      </c>
      <c r="I4157">
        <v>1.02</v>
      </c>
      <c r="J4157">
        <v>6</v>
      </c>
      <c r="K4157">
        <v>6</v>
      </c>
      <c r="L4157">
        <v>9</v>
      </c>
      <c r="M4157">
        <v>1.008</v>
      </c>
    </row>
    <row r="4158" spans="1:13" ht="15" customHeight="1">
      <c r="A4158" t="s">
        <v>47</v>
      </c>
      <c r="B4158">
        <f t="shared" si="256"/>
        <v>33.713436000000002</v>
      </c>
      <c r="C4158">
        <f t="shared" si="257"/>
        <v>-117.843433</v>
      </c>
      <c r="D4158">
        <f t="shared" si="258"/>
        <v>65</v>
      </c>
      <c r="E4158">
        <v>10.5</v>
      </c>
      <c r="F4158">
        <f t="shared" si="259"/>
        <v>54.5</v>
      </c>
      <c r="G4158">
        <v>6.0860000000000003</v>
      </c>
      <c r="H4158">
        <v>0.18</v>
      </c>
      <c r="I4158">
        <v>2.944</v>
      </c>
      <c r="J4158">
        <v>3</v>
      </c>
      <c r="K4158">
        <v>6</v>
      </c>
      <c r="L4158">
        <v>9</v>
      </c>
      <c r="M4158">
        <v>0.36599999999999999</v>
      </c>
    </row>
    <row r="4159" spans="1:13" ht="15" customHeight="1">
      <c r="A4159" t="s">
        <v>47</v>
      </c>
      <c r="B4159">
        <f t="shared" si="256"/>
        <v>33.713436000000002</v>
      </c>
      <c r="C4159">
        <f t="shared" si="257"/>
        <v>-117.843433</v>
      </c>
      <c r="D4159">
        <f t="shared" si="258"/>
        <v>65</v>
      </c>
      <c r="E4159">
        <v>11.5</v>
      </c>
      <c r="F4159">
        <f t="shared" si="259"/>
        <v>53.5</v>
      </c>
      <c r="G4159">
        <v>8.9670000000000005</v>
      </c>
      <c r="H4159">
        <v>0.312</v>
      </c>
      <c r="I4159">
        <v>3.4569999999999999</v>
      </c>
      <c r="J4159">
        <v>3</v>
      </c>
      <c r="K4159">
        <v>9</v>
      </c>
      <c r="L4159">
        <v>12</v>
      </c>
      <c r="M4159">
        <v>0.55500000000000005</v>
      </c>
    </row>
    <row r="4160" spans="1:13" ht="15" customHeight="1">
      <c r="A4160" t="s">
        <v>47</v>
      </c>
      <c r="B4160">
        <f t="shared" si="256"/>
        <v>33.713436000000002</v>
      </c>
      <c r="C4160">
        <f t="shared" si="257"/>
        <v>-117.843433</v>
      </c>
      <c r="D4160">
        <f t="shared" si="258"/>
        <v>65</v>
      </c>
      <c r="E4160">
        <v>12.5</v>
      </c>
      <c r="F4160">
        <f t="shared" si="259"/>
        <v>52.5</v>
      </c>
      <c r="G4160">
        <v>10.132999999999999</v>
      </c>
      <c r="H4160">
        <v>0.35699999999999998</v>
      </c>
      <c r="I4160">
        <v>3.4969999999999999</v>
      </c>
      <c r="J4160">
        <v>3</v>
      </c>
      <c r="K4160">
        <v>10</v>
      </c>
      <c r="L4160">
        <v>13</v>
      </c>
      <c r="M4160">
        <v>0.63</v>
      </c>
    </row>
    <row r="4161" spans="1:13" ht="15" customHeight="1">
      <c r="A4161" t="s">
        <v>47</v>
      </c>
      <c r="B4161">
        <f t="shared" si="256"/>
        <v>33.713436000000002</v>
      </c>
      <c r="C4161">
        <f t="shared" si="257"/>
        <v>-117.843433</v>
      </c>
      <c r="D4161">
        <f t="shared" si="258"/>
        <v>65</v>
      </c>
      <c r="E4161">
        <v>13.5</v>
      </c>
      <c r="F4161">
        <f t="shared" si="259"/>
        <v>51.5</v>
      </c>
      <c r="G4161">
        <v>10.817</v>
      </c>
      <c r="H4161">
        <v>0.36299999999999999</v>
      </c>
      <c r="I4161">
        <v>3.3180000000000001</v>
      </c>
      <c r="J4161">
        <v>4</v>
      </c>
      <c r="K4161">
        <v>7</v>
      </c>
      <c r="L4161">
        <v>8</v>
      </c>
      <c r="M4161">
        <v>0.67600000000000005</v>
      </c>
    </row>
    <row r="4162" spans="1:13" ht="15" customHeight="1">
      <c r="A4162" t="s">
        <v>47</v>
      </c>
      <c r="B4162">
        <f t="shared" ref="B4162:B4225" si="260">VLOOKUP(A4162,XYdata,3,FALSE)</f>
        <v>33.713436000000002</v>
      </c>
      <c r="C4162">
        <f t="shared" ref="C4162:C4225" si="261">VLOOKUP(A4162,XYdata,2,FALSE)</f>
        <v>-117.843433</v>
      </c>
      <c r="D4162">
        <f t="shared" ref="D4162:D4225" si="262">VLOOKUP(A4162,Elevation,2,FALSE)</f>
        <v>65</v>
      </c>
      <c r="E4162">
        <v>14.5</v>
      </c>
      <c r="F4162">
        <f t="shared" si="259"/>
        <v>50.5</v>
      </c>
      <c r="G4162">
        <v>12.6</v>
      </c>
      <c r="H4162">
        <v>0.442</v>
      </c>
      <c r="I4162">
        <v>3.4729999999999999</v>
      </c>
      <c r="J4162">
        <v>4</v>
      </c>
      <c r="K4162">
        <v>8</v>
      </c>
      <c r="L4162">
        <v>9</v>
      </c>
      <c r="M4162">
        <v>0.79</v>
      </c>
    </row>
    <row r="4163" spans="1:13" ht="15" customHeight="1">
      <c r="A4163" t="s">
        <v>47</v>
      </c>
      <c r="B4163">
        <f t="shared" si="260"/>
        <v>33.713436000000002</v>
      </c>
      <c r="C4163">
        <f t="shared" si="261"/>
        <v>-117.843433</v>
      </c>
      <c r="D4163">
        <f t="shared" si="262"/>
        <v>65</v>
      </c>
      <c r="E4163">
        <v>15.5</v>
      </c>
      <c r="F4163">
        <f t="shared" ref="F4163:F4226" si="263">D4163-E4163</f>
        <v>49.5</v>
      </c>
      <c r="G4163">
        <v>13.233000000000001</v>
      </c>
      <c r="H4163">
        <v>0.47199999999999998</v>
      </c>
      <c r="I4163">
        <v>3.524</v>
      </c>
      <c r="J4163">
        <v>4</v>
      </c>
      <c r="K4163">
        <v>9</v>
      </c>
      <c r="L4163">
        <v>10</v>
      </c>
      <c r="M4163">
        <v>0.83099999999999996</v>
      </c>
    </row>
    <row r="4164" spans="1:13" ht="15" customHeight="1">
      <c r="A4164" t="s">
        <v>47</v>
      </c>
      <c r="B4164">
        <f t="shared" si="260"/>
        <v>33.713436000000002</v>
      </c>
      <c r="C4164">
        <f t="shared" si="261"/>
        <v>-117.843433</v>
      </c>
      <c r="D4164">
        <f t="shared" si="262"/>
        <v>65</v>
      </c>
      <c r="E4164">
        <v>16.5</v>
      </c>
      <c r="F4164">
        <f t="shared" si="263"/>
        <v>48.5</v>
      </c>
      <c r="G4164">
        <v>15.167</v>
      </c>
      <c r="H4164">
        <v>0.52300000000000002</v>
      </c>
      <c r="I4164">
        <v>3.4129999999999998</v>
      </c>
      <c r="J4164">
        <v>4</v>
      </c>
      <c r="K4164">
        <v>10</v>
      </c>
      <c r="L4164">
        <v>10</v>
      </c>
      <c r="M4164">
        <v>0.95699999999999996</v>
      </c>
    </row>
    <row r="4165" spans="1:13" ht="15" customHeight="1">
      <c r="A4165" t="s">
        <v>47</v>
      </c>
      <c r="B4165">
        <f t="shared" si="260"/>
        <v>33.713436000000002</v>
      </c>
      <c r="C4165">
        <f t="shared" si="261"/>
        <v>-117.843433</v>
      </c>
      <c r="D4165">
        <f t="shared" si="262"/>
        <v>65</v>
      </c>
      <c r="E4165">
        <v>17.5</v>
      </c>
      <c r="F4165">
        <f t="shared" si="263"/>
        <v>47.5</v>
      </c>
      <c r="G4165">
        <v>13.183</v>
      </c>
      <c r="H4165">
        <v>0.433</v>
      </c>
      <c r="I4165">
        <v>3.222</v>
      </c>
      <c r="J4165">
        <v>4</v>
      </c>
      <c r="K4165">
        <v>9</v>
      </c>
      <c r="L4165">
        <v>9</v>
      </c>
      <c r="M4165">
        <v>0.82699999999999996</v>
      </c>
    </row>
    <row r="4166" spans="1:13" ht="15" customHeight="1">
      <c r="A4166" t="s">
        <v>47</v>
      </c>
      <c r="B4166">
        <f t="shared" si="260"/>
        <v>33.713436000000002</v>
      </c>
      <c r="C4166">
        <f t="shared" si="261"/>
        <v>-117.843433</v>
      </c>
      <c r="D4166">
        <f t="shared" si="262"/>
        <v>65</v>
      </c>
      <c r="E4166">
        <v>18.5</v>
      </c>
      <c r="F4166">
        <f t="shared" si="263"/>
        <v>46.5</v>
      </c>
      <c r="G4166">
        <v>14.083</v>
      </c>
      <c r="H4166">
        <v>0.40500000000000003</v>
      </c>
      <c r="I4166">
        <v>2.819</v>
      </c>
      <c r="J4166">
        <v>5</v>
      </c>
      <c r="K4166">
        <v>7</v>
      </c>
      <c r="L4166">
        <v>6</v>
      </c>
      <c r="M4166">
        <v>0.88400000000000001</v>
      </c>
    </row>
    <row r="4167" spans="1:13" ht="15" customHeight="1">
      <c r="A4167" t="s">
        <v>47</v>
      </c>
      <c r="B4167">
        <f t="shared" si="260"/>
        <v>33.713436000000002</v>
      </c>
      <c r="C4167">
        <f t="shared" si="261"/>
        <v>-117.843433</v>
      </c>
      <c r="D4167">
        <f t="shared" si="262"/>
        <v>65</v>
      </c>
      <c r="E4167">
        <v>19.5</v>
      </c>
      <c r="F4167">
        <f t="shared" si="263"/>
        <v>45.5</v>
      </c>
      <c r="G4167">
        <v>15.8</v>
      </c>
      <c r="H4167">
        <v>0.60199999999999998</v>
      </c>
      <c r="I4167">
        <v>3.7879999999999998</v>
      </c>
      <c r="J4167">
        <v>4</v>
      </c>
      <c r="K4167">
        <v>10</v>
      </c>
      <c r="L4167">
        <v>9</v>
      </c>
      <c r="M4167">
        <v>0.98099999999999998</v>
      </c>
    </row>
    <row r="4168" spans="1:13" ht="15" customHeight="1">
      <c r="A4168" t="s">
        <v>47</v>
      </c>
      <c r="B4168">
        <f t="shared" si="260"/>
        <v>33.713436000000002</v>
      </c>
      <c r="C4168">
        <f t="shared" si="261"/>
        <v>-117.843433</v>
      </c>
      <c r="D4168">
        <f t="shared" si="262"/>
        <v>65</v>
      </c>
      <c r="E4168">
        <v>20.5</v>
      </c>
      <c r="F4168">
        <f t="shared" si="263"/>
        <v>44.5</v>
      </c>
      <c r="G4168">
        <v>14.557</v>
      </c>
      <c r="H4168">
        <v>0.38600000000000001</v>
      </c>
      <c r="I4168">
        <v>2.6469999999999998</v>
      </c>
      <c r="J4168">
        <v>5</v>
      </c>
      <c r="K4168">
        <v>7</v>
      </c>
      <c r="L4168">
        <v>6</v>
      </c>
      <c r="M4168">
        <v>0.89</v>
      </c>
    </row>
    <row r="4169" spans="1:13" ht="15" customHeight="1">
      <c r="A4169" t="s">
        <v>47</v>
      </c>
      <c r="B4169">
        <f t="shared" si="260"/>
        <v>33.713436000000002</v>
      </c>
      <c r="C4169">
        <f t="shared" si="261"/>
        <v>-117.843433</v>
      </c>
      <c r="D4169">
        <f t="shared" si="262"/>
        <v>65</v>
      </c>
      <c r="E4169">
        <v>21.5</v>
      </c>
      <c r="F4169">
        <f t="shared" si="263"/>
        <v>43.5</v>
      </c>
      <c r="G4169">
        <v>17.75</v>
      </c>
      <c r="H4169">
        <v>0.622</v>
      </c>
      <c r="I4169">
        <v>3.496</v>
      </c>
      <c r="J4169">
        <v>4</v>
      </c>
      <c r="K4169">
        <v>11</v>
      </c>
      <c r="L4169">
        <v>9</v>
      </c>
      <c r="M4169">
        <v>1.1000000000000001</v>
      </c>
    </row>
    <row r="4170" spans="1:13" ht="15" customHeight="1">
      <c r="A4170" t="s">
        <v>47</v>
      </c>
      <c r="B4170">
        <f t="shared" si="260"/>
        <v>33.713436000000002</v>
      </c>
      <c r="C4170">
        <f t="shared" si="261"/>
        <v>-117.843433</v>
      </c>
      <c r="D4170">
        <f t="shared" si="262"/>
        <v>65</v>
      </c>
      <c r="E4170">
        <v>22.5</v>
      </c>
      <c r="F4170">
        <f t="shared" si="263"/>
        <v>42.5</v>
      </c>
      <c r="G4170">
        <v>11.917</v>
      </c>
      <c r="H4170">
        <v>0.38300000000000001</v>
      </c>
      <c r="I4170">
        <v>3.2210000000000001</v>
      </c>
      <c r="J4170">
        <v>4</v>
      </c>
      <c r="K4170">
        <v>8</v>
      </c>
      <c r="L4170">
        <v>6</v>
      </c>
      <c r="M4170">
        <v>0.70399999999999996</v>
      </c>
    </row>
    <row r="4171" spans="1:13" ht="15" customHeight="1">
      <c r="A4171" t="s">
        <v>47</v>
      </c>
      <c r="B4171">
        <f t="shared" si="260"/>
        <v>33.713436000000002</v>
      </c>
      <c r="C4171">
        <f t="shared" si="261"/>
        <v>-117.843433</v>
      </c>
      <c r="D4171">
        <f t="shared" si="262"/>
        <v>65</v>
      </c>
      <c r="E4171">
        <v>23.5</v>
      </c>
      <c r="F4171">
        <f t="shared" si="263"/>
        <v>41.5</v>
      </c>
      <c r="G4171">
        <v>10.7</v>
      </c>
      <c r="H4171">
        <v>0.45700000000000002</v>
      </c>
      <c r="I4171">
        <v>4.2750000000000004</v>
      </c>
      <c r="J4171">
        <v>3</v>
      </c>
      <c r="K4171">
        <v>10</v>
      </c>
      <c r="L4171">
        <v>8</v>
      </c>
      <c r="M4171">
        <v>0.61799999999999999</v>
      </c>
    </row>
    <row r="4172" spans="1:13" ht="15" customHeight="1">
      <c r="A4172" t="s">
        <v>47</v>
      </c>
      <c r="B4172">
        <f t="shared" si="260"/>
        <v>33.713436000000002</v>
      </c>
      <c r="C4172">
        <f t="shared" si="261"/>
        <v>-117.843433</v>
      </c>
      <c r="D4172">
        <f t="shared" si="262"/>
        <v>65</v>
      </c>
      <c r="E4172">
        <v>24.5</v>
      </c>
      <c r="F4172">
        <f t="shared" si="263"/>
        <v>40.5</v>
      </c>
      <c r="G4172">
        <v>17.933</v>
      </c>
      <c r="H4172">
        <v>0.81200000000000006</v>
      </c>
      <c r="I4172">
        <v>4.53</v>
      </c>
      <c r="J4172">
        <v>3</v>
      </c>
      <c r="K4172">
        <v>17</v>
      </c>
      <c r="L4172">
        <v>13</v>
      </c>
      <c r="M4172">
        <v>1.097</v>
      </c>
    </row>
    <row r="4173" spans="1:13" ht="15" customHeight="1">
      <c r="A4173" t="s">
        <v>47</v>
      </c>
      <c r="B4173">
        <f t="shared" si="260"/>
        <v>33.713436000000002</v>
      </c>
      <c r="C4173">
        <f t="shared" si="261"/>
        <v>-117.843433</v>
      </c>
      <c r="D4173">
        <f t="shared" si="262"/>
        <v>65</v>
      </c>
      <c r="E4173">
        <v>25.5</v>
      </c>
      <c r="F4173">
        <f t="shared" si="263"/>
        <v>39.5</v>
      </c>
      <c r="G4173">
        <v>15.467000000000001</v>
      </c>
      <c r="H4173">
        <v>0.47299999999999998</v>
      </c>
      <c r="I4173">
        <v>3.06</v>
      </c>
      <c r="J4173">
        <v>5</v>
      </c>
      <c r="K4173">
        <v>7</v>
      </c>
      <c r="L4173">
        <v>5</v>
      </c>
      <c r="M4173">
        <v>0.92900000000000005</v>
      </c>
    </row>
    <row r="4174" spans="1:13" ht="15" customHeight="1">
      <c r="A4174" t="s">
        <v>47</v>
      </c>
      <c r="B4174">
        <f t="shared" si="260"/>
        <v>33.713436000000002</v>
      </c>
      <c r="C4174">
        <f t="shared" si="261"/>
        <v>-117.843433</v>
      </c>
      <c r="D4174">
        <f t="shared" si="262"/>
        <v>65</v>
      </c>
      <c r="E4174">
        <v>26.5</v>
      </c>
      <c r="F4174">
        <f t="shared" si="263"/>
        <v>38.5</v>
      </c>
      <c r="G4174">
        <v>13.083</v>
      </c>
      <c r="H4174">
        <v>0.46200000000000002</v>
      </c>
      <c r="I4174">
        <v>3.524</v>
      </c>
      <c r="J4174">
        <v>4</v>
      </c>
      <c r="K4174">
        <v>8</v>
      </c>
      <c r="L4174">
        <v>6</v>
      </c>
      <c r="M4174">
        <v>0.76700000000000002</v>
      </c>
    </row>
    <row r="4175" spans="1:13" ht="15" customHeight="1">
      <c r="A4175" t="s">
        <v>47</v>
      </c>
      <c r="B4175">
        <f t="shared" si="260"/>
        <v>33.713436000000002</v>
      </c>
      <c r="C4175">
        <f t="shared" si="261"/>
        <v>-117.843433</v>
      </c>
      <c r="D4175">
        <f t="shared" si="262"/>
        <v>65</v>
      </c>
      <c r="E4175">
        <v>27.5</v>
      </c>
      <c r="F4175">
        <f t="shared" si="263"/>
        <v>37.5</v>
      </c>
      <c r="G4175">
        <v>24.216999999999999</v>
      </c>
      <c r="H4175">
        <v>0.93500000000000005</v>
      </c>
      <c r="I4175">
        <v>3.8660000000000001</v>
      </c>
      <c r="J4175">
        <v>4</v>
      </c>
      <c r="K4175">
        <v>15</v>
      </c>
      <c r="L4175">
        <v>11</v>
      </c>
      <c r="M4175">
        <v>1.502</v>
      </c>
    </row>
    <row r="4176" spans="1:13" ht="15" customHeight="1">
      <c r="A4176" t="s">
        <v>47</v>
      </c>
      <c r="B4176">
        <f t="shared" si="260"/>
        <v>33.713436000000002</v>
      </c>
      <c r="C4176">
        <f t="shared" si="261"/>
        <v>-117.843433</v>
      </c>
      <c r="D4176">
        <f t="shared" si="262"/>
        <v>65</v>
      </c>
      <c r="E4176">
        <v>28.5</v>
      </c>
      <c r="F4176">
        <f t="shared" si="263"/>
        <v>36.5</v>
      </c>
      <c r="G4176">
        <v>19.216999999999999</v>
      </c>
      <c r="H4176">
        <v>0.64700000000000002</v>
      </c>
      <c r="I4176">
        <v>3.3740000000000001</v>
      </c>
      <c r="J4176">
        <v>5</v>
      </c>
      <c r="K4176">
        <v>9</v>
      </c>
      <c r="L4176">
        <v>6</v>
      </c>
      <c r="M4176">
        <v>1.1639999999999999</v>
      </c>
    </row>
    <row r="4177" spans="1:13" ht="15" customHeight="1">
      <c r="A4177" t="s">
        <v>47</v>
      </c>
      <c r="B4177">
        <f t="shared" si="260"/>
        <v>33.713436000000002</v>
      </c>
      <c r="C4177">
        <f t="shared" si="261"/>
        <v>-117.843433</v>
      </c>
      <c r="D4177">
        <f t="shared" si="262"/>
        <v>65</v>
      </c>
      <c r="E4177">
        <v>29.5</v>
      </c>
      <c r="F4177">
        <f t="shared" si="263"/>
        <v>35.5</v>
      </c>
      <c r="G4177">
        <v>16.766999999999999</v>
      </c>
      <c r="H4177">
        <v>0.72</v>
      </c>
      <c r="I4177">
        <v>4.2939999999999996</v>
      </c>
      <c r="J4177">
        <v>3</v>
      </c>
      <c r="K4177">
        <v>16</v>
      </c>
      <c r="L4177">
        <v>11</v>
      </c>
      <c r="M4177">
        <v>0.999</v>
      </c>
    </row>
    <row r="4178" spans="1:13" ht="15" customHeight="1">
      <c r="A4178" t="s">
        <v>47</v>
      </c>
      <c r="B4178">
        <f t="shared" si="260"/>
        <v>33.713436000000002</v>
      </c>
      <c r="C4178">
        <f t="shared" si="261"/>
        <v>-117.843433</v>
      </c>
      <c r="D4178">
        <f t="shared" si="262"/>
        <v>65</v>
      </c>
      <c r="E4178">
        <v>30.5</v>
      </c>
      <c r="F4178">
        <f t="shared" si="263"/>
        <v>34.5</v>
      </c>
      <c r="G4178">
        <v>21.2</v>
      </c>
      <c r="H4178">
        <v>0.49199999999999999</v>
      </c>
      <c r="I4178">
        <v>2.3210000000000002</v>
      </c>
      <c r="J4178">
        <v>5</v>
      </c>
      <c r="K4178">
        <v>10</v>
      </c>
      <c r="L4178">
        <v>7</v>
      </c>
      <c r="M4178">
        <v>1.29</v>
      </c>
    </row>
    <row r="4179" spans="1:13" ht="15" customHeight="1">
      <c r="A4179" t="s">
        <v>47</v>
      </c>
      <c r="B4179">
        <f t="shared" si="260"/>
        <v>33.713436000000002</v>
      </c>
      <c r="C4179">
        <f t="shared" si="261"/>
        <v>-117.843433</v>
      </c>
      <c r="D4179">
        <f t="shared" si="262"/>
        <v>65</v>
      </c>
      <c r="E4179">
        <v>31.5</v>
      </c>
      <c r="F4179">
        <f t="shared" si="263"/>
        <v>33.5</v>
      </c>
      <c r="G4179">
        <v>27.713999999999999</v>
      </c>
      <c r="H4179">
        <v>0.73899999999999999</v>
      </c>
      <c r="I4179">
        <v>2.6720000000000002</v>
      </c>
      <c r="J4179">
        <v>6</v>
      </c>
      <c r="K4179">
        <v>11</v>
      </c>
      <c r="L4179">
        <v>7</v>
      </c>
      <c r="M4179">
        <v>1.716</v>
      </c>
    </row>
    <row r="4180" spans="1:13" ht="15" customHeight="1">
      <c r="A4180" t="s">
        <v>47</v>
      </c>
      <c r="B4180">
        <f t="shared" si="260"/>
        <v>33.713436000000002</v>
      </c>
      <c r="C4180">
        <f t="shared" si="261"/>
        <v>-117.843433</v>
      </c>
      <c r="D4180">
        <f t="shared" si="262"/>
        <v>65</v>
      </c>
      <c r="E4180">
        <v>32.5</v>
      </c>
      <c r="F4180">
        <f t="shared" si="263"/>
        <v>32.5</v>
      </c>
      <c r="G4180">
        <v>34.200000000000003</v>
      </c>
      <c r="H4180">
        <v>1.24</v>
      </c>
      <c r="I4180">
        <v>3.633</v>
      </c>
      <c r="J4180">
        <v>5</v>
      </c>
      <c r="K4180">
        <v>16</v>
      </c>
      <c r="L4180">
        <v>11</v>
      </c>
      <c r="M4180">
        <v>2.145</v>
      </c>
    </row>
    <row r="4181" spans="1:13" ht="15" customHeight="1">
      <c r="A4181" t="s">
        <v>47</v>
      </c>
      <c r="B4181">
        <f t="shared" si="260"/>
        <v>33.713436000000002</v>
      </c>
      <c r="C4181">
        <f t="shared" si="261"/>
        <v>-117.843433</v>
      </c>
      <c r="D4181">
        <f t="shared" si="262"/>
        <v>65</v>
      </c>
      <c r="E4181">
        <v>33.5</v>
      </c>
      <c r="F4181">
        <f t="shared" si="263"/>
        <v>31.5</v>
      </c>
      <c r="G4181">
        <v>49.817</v>
      </c>
      <c r="H4181">
        <v>1.853</v>
      </c>
      <c r="I4181">
        <v>3.722</v>
      </c>
      <c r="J4181">
        <v>5</v>
      </c>
      <c r="K4181">
        <v>24</v>
      </c>
      <c r="L4181">
        <v>16</v>
      </c>
      <c r="M4181">
        <v>3.1850000000000001</v>
      </c>
    </row>
    <row r="4182" spans="1:13" ht="15" customHeight="1">
      <c r="A4182" t="s">
        <v>47</v>
      </c>
      <c r="B4182">
        <f t="shared" si="260"/>
        <v>33.713436000000002</v>
      </c>
      <c r="C4182">
        <f t="shared" si="261"/>
        <v>-117.843433</v>
      </c>
      <c r="D4182">
        <f t="shared" si="262"/>
        <v>65</v>
      </c>
      <c r="E4182">
        <v>34.5</v>
      </c>
      <c r="F4182">
        <f t="shared" si="263"/>
        <v>30.5</v>
      </c>
      <c r="G4182">
        <v>55.883000000000003</v>
      </c>
      <c r="H4182">
        <v>2.2050000000000001</v>
      </c>
      <c r="I4182">
        <v>3.9540000000000002</v>
      </c>
      <c r="J4182">
        <v>5</v>
      </c>
      <c r="K4182">
        <v>27</v>
      </c>
      <c r="L4182">
        <v>17</v>
      </c>
      <c r="M4182">
        <v>3.5790000000000002</v>
      </c>
    </row>
    <row r="4183" spans="1:13" ht="15" customHeight="1">
      <c r="A4183" t="s">
        <v>47</v>
      </c>
      <c r="B4183">
        <f t="shared" si="260"/>
        <v>33.713436000000002</v>
      </c>
      <c r="C4183">
        <f t="shared" si="261"/>
        <v>-117.843433</v>
      </c>
      <c r="D4183">
        <f t="shared" si="262"/>
        <v>65</v>
      </c>
      <c r="E4183">
        <v>35.5</v>
      </c>
      <c r="F4183">
        <f t="shared" si="263"/>
        <v>29.5</v>
      </c>
      <c r="G4183">
        <v>38.832999999999998</v>
      </c>
      <c r="H4183">
        <v>1.897</v>
      </c>
      <c r="I4183">
        <v>4.9009999999999998</v>
      </c>
      <c r="J4183">
        <v>3</v>
      </c>
      <c r="K4183">
        <v>37</v>
      </c>
      <c r="L4183">
        <v>23</v>
      </c>
      <c r="M4183">
        <v>2.4369999999999998</v>
      </c>
    </row>
    <row r="4184" spans="1:13" ht="15" customHeight="1">
      <c r="A4184" t="s">
        <v>47</v>
      </c>
      <c r="B4184">
        <f t="shared" si="260"/>
        <v>33.713436000000002</v>
      </c>
      <c r="C4184">
        <f t="shared" si="261"/>
        <v>-117.843433</v>
      </c>
      <c r="D4184">
        <f t="shared" si="262"/>
        <v>65</v>
      </c>
      <c r="E4184">
        <v>36.5</v>
      </c>
      <c r="F4184">
        <f t="shared" si="263"/>
        <v>28.5</v>
      </c>
      <c r="G4184">
        <v>32.716999999999999</v>
      </c>
      <c r="H4184">
        <v>1.4470000000000001</v>
      </c>
      <c r="I4184">
        <v>4.4379999999999997</v>
      </c>
      <c r="J4184">
        <v>4</v>
      </c>
      <c r="K4184">
        <v>21</v>
      </c>
      <c r="L4184">
        <v>13</v>
      </c>
      <c r="M4184">
        <v>2.0259999999999998</v>
      </c>
    </row>
    <row r="4185" spans="1:13" ht="15" customHeight="1">
      <c r="A4185" t="s">
        <v>47</v>
      </c>
      <c r="B4185">
        <f t="shared" si="260"/>
        <v>33.713436000000002</v>
      </c>
      <c r="C4185">
        <f t="shared" si="261"/>
        <v>-117.843433</v>
      </c>
      <c r="D4185">
        <f t="shared" si="262"/>
        <v>65</v>
      </c>
      <c r="E4185">
        <v>37.5</v>
      </c>
      <c r="F4185">
        <f t="shared" si="263"/>
        <v>27.5</v>
      </c>
      <c r="G4185">
        <v>44.6</v>
      </c>
      <c r="H4185">
        <v>2.1150000000000002</v>
      </c>
      <c r="I4185">
        <v>4.76</v>
      </c>
      <c r="J4185">
        <v>4</v>
      </c>
      <c r="K4185">
        <v>28</v>
      </c>
      <c r="L4185">
        <v>17</v>
      </c>
      <c r="M4185">
        <v>2.8109999999999999</v>
      </c>
    </row>
    <row r="4186" spans="1:13" ht="15" customHeight="1">
      <c r="A4186" t="s">
        <v>47</v>
      </c>
      <c r="B4186">
        <f t="shared" si="260"/>
        <v>33.713436000000002</v>
      </c>
      <c r="C4186">
        <f t="shared" si="261"/>
        <v>-117.843433</v>
      </c>
      <c r="D4186">
        <f t="shared" si="262"/>
        <v>65</v>
      </c>
      <c r="E4186">
        <v>38.5</v>
      </c>
      <c r="F4186">
        <f t="shared" si="263"/>
        <v>26.5</v>
      </c>
      <c r="G4186">
        <v>62.2</v>
      </c>
      <c r="H4186">
        <v>1.86</v>
      </c>
      <c r="I4186">
        <v>2.9990000000000001</v>
      </c>
      <c r="J4186">
        <v>6</v>
      </c>
      <c r="K4186">
        <v>24</v>
      </c>
      <c r="L4186">
        <v>15</v>
      </c>
      <c r="M4186">
        <v>3.9790000000000001</v>
      </c>
    </row>
    <row r="4187" spans="1:13" ht="15" customHeight="1">
      <c r="A4187" t="s">
        <v>47</v>
      </c>
      <c r="B4187">
        <f t="shared" si="260"/>
        <v>33.713436000000002</v>
      </c>
      <c r="C4187">
        <f t="shared" si="261"/>
        <v>-117.843433</v>
      </c>
      <c r="D4187">
        <f t="shared" si="262"/>
        <v>65</v>
      </c>
      <c r="E4187">
        <v>39.5</v>
      </c>
      <c r="F4187">
        <f t="shared" si="263"/>
        <v>25.5</v>
      </c>
      <c r="G4187">
        <v>114.617</v>
      </c>
      <c r="H4187">
        <v>1.722</v>
      </c>
      <c r="I4187">
        <v>1.504</v>
      </c>
      <c r="J4187">
        <v>8</v>
      </c>
      <c r="K4187">
        <v>27</v>
      </c>
      <c r="L4187">
        <v>16</v>
      </c>
      <c r="M4187" s="1">
        <v>9000000000</v>
      </c>
    </row>
    <row r="4188" spans="1:13" ht="15" customHeight="1">
      <c r="A4188" t="s">
        <v>47</v>
      </c>
      <c r="B4188">
        <f t="shared" si="260"/>
        <v>33.713436000000002</v>
      </c>
      <c r="C4188">
        <f t="shared" si="261"/>
        <v>-117.843433</v>
      </c>
      <c r="D4188">
        <f t="shared" si="262"/>
        <v>65</v>
      </c>
      <c r="E4188">
        <v>40.5</v>
      </c>
      <c r="F4188">
        <f t="shared" si="263"/>
        <v>24.5</v>
      </c>
      <c r="G4188">
        <v>150.917</v>
      </c>
      <c r="H4188">
        <v>1.7969999999999999</v>
      </c>
      <c r="I4188">
        <v>1.1919999999999999</v>
      </c>
      <c r="J4188">
        <v>8</v>
      </c>
      <c r="K4188">
        <v>36</v>
      </c>
      <c r="L4188">
        <v>21</v>
      </c>
      <c r="M4188" s="1">
        <v>9000000000</v>
      </c>
    </row>
    <row r="4189" spans="1:13" ht="15" customHeight="1">
      <c r="A4189" t="s">
        <v>47</v>
      </c>
      <c r="B4189">
        <f t="shared" si="260"/>
        <v>33.713436000000002</v>
      </c>
      <c r="C4189">
        <f t="shared" si="261"/>
        <v>-117.843433</v>
      </c>
      <c r="D4189">
        <f t="shared" si="262"/>
        <v>65</v>
      </c>
      <c r="E4189">
        <v>41.499000000000002</v>
      </c>
      <c r="F4189">
        <f t="shared" si="263"/>
        <v>23.500999999999998</v>
      </c>
      <c r="G4189">
        <v>333.41399999999999</v>
      </c>
      <c r="H4189">
        <v>3.9510000000000001</v>
      </c>
      <c r="I4189">
        <v>1.1859999999999999</v>
      </c>
      <c r="J4189">
        <v>9</v>
      </c>
      <c r="K4189">
        <v>64</v>
      </c>
      <c r="L4189">
        <v>37</v>
      </c>
      <c r="M4189" s="1">
        <v>9000000000</v>
      </c>
    </row>
    <row r="4190" spans="1:13" ht="15" customHeight="1">
      <c r="A4190" t="s">
        <v>47</v>
      </c>
      <c r="B4190">
        <f t="shared" si="260"/>
        <v>33.713436000000002</v>
      </c>
      <c r="C4190">
        <f t="shared" si="261"/>
        <v>-117.843433</v>
      </c>
      <c r="D4190">
        <f t="shared" si="262"/>
        <v>65</v>
      </c>
      <c r="E4190">
        <v>42.499000000000002</v>
      </c>
      <c r="F4190">
        <f t="shared" si="263"/>
        <v>22.500999999999998</v>
      </c>
      <c r="G4190">
        <v>175.167</v>
      </c>
      <c r="H4190">
        <v>2.54</v>
      </c>
      <c r="I4190">
        <v>1.452</v>
      </c>
      <c r="J4190">
        <v>8</v>
      </c>
      <c r="K4190">
        <v>42</v>
      </c>
      <c r="L4190">
        <v>24</v>
      </c>
      <c r="M4190" s="1">
        <v>9000000000</v>
      </c>
    </row>
    <row r="4191" spans="1:13" ht="15" customHeight="1">
      <c r="A4191" t="s">
        <v>47</v>
      </c>
      <c r="B4191">
        <f t="shared" si="260"/>
        <v>33.713436000000002</v>
      </c>
      <c r="C4191">
        <f t="shared" si="261"/>
        <v>-117.843433</v>
      </c>
      <c r="D4191">
        <f t="shared" si="262"/>
        <v>65</v>
      </c>
      <c r="E4191">
        <v>43.499000000000002</v>
      </c>
      <c r="F4191">
        <f t="shared" si="263"/>
        <v>21.500999999999998</v>
      </c>
      <c r="G4191">
        <v>31.417000000000002</v>
      </c>
      <c r="H4191">
        <v>1.347</v>
      </c>
      <c r="I4191">
        <v>4.3090000000000002</v>
      </c>
      <c r="J4191">
        <v>4</v>
      </c>
      <c r="K4191">
        <v>20</v>
      </c>
      <c r="L4191">
        <v>11</v>
      </c>
      <c r="M4191">
        <v>1.907</v>
      </c>
    </row>
    <row r="4192" spans="1:13" ht="15" customHeight="1">
      <c r="A4192" t="s">
        <v>47</v>
      </c>
      <c r="B4192">
        <f t="shared" si="260"/>
        <v>33.713436000000002</v>
      </c>
      <c r="C4192">
        <f t="shared" si="261"/>
        <v>-117.843433</v>
      </c>
      <c r="D4192">
        <f t="shared" si="262"/>
        <v>65</v>
      </c>
      <c r="E4192">
        <v>44.499000000000002</v>
      </c>
      <c r="F4192">
        <f t="shared" si="263"/>
        <v>20.500999999999998</v>
      </c>
      <c r="G4192">
        <v>24.917000000000002</v>
      </c>
      <c r="H4192">
        <v>0.78300000000000003</v>
      </c>
      <c r="I4192">
        <v>3.1669999999999998</v>
      </c>
      <c r="J4192">
        <v>5</v>
      </c>
      <c r="K4192">
        <v>12</v>
      </c>
      <c r="L4192">
        <v>7</v>
      </c>
      <c r="M4192">
        <v>1.468</v>
      </c>
    </row>
    <row r="4193" spans="1:13" ht="15" customHeight="1">
      <c r="A4193" t="s">
        <v>47</v>
      </c>
      <c r="B4193">
        <f t="shared" si="260"/>
        <v>33.713436000000002</v>
      </c>
      <c r="C4193">
        <f t="shared" si="261"/>
        <v>-117.843433</v>
      </c>
      <c r="D4193">
        <f t="shared" si="262"/>
        <v>65</v>
      </c>
      <c r="E4193">
        <v>45.499000000000002</v>
      </c>
      <c r="F4193">
        <f t="shared" si="263"/>
        <v>19.500999999999998</v>
      </c>
      <c r="G4193">
        <v>32.482999999999997</v>
      </c>
      <c r="H4193">
        <v>1.175</v>
      </c>
      <c r="I4193">
        <v>3.6360000000000001</v>
      </c>
      <c r="J4193">
        <v>5</v>
      </c>
      <c r="K4193">
        <v>15</v>
      </c>
      <c r="L4193">
        <v>8</v>
      </c>
      <c r="M4193">
        <v>1.9690000000000001</v>
      </c>
    </row>
    <row r="4194" spans="1:13" ht="15" customHeight="1">
      <c r="A4194" t="s">
        <v>47</v>
      </c>
      <c r="B4194">
        <f t="shared" si="260"/>
        <v>33.713436000000002</v>
      </c>
      <c r="C4194">
        <f t="shared" si="261"/>
        <v>-117.843433</v>
      </c>
      <c r="D4194">
        <f t="shared" si="262"/>
        <v>65</v>
      </c>
      <c r="E4194">
        <v>46.499000000000002</v>
      </c>
      <c r="F4194">
        <f t="shared" si="263"/>
        <v>18.500999999999998</v>
      </c>
      <c r="G4194">
        <v>45.05</v>
      </c>
      <c r="H4194">
        <v>1.77</v>
      </c>
      <c r="I4194">
        <v>3.9460000000000002</v>
      </c>
      <c r="J4194">
        <v>5</v>
      </c>
      <c r="K4194">
        <v>21</v>
      </c>
      <c r="L4194">
        <v>12</v>
      </c>
      <c r="M4194">
        <v>2.8010000000000002</v>
      </c>
    </row>
    <row r="4195" spans="1:13" ht="15" customHeight="1">
      <c r="A4195" t="s">
        <v>47</v>
      </c>
      <c r="B4195">
        <f t="shared" si="260"/>
        <v>33.713436000000002</v>
      </c>
      <c r="C4195">
        <f t="shared" si="261"/>
        <v>-117.843433</v>
      </c>
      <c r="D4195">
        <f t="shared" si="262"/>
        <v>65</v>
      </c>
      <c r="E4195">
        <v>47.499000000000002</v>
      </c>
      <c r="F4195">
        <f t="shared" si="263"/>
        <v>17.500999999999998</v>
      </c>
      <c r="G4195">
        <v>74.132999999999996</v>
      </c>
      <c r="H4195">
        <v>4.0830000000000002</v>
      </c>
      <c r="I4195">
        <v>5.5229999999999997</v>
      </c>
      <c r="J4195">
        <v>11</v>
      </c>
      <c r="K4195">
        <v>71</v>
      </c>
      <c r="L4195">
        <v>39</v>
      </c>
      <c r="M4195" s="1">
        <v>9000000000</v>
      </c>
    </row>
    <row r="4196" spans="1:13" ht="15" customHeight="1">
      <c r="A4196" t="s">
        <v>47</v>
      </c>
      <c r="B4196">
        <f t="shared" si="260"/>
        <v>33.713436000000002</v>
      </c>
      <c r="C4196">
        <f t="shared" si="261"/>
        <v>-117.843433</v>
      </c>
      <c r="D4196">
        <f t="shared" si="262"/>
        <v>65</v>
      </c>
      <c r="E4196">
        <v>48.499000000000002</v>
      </c>
      <c r="F4196">
        <f t="shared" si="263"/>
        <v>16.500999999999998</v>
      </c>
      <c r="G4196">
        <v>44.667000000000002</v>
      </c>
      <c r="H4196">
        <v>2.375</v>
      </c>
      <c r="I4196">
        <v>5.3410000000000002</v>
      </c>
      <c r="J4196">
        <v>3</v>
      </c>
      <c r="K4196">
        <v>43</v>
      </c>
      <c r="L4196">
        <v>23</v>
      </c>
      <c r="M4196">
        <v>2.7669999999999999</v>
      </c>
    </row>
    <row r="4197" spans="1:13" ht="15" customHeight="1">
      <c r="A4197" t="s">
        <v>47</v>
      </c>
      <c r="B4197">
        <f t="shared" si="260"/>
        <v>33.713436000000002</v>
      </c>
      <c r="C4197">
        <f t="shared" si="261"/>
        <v>-117.843433</v>
      </c>
      <c r="D4197">
        <f t="shared" si="262"/>
        <v>65</v>
      </c>
      <c r="E4197">
        <v>49.499000000000002</v>
      </c>
      <c r="F4197">
        <f t="shared" si="263"/>
        <v>15.500999999999998</v>
      </c>
      <c r="G4197">
        <v>50.832999999999998</v>
      </c>
      <c r="H4197">
        <v>2.2130000000000001</v>
      </c>
      <c r="I4197">
        <v>4.3710000000000004</v>
      </c>
      <c r="J4197">
        <v>4</v>
      </c>
      <c r="K4197">
        <v>32</v>
      </c>
      <c r="L4197">
        <v>17</v>
      </c>
      <c r="M4197">
        <v>3.1739999999999999</v>
      </c>
    </row>
    <row r="4198" spans="1:13" ht="15" customHeight="1">
      <c r="A4198" t="s">
        <v>47</v>
      </c>
      <c r="B4198">
        <f t="shared" si="260"/>
        <v>33.713436000000002</v>
      </c>
      <c r="C4198">
        <f t="shared" si="261"/>
        <v>-117.843433</v>
      </c>
      <c r="D4198">
        <f t="shared" si="262"/>
        <v>65</v>
      </c>
      <c r="E4198">
        <v>50.499000000000002</v>
      </c>
      <c r="F4198">
        <f t="shared" si="263"/>
        <v>14.500999999999998</v>
      </c>
      <c r="G4198">
        <v>135.483</v>
      </c>
      <c r="H4198">
        <v>2.7730000000000001</v>
      </c>
      <c r="I4198">
        <v>2.0499999999999998</v>
      </c>
      <c r="J4198">
        <v>7</v>
      </c>
      <c r="K4198">
        <v>43</v>
      </c>
      <c r="L4198">
        <v>23</v>
      </c>
      <c r="M4198" s="1">
        <v>9000000000</v>
      </c>
    </row>
    <row r="4199" spans="1:13" ht="15" customHeight="1">
      <c r="A4199" t="s">
        <v>47</v>
      </c>
      <c r="B4199">
        <f t="shared" si="260"/>
        <v>33.713436000000002</v>
      </c>
      <c r="C4199">
        <f t="shared" si="261"/>
        <v>-117.843433</v>
      </c>
      <c r="D4199">
        <f t="shared" si="262"/>
        <v>65</v>
      </c>
      <c r="E4199">
        <v>51.499000000000002</v>
      </c>
      <c r="F4199">
        <f t="shared" si="263"/>
        <v>13.500999999999998</v>
      </c>
      <c r="G4199">
        <v>134.5</v>
      </c>
      <c r="H4199">
        <v>1.9930000000000001</v>
      </c>
      <c r="I4199">
        <v>1.484</v>
      </c>
      <c r="J4199">
        <v>8</v>
      </c>
      <c r="K4199">
        <v>32</v>
      </c>
      <c r="L4199">
        <v>17</v>
      </c>
      <c r="M4199" s="1">
        <v>9000000000</v>
      </c>
    </row>
    <row r="4200" spans="1:13" ht="15" customHeight="1">
      <c r="A4200" t="s">
        <v>47</v>
      </c>
      <c r="B4200">
        <f t="shared" si="260"/>
        <v>33.713436000000002</v>
      </c>
      <c r="C4200">
        <f t="shared" si="261"/>
        <v>-117.843433</v>
      </c>
      <c r="D4200">
        <f t="shared" si="262"/>
        <v>65</v>
      </c>
      <c r="E4200">
        <v>52.499000000000002</v>
      </c>
      <c r="F4200">
        <f t="shared" si="263"/>
        <v>12.500999999999998</v>
      </c>
      <c r="G4200">
        <v>36.886000000000003</v>
      </c>
      <c r="H4200">
        <v>1.3009999999999999</v>
      </c>
      <c r="I4200">
        <v>3.5430000000000001</v>
      </c>
      <c r="J4200">
        <v>5</v>
      </c>
      <c r="K4200">
        <v>18</v>
      </c>
      <c r="L4200">
        <v>9</v>
      </c>
      <c r="M4200">
        <v>2.234</v>
      </c>
    </row>
    <row r="4201" spans="1:13" ht="15" customHeight="1">
      <c r="A4201" t="s">
        <v>47</v>
      </c>
      <c r="B4201">
        <f t="shared" si="260"/>
        <v>33.713436000000002</v>
      </c>
      <c r="C4201">
        <f t="shared" si="261"/>
        <v>-117.843433</v>
      </c>
      <c r="D4201">
        <f t="shared" si="262"/>
        <v>65</v>
      </c>
      <c r="E4201">
        <v>53.499000000000002</v>
      </c>
      <c r="F4201">
        <f t="shared" si="263"/>
        <v>11.500999999999998</v>
      </c>
      <c r="G4201">
        <v>15.317</v>
      </c>
      <c r="H4201">
        <v>0.49</v>
      </c>
      <c r="I4201">
        <v>3.2410000000000001</v>
      </c>
      <c r="J4201">
        <v>4</v>
      </c>
      <c r="K4201">
        <v>10</v>
      </c>
      <c r="L4201">
        <v>5</v>
      </c>
      <c r="M4201">
        <v>0.78900000000000003</v>
      </c>
    </row>
    <row r="4202" spans="1:13" ht="15" customHeight="1">
      <c r="A4202" t="s">
        <v>47</v>
      </c>
      <c r="B4202">
        <f t="shared" si="260"/>
        <v>33.713436000000002</v>
      </c>
      <c r="C4202">
        <f t="shared" si="261"/>
        <v>-117.843433</v>
      </c>
      <c r="D4202">
        <f t="shared" si="262"/>
        <v>65</v>
      </c>
      <c r="E4202">
        <v>54.499000000000002</v>
      </c>
      <c r="F4202">
        <f t="shared" si="263"/>
        <v>10.500999999999998</v>
      </c>
      <c r="G4202">
        <v>15.2</v>
      </c>
      <c r="H4202">
        <v>0.39800000000000002</v>
      </c>
      <c r="I4202">
        <v>2.6469999999999998</v>
      </c>
      <c r="J4202">
        <v>5</v>
      </c>
      <c r="K4202">
        <v>7</v>
      </c>
      <c r="L4202">
        <v>4</v>
      </c>
      <c r="M4202">
        <v>0.78100000000000003</v>
      </c>
    </row>
    <row r="4203" spans="1:13" ht="15" customHeight="1">
      <c r="A4203" t="s">
        <v>47</v>
      </c>
      <c r="B4203">
        <f t="shared" si="260"/>
        <v>33.713436000000002</v>
      </c>
      <c r="C4203">
        <f t="shared" si="261"/>
        <v>-117.843433</v>
      </c>
      <c r="D4203">
        <f t="shared" si="262"/>
        <v>65</v>
      </c>
      <c r="E4203">
        <v>55.499000000000002</v>
      </c>
      <c r="F4203">
        <f t="shared" si="263"/>
        <v>9.5009999999999977</v>
      </c>
      <c r="G4203">
        <v>16.45</v>
      </c>
      <c r="H4203">
        <v>0.47499999999999998</v>
      </c>
      <c r="I4203">
        <v>2.9140000000000001</v>
      </c>
      <c r="J4203">
        <v>5</v>
      </c>
      <c r="K4203">
        <v>8</v>
      </c>
      <c r="L4203">
        <v>4</v>
      </c>
      <c r="M4203">
        <v>0.86</v>
      </c>
    </row>
    <row r="4204" spans="1:13" ht="15" customHeight="1">
      <c r="A4204" t="s">
        <v>47</v>
      </c>
      <c r="B4204">
        <f t="shared" si="260"/>
        <v>33.713436000000002</v>
      </c>
      <c r="C4204">
        <f t="shared" si="261"/>
        <v>-117.843433</v>
      </c>
      <c r="D4204">
        <f t="shared" si="262"/>
        <v>65</v>
      </c>
      <c r="E4204">
        <v>56.499000000000002</v>
      </c>
      <c r="F4204">
        <f t="shared" si="263"/>
        <v>8.5009999999999977</v>
      </c>
      <c r="G4204">
        <v>14.05</v>
      </c>
      <c r="H4204">
        <v>0.47699999999999998</v>
      </c>
      <c r="I4204">
        <v>3.4209999999999998</v>
      </c>
      <c r="J4204">
        <v>4</v>
      </c>
      <c r="K4204">
        <v>9</v>
      </c>
      <c r="L4204">
        <v>5</v>
      </c>
      <c r="M4204">
        <v>0.69799999999999995</v>
      </c>
    </row>
    <row r="4205" spans="1:13" ht="15" customHeight="1">
      <c r="A4205" t="s">
        <v>47</v>
      </c>
      <c r="B4205">
        <f t="shared" si="260"/>
        <v>33.713436000000002</v>
      </c>
      <c r="C4205">
        <f t="shared" si="261"/>
        <v>-117.843433</v>
      </c>
      <c r="D4205">
        <f t="shared" si="262"/>
        <v>65</v>
      </c>
      <c r="E4205">
        <v>57.499000000000002</v>
      </c>
      <c r="F4205">
        <f t="shared" si="263"/>
        <v>7.5009999999999977</v>
      </c>
      <c r="G4205">
        <v>19.649999999999999</v>
      </c>
      <c r="H4205">
        <v>0.77800000000000002</v>
      </c>
      <c r="I4205">
        <v>3.9809999999999999</v>
      </c>
      <c r="J4205">
        <v>4</v>
      </c>
      <c r="K4205">
        <v>12</v>
      </c>
      <c r="L4205">
        <v>6</v>
      </c>
      <c r="M4205">
        <v>1.069</v>
      </c>
    </row>
    <row r="4206" spans="1:13" ht="15" customHeight="1">
      <c r="A4206" t="s">
        <v>47</v>
      </c>
      <c r="B4206">
        <f t="shared" si="260"/>
        <v>33.713436000000002</v>
      </c>
      <c r="C4206">
        <f t="shared" si="261"/>
        <v>-117.843433</v>
      </c>
      <c r="D4206">
        <f t="shared" si="262"/>
        <v>65</v>
      </c>
      <c r="E4206">
        <v>58.499000000000002</v>
      </c>
      <c r="F4206">
        <f t="shared" si="263"/>
        <v>6.5009999999999977</v>
      </c>
      <c r="G4206">
        <v>29.433</v>
      </c>
      <c r="H4206">
        <v>0.92800000000000005</v>
      </c>
      <c r="I4206">
        <v>3.1669999999999998</v>
      </c>
      <c r="J4206">
        <v>5</v>
      </c>
      <c r="K4206">
        <v>14</v>
      </c>
      <c r="L4206">
        <v>7</v>
      </c>
      <c r="M4206">
        <v>1.716</v>
      </c>
    </row>
    <row r="4207" spans="1:13" ht="15" customHeight="1">
      <c r="A4207" t="s">
        <v>47</v>
      </c>
      <c r="B4207">
        <f t="shared" si="260"/>
        <v>33.713436000000002</v>
      </c>
      <c r="C4207">
        <f t="shared" si="261"/>
        <v>-117.843433</v>
      </c>
      <c r="D4207">
        <f t="shared" si="262"/>
        <v>65</v>
      </c>
      <c r="E4207">
        <v>59.499000000000002</v>
      </c>
      <c r="F4207">
        <f t="shared" si="263"/>
        <v>5.5009999999999977</v>
      </c>
      <c r="G4207">
        <v>18.417000000000002</v>
      </c>
      <c r="H4207">
        <v>0.53300000000000003</v>
      </c>
      <c r="I4207">
        <v>2.9060000000000001</v>
      </c>
      <c r="J4207">
        <v>5</v>
      </c>
      <c r="K4207">
        <v>9</v>
      </c>
      <c r="L4207">
        <v>5</v>
      </c>
      <c r="M4207">
        <v>0.98099999999999998</v>
      </c>
    </row>
    <row r="4208" spans="1:13" ht="15" customHeight="1">
      <c r="A4208" t="s">
        <v>47</v>
      </c>
      <c r="B4208">
        <f t="shared" si="260"/>
        <v>33.713436000000002</v>
      </c>
      <c r="C4208">
        <f t="shared" si="261"/>
        <v>-117.843433</v>
      </c>
      <c r="D4208">
        <f t="shared" si="262"/>
        <v>65</v>
      </c>
      <c r="E4208">
        <v>60.499000000000002</v>
      </c>
      <c r="F4208">
        <f t="shared" si="263"/>
        <v>4.5009999999999977</v>
      </c>
      <c r="G4208">
        <v>18.667000000000002</v>
      </c>
      <c r="H4208">
        <v>0.54500000000000004</v>
      </c>
      <c r="I4208">
        <v>2.927</v>
      </c>
      <c r="J4208">
        <v>5</v>
      </c>
      <c r="K4208">
        <v>9</v>
      </c>
      <c r="L4208">
        <v>5</v>
      </c>
      <c r="M4208">
        <v>0.995</v>
      </c>
    </row>
    <row r="4209" spans="1:13" ht="15" customHeight="1">
      <c r="A4209" t="s">
        <v>47</v>
      </c>
      <c r="B4209">
        <f t="shared" si="260"/>
        <v>33.713436000000002</v>
      </c>
      <c r="C4209">
        <f t="shared" si="261"/>
        <v>-117.843433</v>
      </c>
      <c r="D4209">
        <f t="shared" si="262"/>
        <v>65</v>
      </c>
      <c r="E4209">
        <v>61.499000000000002</v>
      </c>
      <c r="F4209">
        <f t="shared" si="263"/>
        <v>3.5009999999999977</v>
      </c>
      <c r="G4209">
        <v>23.466999999999999</v>
      </c>
      <c r="H4209">
        <v>0.97299999999999998</v>
      </c>
      <c r="I4209">
        <v>4.1449999999999996</v>
      </c>
      <c r="J4209">
        <v>4</v>
      </c>
      <c r="K4209">
        <v>15</v>
      </c>
      <c r="L4209">
        <v>8</v>
      </c>
      <c r="M4209">
        <v>1.3149999999999999</v>
      </c>
    </row>
    <row r="4210" spans="1:13" ht="15" customHeight="1">
      <c r="A4210" t="s">
        <v>47</v>
      </c>
      <c r="B4210">
        <f t="shared" si="260"/>
        <v>33.713436000000002</v>
      </c>
      <c r="C4210">
        <f t="shared" si="261"/>
        <v>-117.843433</v>
      </c>
      <c r="D4210">
        <f t="shared" si="262"/>
        <v>65</v>
      </c>
      <c r="E4210">
        <v>62.499000000000002</v>
      </c>
      <c r="F4210">
        <f t="shared" si="263"/>
        <v>2.5009999999999977</v>
      </c>
      <c r="G4210">
        <v>121.443</v>
      </c>
      <c r="H4210">
        <v>1.7809999999999999</v>
      </c>
      <c r="I4210">
        <v>1.468</v>
      </c>
      <c r="J4210">
        <v>8</v>
      </c>
      <c r="K4210">
        <v>29</v>
      </c>
      <c r="L4210">
        <v>15</v>
      </c>
      <c r="M4210" s="1">
        <v>9000000000</v>
      </c>
    </row>
    <row r="4211" spans="1:13" ht="15" customHeight="1">
      <c r="A4211" t="s">
        <v>47</v>
      </c>
      <c r="B4211">
        <f t="shared" si="260"/>
        <v>33.713436000000002</v>
      </c>
      <c r="C4211">
        <f t="shared" si="261"/>
        <v>-117.843433</v>
      </c>
      <c r="D4211">
        <f t="shared" si="262"/>
        <v>65</v>
      </c>
      <c r="E4211">
        <v>63.499000000000002</v>
      </c>
      <c r="F4211">
        <f t="shared" si="263"/>
        <v>1.5009999999999977</v>
      </c>
      <c r="G4211">
        <v>120.133</v>
      </c>
      <c r="H4211">
        <v>2.597</v>
      </c>
      <c r="I4211">
        <v>2.165</v>
      </c>
      <c r="J4211">
        <v>7</v>
      </c>
      <c r="K4211">
        <v>38</v>
      </c>
      <c r="L4211">
        <v>19</v>
      </c>
      <c r="M4211" s="1">
        <v>9000000000</v>
      </c>
    </row>
    <row r="4212" spans="1:13" ht="15" customHeight="1">
      <c r="A4212" t="s">
        <v>47</v>
      </c>
      <c r="B4212">
        <f t="shared" si="260"/>
        <v>33.713436000000002</v>
      </c>
      <c r="C4212">
        <f t="shared" si="261"/>
        <v>-117.843433</v>
      </c>
      <c r="D4212">
        <f t="shared" si="262"/>
        <v>65</v>
      </c>
      <c r="E4212">
        <v>64.498999999999995</v>
      </c>
      <c r="F4212">
        <f t="shared" si="263"/>
        <v>0.50100000000000477</v>
      </c>
      <c r="G4212">
        <v>103.633</v>
      </c>
      <c r="H4212">
        <v>3.4950000000000001</v>
      </c>
      <c r="I4212">
        <v>3.379</v>
      </c>
      <c r="J4212">
        <v>6</v>
      </c>
      <c r="K4212">
        <v>40</v>
      </c>
      <c r="L4212">
        <v>20</v>
      </c>
      <c r="M4212">
        <v>6.633</v>
      </c>
    </row>
    <row r="4213" spans="1:13" ht="15" customHeight="1">
      <c r="A4213" t="s">
        <v>47</v>
      </c>
      <c r="B4213">
        <f t="shared" si="260"/>
        <v>33.713436000000002</v>
      </c>
      <c r="C4213">
        <f t="shared" si="261"/>
        <v>-117.843433</v>
      </c>
      <c r="D4213">
        <f t="shared" si="262"/>
        <v>65</v>
      </c>
      <c r="E4213">
        <v>65.498999999999995</v>
      </c>
      <c r="F4213">
        <f t="shared" si="263"/>
        <v>-0.49899999999999523</v>
      </c>
      <c r="G4213">
        <v>54.45</v>
      </c>
      <c r="H4213">
        <v>2.5249999999999999</v>
      </c>
      <c r="I4213">
        <v>4.6529999999999996</v>
      </c>
      <c r="J4213">
        <v>4</v>
      </c>
      <c r="K4213">
        <v>35</v>
      </c>
      <c r="L4213">
        <v>18</v>
      </c>
      <c r="M4213">
        <v>3.351</v>
      </c>
    </row>
    <row r="4214" spans="1:13" ht="15" customHeight="1">
      <c r="A4214" t="s">
        <v>47</v>
      </c>
      <c r="B4214">
        <f t="shared" si="260"/>
        <v>33.713436000000002</v>
      </c>
      <c r="C4214">
        <f t="shared" si="261"/>
        <v>-117.843433</v>
      </c>
      <c r="D4214">
        <f t="shared" si="262"/>
        <v>65</v>
      </c>
      <c r="E4214">
        <v>66.498999999999995</v>
      </c>
      <c r="F4214">
        <f t="shared" si="263"/>
        <v>-1.4989999999999952</v>
      </c>
      <c r="G4214">
        <v>171.88300000000001</v>
      </c>
      <c r="H4214">
        <v>2.1379999999999999</v>
      </c>
      <c r="I4214">
        <v>1.246</v>
      </c>
      <c r="J4214">
        <v>8</v>
      </c>
      <c r="K4214">
        <v>41</v>
      </c>
      <c r="L4214">
        <v>21</v>
      </c>
      <c r="M4214" s="1">
        <v>9000000000</v>
      </c>
    </row>
    <row r="4215" spans="1:13" ht="15" customHeight="1">
      <c r="A4215" t="s">
        <v>47</v>
      </c>
      <c r="B4215">
        <f t="shared" si="260"/>
        <v>33.713436000000002</v>
      </c>
      <c r="C4215">
        <f t="shared" si="261"/>
        <v>-117.843433</v>
      </c>
      <c r="D4215">
        <f t="shared" si="262"/>
        <v>65</v>
      </c>
      <c r="E4215">
        <v>67.498999999999995</v>
      </c>
      <c r="F4215">
        <f t="shared" si="263"/>
        <v>-2.4989999999999952</v>
      </c>
      <c r="G4215">
        <v>367.233</v>
      </c>
      <c r="H4215">
        <v>2.008</v>
      </c>
      <c r="I4215">
        <v>0.54700000000000004</v>
      </c>
      <c r="J4215">
        <v>10</v>
      </c>
      <c r="K4215">
        <v>59</v>
      </c>
      <c r="L4215">
        <v>30</v>
      </c>
      <c r="M4215" s="1">
        <v>9000000000</v>
      </c>
    </row>
    <row r="4216" spans="1:13" ht="15" customHeight="1">
      <c r="A4216" t="s">
        <v>47</v>
      </c>
      <c r="B4216">
        <f t="shared" si="260"/>
        <v>33.713436000000002</v>
      </c>
      <c r="C4216">
        <f t="shared" si="261"/>
        <v>-117.843433</v>
      </c>
      <c r="D4216">
        <f t="shared" si="262"/>
        <v>65</v>
      </c>
      <c r="E4216">
        <v>68.498999999999995</v>
      </c>
      <c r="F4216">
        <f t="shared" si="263"/>
        <v>-3.4989999999999952</v>
      </c>
      <c r="G4216">
        <v>374.45</v>
      </c>
      <c r="H4216">
        <v>3.7829999999999999</v>
      </c>
      <c r="I4216">
        <v>1.0109999999999999</v>
      </c>
      <c r="J4216">
        <v>9</v>
      </c>
      <c r="K4216">
        <v>72</v>
      </c>
      <c r="L4216">
        <v>36</v>
      </c>
      <c r="M4216" s="1">
        <v>9000000000</v>
      </c>
    </row>
    <row r="4217" spans="1:13" ht="15" customHeight="1">
      <c r="A4217" t="s">
        <v>47</v>
      </c>
      <c r="B4217">
        <f t="shared" si="260"/>
        <v>33.713436000000002</v>
      </c>
      <c r="C4217">
        <f t="shared" si="261"/>
        <v>-117.843433</v>
      </c>
      <c r="D4217">
        <f t="shared" si="262"/>
        <v>65</v>
      </c>
      <c r="E4217">
        <v>69.498999999999995</v>
      </c>
      <c r="F4217">
        <f t="shared" si="263"/>
        <v>-4.4989999999999952</v>
      </c>
      <c r="G4217">
        <v>321.13299999999998</v>
      </c>
      <c r="H4217">
        <v>1.3380000000000001</v>
      </c>
      <c r="I4217">
        <v>0.41699999999999998</v>
      </c>
      <c r="J4217">
        <v>10</v>
      </c>
      <c r="K4217">
        <v>51</v>
      </c>
      <c r="L4217">
        <v>26</v>
      </c>
      <c r="M4217" s="1">
        <v>9000000000</v>
      </c>
    </row>
    <row r="4218" spans="1:13" ht="15" customHeight="1">
      <c r="A4218" t="s">
        <v>47</v>
      </c>
      <c r="B4218">
        <f t="shared" si="260"/>
        <v>33.713436000000002</v>
      </c>
      <c r="C4218">
        <f t="shared" si="261"/>
        <v>-117.843433</v>
      </c>
      <c r="D4218">
        <f t="shared" si="262"/>
        <v>65</v>
      </c>
      <c r="E4218">
        <v>70.498999999999995</v>
      </c>
      <c r="F4218">
        <f t="shared" si="263"/>
        <v>-5.4989999999999952</v>
      </c>
      <c r="G4218">
        <v>276.233</v>
      </c>
      <c r="H4218">
        <v>1.7130000000000001</v>
      </c>
      <c r="I4218">
        <v>0.621</v>
      </c>
      <c r="J4218">
        <v>9</v>
      </c>
      <c r="K4218">
        <v>53</v>
      </c>
      <c r="L4218">
        <v>27</v>
      </c>
      <c r="M4218" s="1">
        <v>9000000000</v>
      </c>
    </row>
    <row r="4219" spans="1:13" ht="15" customHeight="1">
      <c r="A4219" t="s">
        <v>47</v>
      </c>
      <c r="B4219">
        <f t="shared" si="260"/>
        <v>33.713436000000002</v>
      </c>
      <c r="C4219">
        <f t="shared" si="261"/>
        <v>-117.843433</v>
      </c>
      <c r="D4219">
        <f t="shared" si="262"/>
        <v>65</v>
      </c>
      <c r="E4219">
        <v>71.498999999999995</v>
      </c>
      <c r="F4219">
        <f t="shared" si="263"/>
        <v>-6.4989999999999952</v>
      </c>
      <c r="G4219">
        <v>360.03300000000002</v>
      </c>
      <c r="H4219">
        <v>1.302</v>
      </c>
      <c r="I4219">
        <v>0.36199999999999999</v>
      </c>
      <c r="J4219">
        <v>10</v>
      </c>
      <c r="K4219">
        <v>57</v>
      </c>
      <c r="L4219">
        <v>29</v>
      </c>
      <c r="M4219" s="1">
        <v>9000000000</v>
      </c>
    </row>
    <row r="4220" spans="1:13" ht="15" customHeight="1">
      <c r="A4220" t="s">
        <v>47</v>
      </c>
      <c r="B4220">
        <f t="shared" si="260"/>
        <v>33.713436000000002</v>
      </c>
      <c r="C4220">
        <f t="shared" si="261"/>
        <v>-117.843433</v>
      </c>
      <c r="D4220">
        <f t="shared" si="262"/>
        <v>65</v>
      </c>
      <c r="E4220">
        <v>72.498999999999995</v>
      </c>
      <c r="F4220">
        <f t="shared" si="263"/>
        <v>-7.4989999999999952</v>
      </c>
      <c r="G4220">
        <v>426.55700000000002</v>
      </c>
      <c r="H4220">
        <v>1.873</v>
      </c>
      <c r="I4220">
        <v>0.439</v>
      </c>
      <c r="J4220">
        <v>10</v>
      </c>
      <c r="K4220">
        <v>68</v>
      </c>
      <c r="L4220">
        <v>34</v>
      </c>
      <c r="M4220" s="1">
        <v>9000000000</v>
      </c>
    </row>
    <row r="4221" spans="1:13" ht="15" customHeight="1">
      <c r="A4221" t="s">
        <v>47</v>
      </c>
      <c r="B4221">
        <f t="shared" si="260"/>
        <v>33.713436000000002</v>
      </c>
      <c r="C4221">
        <f t="shared" si="261"/>
        <v>-117.843433</v>
      </c>
      <c r="D4221">
        <f t="shared" si="262"/>
        <v>65</v>
      </c>
      <c r="E4221">
        <v>73.498999999999995</v>
      </c>
      <c r="F4221">
        <f t="shared" si="263"/>
        <v>-8.4989999999999952</v>
      </c>
      <c r="G4221">
        <v>366.28300000000002</v>
      </c>
      <c r="H4221">
        <v>2.0419999999999998</v>
      </c>
      <c r="I4221">
        <v>0.55800000000000005</v>
      </c>
      <c r="J4221">
        <v>10</v>
      </c>
      <c r="K4221">
        <v>58</v>
      </c>
      <c r="L4221">
        <v>29</v>
      </c>
      <c r="M4221" s="1">
        <v>9000000000</v>
      </c>
    </row>
    <row r="4222" spans="1:13" ht="15" customHeight="1">
      <c r="A4222" t="s">
        <v>47</v>
      </c>
      <c r="B4222">
        <f t="shared" si="260"/>
        <v>33.713436000000002</v>
      </c>
      <c r="C4222">
        <f t="shared" si="261"/>
        <v>-117.843433</v>
      </c>
      <c r="D4222">
        <f t="shared" si="262"/>
        <v>65</v>
      </c>
      <c r="E4222">
        <v>74.498999999999995</v>
      </c>
      <c r="F4222">
        <f t="shared" si="263"/>
        <v>-9.4989999999999952</v>
      </c>
      <c r="G4222">
        <v>389.6</v>
      </c>
      <c r="H4222">
        <v>2.2599999999999998</v>
      </c>
      <c r="I4222">
        <v>0.57999999999999996</v>
      </c>
      <c r="J4222">
        <v>10</v>
      </c>
      <c r="K4222">
        <v>62</v>
      </c>
      <c r="L4222">
        <v>31</v>
      </c>
      <c r="M4222" s="1">
        <v>9000000000</v>
      </c>
    </row>
    <row r="4223" spans="1:13" ht="15" customHeight="1">
      <c r="A4223" t="s">
        <v>47</v>
      </c>
      <c r="B4223">
        <f t="shared" si="260"/>
        <v>33.713436000000002</v>
      </c>
      <c r="C4223">
        <f t="shared" si="261"/>
        <v>-117.843433</v>
      </c>
      <c r="D4223">
        <f t="shared" si="262"/>
        <v>65</v>
      </c>
      <c r="E4223">
        <v>75.498999999999995</v>
      </c>
      <c r="F4223">
        <f t="shared" si="263"/>
        <v>-10.498999999999995</v>
      </c>
      <c r="G4223">
        <v>462.66699999999997</v>
      </c>
      <c r="H4223">
        <v>2.36</v>
      </c>
      <c r="I4223">
        <v>0.51</v>
      </c>
      <c r="J4223">
        <v>10</v>
      </c>
      <c r="K4223">
        <v>74</v>
      </c>
      <c r="L4223">
        <v>37</v>
      </c>
      <c r="M4223" s="1">
        <v>9000000000</v>
      </c>
    </row>
    <row r="4224" spans="1:13" ht="15" customHeight="1">
      <c r="A4224" t="s">
        <v>47</v>
      </c>
      <c r="B4224">
        <f t="shared" si="260"/>
        <v>33.713436000000002</v>
      </c>
      <c r="C4224">
        <f t="shared" si="261"/>
        <v>-117.843433</v>
      </c>
      <c r="D4224">
        <f t="shared" si="262"/>
        <v>65</v>
      </c>
      <c r="E4224">
        <v>76.498999999999995</v>
      </c>
      <c r="F4224">
        <f t="shared" si="263"/>
        <v>-11.498999999999995</v>
      </c>
      <c r="G4224">
        <v>61.65</v>
      </c>
      <c r="H4224">
        <v>1.262</v>
      </c>
      <c r="I4224">
        <v>2.0459999999999998</v>
      </c>
      <c r="J4224">
        <v>7</v>
      </c>
      <c r="K4224">
        <v>20</v>
      </c>
      <c r="L4224">
        <v>10</v>
      </c>
      <c r="M4224" s="1">
        <v>9000000000</v>
      </c>
    </row>
    <row r="4225" spans="1:13" ht="15" customHeight="1">
      <c r="A4225" t="s">
        <v>47</v>
      </c>
      <c r="B4225">
        <f t="shared" si="260"/>
        <v>33.713436000000002</v>
      </c>
      <c r="C4225">
        <f t="shared" si="261"/>
        <v>-117.843433</v>
      </c>
      <c r="D4225">
        <f t="shared" si="262"/>
        <v>65</v>
      </c>
      <c r="E4225">
        <v>77.498999999999995</v>
      </c>
      <c r="F4225">
        <f t="shared" si="263"/>
        <v>-12.498999999999995</v>
      </c>
      <c r="G4225">
        <v>37.616999999999997</v>
      </c>
      <c r="H4225">
        <v>0.77200000000000002</v>
      </c>
      <c r="I4225">
        <v>1.986</v>
      </c>
      <c r="J4225">
        <v>6</v>
      </c>
      <c r="K4225">
        <v>15</v>
      </c>
      <c r="L4225">
        <v>8</v>
      </c>
      <c r="M4225">
        <v>2.2719999999999998</v>
      </c>
    </row>
    <row r="4226" spans="1:13" ht="15" customHeight="1">
      <c r="A4226" t="s">
        <v>47</v>
      </c>
      <c r="B4226">
        <f t="shared" ref="B4226:B4289" si="264">VLOOKUP(A4226,XYdata,3,FALSE)</f>
        <v>33.713436000000002</v>
      </c>
      <c r="C4226">
        <f t="shared" ref="C4226:C4289" si="265">VLOOKUP(A4226,XYdata,2,FALSE)</f>
        <v>-117.843433</v>
      </c>
      <c r="D4226">
        <f t="shared" ref="D4226:D4289" si="266">VLOOKUP(A4226,Elevation,2,FALSE)</f>
        <v>65</v>
      </c>
      <c r="E4226">
        <v>78.498999999999995</v>
      </c>
      <c r="F4226">
        <f t="shared" si="263"/>
        <v>-13.498999999999995</v>
      </c>
      <c r="G4226">
        <v>43.25</v>
      </c>
      <c r="H4226">
        <v>1.0669999999999999</v>
      </c>
      <c r="I4226">
        <v>2.407</v>
      </c>
      <c r="J4226">
        <v>6</v>
      </c>
      <c r="K4226">
        <v>17</v>
      </c>
      <c r="L4226">
        <v>9</v>
      </c>
      <c r="M4226">
        <v>2.6320000000000001</v>
      </c>
    </row>
    <row r="4227" spans="1:13" ht="15" customHeight="1">
      <c r="A4227" t="s">
        <v>47</v>
      </c>
      <c r="B4227">
        <f t="shared" si="264"/>
        <v>33.713436000000002</v>
      </c>
      <c r="C4227">
        <f t="shared" si="265"/>
        <v>-117.843433</v>
      </c>
      <c r="D4227">
        <f t="shared" si="266"/>
        <v>65</v>
      </c>
      <c r="E4227">
        <v>79.498999999999995</v>
      </c>
      <c r="F4227">
        <f t="shared" ref="F4227:F4290" si="267">D4227-E4227</f>
        <v>-14.498999999999995</v>
      </c>
      <c r="G4227">
        <v>27.85</v>
      </c>
      <c r="H4227">
        <v>0.64700000000000002</v>
      </c>
      <c r="I4227">
        <v>2.1869999999999998</v>
      </c>
      <c r="J4227">
        <v>6</v>
      </c>
      <c r="K4227">
        <v>11</v>
      </c>
      <c r="L4227">
        <v>6</v>
      </c>
      <c r="M4227">
        <v>1.645</v>
      </c>
    </row>
    <row r="4228" spans="1:13" ht="15" customHeight="1">
      <c r="A4228" t="s">
        <v>47</v>
      </c>
      <c r="B4228">
        <f t="shared" si="264"/>
        <v>33.713436000000002</v>
      </c>
      <c r="C4228">
        <f t="shared" si="265"/>
        <v>-117.843433</v>
      </c>
      <c r="D4228">
        <f t="shared" si="266"/>
        <v>65</v>
      </c>
      <c r="E4228">
        <v>80.498999999999995</v>
      </c>
      <c r="F4228">
        <f t="shared" si="267"/>
        <v>-15.498999999999995</v>
      </c>
      <c r="G4228">
        <v>28.05</v>
      </c>
      <c r="H4228">
        <v>0.73199999999999998</v>
      </c>
      <c r="I4228">
        <v>2.4590000000000001</v>
      </c>
      <c r="J4228">
        <v>6</v>
      </c>
      <c r="K4228">
        <v>11</v>
      </c>
      <c r="L4228">
        <v>6</v>
      </c>
      <c r="M4228">
        <v>1.653</v>
      </c>
    </row>
    <row r="4229" spans="1:13" ht="15" customHeight="1">
      <c r="A4229" t="s">
        <v>47</v>
      </c>
      <c r="B4229">
        <f t="shared" si="264"/>
        <v>33.713436000000002</v>
      </c>
      <c r="C4229">
        <f t="shared" si="265"/>
        <v>-117.843433</v>
      </c>
      <c r="D4229">
        <f t="shared" si="266"/>
        <v>65</v>
      </c>
      <c r="E4229">
        <v>81.498999999999995</v>
      </c>
      <c r="F4229">
        <f t="shared" si="267"/>
        <v>-16.498999999999995</v>
      </c>
      <c r="G4229">
        <v>40.383000000000003</v>
      </c>
      <c r="H4229">
        <v>1.6319999999999999</v>
      </c>
      <c r="I4229">
        <v>4.0119999999999996</v>
      </c>
      <c r="J4229">
        <v>5</v>
      </c>
      <c r="K4229">
        <v>19</v>
      </c>
      <c r="L4229">
        <v>10</v>
      </c>
      <c r="M4229">
        <v>2.3759999999999999</v>
      </c>
    </row>
    <row r="4230" spans="1:13" ht="15" customHeight="1">
      <c r="A4230" t="s">
        <v>47</v>
      </c>
      <c r="B4230">
        <f t="shared" si="264"/>
        <v>33.713436000000002</v>
      </c>
      <c r="C4230">
        <f t="shared" si="265"/>
        <v>-117.843433</v>
      </c>
      <c r="D4230">
        <f t="shared" si="266"/>
        <v>65</v>
      </c>
      <c r="E4230">
        <v>82.498999999999995</v>
      </c>
      <c r="F4230">
        <f t="shared" si="267"/>
        <v>-17.498999999999995</v>
      </c>
      <c r="G4230">
        <v>47.883000000000003</v>
      </c>
      <c r="H4230">
        <v>0.92800000000000005</v>
      </c>
      <c r="I4230">
        <v>1.9370000000000001</v>
      </c>
      <c r="J4230">
        <v>7</v>
      </c>
      <c r="K4230">
        <v>15</v>
      </c>
      <c r="L4230">
        <v>8</v>
      </c>
      <c r="M4230" s="1">
        <v>9000000000</v>
      </c>
    </row>
    <row r="4231" spans="1:13" ht="15" customHeight="1">
      <c r="A4231" t="s">
        <v>47</v>
      </c>
      <c r="B4231">
        <f t="shared" si="264"/>
        <v>33.713436000000002</v>
      </c>
      <c r="C4231">
        <f t="shared" si="265"/>
        <v>-117.843433</v>
      </c>
      <c r="D4231">
        <f t="shared" si="266"/>
        <v>65</v>
      </c>
      <c r="E4231">
        <v>83.498999999999995</v>
      </c>
      <c r="F4231">
        <f t="shared" si="267"/>
        <v>-18.498999999999995</v>
      </c>
      <c r="G4231">
        <v>94.986000000000004</v>
      </c>
      <c r="H4231">
        <v>2.5830000000000002</v>
      </c>
      <c r="I4231">
        <v>2.7240000000000002</v>
      </c>
      <c r="J4231">
        <v>6</v>
      </c>
      <c r="K4231">
        <v>36</v>
      </c>
      <c r="L4231">
        <v>18</v>
      </c>
      <c r="M4231">
        <v>5.9790000000000001</v>
      </c>
    </row>
    <row r="4232" spans="1:13" ht="15" customHeight="1">
      <c r="A4232" t="s">
        <v>47</v>
      </c>
      <c r="B4232">
        <f t="shared" si="264"/>
        <v>33.713436000000002</v>
      </c>
      <c r="C4232">
        <f t="shared" si="265"/>
        <v>-117.843433</v>
      </c>
      <c r="D4232">
        <f t="shared" si="266"/>
        <v>65</v>
      </c>
      <c r="E4232">
        <v>84.498999999999995</v>
      </c>
      <c r="F4232">
        <f t="shared" si="267"/>
        <v>-19.498999999999995</v>
      </c>
      <c r="G4232">
        <v>63.933</v>
      </c>
      <c r="H4232">
        <v>2.8570000000000002</v>
      </c>
      <c r="I4232">
        <v>4.4779999999999998</v>
      </c>
      <c r="J4232">
        <v>4</v>
      </c>
      <c r="K4232">
        <v>41</v>
      </c>
      <c r="L4232">
        <v>21</v>
      </c>
      <c r="M4232">
        <v>3.9060000000000001</v>
      </c>
    </row>
    <row r="4233" spans="1:13" ht="15" customHeight="1">
      <c r="A4233" t="s">
        <v>47</v>
      </c>
      <c r="B4233">
        <f t="shared" si="264"/>
        <v>33.713436000000002</v>
      </c>
      <c r="C4233">
        <f t="shared" si="265"/>
        <v>-117.843433</v>
      </c>
      <c r="D4233">
        <f t="shared" si="266"/>
        <v>65</v>
      </c>
      <c r="E4233">
        <v>85.498999999999995</v>
      </c>
      <c r="F4233">
        <f t="shared" si="267"/>
        <v>-20.498999999999995</v>
      </c>
      <c r="G4233">
        <v>82.3</v>
      </c>
      <c r="H4233">
        <v>3.64</v>
      </c>
      <c r="I4233">
        <v>4.4320000000000004</v>
      </c>
      <c r="J4233">
        <v>5</v>
      </c>
      <c r="K4233">
        <v>39</v>
      </c>
      <c r="L4233">
        <v>20</v>
      </c>
      <c r="M4233">
        <v>5.1239999999999997</v>
      </c>
    </row>
    <row r="4234" spans="1:13" ht="15" customHeight="1">
      <c r="A4234" t="s">
        <v>47</v>
      </c>
      <c r="B4234">
        <f t="shared" si="264"/>
        <v>33.713436000000002</v>
      </c>
      <c r="C4234">
        <f t="shared" si="265"/>
        <v>-117.843433</v>
      </c>
      <c r="D4234">
        <f t="shared" si="266"/>
        <v>65</v>
      </c>
      <c r="E4234">
        <v>86.498999999999995</v>
      </c>
      <c r="F4234">
        <f t="shared" si="267"/>
        <v>-21.498999999999995</v>
      </c>
      <c r="G4234">
        <v>39.533000000000001</v>
      </c>
      <c r="H4234">
        <v>1.542</v>
      </c>
      <c r="I4234">
        <v>3.915</v>
      </c>
      <c r="J4234">
        <v>5</v>
      </c>
      <c r="K4234">
        <v>19</v>
      </c>
      <c r="L4234">
        <v>10</v>
      </c>
      <c r="M4234">
        <v>2.27</v>
      </c>
    </row>
    <row r="4235" spans="1:13" ht="15" customHeight="1">
      <c r="A4235" t="s">
        <v>47</v>
      </c>
      <c r="B4235">
        <f t="shared" si="264"/>
        <v>33.713436000000002</v>
      </c>
      <c r="C4235">
        <f t="shared" si="265"/>
        <v>-117.843433</v>
      </c>
      <c r="D4235">
        <f t="shared" si="266"/>
        <v>65</v>
      </c>
      <c r="E4235">
        <v>87.498999999999995</v>
      </c>
      <c r="F4235">
        <f t="shared" si="267"/>
        <v>-22.498999999999995</v>
      </c>
      <c r="G4235">
        <v>30.983000000000001</v>
      </c>
      <c r="H4235">
        <v>0.89500000000000002</v>
      </c>
      <c r="I4235">
        <v>2.8980000000000001</v>
      </c>
      <c r="J4235">
        <v>5</v>
      </c>
      <c r="K4235">
        <v>15</v>
      </c>
      <c r="L4235">
        <v>8</v>
      </c>
      <c r="M4235">
        <v>1.6990000000000001</v>
      </c>
    </row>
    <row r="4236" spans="1:13" ht="15" customHeight="1">
      <c r="A4236" t="s">
        <v>47</v>
      </c>
      <c r="B4236">
        <f t="shared" si="264"/>
        <v>33.713436000000002</v>
      </c>
      <c r="C4236">
        <f t="shared" si="265"/>
        <v>-117.843433</v>
      </c>
      <c r="D4236">
        <f t="shared" si="266"/>
        <v>65</v>
      </c>
      <c r="E4236">
        <v>88.498999999999995</v>
      </c>
      <c r="F4236">
        <f t="shared" si="267"/>
        <v>-23.498999999999995</v>
      </c>
      <c r="G4236">
        <v>39.65</v>
      </c>
      <c r="H4236">
        <v>1.83</v>
      </c>
      <c r="I4236">
        <v>4.633</v>
      </c>
      <c r="J4236">
        <v>4</v>
      </c>
      <c r="K4236">
        <v>25</v>
      </c>
      <c r="L4236">
        <v>13</v>
      </c>
      <c r="M4236">
        <v>2.2690000000000001</v>
      </c>
    </row>
    <row r="4237" spans="1:13" ht="15" customHeight="1">
      <c r="A4237" t="s">
        <v>47</v>
      </c>
      <c r="B4237">
        <f t="shared" si="264"/>
        <v>33.713436000000002</v>
      </c>
      <c r="C4237">
        <f t="shared" si="265"/>
        <v>-117.843433</v>
      </c>
      <c r="D4237">
        <f t="shared" si="266"/>
        <v>65</v>
      </c>
      <c r="E4237">
        <v>89.498999999999995</v>
      </c>
      <c r="F4237">
        <f t="shared" si="267"/>
        <v>-24.498999999999995</v>
      </c>
      <c r="G4237">
        <v>32.1</v>
      </c>
      <c r="H4237">
        <v>1.2849999999999999</v>
      </c>
      <c r="I4237">
        <v>4.024</v>
      </c>
      <c r="J4237">
        <v>4</v>
      </c>
      <c r="K4237">
        <v>20</v>
      </c>
      <c r="L4237">
        <v>10</v>
      </c>
      <c r="M4237">
        <v>1.7609999999999999</v>
      </c>
    </row>
    <row r="4238" spans="1:13" ht="15" customHeight="1">
      <c r="A4238" t="s">
        <v>47</v>
      </c>
      <c r="B4238">
        <f t="shared" si="264"/>
        <v>33.713436000000002</v>
      </c>
      <c r="C4238">
        <f t="shared" si="265"/>
        <v>-117.843433</v>
      </c>
      <c r="D4238">
        <f t="shared" si="266"/>
        <v>65</v>
      </c>
      <c r="E4238">
        <v>90.498999999999995</v>
      </c>
      <c r="F4238">
        <f t="shared" si="267"/>
        <v>-25.498999999999995</v>
      </c>
      <c r="G4238">
        <v>29.783000000000001</v>
      </c>
      <c r="H4238">
        <v>1.1479999999999999</v>
      </c>
      <c r="I4238">
        <v>3.871</v>
      </c>
      <c r="J4238">
        <v>4</v>
      </c>
      <c r="K4238">
        <v>19</v>
      </c>
      <c r="L4238">
        <v>10</v>
      </c>
      <c r="M4238">
        <v>1.6060000000000001</v>
      </c>
    </row>
    <row r="4239" spans="1:13" ht="15" customHeight="1">
      <c r="A4239" t="s">
        <v>47</v>
      </c>
      <c r="B4239">
        <f t="shared" si="264"/>
        <v>33.713436000000002</v>
      </c>
      <c r="C4239">
        <f t="shared" si="265"/>
        <v>-117.843433</v>
      </c>
      <c r="D4239">
        <f t="shared" si="266"/>
        <v>65</v>
      </c>
      <c r="E4239">
        <v>91.498999999999995</v>
      </c>
      <c r="F4239">
        <f t="shared" si="267"/>
        <v>-26.498999999999995</v>
      </c>
      <c r="G4239">
        <v>25.867000000000001</v>
      </c>
      <c r="H4239">
        <v>0.71499999999999997</v>
      </c>
      <c r="I4239">
        <v>2.7730000000000001</v>
      </c>
      <c r="J4239">
        <v>5</v>
      </c>
      <c r="K4239">
        <v>12</v>
      </c>
      <c r="L4239">
        <v>6</v>
      </c>
      <c r="M4239">
        <v>1.3420000000000001</v>
      </c>
    </row>
    <row r="4240" spans="1:13" ht="15" customHeight="1">
      <c r="A4240" t="s">
        <v>47</v>
      </c>
      <c r="B4240">
        <f t="shared" si="264"/>
        <v>33.713436000000002</v>
      </c>
      <c r="C4240">
        <f t="shared" si="265"/>
        <v>-117.843433</v>
      </c>
      <c r="D4240">
        <f t="shared" si="266"/>
        <v>65</v>
      </c>
      <c r="E4240">
        <v>92.498999999999995</v>
      </c>
      <c r="F4240">
        <f t="shared" si="267"/>
        <v>-27.498999999999995</v>
      </c>
      <c r="G4240">
        <v>29</v>
      </c>
      <c r="H4240">
        <v>0.80300000000000005</v>
      </c>
      <c r="I4240">
        <v>2.778</v>
      </c>
      <c r="J4240">
        <v>6</v>
      </c>
      <c r="K4240">
        <v>11</v>
      </c>
      <c r="L4240">
        <v>6</v>
      </c>
      <c r="M4240">
        <v>1.5469999999999999</v>
      </c>
    </row>
    <row r="4241" spans="1:13" ht="15" customHeight="1">
      <c r="A4241" t="s">
        <v>47</v>
      </c>
      <c r="B4241">
        <f t="shared" si="264"/>
        <v>33.713436000000002</v>
      </c>
      <c r="C4241">
        <f t="shared" si="265"/>
        <v>-117.843433</v>
      </c>
      <c r="D4241">
        <f t="shared" si="266"/>
        <v>65</v>
      </c>
      <c r="E4241">
        <v>93.498999999999995</v>
      </c>
      <c r="F4241">
        <f t="shared" si="267"/>
        <v>-28.498999999999995</v>
      </c>
      <c r="G4241">
        <v>29.114000000000001</v>
      </c>
      <c r="H4241">
        <v>0.91</v>
      </c>
      <c r="I4241">
        <v>3.129</v>
      </c>
      <c r="J4241">
        <v>5</v>
      </c>
      <c r="K4241">
        <v>14</v>
      </c>
      <c r="L4241">
        <v>7</v>
      </c>
      <c r="M4241">
        <v>1.554</v>
      </c>
    </row>
    <row r="4242" spans="1:13" ht="15" customHeight="1">
      <c r="A4242" t="s">
        <v>47</v>
      </c>
      <c r="B4242">
        <f t="shared" si="264"/>
        <v>33.713436000000002</v>
      </c>
      <c r="C4242">
        <f t="shared" si="265"/>
        <v>-117.843433</v>
      </c>
      <c r="D4242">
        <f t="shared" si="266"/>
        <v>65</v>
      </c>
      <c r="E4242">
        <v>94.498999999999995</v>
      </c>
      <c r="F4242">
        <f t="shared" si="267"/>
        <v>-29.498999999999995</v>
      </c>
      <c r="G4242">
        <v>38.450000000000003</v>
      </c>
      <c r="H4242">
        <v>1.345</v>
      </c>
      <c r="I4242">
        <v>3.4969999999999999</v>
      </c>
      <c r="J4242">
        <v>5</v>
      </c>
      <c r="K4242">
        <v>18</v>
      </c>
      <c r="L4242">
        <v>9</v>
      </c>
      <c r="M4242">
        <v>2.1760000000000002</v>
      </c>
    </row>
    <row r="4243" spans="1:13" ht="15" customHeight="1">
      <c r="A4243" t="s">
        <v>47</v>
      </c>
      <c r="B4243">
        <f t="shared" si="264"/>
        <v>33.713436000000002</v>
      </c>
      <c r="C4243">
        <f t="shared" si="265"/>
        <v>-117.843433</v>
      </c>
      <c r="D4243">
        <f t="shared" si="266"/>
        <v>65</v>
      </c>
      <c r="E4243">
        <v>95.498999999999995</v>
      </c>
      <c r="F4243">
        <f t="shared" si="267"/>
        <v>-30.498999999999995</v>
      </c>
      <c r="G4243">
        <v>37.582999999999998</v>
      </c>
      <c r="H4243">
        <v>1.3879999999999999</v>
      </c>
      <c r="I4243">
        <v>3.6890000000000001</v>
      </c>
      <c r="J4243">
        <v>5</v>
      </c>
      <c r="K4243">
        <v>18</v>
      </c>
      <c r="L4243">
        <v>9</v>
      </c>
      <c r="M4243">
        <v>2.1160000000000001</v>
      </c>
    </row>
    <row r="4244" spans="1:13" ht="15" customHeight="1">
      <c r="A4244" t="s">
        <v>47</v>
      </c>
      <c r="B4244">
        <f t="shared" si="264"/>
        <v>33.713436000000002</v>
      </c>
      <c r="C4244">
        <f t="shared" si="265"/>
        <v>-117.843433</v>
      </c>
      <c r="D4244">
        <f t="shared" si="266"/>
        <v>65</v>
      </c>
      <c r="E4244">
        <v>96.498999999999995</v>
      </c>
      <c r="F4244">
        <f t="shared" si="267"/>
        <v>-31.498999999999995</v>
      </c>
      <c r="G4244">
        <v>31.483000000000001</v>
      </c>
      <c r="H4244">
        <v>0.83499999999999996</v>
      </c>
      <c r="I4244">
        <v>2.6440000000000001</v>
      </c>
      <c r="J4244">
        <v>6</v>
      </c>
      <c r="K4244">
        <v>12</v>
      </c>
      <c r="L4244">
        <v>6</v>
      </c>
      <c r="M4244">
        <v>1.708</v>
      </c>
    </row>
    <row r="4245" spans="1:13" ht="15" customHeight="1">
      <c r="A4245" t="s">
        <v>47</v>
      </c>
      <c r="B4245">
        <f t="shared" si="264"/>
        <v>33.713436000000002</v>
      </c>
      <c r="C4245">
        <f t="shared" si="265"/>
        <v>-117.843433</v>
      </c>
      <c r="D4245">
        <f t="shared" si="266"/>
        <v>65</v>
      </c>
      <c r="E4245">
        <v>97.498999999999995</v>
      </c>
      <c r="F4245">
        <f t="shared" si="267"/>
        <v>-32.498999999999995</v>
      </c>
      <c r="G4245">
        <v>51.3</v>
      </c>
      <c r="H4245">
        <v>1.9550000000000001</v>
      </c>
      <c r="I4245">
        <v>3.7949999999999999</v>
      </c>
      <c r="J4245">
        <v>5</v>
      </c>
      <c r="K4245">
        <v>25</v>
      </c>
      <c r="L4245">
        <v>13</v>
      </c>
      <c r="M4245">
        <v>3.0329999999999999</v>
      </c>
    </row>
    <row r="4246" spans="1:13" ht="15" customHeight="1">
      <c r="A4246" t="s">
        <v>47</v>
      </c>
      <c r="B4246">
        <f t="shared" si="264"/>
        <v>33.713436000000002</v>
      </c>
      <c r="C4246">
        <f t="shared" si="265"/>
        <v>-117.843433</v>
      </c>
      <c r="D4246">
        <f t="shared" si="266"/>
        <v>65</v>
      </c>
      <c r="E4246">
        <v>98.498999999999995</v>
      </c>
      <c r="F4246">
        <f t="shared" si="267"/>
        <v>-33.498999999999995</v>
      </c>
      <c r="G4246">
        <v>44.75</v>
      </c>
      <c r="H4246">
        <v>1.3480000000000001</v>
      </c>
      <c r="I4246">
        <v>3.02</v>
      </c>
      <c r="J4246">
        <v>6</v>
      </c>
      <c r="K4246">
        <v>17</v>
      </c>
      <c r="L4246">
        <v>9</v>
      </c>
      <c r="M4246">
        <v>2.5710000000000002</v>
      </c>
    </row>
    <row r="4247" spans="1:13" ht="15" customHeight="1">
      <c r="A4247" t="s">
        <v>47</v>
      </c>
      <c r="B4247">
        <f t="shared" si="264"/>
        <v>33.713436000000002</v>
      </c>
      <c r="C4247">
        <f t="shared" si="265"/>
        <v>-117.843433</v>
      </c>
      <c r="D4247">
        <f t="shared" si="266"/>
        <v>65</v>
      </c>
      <c r="E4247">
        <v>99.498999999999995</v>
      </c>
      <c r="F4247">
        <f t="shared" si="267"/>
        <v>-34.498999999999995</v>
      </c>
      <c r="G4247">
        <v>89.466999999999999</v>
      </c>
      <c r="H4247">
        <v>3.7679999999999998</v>
      </c>
      <c r="I4247">
        <v>4.2149999999999999</v>
      </c>
      <c r="J4247">
        <v>5</v>
      </c>
      <c r="K4247">
        <v>43</v>
      </c>
      <c r="L4247">
        <v>22</v>
      </c>
      <c r="M4247">
        <v>5.55</v>
      </c>
    </row>
    <row r="4248" spans="1:13" ht="15" customHeight="1">
      <c r="A4248" t="s">
        <v>47</v>
      </c>
      <c r="B4248">
        <f t="shared" si="264"/>
        <v>33.713436000000002</v>
      </c>
      <c r="C4248">
        <f t="shared" si="265"/>
        <v>-117.843433</v>
      </c>
      <c r="D4248">
        <f t="shared" si="266"/>
        <v>65</v>
      </c>
      <c r="E4248">
        <v>100.499</v>
      </c>
      <c r="F4248">
        <f t="shared" si="267"/>
        <v>-35.498999999999995</v>
      </c>
      <c r="G4248">
        <v>56.417000000000002</v>
      </c>
      <c r="H4248">
        <v>3.1720000000000002</v>
      </c>
      <c r="I4248">
        <v>5.6369999999999996</v>
      </c>
      <c r="J4248">
        <v>3</v>
      </c>
      <c r="K4248">
        <v>54</v>
      </c>
      <c r="L4248">
        <v>27</v>
      </c>
      <c r="M4248">
        <v>3.3370000000000002</v>
      </c>
    </row>
    <row r="4249" spans="1:13" ht="15" customHeight="1">
      <c r="A4249" t="s">
        <v>47</v>
      </c>
      <c r="B4249">
        <f t="shared" si="264"/>
        <v>33.713436000000002</v>
      </c>
      <c r="C4249">
        <f t="shared" si="265"/>
        <v>-117.843433</v>
      </c>
      <c r="D4249">
        <f t="shared" si="266"/>
        <v>65</v>
      </c>
      <c r="E4249">
        <v>101.499</v>
      </c>
      <c r="F4249">
        <f t="shared" si="267"/>
        <v>-36.498999999999995</v>
      </c>
      <c r="G4249">
        <v>31.817</v>
      </c>
      <c r="H4249">
        <v>1.0569999999999999</v>
      </c>
      <c r="I4249">
        <v>3.3330000000000002</v>
      </c>
      <c r="J4249">
        <v>5</v>
      </c>
      <c r="K4249">
        <v>15</v>
      </c>
      <c r="L4249">
        <v>8</v>
      </c>
      <c r="M4249">
        <v>1.6950000000000001</v>
      </c>
    </row>
    <row r="4250" spans="1:13" ht="15" customHeight="1">
      <c r="A4250" t="s">
        <v>47</v>
      </c>
      <c r="B4250">
        <f t="shared" si="264"/>
        <v>33.713436000000002</v>
      </c>
      <c r="C4250">
        <f t="shared" si="265"/>
        <v>-117.843433</v>
      </c>
      <c r="D4250">
        <f t="shared" si="266"/>
        <v>65</v>
      </c>
      <c r="E4250">
        <v>102.499</v>
      </c>
      <c r="F4250">
        <f t="shared" si="267"/>
        <v>-37.498999999999995</v>
      </c>
      <c r="G4250">
        <v>32.817</v>
      </c>
      <c r="H4250">
        <v>1.21</v>
      </c>
      <c r="I4250">
        <v>3.7040000000000002</v>
      </c>
      <c r="J4250">
        <v>5</v>
      </c>
      <c r="K4250">
        <v>16</v>
      </c>
      <c r="L4250">
        <v>8</v>
      </c>
      <c r="M4250">
        <v>1.756</v>
      </c>
    </row>
    <row r="4251" spans="1:13" ht="15" customHeight="1">
      <c r="A4251" t="s">
        <v>47</v>
      </c>
      <c r="B4251">
        <f t="shared" si="264"/>
        <v>33.713436000000002</v>
      </c>
      <c r="C4251">
        <f t="shared" si="265"/>
        <v>-117.843433</v>
      </c>
      <c r="D4251">
        <f t="shared" si="266"/>
        <v>65</v>
      </c>
      <c r="E4251">
        <v>103.499</v>
      </c>
      <c r="F4251">
        <f t="shared" si="267"/>
        <v>-38.498999999999995</v>
      </c>
      <c r="G4251">
        <v>50.482999999999997</v>
      </c>
      <c r="H4251">
        <v>1.657</v>
      </c>
      <c r="I4251">
        <v>3.29</v>
      </c>
      <c r="J4251">
        <v>5</v>
      </c>
      <c r="K4251">
        <v>24</v>
      </c>
      <c r="L4251">
        <v>12</v>
      </c>
      <c r="M4251">
        <v>2.93</v>
      </c>
    </row>
    <row r="4252" spans="1:13" ht="15" customHeight="1">
      <c r="A4252" t="s">
        <v>47</v>
      </c>
      <c r="B4252">
        <f t="shared" si="264"/>
        <v>33.713436000000002</v>
      </c>
      <c r="C4252">
        <f t="shared" si="265"/>
        <v>-117.843433</v>
      </c>
      <c r="D4252">
        <f t="shared" si="266"/>
        <v>65</v>
      </c>
      <c r="E4252">
        <v>104.499</v>
      </c>
      <c r="F4252">
        <f t="shared" si="267"/>
        <v>-39.498999999999995</v>
      </c>
      <c r="G4252">
        <v>36.799999999999997</v>
      </c>
      <c r="H4252">
        <v>0.96399999999999997</v>
      </c>
      <c r="I4252">
        <v>2.629</v>
      </c>
      <c r="J4252">
        <v>6</v>
      </c>
      <c r="K4252">
        <v>14</v>
      </c>
      <c r="L4252">
        <v>7</v>
      </c>
      <c r="M4252">
        <v>2.0150000000000001</v>
      </c>
    </row>
    <row r="4253" spans="1:13" ht="15" customHeight="1">
      <c r="A4253" t="s">
        <v>47</v>
      </c>
      <c r="B4253">
        <f t="shared" si="264"/>
        <v>33.713436000000002</v>
      </c>
      <c r="C4253">
        <f t="shared" si="265"/>
        <v>-117.843433</v>
      </c>
      <c r="D4253">
        <f t="shared" si="266"/>
        <v>65</v>
      </c>
      <c r="E4253">
        <v>105.499</v>
      </c>
      <c r="F4253">
        <f t="shared" si="267"/>
        <v>-40.498999999999995</v>
      </c>
      <c r="G4253">
        <v>40</v>
      </c>
      <c r="H4253">
        <v>1.1020000000000001</v>
      </c>
      <c r="I4253">
        <v>2.7610000000000001</v>
      </c>
      <c r="J4253">
        <v>6</v>
      </c>
      <c r="K4253">
        <v>15</v>
      </c>
      <c r="L4253">
        <v>8</v>
      </c>
      <c r="M4253">
        <v>2.2250000000000001</v>
      </c>
    </row>
    <row r="4254" spans="1:13" ht="15" customHeight="1">
      <c r="A4254" t="s">
        <v>47</v>
      </c>
      <c r="B4254">
        <f t="shared" si="264"/>
        <v>33.713436000000002</v>
      </c>
      <c r="C4254">
        <f t="shared" si="265"/>
        <v>-117.843433</v>
      </c>
      <c r="D4254">
        <f t="shared" si="266"/>
        <v>65</v>
      </c>
      <c r="E4254">
        <v>106.499</v>
      </c>
      <c r="F4254">
        <f t="shared" si="267"/>
        <v>-41.498999999999995</v>
      </c>
      <c r="G4254">
        <v>262.2</v>
      </c>
      <c r="H4254">
        <v>3.2450000000000001</v>
      </c>
      <c r="I4254">
        <v>1.238</v>
      </c>
      <c r="J4254">
        <v>9</v>
      </c>
      <c r="K4254">
        <v>50</v>
      </c>
      <c r="L4254">
        <v>25</v>
      </c>
      <c r="M4254" s="1">
        <v>9000000000</v>
      </c>
    </row>
    <row r="4255" spans="1:13" ht="15" customHeight="1">
      <c r="A4255" t="s">
        <v>47</v>
      </c>
      <c r="B4255">
        <f t="shared" si="264"/>
        <v>33.713436000000002</v>
      </c>
      <c r="C4255">
        <f t="shared" si="265"/>
        <v>-117.843433</v>
      </c>
      <c r="D4255">
        <f t="shared" si="266"/>
        <v>65</v>
      </c>
      <c r="E4255">
        <v>107.499</v>
      </c>
      <c r="F4255">
        <f t="shared" si="267"/>
        <v>-42.498999999999995</v>
      </c>
      <c r="G4255">
        <v>489.2</v>
      </c>
      <c r="H4255">
        <v>1.8</v>
      </c>
      <c r="I4255">
        <v>0.36799999999999999</v>
      </c>
      <c r="J4255">
        <v>10</v>
      </c>
      <c r="K4255">
        <v>78</v>
      </c>
      <c r="L4255">
        <v>39</v>
      </c>
      <c r="M4255" s="1">
        <v>9000000000</v>
      </c>
    </row>
    <row r="4256" spans="1:13" ht="15" customHeight="1">
      <c r="A4256" t="s">
        <v>48</v>
      </c>
      <c r="B4256">
        <f t="shared" si="264"/>
        <v>33.712007999999997</v>
      </c>
      <c r="C4256">
        <f t="shared" si="265"/>
        <v>-117.84311</v>
      </c>
      <c r="D4256">
        <f t="shared" si="266"/>
        <v>62</v>
      </c>
      <c r="E4256">
        <v>0.5</v>
      </c>
      <c r="F4256">
        <f t="shared" si="267"/>
        <v>61.5</v>
      </c>
      <c r="G4256">
        <v>61.15</v>
      </c>
      <c r="H4256">
        <v>3.6579999999999999</v>
      </c>
      <c r="I4256">
        <v>5.9740000000000002</v>
      </c>
      <c r="J4256">
        <v>11</v>
      </c>
      <c r="K4256">
        <v>59</v>
      </c>
      <c r="L4256">
        <v>89</v>
      </c>
      <c r="M4256" s="1">
        <v>9000000000</v>
      </c>
    </row>
    <row r="4257" spans="1:13" ht="15" customHeight="1">
      <c r="A4257" t="s">
        <v>48</v>
      </c>
      <c r="B4257">
        <f t="shared" si="264"/>
        <v>33.712007999999997</v>
      </c>
      <c r="C4257">
        <f t="shared" si="265"/>
        <v>-117.84311</v>
      </c>
      <c r="D4257">
        <f t="shared" si="266"/>
        <v>62</v>
      </c>
      <c r="E4257">
        <v>1.5</v>
      </c>
      <c r="F4257">
        <f t="shared" si="267"/>
        <v>60.5</v>
      </c>
      <c r="G4257">
        <v>60.7</v>
      </c>
      <c r="H4257">
        <v>2.7269999999999999</v>
      </c>
      <c r="I4257">
        <v>4.4909999999999997</v>
      </c>
      <c r="J4257">
        <v>4</v>
      </c>
      <c r="K4257">
        <v>39</v>
      </c>
      <c r="L4257">
        <v>59</v>
      </c>
      <c r="M4257">
        <v>4.0410000000000004</v>
      </c>
    </row>
    <row r="4258" spans="1:13" ht="15" customHeight="1">
      <c r="A4258" t="s">
        <v>48</v>
      </c>
      <c r="B4258">
        <f t="shared" si="264"/>
        <v>33.712007999999997</v>
      </c>
      <c r="C4258">
        <f t="shared" si="265"/>
        <v>-117.84311</v>
      </c>
      <c r="D4258">
        <f t="shared" si="266"/>
        <v>62</v>
      </c>
      <c r="E4258">
        <v>2.5</v>
      </c>
      <c r="F4258">
        <f t="shared" si="267"/>
        <v>59.5</v>
      </c>
      <c r="G4258">
        <v>35.567</v>
      </c>
      <c r="H4258">
        <v>1.1220000000000001</v>
      </c>
      <c r="I4258">
        <v>3.1539999999999999</v>
      </c>
      <c r="J4258">
        <v>5</v>
      </c>
      <c r="K4258">
        <v>17</v>
      </c>
      <c r="L4258">
        <v>26</v>
      </c>
      <c r="M4258">
        <v>2.36</v>
      </c>
    </row>
    <row r="4259" spans="1:13" ht="15" customHeight="1">
      <c r="A4259" t="s">
        <v>48</v>
      </c>
      <c r="B4259">
        <f t="shared" si="264"/>
        <v>33.712007999999997</v>
      </c>
      <c r="C4259">
        <f t="shared" si="265"/>
        <v>-117.84311</v>
      </c>
      <c r="D4259">
        <f t="shared" si="266"/>
        <v>62</v>
      </c>
      <c r="E4259">
        <v>3.5</v>
      </c>
      <c r="F4259">
        <f t="shared" si="267"/>
        <v>58.5</v>
      </c>
      <c r="G4259">
        <v>60.017000000000003</v>
      </c>
      <c r="H4259">
        <v>2.323</v>
      </c>
      <c r="I4259">
        <v>3.8740000000000001</v>
      </c>
      <c r="J4259">
        <v>5</v>
      </c>
      <c r="K4259">
        <v>29</v>
      </c>
      <c r="L4259">
        <v>44</v>
      </c>
      <c r="M4259">
        <v>3.9830000000000001</v>
      </c>
    </row>
    <row r="4260" spans="1:13" ht="15" customHeight="1">
      <c r="A4260" t="s">
        <v>48</v>
      </c>
      <c r="B4260">
        <f t="shared" si="264"/>
        <v>33.712007999999997</v>
      </c>
      <c r="C4260">
        <f t="shared" si="265"/>
        <v>-117.84311</v>
      </c>
      <c r="D4260">
        <f t="shared" si="266"/>
        <v>62</v>
      </c>
      <c r="E4260">
        <v>4.5</v>
      </c>
      <c r="F4260">
        <f t="shared" si="267"/>
        <v>57.5</v>
      </c>
      <c r="G4260">
        <v>50.517000000000003</v>
      </c>
      <c r="H4260">
        <v>1.843</v>
      </c>
      <c r="I4260">
        <v>3.649</v>
      </c>
      <c r="J4260">
        <v>5</v>
      </c>
      <c r="K4260">
        <v>24</v>
      </c>
      <c r="L4260">
        <v>36</v>
      </c>
      <c r="M4260">
        <v>3.3490000000000002</v>
      </c>
    </row>
    <row r="4261" spans="1:13" ht="15" customHeight="1">
      <c r="A4261" t="s">
        <v>48</v>
      </c>
      <c r="B4261">
        <f t="shared" si="264"/>
        <v>33.712007999999997</v>
      </c>
      <c r="C4261">
        <f t="shared" si="265"/>
        <v>-117.84311</v>
      </c>
      <c r="D4261">
        <f t="shared" si="266"/>
        <v>62</v>
      </c>
      <c r="E4261">
        <v>5.5</v>
      </c>
      <c r="F4261">
        <f t="shared" si="267"/>
        <v>56.5</v>
      </c>
      <c r="G4261">
        <v>88.95</v>
      </c>
      <c r="H4261">
        <v>3.9369999999999998</v>
      </c>
      <c r="I4261">
        <v>4.4279999999999999</v>
      </c>
      <c r="J4261">
        <v>11</v>
      </c>
      <c r="K4261">
        <v>85</v>
      </c>
      <c r="L4261">
        <v>128</v>
      </c>
      <c r="M4261" s="1">
        <v>9000000000</v>
      </c>
    </row>
    <row r="4262" spans="1:13" ht="15" customHeight="1">
      <c r="A4262" t="s">
        <v>48</v>
      </c>
      <c r="B4262">
        <f t="shared" si="264"/>
        <v>33.712007999999997</v>
      </c>
      <c r="C4262">
        <f t="shared" si="265"/>
        <v>-117.84311</v>
      </c>
      <c r="D4262">
        <f t="shared" si="266"/>
        <v>62</v>
      </c>
      <c r="E4262">
        <v>6.5</v>
      </c>
      <c r="F4262">
        <f t="shared" si="267"/>
        <v>55.5</v>
      </c>
      <c r="G4262">
        <v>133.61699999999999</v>
      </c>
      <c r="H4262">
        <v>4.4470000000000001</v>
      </c>
      <c r="I4262">
        <v>3.3290000000000002</v>
      </c>
      <c r="J4262">
        <v>6</v>
      </c>
      <c r="K4262">
        <v>51</v>
      </c>
      <c r="L4262">
        <v>77</v>
      </c>
      <c r="M4262">
        <v>8.8770000000000007</v>
      </c>
    </row>
    <row r="4263" spans="1:13" ht="15" customHeight="1">
      <c r="A4263" t="s">
        <v>48</v>
      </c>
      <c r="B4263">
        <f t="shared" si="264"/>
        <v>33.712007999999997</v>
      </c>
      <c r="C4263">
        <f t="shared" si="265"/>
        <v>-117.84311</v>
      </c>
      <c r="D4263">
        <f t="shared" si="266"/>
        <v>62</v>
      </c>
      <c r="E4263">
        <v>7.5</v>
      </c>
      <c r="F4263">
        <f t="shared" si="267"/>
        <v>54.5</v>
      </c>
      <c r="G4263">
        <v>51.332999999999998</v>
      </c>
      <c r="H4263">
        <v>1.8149999999999999</v>
      </c>
      <c r="I4263">
        <v>3.5369999999999999</v>
      </c>
      <c r="J4263">
        <v>5</v>
      </c>
      <c r="K4263">
        <v>25</v>
      </c>
      <c r="L4263">
        <v>38</v>
      </c>
      <c r="M4263">
        <v>3.3889999999999998</v>
      </c>
    </row>
    <row r="4264" spans="1:13" ht="15" customHeight="1">
      <c r="A4264" t="s">
        <v>48</v>
      </c>
      <c r="B4264">
        <f t="shared" si="264"/>
        <v>33.712007999999997</v>
      </c>
      <c r="C4264">
        <f t="shared" si="265"/>
        <v>-117.84311</v>
      </c>
      <c r="D4264">
        <f t="shared" si="266"/>
        <v>62</v>
      </c>
      <c r="E4264">
        <v>8.5</v>
      </c>
      <c r="F4264">
        <f t="shared" si="267"/>
        <v>53.5</v>
      </c>
      <c r="G4264">
        <v>24</v>
      </c>
      <c r="H4264">
        <v>1.3</v>
      </c>
      <c r="I4264">
        <v>5.4169999999999998</v>
      </c>
      <c r="J4264">
        <v>3</v>
      </c>
      <c r="K4264">
        <v>23</v>
      </c>
      <c r="L4264">
        <v>35</v>
      </c>
      <c r="M4264">
        <v>1.5640000000000001</v>
      </c>
    </row>
    <row r="4265" spans="1:13" ht="15" customHeight="1">
      <c r="A4265" t="s">
        <v>48</v>
      </c>
      <c r="B4265">
        <f t="shared" si="264"/>
        <v>33.712007999999997</v>
      </c>
      <c r="C4265">
        <f t="shared" si="265"/>
        <v>-117.84311</v>
      </c>
      <c r="D4265">
        <f t="shared" si="266"/>
        <v>62</v>
      </c>
      <c r="E4265">
        <v>9.5</v>
      </c>
      <c r="F4265">
        <f t="shared" si="267"/>
        <v>52.5</v>
      </c>
      <c r="G4265">
        <v>31.933</v>
      </c>
      <c r="H4265">
        <v>1.4</v>
      </c>
      <c r="I4265">
        <v>4.38</v>
      </c>
      <c r="J4265">
        <v>4</v>
      </c>
      <c r="K4265">
        <v>20</v>
      </c>
      <c r="L4265">
        <v>29</v>
      </c>
      <c r="M4265">
        <v>2.0910000000000002</v>
      </c>
    </row>
    <row r="4266" spans="1:13" ht="15" customHeight="1">
      <c r="A4266" t="s">
        <v>48</v>
      </c>
      <c r="B4266">
        <f t="shared" si="264"/>
        <v>33.712007999999997</v>
      </c>
      <c r="C4266">
        <f t="shared" si="265"/>
        <v>-117.84311</v>
      </c>
      <c r="D4266">
        <f t="shared" si="266"/>
        <v>62</v>
      </c>
      <c r="E4266">
        <v>10.5</v>
      </c>
      <c r="F4266">
        <f t="shared" si="267"/>
        <v>51.5</v>
      </c>
      <c r="G4266">
        <v>90.513999999999996</v>
      </c>
      <c r="H4266">
        <v>2.5259999999999998</v>
      </c>
      <c r="I4266">
        <v>2.7909999999999999</v>
      </c>
      <c r="J4266">
        <v>6</v>
      </c>
      <c r="K4266">
        <v>35</v>
      </c>
      <c r="L4266">
        <v>48</v>
      </c>
      <c r="M4266">
        <v>5.9889999999999999</v>
      </c>
    </row>
    <row r="4267" spans="1:13" ht="15" customHeight="1">
      <c r="A4267" t="s">
        <v>48</v>
      </c>
      <c r="B4267">
        <f t="shared" si="264"/>
        <v>33.712007999999997</v>
      </c>
      <c r="C4267">
        <f t="shared" si="265"/>
        <v>-117.84311</v>
      </c>
      <c r="D4267">
        <f t="shared" si="266"/>
        <v>62</v>
      </c>
      <c r="E4267">
        <v>11.5</v>
      </c>
      <c r="F4267">
        <f t="shared" si="267"/>
        <v>50.5</v>
      </c>
      <c r="G4267">
        <v>49.75</v>
      </c>
      <c r="H4267">
        <v>2.0630000000000002</v>
      </c>
      <c r="I4267">
        <v>4.149</v>
      </c>
      <c r="J4267">
        <v>5</v>
      </c>
      <c r="K4267">
        <v>24</v>
      </c>
      <c r="L4267">
        <v>31</v>
      </c>
      <c r="M4267">
        <v>3.2669999999999999</v>
      </c>
    </row>
    <row r="4268" spans="1:13" ht="15" customHeight="1">
      <c r="A4268" t="s">
        <v>48</v>
      </c>
      <c r="B4268">
        <f t="shared" si="264"/>
        <v>33.712007999999997</v>
      </c>
      <c r="C4268">
        <f t="shared" si="265"/>
        <v>-117.84311</v>
      </c>
      <c r="D4268">
        <f t="shared" si="266"/>
        <v>62</v>
      </c>
      <c r="E4268">
        <v>12.5</v>
      </c>
      <c r="F4268">
        <f t="shared" si="267"/>
        <v>49.5</v>
      </c>
      <c r="G4268">
        <v>35.950000000000003</v>
      </c>
      <c r="H4268">
        <v>1.7549999999999999</v>
      </c>
      <c r="I4268">
        <v>4.8860000000000001</v>
      </c>
      <c r="J4268">
        <v>3</v>
      </c>
      <c r="K4268">
        <v>34</v>
      </c>
      <c r="L4268">
        <v>41</v>
      </c>
      <c r="M4268">
        <v>2.3420000000000001</v>
      </c>
    </row>
    <row r="4269" spans="1:13" ht="15" customHeight="1">
      <c r="A4269" t="s">
        <v>48</v>
      </c>
      <c r="B4269">
        <f t="shared" si="264"/>
        <v>33.712007999999997</v>
      </c>
      <c r="C4269">
        <f t="shared" si="265"/>
        <v>-117.84311</v>
      </c>
      <c r="D4269">
        <f t="shared" si="266"/>
        <v>62</v>
      </c>
      <c r="E4269">
        <v>13.5</v>
      </c>
      <c r="F4269">
        <f t="shared" si="267"/>
        <v>48.5</v>
      </c>
      <c r="G4269">
        <v>24.033000000000001</v>
      </c>
      <c r="H4269">
        <v>1.2150000000000001</v>
      </c>
      <c r="I4269">
        <v>5.0519999999999996</v>
      </c>
      <c r="J4269">
        <v>3</v>
      </c>
      <c r="K4269">
        <v>23</v>
      </c>
      <c r="L4269">
        <v>26</v>
      </c>
      <c r="M4269">
        <v>1.546</v>
      </c>
    </row>
    <row r="4270" spans="1:13" ht="15" customHeight="1">
      <c r="A4270" t="s">
        <v>48</v>
      </c>
      <c r="B4270">
        <f t="shared" si="264"/>
        <v>33.712007999999997</v>
      </c>
      <c r="C4270">
        <f t="shared" si="265"/>
        <v>-117.84311</v>
      </c>
      <c r="D4270">
        <f t="shared" si="266"/>
        <v>62</v>
      </c>
      <c r="E4270">
        <v>14.5</v>
      </c>
      <c r="F4270">
        <f t="shared" si="267"/>
        <v>47.5</v>
      </c>
      <c r="G4270">
        <v>19.382999999999999</v>
      </c>
      <c r="H4270">
        <v>0.98299999999999998</v>
      </c>
      <c r="I4270">
        <v>5.069</v>
      </c>
      <c r="J4270">
        <v>3</v>
      </c>
      <c r="K4270">
        <v>19</v>
      </c>
      <c r="L4270">
        <v>20</v>
      </c>
      <c r="M4270">
        <v>1.232</v>
      </c>
    </row>
    <row r="4271" spans="1:13" ht="15" customHeight="1">
      <c r="A4271" t="s">
        <v>48</v>
      </c>
      <c r="B4271">
        <f t="shared" si="264"/>
        <v>33.712007999999997</v>
      </c>
      <c r="C4271">
        <f t="shared" si="265"/>
        <v>-117.84311</v>
      </c>
      <c r="D4271">
        <f t="shared" si="266"/>
        <v>62</v>
      </c>
      <c r="E4271">
        <v>15.5</v>
      </c>
      <c r="F4271">
        <f t="shared" si="267"/>
        <v>46.5</v>
      </c>
      <c r="G4271">
        <v>12.6</v>
      </c>
      <c r="H4271">
        <v>0.61</v>
      </c>
      <c r="I4271">
        <v>4.835</v>
      </c>
      <c r="J4271">
        <v>3</v>
      </c>
      <c r="K4271">
        <v>12</v>
      </c>
      <c r="L4271">
        <v>12</v>
      </c>
      <c r="M4271">
        <v>0.77600000000000002</v>
      </c>
    </row>
    <row r="4272" spans="1:13" ht="15" customHeight="1">
      <c r="A4272" t="s">
        <v>48</v>
      </c>
      <c r="B4272">
        <f t="shared" si="264"/>
        <v>33.712007999999997</v>
      </c>
      <c r="C4272">
        <f t="shared" si="265"/>
        <v>-117.84311</v>
      </c>
      <c r="D4272">
        <f t="shared" si="266"/>
        <v>62</v>
      </c>
      <c r="E4272">
        <v>16.5</v>
      </c>
      <c r="F4272">
        <f t="shared" si="267"/>
        <v>45.5</v>
      </c>
      <c r="G4272">
        <v>11.2</v>
      </c>
      <c r="H4272">
        <v>0.42</v>
      </c>
      <c r="I4272">
        <v>3.722</v>
      </c>
      <c r="J4272">
        <v>3</v>
      </c>
      <c r="K4272">
        <v>11</v>
      </c>
      <c r="L4272">
        <v>11</v>
      </c>
      <c r="M4272">
        <v>0.68300000000000005</v>
      </c>
    </row>
    <row r="4273" spans="1:13" ht="15" customHeight="1">
      <c r="A4273" t="s">
        <v>48</v>
      </c>
      <c r="B4273">
        <f t="shared" si="264"/>
        <v>33.712007999999997</v>
      </c>
      <c r="C4273">
        <f t="shared" si="265"/>
        <v>-117.84311</v>
      </c>
      <c r="D4273">
        <f t="shared" si="266"/>
        <v>62</v>
      </c>
      <c r="E4273">
        <v>17.5</v>
      </c>
      <c r="F4273">
        <f t="shared" si="267"/>
        <v>44.5</v>
      </c>
      <c r="G4273">
        <v>11.683</v>
      </c>
      <c r="H4273">
        <v>0.41799999999999998</v>
      </c>
      <c r="I4273">
        <v>3.55</v>
      </c>
      <c r="J4273">
        <v>4</v>
      </c>
      <c r="K4273">
        <v>8</v>
      </c>
      <c r="L4273">
        <v>7</v>
      </c>
      <c r="M4273">
        <v>0.71199999999999997</v>
      </c>
    </row>
    <row r="4274" spans="1:13" ht="15" customHeight="1">
      <c r="A4274" t="s">
        <v>48</v>
      </c>
      <c r="B4274">
        <f t="shared" si="264"/>
        <v>33.712007999999997</v>
      </c>
      <c r="C4274">
        <f t="shared" si="265"/>
        <v>-117.84311</v>
      </c>
      <c r="D4274">
        <f t="shared" si="266"/>
        <v>62</v>
      </c>
      <c r="E4274">
        <v>18.5</v>
      </c>
      <c r="F4274">
        <f t="shared" si="267"/>
        <v>43.5</v>
      </c>
      <c r="G4274">
        <v>12.2</v>
      </c>
      <c r="H4274">
        <v>0.51500000000000001</v>
      </c>
      <c r="I4274">
        <v>4.1929999999999996</v>
      </c>
      <c r="J4274">
        <v>3</v>
      </c>
      <c r="K4274">
        <v>12</v>
      </c>
      <c r="L4274">
        <v>11</v>
      </c>
      <c r="M4274">
        <v>0.74099999999999999</v>
      </c>
    </row>
    <row r="4275" spans="1:13" ht="15" customHeight="1">
      <c r="A4275" t="s">
        <v>48</v>
      </c>
      <c r="B4275">
        <f t="shared" si="264"/>
        <v>33.712007999999997</v>
      </c>
      <c r="C4275">
        <f t="shared" si="265"/>
        <v>-117.84311</v>
      </c>
      <c r="D4275">
        <f t="shared" si="266"/>
        <v>62</v>
      </c>
      <c r="E4275">
        <v>19.5</v>
      </c>
      <c r="F4275">
        <f t="shared" si="267"/>
        <v>42.5</v>
      </c>
      <c r="G4275">
        <v>14.867000000000001</v>
      </c>
      <c r="H4275">
        <v>0.61699999999999999</v>
      </c>
      <c r="I4275">
        <v>4.1159999999999997</v>
      </c>
      <c r="J4275">
        <v>3</v>
      </c>
      <c r="K4275">
        <v>14</v>
      </c>
      <c r="L4275">
        <v>12</v>
      </c>
      <c r="M4275">
        <v>0.91700000000000004</v>
      </c>
    </row>
    <row r="4276" spans="1:13" ht="15" customHeight="1">
      <c r="A4276" t="s">
        <v>48</v>
      </c>
      <c r="B4276">
        <f t="shared" si="264"/>
        <v>33.712007999999997</v>
      </c>
      <c r="C4276">
        <f t="shared" si="265"/>
        <v>-117.84311</v>
      </c>
      <c r="D4276">
        <f t="shared" si="266"/>
        <v>62</v>
      </c>
      <c r="E4276">
        <v>20.5</v>
      </c>
      <c r="F4276">
        <f t="shared" si="267"/>
        <v>41.5</v>
      </c>
      <c r="G4276">
        <v>15.571</v>
      </c>
      <c r="H4276">
        <v>0.71</v>
      </c>
      <c r="I4276">
        <v>4.5179999999999998</v>
      </c>
      <c r="J4276">
        <v>3</v>
      </c>
      <c r="K4276">
        <v>15</v>
      </c>
      <c r="L4276">
        <v>12</v>
      </c>
      <c r="M4276">
        <v>0.96199999999999997</v>
      </c>
    </row>
    <row r="4277" spans="1:13" ht="15" customHeight="1">
      <c r="A4277" t="s">
        <v>48</v>
      </c>
      <c r="B4277">
        <f t="shared" si="264"/>
        <v>33.712007999999997</v>
      </c>
      <c r="C4277">
        <f t="shared" si="265"/>
        <v>-117.84311</v>
      </c>
      <c r="D4277">
        <f t="shared" si="266"/>
        <v>62</v>
      </c>
      <c r="E4277">
        <v>21.5</v>
      </c>
      <c r="F4277">
        <f t="shared" si="267"/>
        <v>40.5</v>
      </c>
      <c r="G4277">
        <v>24.067</v>
      </c>
      <c r="H4277">
        <v>0.998</v>
      </c>
      <c r="I4277">
        <v>4.1340000000000003</v>
      </c>
      <c r="J4277">
        <v>4</v>
      </c>
      <c r="K4277">
        <v>15</v>
      </c>
      <c r="L4277">
        <v>12</v>
      </c>
      <c r="M4277">
        <v>1.52</v>
      </c>
    </row>
    <row r="4278" spans="1:13" ht="15" customHeight="1">
      <c r="A4278" t="s">
        <v>48</v>
      </c>
      <c r="B4278">
        <f t="shared" si="264"/>
        <v>33.712007999999997</v>
      </c>
      <c r="C4278">
        <f t="shared" si="265"/>
        <v>-117.84311</v>
      </c>
      <c r="D4278">
        <f t="shared" si="266"/>
        <v>62</v>
      </c>
      <c r="E4278">
        <v>22.5</v>
      </c>
      <c r="F4278">
        <f t="shared" si="267"/>
        <v>39.5</v>
      </c>
      <c r="G4278">
        <v>14.983000000000001</v>
      </c>
      <c r="H4278">
        <v>0.5</v>
      </c>
      <c r="I4278">
        <v>3.33</v>
      </c>
      <c r="J4278">
        <v>4</v>
      </c>
      <c r="K4278">
        <v>10</v>
      </c>
      <c r="L4278">
        <v>8</v>
      </c>
      <c r="M4278">
        <v>0.90700000000000003</v>
      </c>
    </row>
    <row r="4279" spans="1:13" ht="15" customHeight="1">
      <c r="A4279" t="s">
        <v>48</v>
      </c>
      <c r="B4279">
        <f t="shared" si="264"/>
        <v>33.712007999999997</v>
      </c>
      <c r="C4279">
        <f t="shared" si="265"/>
        <v>-117.84311</v>
      </c>
      <c r="D4279">
        <f t="shared" si="266"/>
        <v>62</v>
      </c>
      <c r="E4279">
        <v>23.5</v>
      </c>
      <c r="F4279">
        <f t="shared" si="267"/>
        <v>38.5</v>
      </c>
      <c r="G4279">
        <v>23.7</v>
      </c>
      <c r="H4279">
        <v>0.96799999999999997</v>
      </c>
      <c r="I4279">
        <v>4.0739999999999998</v>
      </c>
      <c r="J4279">
        <v>4</v>
      </c>
      <c r="K4279">
        <v>15</v>
      </c>
      <c r="L4279">
        <v>11</v>
      </c>
      <c r="M4279">
        <v>1.486</v>
      </c>
    </row>
    <row r="4280" spans="1:13" ht="15" customHeight="1">
      <c r="A4280" t="s">
        <v>48</v>
      </c>
      <c r="B4280">
        <f t="shared" si="264"/>
        <v>33.712007999999997</v>
      </c>
      <c r="C4280">
        <f t="shared" si="265"/>
        <v>-117.84311</v>
      </c>
      <c r="D4280">
        <f t="shared" si="266"/>
        <v>62</v>
      </c>
      <c r="E4280">
        <v>24.5</v>
      </c>
      <c r="F4280">
        <f t="shared" si="267"/>
        <v>37.5</v>
      </c>
      <c r="G4280">
        <v>14.683</v>
      </c>
      <c r="H4280">
        <v>0.433</v>
      </c>
      <c r="I4280">
        <v>2.9550000000000001</v>
      </c>
      <c r="J4280">
        <v>5</v>
      </c>
      <c r="K4280">
        <v>7</v>
      </c>
      <c r="L4280">
        <v>5</v>
      </c>
      <c r="M4280">
        <v>0.875</v>
      </c>
    </row>
    <row r="4281" spans="1:13" ht="15" customHeight="1">
      <c r="A4281" t="s">
        <v>48</v>
      </c>
      <c r="B4281">
        <f t="shared" si="264"/>
        <v>33.712007999999997</v>
      </c>
      <c r="C4281">
        <f t="shared" si="265"/>
        <v>-117.84311</v>
      </c>
      <c r="D4281">
        <f t="shared" si="266"/>
        <v>62</v>
      </c>
      <c r="E4281">
        <v>25.5</v>
      </c>
      <c r="F4281">
        <f t="shared" si="267"/>
        <v>36.5</v>
      </c>
      <c r="G4281">
        <v>19.75</v>
      </c>
      <c r="H4281">
        <v>0.96299999999999997</v>
      </c>
      <c r="I4281">
        <v>4.8819999999999997</v>
      </c>
      <c r="J4281">
        <v>3</v>
      </c>
      <c r="K4281">
        <v>19</v>
      </c>
      <c r="L4281">
        <v>13</v>
      </c>
      <c r="M4281">
        <v>1.2090000000000001</v>
      </c>
    </row>
    <row r="4282" spans="1:13" ht="15" customHeight="1">
      <c r="A4282" t="s">
        <v>48</v>
      </c>
      <c r="B4282">
        <f t="shared" si="264"/>
        <v>33.712007999999997</v>
      </c>
      <c r="C4282">
        <f t="shared" si="265"/>
        <v>-117.84311</v>
      </c>
      <c r="D4282">
        <f t="shared" si="266"/>
        <v>62</v>
      </c>
      <c r="E4282">
        <v>26.5</v>
      </c>
      <c r="F4282">
        <f t="shared" si="267"/>
        <v>35.5</v>
      </c>
      <c r="G4282">
        <v>18.016999999999999</v>
      </c>
      <c r="H4282">
        <v>0.95499999999999996</v>
      </c>
      <c r="I4282">
        <v>5.31</v>
      </c>
      <c r="J4282">
        <v>3</v>
      </c>
      <c r="K4282">
        <v>17</v>
      </c>
      <c r="L4282">
        <v>12</v>
      </c>
      <c r="M4282">
        <v>1.0880000000000001</v>
      </c>
    </row>
    <row r="4283" spans="1:13" ht="15" customHeight="1">
      <c r="A4283" t="s">
        <v>48</v>
      </c>
      <c r="B4283">
        <f t="shared" si="264"/>
        <v>33.712007999999997</v>
      </c>
      <c r="C4283">
        <f t="shared" si="265"/>
        <v>-117.84311</v>
      </c>
      <c r="D4283">
        <f t="shared" si="266"/>
        <v>62</v>
      </c>
      <c r="E4283">
        <v>27.5</v>
      </c>
      <c r="F4283">
        <f t="shared" si="267"/>
        <v>34.5</v>
      </c>
      <c r="G4283">
        <v>10.733000000000001</v>
      </c>
      <c r="H4283">
        <v>0.45200000000000001</v>
      </c>
      <c r="I4283">
        <v>4.2210000000000001</v>
      </c>
      <c r="J4283">
        <v>3</v>
      </c>
      <c r="K4283">
        <v>10</v>
      </c>
      <c r="L4283">
        <v>7</v>
      </c>
      <c r="M4283">
        <v>0.59899999999999998</v>
      </c>
    </row>
    <row r="4284" spans="1:13" ht="15" customHeight="1">
      <c r="A4284" t="s">
        <v>48</v>
      </c>
      <c r="B4284">
        <f t="shared" si="264"/>
        <v>33.712007999999997</v>
      </c>
      <c r="C4284">
        <f t="shared" si="265"/>
        <v>-117.84311</v>
      </c>
      <c r="D4284">
        <f t="shared" si="266"/>
        <v>62</v>
      </c>
      <c r="E4284">
        <v>28.5</v>
      </c>
      <c r="F4284">
        <f t="shared" si="267"/>
        <v>33.5</v>
      </c>
      <c r="G4284">
        <v>22.516999999999999</v>
      </c>
      <c r="H4284">
        <v>1.278</v>
      </c>
      <c r="I4284">
        <v>5.681</v>
      </c>
      <c r="J4284">
        <v>3</v>
      </c>
      <c r="K4284">
        <v>22</v>
      </c>
      <c r="L4284">
        <v>15</v>
      </c>
      <c r="M4284">
        <v>1.381</v>
      </c>
    </row>
    <row r="4285" spans="1:13" ht="15" customHeight="1">
      <c r="A4285" t="s">
        <v>48</v>
      </c>
      <c r="B4285">
        <f t="shared" si="264"/>
        <v>33.712007999999997</v>
      </c>
      <c r="C4285">
        <f t="shared" si="265"/>
        <v>-117.84311</v>
      </c>
      <c r="D4285">
        <f t="shared" si="266"/>
        <v>62</v>
      </c>
      <c r="E4285">
        <v>29.5</v>
      </c>
      <c r="F4285">
        <f t="shared" si="267"/>
        <v>32.5</v>
      </c>
      <c r="G4285">
        <v>13.433</v>
      </c>
      <c r="H4285">
        <v>0.497</v>
      </c>
      <c r="I4285">
        <v>3.6970000000000001</v>
      </c>
      <c r="J4285">
        <v>4</v>
      </c>
      <c r="K4285">
        <v>9</v>
      </c>
      <c r="L4285">
        <v>6</v>
      </c>
      <c r="M4285">
        <v>0.77300000000000002</v>
      </c>
    </row>
    <row r="4286" spans="1:13" ht="15" customHeight="1">
      <c r="A4286" t="s">
        <v>48</v>
      </c>
      <c r="B4286">
        <f t="shared" si="264"/>
        <v>33.712007999999997</v>
      </c>
      <c r="C4286">
        <f t="shared" si="265"/>
        <v>-117.84311</v>
      </c>
      <c r="D4286">
        <f t="shared" si="266"/>
        <v>62</v>
      </c>
      <c r="E4286">
        <v>30.5</v>
      </c>
      <c r="F4286">
        <f t="shared" si="267"/>
        <v>31.5</v>
      </c>
      <c r="G4286">
        <v>13.2</v>
      </c>
      <c r="H4286">
        <v>0.308</v>
      </c>
      <c r="I4286">
        <v>2.3359999999999999</v>
      </c>
      <c r="J4286">
        <v>5</v>
      </c>
      <c r="K4286">
        <v>6</v>
      </c>
      <c r="L4286">
        <v>4</v>
      </c>
      <c r="M4286">
        <v>0.753</v>
      </c>
    </row>
    <row r="4287" spans="1:13" ht="15" customHeight="1">
      <c r="A4287" t="s">
        <v>48</v>
      </c>
      <c r="B4287">
        <f t="shared" si="264"/>
        <v>33.712007999999997</v>
      </c>
      <c r="C4287">
        <f t="shared" si="265"/>
        <v>-117.84311</v>
      </c>
      <c r="D4287">
        <f t="shared" si="266"/>
        <v>62</v>
      </c>
      <c r="E4287">
        <v>31.5</v>
      </c>
      <c r="F4287">
        <f t="shared" si="267"/>
        <v>30.5</v>
      </c>
      <c r="G4287">
        <v>11.513999999999999</v>
      </c>
      <c r="H4287">
        <v>0.39600000000000002</v>
      </c>
      <c r="I4287">
        <v>3.4369999999999998</v>
      </c>
      <c r="J4287">
        <v>4</v>
      </c>
      <c r="K4287">
        <v>7</v>
      </c>
      <c r="L4287">
        <v>5</v>
      </c>
      <c r="M4287">
        <v>0.63700000000000001</v>
      </c>
    </row>
    <row r="4288" spans="1:13" ht="15" customHeight="1">
      <c r="A4288" t="s">
        <v>48</v>
      </c>
      <c r="B4288">
        <f t="shared" si="264"/>
        <v>33.712007999999997</v>
      </c>
      <c r="C4288">
        <f t="shared" si="265"/>
        <v>-117.84311</v>
      </c>
      <c r="D4288">
        <f t="shared" si="266"/>
        <v>62</v>
      </c>
      <c r="E4288">
        <v>32.5</v>
      </c>
      <c r="F4288">
        <f t="shared" si="267"/>
        <v>29.5</v>
      </c>
      <c r="G4288">
        <v>9.8330000000000002</v>
      </c>
      <c r="H4288">
        <v>0.29299999999999998</v>
      </c>
      <c r="I4288">
        <v>2.9729999999999999</v>
      </c>
      <c r="J4288">
        <v>4</v>
      </c>
      <c r="K4288">
        <v>6</v>
      </c>
      <c r="L4288">
        <v>4</v>
      </c>
      <c r="M4288">
        <v>0.52300000000000002</v>
      </c>
    </row>
    <row r="4289" spans="1:13" ht="15" customHeight="1">
      <c r="A4289" t="s">
        <v>48</v>
      </c>
      <c r="B4289">
        <f t="shared" si="264"/>
        <v>33.712007999999997</v>
      </c>
      <c r="C4289">
        <f t="shared" si="265"/>
        <v>-117.84311</v>
      </c>
      <c r="D4289">
        <f t="shared" si="266"/>
        <v>62</v>
      </c>
      <c r="E4289">
        <v>33.5</v>
      </c>
      <c r="F4289">
        <f t="shared" si="267"/>
        <v>28.5</v>
      </c>
      <c r="G4289">
        <v>17.100000000000001</v>
      </c>
      <c r="H4289">
        <v>0.46</v>
      </c>
      <c r="I4289">
        <v>2.6869999999999998</v>
      </c>
      <c r="J4289">
        <v>5</v>
      </c>
      <c r="K4289">
        <v>8</v>
      </c>
      <c r="L4289">
        <v>5</v>
      </c>
      <c r="M4289">
        <v>1.002</v>
      </c>
    </row>
    <row r="4290" spans="1:13" ht="15" customHeight="1">
      <c r="A4290" t="s">
        <v>48</v>
      </c>
      <c r="B4290">
        <f t="shared" ref="B4290:B4353" si="268">VLOOKUP(A4290,XYdata,3,FALSE)</f>
        <v>33.712007999999997</v>
      </c>
      <c r="C4290">
        <f t="shared" ref="C4290:C4353" si="269">VLOOKUP(A4290,XYdata,2,FALSE)</f>
        <v>-117.84311</v>
      </c>
      <c r="D4290">
        <f t="shared" ref="D4290:D4353" si="270">VLOOKUP(A4290,Elevation,2,FALSE)</f>
        <v>62</v>
      </c>
      <c r="E4290">
        <v>34.5</v>
      </c>
      <c r="F4290">
        <f t="shared" si="267"/>
        <v>27.5</v>
      </c>
      <c r="G4290">
        <v>34.767000000000003</v>
      </c>
      <c r="H4290">
        <v>1.155</v>
      </c>
      <c r="I4290">
        <v>3.319</v>
      </c>
      <c r="J4290">
        <v>5</v>
      </c>
      <c r="K4290">
        <v>17</v>
      </c>
      <c r="L4290">
        <v>11</v>
      </c>
      <c r="M4290">
        <v>2.177</v>
      </c>
    </row>
    <row r="4291" spans="1:13" ht="15" customHeight="1">
      <c r="A4291" t="s">
        <v>48</v>
      </c>
      <c r="B4291">
        <f t="shared" si="268"/>
        <v>33.712007999999997</v>
      </c>
      <c r="C4291">
        <f t="shared" si="269"/>
        <v>-117.84311</v>
      </c>
      <c r="D4291">
        <f t="shared" si="270"/>
        <v>62</v>
      </c>
      <c r="E4291">
        <v>35.5</v>
      </c>
      <c r="F4291">
        <f t="shared" ref="F4291:F4354" si="271">D4291-E4291</f>
        <v>26.5</v>
      </c>
      <c r="G4291">
        <v>45.767000000000003</v>
      </c>
      <c r="H4291">
        <v>2.1219999999999999</v>
      </c>
      <c r="I4291">
        <v>4.6479999999999997</v>
      </c>
      <c r="J4291">
        <v>4</v>
      </c>
      <c r="K4291">
        <v>29</v>
      </c>
      <c r="L4291">
        <v>18</v>
      </c>
      <c r="M4291">
        <v>2.8959999999999999</v>
      </c>
    </row>
    <row r="4292" spans="1:13" ht="15" customHeight="1">
      <c r="A4292" t="s">
        <v>48</v>
      </c>
      <c r="B4292">
        <f t="shared" si="268"/>
        <v>33.712007999999997</v>
      </c>
      <c r="C4292">
        <f t="shared" si="269"/>
        <v>-117.84311</v>
      </c>
      <c r="D4292">
        <f t="shared" si="270"/>
        <v>62</v>
      </c>
      <c r="E4292">
        <v>36.5</v>
      </c>
      <c r="F4292">
        <f t="shared" si="271"/>
        <v>25.5</v>
      </c>
      <c r="G4292">
        <v>29.483000000000001</v>
      </c>
      <c r="H4292">
        <v>1.1399999999999999</v>
      </c>
      <c r="I4292">
        <v>3.8820000000000001</v>
      </c>
      <c r="J4292">
        <v>4</v>
      </c>
      <c r="K4292">
        <v>19</v>
      </c>
      <c r="L4292">
        <v>12</v>
      </c>
      <c r="M4292">
        <v>1.806</v>
      </c>
    </row>
    <row r="4293" spans="1:13" ht="15" customHeight="1">
      <c r="A4293" t="s">
        <v>48</v>
      </c>
      <c r="B4293">
        <f t="shared" si="268"/>
        <v>33.712007999999997</v>
      </c>
      <c r="C4293">
        <f t="shared" si="269"/>
        <v>-117.84311</v>
      </c>
      <c r="D4293">
        <f t="shared" si="270"/>
        <v>62</v>
      </c>
      <c r="E4293">
        <v>37.5</v>
      </c>
      <c r="F4293">
        <f t="shared" si="271"/>
        <v>24.5</v>
      </c>
      <c r="G4293">
        <v>57.883000000000003</v>
      </c>
      <c r="H4293">
        <v>2.38</v>
      </c>
      <c r="I4293">
        <v>4.1210000000000004</v>
      </c>
      <c r="J4293">
        <v>5</v>
      </c>
      <c r="K4293">
        <v>28</v>
      </c>
      <c r="L4293">
        <v>17</v>
      </c>
      <c r="M4293">
        <v>3.694</v>
      </c>
    </row>
    <row r="4294" spans="1:13" ht="15" customHeight="1">
      <c r="A4294" t="s">
        <v>48</v>
      </c>
      <c r="B4294">
        <f t="shared" si="268"/>
        <v>33.712007999999997</v>
      </c>
      <c r="C4294">
        <f t="shared" si="269"/>
        <v>-117.84311</v>
      </c>
      <c r="D4294">
        <f t="shared" si="270"/>
        <v>62</v>
      </c>
      <c r="E4294">
        <v>38.5</v>
      </c>
      <c r="F4294">
        <f t="shared" si="271"/>
        <v>23.5</v>
      </c>
      <c r="G4294">
        <v>63.267000000000003</v>
      </c>
      <c r="H4294">
        <v>2.85</v>
      </c>
      <c r="I4294">
        <v>4.5149999999999997</v>
      </c>
      <c r="J4294">
        <v>4</v>
      </c>
      <c r="K4294">
        <v>40</v>
      </c>
      <c r="L4294">
        <v>24</v>
      </c>
      <c r="M4294">
        <v>4.048</v>
      </c>
    </row>
    <row r="4295" spans="1:13" ht="15" customHeight="1">
      <c r="A4295" t="s">
        <v>48</v>
      </c>
      <c r="B4295">
        <f t="shared" si="268"/>
        <v>33.712007999999997</v>
      </c>
      <c r="C4295">
        <f t="shared" si="269"/>
        <v>-117.84311</v>
      </c>
      <c r="D4295">
        <f t="shared" si="270"/>
        <v>62</v>
      </c>
      <c r="E4295">
        <v>39.5</v>
      </c>
      <c r="F4295">
        <f t="shared" si="271"/>
        <v>22.5</v>
      </c>
      <c r="G4295">
        <v>61.917000000000002</v>
      </c>
      <c r="H4295">
        <v>2.12</v>
      </c>
      <c r="I4295">
        <v>3.43</v>
      </c>
      <c r="J4295">
        <v>5</v>
      </c>
      <c r="K4295">
        <v>30</v>
      </c>
      <c r="L4295">
        <v>18</v>
      </c>
      <c r="M4295">
        <v>3.956</v>
      </c>
    </row>
    <row r="4296" spans="1:13" ht="15" customHeight="1">
      <c r="A4296" t="s">
        <v>48</v>
      </c>
      <c r="B4296">
        <f t="shared" si="268"/>
        <v>33.712007999999997</v>
      </c>
      <c r="C4296">
        <f t="shared" si="269"/>
        <v>-117.84311</v>
      </c>
      <c r="D4296">
        <f t="shared" si="270"/>
        <v>62</v>
      </c>
      <c r="E4296">
        <v>40.5</v>
      </c>
      <c r="F4296">
        <f t="shared" si="271"/>
        <v>21.5</v>
      </c>
      <c r="G4296">
        <v>46.817</v>
      </c>
      <c r="H4296">
        <v>1.9179999999999999</v>
      </c>
      <c r="I4296">
        <v>4.1139999999999999</v>
      </c>
      <c r="J4296">
        <v>5</v>
      </c>
      <c r="K4296">
        <v>22</v>
      </c>
      <c r="L4296">
        <v>13</v>
      </c>
      <c r="M4296">
        <v>2.9409999999999998</v>
      </c>
    </row>
    <row r="4297" spans="1:13" ht="15" customHeight="1">
      <c r="A4297" t="s">
        <v>48</v>
      </c>
      <c r="B4297">
        <f t="shared" si="268"/>
        <v>33.712007999999997</v>
      </c>
      <c r="C4297">
        <f t="shared" si="269"/>
        <v>-117.84311</v>
      </c>
      <c r="D4297">
        <f t="shared" si="270"/>
        <v>62</v>
      </c>
      <c r="E4297">
        <v>41.499000000000002</v>
      </c>
      <c r="F4297">
        <f t="shared" si="271"/>
        <v>20.500999999999998</v>
      </c>
      <c r="G4297">
        <v>35.014000000000003</v>
      </c>
      <c r="H4297">
        <v>1.55</v>
      </c>
      <c r="I4297">
        <v>4.4470000000000001</v>
      </c>
      <c r="J4297">
        <v>4</v>
      </c>
      <c r="K4297">
        <v>22</v>
      </c>
      <c r="L4297">
        <v>13</v>
      </c>
      <c r="M4297">
        <v>2.1509999999999998</v>
      </c>
    </row>
    <row r="4298" spans="1:13" ht="15" customHeight="1">
      <c r="A4298" t="s">
        <v>48</v>
      </c>
      <c r="B4298">
        <f t="shared" si="268"/>
        <v>33.712007999999997</v>
      </c>
      <c r="C4298">
        <f t="shared" si="269"/>
        <v>-117.84311</v>
      </c>
      <c r="D4298">
        <f t="shared" si="270"/>
        <v>62</v>
      </c>
      <c r="E4298">
        <v>42.499000000000002</v>
      </c>
      <c r="F4298">
        <f t="shared" si="271"/>
        <v>19.500999999999998</v>
      </c>
      <c r="G4298">
        <v>90.516999999999996</v>
      </c>
      <c r="H4298">
        <v>4.4429999999999996</v>
      </c>
      <c r="I4298">
        <v>4.9160000000000004</v>
      </c>
      <c r="J4298">
        <v>11</v>
      </c>
      <c r="K4298">
        <v>87</v>
      </c>
      <c r="L4298">
        <v>49</v>
      </c>
      <c r="M4298" s="1">
        <v>9000000000</v>
      </c>
    </row>
    <row r="4299" spans="1:13" ht="15" customHeight="1">
      <c r="A4299" t="s">
        <v>48</v>
      </c>
      <c r="B4299">
        <f t="shared" si="268"/>
        <v>33.712007999999997</v>
      </c>
      <c r="C4299">
        <f t="shared" si="269"/>
        <v>-117.84311</v>
      </c>
      <c r="D4299">
        <f t="shared" si="270"/>
        <v>62</v>
      </c>
      <c r="E4299">
        <v>43.499000000000002</v>
      </c>
      <c r="F4299">
        <f t="shared" si="271"/>
        <v>18.500999999999998</v>
      </c>
      <c r="G4299">
        <v>142.55000000000001</v>
      </c>
      <c r="H4299">
        <v>5.798</v>
      </c>
      <c r="I4299">
        <v>4.0720000000000001</v>
      </c>
      <c r="J4299">
        <v>11</v>
      </c>
      <c r="K4299">
        <v>136</v>
      </c>
      <c r="L4299">
        <v>76</v>
      </c>
      <c r="M4299" s="1">
        <v>9000000000</v>
      </c>
    </row>
    <row r="4300" spans="1:13" ht="15" customHeight="1">
      <c r="A4300" t="s">
        <v>48</v>
      </c>
      <c r="B4300">
        <f t="shared" si="268"/>
        <v>33.712007999999997</v>
      </c>
      <c r="C4300">
        <f t="shared" si="269"/>
        <v>-117.84311</v>
      </c>
      <c r="D4300">
        <f t="shared" si="270"/>
        <v>62</v>
      </c>
      <c r="E4300">
        <v>44.499000000000002</v>
      </c>
      <c r="F4300">
        <f t="shared" si="271"/>
        <v>17.500999999999998</v>
      </c>
      <c r="G4300">
        <v>183.86699999999999</v>
      </c>
      <c r="H4300">
        <v>2.7069999999999999</v>
      </c>
      <c r="I4300">
        <v>1.474</v>
      </c>
      <c r="J4300">
        <v>8</v>
      </c>
      <c r="K4300">
        <v>44</v>
      </c>
      <c r="L4300">
        <v>24</v>
      </c>
      <c r="M4300" s="1">
        <v>9000000000</v>
      </c>
    </row>
    <row r="4301" spans="1:13" ht="15" customHeight="1">
      <c r="A4301" t="s">
        <v>48</v>
      </c>
      <c r="B4301">
        <f t="shared" si="268"/>
        <v>33.712007999999997</v>
      </c>
      <c r="C4301">
        <f t="shared" si="269"/>
        <v>-117.84311</v>
      </c>
      <c r="D4301">
        <f t="shared" si="270"/>
        <v>62</v>
      </c>
      <c r="E4301">
        <v>45.499000000000002</v>
      </c>
      <c r="F4301">
        <f t="shared" si="271"/>
        <v>16.500999999999998</v>
      </c>
      <c r="G4301">
        <v>282.017</v>
      </c>
      <c r="H4301">
        <v>1.9730000000000001</v>
      </c>
      <c r="I4301">
        <v>0.7</v>
      </c>
      <c r="J4301">
        <v>9</v>
      </c>
      <c r="K4301">
        <v>54</v>
      </c>
      <c r="L4301">
        <v>29</v>
      </c>
      <c r="M4301" s="1">
        <v>9000000000</v>
      </c>
    </row>
    <row r="4302" spans="1:13" ht="15" customHeight="1">
      <c r="A4302" t="s">
        <v>48</v>
      </c>
      <c r="B4302">
        <f t="shared" si="268"/>
        <v>33.712007999999997</v>
      </c>
      <c r="C4302">
        <f t="shared" si="269"/>
        <v>-117.84311</v>
      </c>
      <c r="D4302">
        <f t="shared" si="270"/>
        <v>62</v>
      </c>
      <c r="E4302">
        <v>46.499000000000002</v>
      </c>
      <c r="F4302">
        <f t="shared" si="271"/>
        <v>15.500999999999998</v>
      </c>
      <c r="G4302">
        <v>361.017</v>
      </c>
      <c r="H4302">
        <v>2.423</v>
      </c>
      <c r="I4302">
        <v>0.67200000000000004</v>
      </c>
      <c r="J4302">
        <v>10</v>
      </c>
      <c r="K4302">
        <v>58</v>
      </c>
      <c r="L4302">
        <v>31</v>
      </c>
      <c r="M4302" s="1">
        <v>9000000000</v>
      </c>
    </row>
    <row r="4303" spans="1:13" ht="15" customHeight="1">
      <c r="A4303" t="s">
        <v>48</v>
      </c>
      <c r="B4303">
        <f t="shared" si="268"/>
        <v>33.712007999999997</v>
      </c>
      <c r="C4303">
        <f t="shared" si="269"/>
        <v>-117.84311</v>
      </c>
      <c r="D4303">
        <f t="shared" si="270"/>
        <v>62</v>
      </c>
      <c r="E4303">
        <v>47.499000000000002</v>
      </c>
      <c r="F4303">
        <f t="shared" si="271"/>
        <v>14.500999999999998</v>
      </c>
      <c r="G4303">
        <v>281.58300000000003</v>
      </c>
      <c r="H4303">
        <v>2.5249999999999999</v>
      </c>
      <c r="I4303">
        <v>0.89700000000000002</v>
      </c>
      <c r="J4303">
        <v>9</v>
      </c>
      <c r="K4303">
        <v>54</v>
      </c>
      <c r="L4303">
        <v>29</v>
      </c>
      <c r="M4303" s="1">
        <v>9000000000</v>
      </c>
    </row>
    <row r="4304" spans="1:13" ht="15" customHeight="1">
      <c r="A4304" t="s">
        <v>48</v>
      </c>
      <c r="B4304">
        <f t="shared" si="268"/>
        <v>33.712007999999997</v>
      </c>
      <c r="C4304">
        <f t="shared" si="269"/>
        <v>-117.84311</v>
      </c>
      <c r="D4304">
        <f t="shared" si="270"/>
        <v>62</v>
      </c>
      <c r="E4304">
        <v>48.499000000000002</v>
      </c>
      <c r="F4304">
        <f t="shared" si="271"/>
        <v>13.500999999999998</v>
      </c>
      <c r="G4304">
        <v>340</v>
      </c>
      <c r="H4304">
        <v>1.9450000000000001</v>
      </c>
      <c r="I4304">
        <v>0.57199999999999995</v>
      </c>
      <c r="J4304">
        <v>10</v>
      </c>
      <c r="K4304">
        <v>54</v>
      </c>
      <c r="L4304">
        <v>28</v>
      </c>
      <c r="M4304" s="1">
        <v>9000000000</v>
      </c>
    </row>
    <row r="4305" spans="1:13" ht="15" customHeight="1">
      <c r="A4305" t="s">
        <v>48</v>
      </c>
      <c r="B4305">
        <f t="shared" si="268"/>
        <v>33.712007999999997</v>
      </c>
      <c r="C4305">
        <f t="shared" si="269"/>
        <v>-117.84311</v>
      </c>
      <c r="D4305">
        <f t="shared" si="270"/>
        <v>62</v>
      </c>
      <c r="E4305">
        <v>49.499000000000002</v>
      </c>
      <c r="F4305">
        <f t="shared" si="271"/>
        <v>12.500999999999998</v>
      </c>
      <c r="G4305">
        <v>331.88299999999998</v>
      </c>
      <c r="H4305">
        <v>2.5779999999999998</v>
      </c>
      <c r="I4305">
        <v>0.77700000000000002</v>
      </c>
      <c r="J4305">
        <v>9</v>
      </c>
      <c r="K4305">
        <v>64</v>
      </c>
      <c r="L4305">
        <v>33</v>
      </c>
      <c r="M4305" s="1">
        <v>9000000000</v>
      </c>
    </row>
    <row r="4306" spans="1:13" ht="15" customHeight="1">
      <c r="A4306" t="s">
        <v>48</v>
      </c>
      <c r="B4306">
        <f t="shared" si="268"/>
        <v>33.712007999999997</v>
      </c>
      <c r="C4306">
        <f t="shared" si="269"/>
        <v>-117.84311</v>
      </c>
      <c r="D4306">
        <f t="shared" si="270"/>
        <v>62</v>
      </c>
      <c r="E4306">
        <v>50.499000000000002</v>
      </c>
      <c r="F4306">
        <f t="shared" si="271"/>
        <v>11.500999999999998</v>
      </c>
      <c r="G4306">
        <v>273.233</v>
      </c>
      <c r="H4306">
        <v>2.1880000000000002</v>
      </c>
      <c r="I4306">
        <v>0.80100000000000005</v>
      </c>
      <c r="J4306">
        <v>9</v>
      </c>
      <c r="K4306">
        <v>52</v>
      </c>
      <c r="L4306">
        <v>27</v>
      </c>
      <c r="M4306" s="1">
        <v>9000000000</v>
      </c>
    </row>
    <row r="4307" spans="1:13" ht="15" customHeight="1">
      <c r="A4307" t="s">
        <v>48</v>
      </c>
      <c r="B4307">
        <f t="shared" si="268"/>
        <v>33.712007999999997</v>
      </c>
      <c r="C4307">
        <f t="shared" si="269"/>
        <v>-117.84311</v>
      </c>
      <c r="D4307">
        <f t="shared" si="270"/>
        <v>62</v>
      </c>
      <c r="E4307">
        <v>51.499000000000002</v>
      </c>
      <c r="F4307">
        <f t="shared" si="271"/>
        <v>10.500999999999998</v>
      </c>
      <c r="G4307">
        <v>317.35000000000002</v>
      </c>
      <c r="H4307">
        <v>1.6779999999999999</v>
      </c>
      <c r="I4307">
        <v>0.52900000000000003</v>
      </c>
      <c r="J4307">
        <v>10</v>
      </c>
      <c r="K4307">
        <v>51</v>
      </c>
      <c r="L4307">
        <v>26</v>
      </c>
      <c r="M4307" s="1">
        <v>9000000000</v>
      </c>
    </row>
    <row r="4308" spans="1:13" ht="15" customHeight="1">
      <c r="A4308" t="s">
        <v>48</v>
      </c>
      <c r="B4308">
        <f t="shared" si="268"/>
        <v>33.712007999999997</v>
      </c>
      <c r="C4308">
        <f t="shared" si="269"/>
        <v>-117.84311</v>
      </c>
      <c r="D4308">
        <f t="shared" si="270"/>
        <v>62</v>
      </c>
      <c r="E4308">
        <v>52.499000000000002</v>
      </c>
      <c r="F4308">
        <f t="shared" si="271"/>
        <v>9.5009999999999977</v>
      </c>
      <c r="G4308">
        <v>45.2</v>
      </c>
      <c r="H4308">
        <v>0.61099999999999999</v>
      </c>
      <c r="I4308">
        <v>1.343</v>
      </c>
      <c r="J4308">
        <v>7</v>
      </c>
      <c r="K4308">
        <v>15</v>
      </c>
      <c r="L4308">
        <v>8</v>
      </c>
      <c r="M4308" s="1">
        <v>9000000000</v>
      </c>
    </row>
    <row r="4309" spans="1:13" ht="15" customHeight="1">
      <c r="A4309" t="s">
        <v>48</v>
      </c>
      <c r="B4309">
        <f t="shared" si="268"/>
        <v>33.712007999999997</v>
      </c>
      <c r="C4309">
        <f t="shared" si="269"/>
        <v>-117.84311</v>
      </c>
      <c r="D4309">
        <f t="shared" si="270"/>
        <v>62</v>
      </c>
      <c r="E4309">
        <v>53.499000000000002</v>
      </c>
      <c r="F4309">
        <f t="shared" si="271"/>
        <v>8.5009999999999977</v>
      </c>
      <c r="G4309">
        <v>19.183</v>
      </c>
      <c r="H4309">
        <v>0.33700000000000002</v>
      </c>
      <c r="I4309">
        <v>1.7030000000000001</v>
      </c>
      <c r="J4309">
        <v>6</v>
      </c>
      <c r="K4309">
        <v>8</v>
      </c>
      <c r="L4309">
        <v>4</v>
      </c>
      <c r="M4309">
        <v>1.095</v>
      </c>
    </row>
    <row r="4310" spans="1:13" ht="15" customHeight="1">
      <c r="A4310" t="s">
        <v>48</v>
      </c>
      <c r="B4310">
        <f t="shared" si="268"/>
        <v>33.712007999999997</v>
      </c>
      <c r="C4310">
        <f t="shared" si="269"/>
        <v>-117.84311</v>
      </c>
      <c r="D4310">
        <f t="shared" si="270"/>
        <v>62</v>
      </c>
      <c r="E4310">
        <v>54.499000000000002</v>
      </c>
      <c r="F4310">
        <f t="shared" si="271"/>
        <v>7.5009999999999977</v>
      </c>
      <c r="G4310">
        <v>20.367000000000001</v>
      </c>
      <c r="H4310">
        <v>0.53500000000000003</v>
      </c>
      <c r="I4310">
        <v>2.57</v>
      </c>
      <c r="J4310">
        <v>5</v>
      </c>
      <c r="K4310">
        <v>10</v>
      </c>
      <c r="L4310">
        <v>5</v>
      </c>
      <c r="M4310">
        <v>1.161</v>
      </c>
    </row>
    <row r="4311" spans="1:13" ht="15" customHeight="1">
      <c r="A4311" t="s">
        <v>48</v>
      </c>
      <c r="B4311">
        <f t="shared" si="268"/>
        <v>33.712007999999997</v>
      </c>
      <c r="C4311">
        <f t="shared" si="269"/>
        <v>-117.84311</v>
      </c>
      <c r="D4311">
        <f t="shared" si="270"/>
        <v>62</v>
      </c>
      <c r="E4311">
        <v>55.499000000000002</v>
      </c>
      <c r="F4311">
        <f t="shared" si="271"/>
        <v>6.5009999999999977</v>
      </c>
      <c r="G4311">
        <v>18.350000000000001</v>
      </c>
      <c r="H4311">
        <v>0.58499999999999996</v>
      </c>
      <c r="I4311">
        <v>3.22</v>
      </c>
      <c r="J4311">
        <v>5</v>
      </c>
      <c r="K4311">
        <v>9</v>
      </c>
      <c r="L4311">
        <v>5</v>
      </c>
      <c r="M4311">
        <v>0.98</v>
      </c>
    </row>
    <row r="4312" spans="1:13" ht="15" customHeight="1">
      <c r="A4312" t="s">
        <v>48</v>
      </c>
      <c r="B4312">
        <f t="shared" si="268"/>
        <v>33.712007999999997</v>
      </c>
      <c r="C4312">
        <f t="shared" si="269"/>
        <v>-117.84311</v>
      </c>
      <c r="D4312">
        <f t="shared" si="270"/>
        <v>62</v>
      </c>
      <c r="E4312">
        <v>56.499000000000002</v>
      </c>
      <c r="F4312">
        <f t="shared" si="271"/>
        <v>5.5009999999999977</v>
      </c>
      <c r="G4312">
        <v>28.216999999999999</v>
      </c>
      <c r="H4312">
        <v>1.1279999999999999</v>
      </c>
      <c r="I4312">
        <v>4.0250000000000004</v>
      </c>
      <c r="J4312">
        <v>4</v>
      </c>
      <c r="K4312">
        <v>18</v>
      </c>
      <c r="L4312">
        <v>9</v>
      </c>
      <c r="M4312">
        <v>1.6339999999999999</v>
      </c>
    </row>
    <row r="4313" spans="1:13" ht="15" customHeight="1">
      <c r="A4313" t="s">
        <v>48</v>
      </c>
      <c r="B4313">
        <f t="shared" si="268"/>
        <v>33.712007999999997</v>
      </c>
      <c r="C4313">
        <f t="shared" si="269"/>
        <v>-117.84311</v>
      </c>
      <c r="D4313">
        <f t="shared" si="270"/>
        <v>62</v>
      </c>
      <c r="E4313">
        <v>57.499000000000002</v>
      </c>
      <c r="F4313">
        <f t="shared" si="271"/>
        <v>4.5009999999999977</v>
      </c>
      <c r="G4313">
        <v>34.633000000000003</v>
      </c>
      <c r="H4313">
        <v>1.4750000000000001</v>
      </c>
      <c r="I4313">
        <v>4.282</v>
      </c>
      <c r="J4313">
        <v>4</v>
      </c>
      <c r="K4313">
        <v>22</v>
      </c>
      <c r="L4313">
        <v>11</v>
      </c>
      <c r="M4313">
        <v>2.0569999999999999</v>
      </c>
    </row>
    <row r="4314" spans="1:13" ht="15" customHeight="1">
      <c r="A4314" t="s">
        <v>48</v>
      </c>
      <c r="B4314">
        <f t="shared" si="268"/>
        <v>33.712007999999997</v>
      </c>
      <c r="C4314">
        <f t="shared" si="269"/>
        <v>-117.84311</v>
      </c>
      <c r="D4314">
        <f t="shared" si="270"/>
        <v>62</v>
      </c>
      <c r="E4314">
        <v>58.499000000000002</v>
      </c>
      <c r="F4314">
        <f t="shared" si="271"/>
        <v>3.5009999999999977</v>
      </c>
      <c r="G4314">
        <v>101.833</v>
      </c>
      <c r="H4314">
        <v>1.4650000000000001</v>
      </c>
      <c r="I4314">
        <v>1.4410000000000001</v>
      </c>
      <c r="J4314">
        <v>8</v>
      </c>
      <c r="K4314">
        <v>24</v>
      </c>
      <c r="L4314">
        <v>12</v>
      </c>
      <c r="M4314" s="1">
        <v>9000000000</v>
      </c>
    </row>
    <row r="4315" spans="1:13" ht="15" customHeight="1">
      <c r="A4315" t="s">
        <v>48</v>
      </c>
      <c r="B4315">
        <f t="shared" si="268"/>
        <v>33.712007999999997</v>
      </c>
      <c r="C4315">
        <f t="shared" si="269"/>
        <v>-117.84311</v>
      </c>
      <c r="D4315">
        <f t="shared" si="270"/>
        <v>62</v>
      </c>
      <c r="E4315">
        <v>59.499000000000002</v>
      </c>
      <c r="F4315">
        <f t="shared" si="271"/>
        <v>2.5009999999999977</v>
      </c>
      <c r="G4315">
        <v>148.28299999999999</v>
      </c>
      <c r="H4315">
        <v>1.992</v>
      </c>
      <c r="I4315">
        <v>1.345</v>
      </c>
      <c r="J4315">
        <v>8</v>
      </c>
      <c r="K4315">
        <v>35</v>
      </c>
      <c r="L4315">
        <v>18</v>
      </c>
      <c r="M4315" s="1">
        <v>9000000000</v>
      </c>
    </row>
    <row r="4316" spans="1:13" ht="15" customHeight="1">
      <c r="A4316" t="s">
        <v>48</v>
      </c>
      <c r="B4316">
        <f t="shared" si="268"/>
        <v>33.712007999999997</v>
      </c>
      <c r="C4316">
        <f t="shared" si="269"/>
        <v>-117.84311</v>
      </c>
      <c r="D4316">
        <f t="shared" si="270"/>
        <v>62</v>
      </c>
      <c r="E4316">
        <v>60.499000000000002</v>
      </c>
      <c r="F4316">
        <f t="shared" si="271"/>
        <v>1.5009999999999977</v>
      </c>
      <c r="G4316">
        <v>21.367000000000001</v>
      </c>
      <c r="H4316">
        <v>0.875</v>
      </c>
      <c r="I4316">
        <v>4.1269999999999998</v>
      </c>
      <c r="J4316">
        <v>4</v>
      </c>
      <c r="K4316">
        <v>14</v>
      </c>
      <c r="L4316">
        <v>7</v>
      </c>
      <c r="M4316">
        <v>1.161</v>
      </c>
    </row>
    <row r="4317" spans="1:13" ht="15" customHeight="1">
      <c r="A4317" t="s">
        <v>48</v>
      </c>
      <c r="B4317">
        <f t="shared" si="268"/>
        <v>33.712007999999997</v>
      </c>
      <c r="C4317">
        <f t="shared" si="269"/>
        <v>-117.84311</v>
      </c>
      <c r="D4317">
        <f t="shared" si="270"/>
        <v>62</v>
      </c>
      <c r="E4317">
        <v>61.499000000000002</v>
      </c>
      <c r="F4317">
        <f t="shared" si="271"/>
        <v>0.50099999999999767</v>
      </c>
      <c r="G4317">
        <v>20.350000000000001</v>
      </c>
      <c r="H4317">
        <v>0.52700000000000002</v>
      </c>
      <c r="I4317">
        <v>2.6030000000000002</v>
      </c>
      <c r="J4317">
        <v>5</v>
      </c>
      <c r="K4317">
        <v>10</v>
      </c>
      <c r="L4317">
        <v>5</v>
      </c>
      <c r="M4317">
        <v>1.093</v>
      </c>
    </row>
    <row r="4318" spans="1:13" ht="15" customHeight="1">
      <c r="A4318" t="s">
        <v>48</v>
      </c>
      <c r="B4318">
        <f t="shared" si="268"/>
        <v>33.712007999999997</v>
      </c>
      <c r="C4318">
        <f t="shared" si="269"/>
        <v>-117.84311</v>
      </c>
      <c r="D4318">
        <f t="shared" si="270"/>
        <v>62</v>
      </c>
      <c r="E4318">
        <v>62.499000000000002</v>
      </c>
      <c r="F4318">
        <f t="shared" si="271"/>
        <v>-0.49900000000000233</v>
      </c>
      <c r="G4318">
        <v>22.170999999999999</v>
      </c>
      <c r="H4318">
        <v>0.56100000000000005</v>
      </c>
      <c r="I4318">
        <v>2.5489999999999999</v>
      </c>
      <c r="J4318">
        <v>5</v>
      </c>
      <c r="K4318">
        <v>11</v>
      </c>
      <c r="L4318">
        <v>6</v>
      </c>
      <c r="M4318">
        <v>1.208</v>
      </c>
    </row>
    <row r="4319" spans="1:13" ht="15" customHeight="1">
      <c r="A4319" t="s">
        <v>48</v>
      </c>
      <c r="B4319">
        <f t="shared" si="268"/>
        <v>33.712007999999997</v>
      </c>
      <c r="C4319">
        <f t="shared" si="269"/>
        <v>-117.84311</v>
      </c>
      <c r="D4319">
        <f t="shared" si="270"/>
        <v>62</v>
      </c>
      <c r="E4319">
        <v>63.499000000000002</v>
      </c>
      <c r="F4319">
        <f t="shared" si="271"/>
        <v>-1.4990000000000023</v>
      </c>
      <c r="G4319">
        <v>213.21700000000001</v>
      </c>
      <c r="H4319">
        <v>1.48</v>
      </c>
      <c r="I4319">
        <v>0.69499999999999995</v>
      </c>
      <c r="J4319">
        <v>9</v>
      </c>
      <c r="K4319">
        <v>41</v>
      </c>
      <c r="L4319">
        <v>21</v>
      </c>
      <c r="M4319" s="1">
        <v>9000000000</v>
      </c>
    </row>
    <row r="4320" spans="1:13" ht="15" customHeight="1">
      <c r="A4320" t="s">
        <v>48</v>
      </c>
      <c r="B4320">
        <f t="shared" si="268"/>
        <v>33.712007999999997</v>
      </c>
      <c r="C4320">
        <f t="shared" si="269"/>
        <v>-117.84311</v>
      </c>
      <c r="D4320">
        <f t="shared" si="270"/>
        <v>62</v>
      </c>
      <c r="E4320">
        <v>64.498999999999995</v>
      </c>
      <c r="F4320">
        <f t="shared" si="271"/>
        <v>-2.4989999999999952</v>
      </c>
      <c r="G4320">
        <v>189.75</v>
      </c>
      <c r="H4320">
        <v>2.9649999999999999</v>
      </c>
      <c r="I4320">
        <v>1.5640000000000001</v>
      </c>
      <c r="J4320">
        <v>8</v>
      </c>
      <c r="K4320">
        <v>45</v>
      </c>
      <c r="L4320">
        <v>23</v>
      </c>
      <c r="M4320" s="1">
        <v>9000000000</v>
      </c>
    </row>
    <row r="4321" spans="1:13" ht="15" customHeight="1">
      <c r="A4321" t="s">
        <v>48</v>
      </c>
      <c r="B4321">
        <f t="shared" si="268"/>
        <v>33.712007999999997</v>
      </c>
      <c r="C4321">
        <f t="shared" si="269"/>
        <v>-117.84311</v>
      </c>
      <c r="D4321">
        <f t="shared" si="270"/>
        <v>62</v>
      </c>
      <c r="E4321">
        <v>65.498999999999995</v>
      </c>
      <c r="F4321">
        <f t="shared" si="271"/>
        <v>-3.4989999999999952</v>
      </c>
      <c r="G4321">
        <v>107.667</v>
      </c>
      <c r="H4321">
        <v>2.79</v>
      </c>
      <c r="I4321">
        <v>2.5950000000000002</v>
      </c>
      <c r="J4321">
        <v>7</v>
      </c>
      <c r="K4321">
        <v>34</v>
      </c>
      <c r="L4321">
        <v>17</v>
      </c>
      <c r="M4321" s="1">
        <v>9000000000</v>
      </c>
    </row>
    <row r="4322" spans="1:13" ht="15" customHeight="1">
      <c r="A4322" t="s">
        <v>48</v>
      </c>
      <c r="B4322">
        <f t="shared" si="268"/>
        <v>33.712007999999997</v>
      </c>
      <c r="C4322">
        <f t="shared" si="269"/>
        <v>-117.84311</v>
      </c>
      <c r="D4322">
        <f t="shared" si="270"/>
        <v>62</v>
      </c>
      <c r="E4322">
        <v>66.498999999999995</v>
      </c>
      <c r="F4322">
        <f t="shared" si="271"/>
        <v>-4.4989999999999952</v>
      </c>
      <c r="G4322">
        <v>217.917</v>
      </c>
      <c r="H4322">
        <v>1.3680000000000001</v>
      </c>
      <c r="I4322">
        <v>0.628</v>
      </c>
      <c r="J4322">
        <v>9</v>
      </c>
      <c r="K4322">
        <v>42</v>
      </c>
      <c r="L4322">
        <v>21</v>
      </c>
      <c r="M4322" s="1">
        <v>9000000000</v>
      </c>
    </row>
    <row r="4323" spans="1:13" ht="15" customHeight="1">
      <c r="A4323" t="s">
        <v>48</v>
      </c>
      <c r="B4323">
        <f t="shared" si="268"/>
        <v>33.712007999999997</v>
      </c>
      <c r="C4323">
        <f t="shared" si="269"/>
        <v>-117.84311</v>
      </c>
      <c r="D4323">
        <f t="shared" si="270"/>
        <v>62</v>
      </c>
      <c r="E4323">
        <v>67.498999999999995</v>
      </c>
      <c r="F4323">
        <f t="shared" si="271"/>
        <v>-5.4989999999999952</v>
      </c>
      <c r="G4323">
        <v>185.583</v>
      </c>
      <c r="H4323">
        <v>1.3080000000000001</v>
      </c>
      <c r="I4323">
        <v>0.70599999999999996</v>
      </c>
      <c r="J4323">
        <v>9</v>
      </c>
      <c r="K4323">
        <v>36</v>
      </c>
      <c r="L4323">
        <v>18</v>
      </c>
      <c r="M4323" s="1">
        <v>9000000000</v>
      </c>
    </row>
    <row r="4324" spans="1:13" ht="15" customHeight="1">
      <c r="A4324" t="s">
        <v>48</v>
      </c>
      <c r="B4324">
        <f t="shared" si="268"/>
        <v>33.712007999999997</v>
      </c>
      <c r="C4324">
        <f t="shared" si="269"/>
        <v>-117.84311</v>
      </c>
      <c r="D4324">
        <f t="shared" si="270"/>
        <v>62</v>
      </c>
      <c r="E4324">
        <v>68.498999999999995</v>
      </c>
      <c r="F4324">
        <f t="shared" si="271"/>
        <v>-6.4989999999999952</v>
      </c>
      <c r="G4324">
        <v>155.69999999999999</v>
      </c>
      <c r="H4324">
        <v>1.7829999999999999</v>
      </c>
      <c r="I4324">
        <v>1.1459999999999999</v>
      </c>
      <c r="J4324">
        <v>8</v>
      </c>
      <c r="K4324">
        <v>37</v>
      </c>
      <c r="L4324">
        <v>19</v>
      </c>
      <c r="M4324" s="1">
        <v>9000000000</v>
      </c>
    </row>
    <row r="4325" spans="1:13" ht="15" customHeight="1">
      <c r="A4325" t="s">
        <v>48</v>
      </c>
      <c r="B4325">
        <f t="shared" si="268"/>
        <v>33.712007999999997</v>
      </c>
      <c r="C4325">
        <f t="shared" si="269"/>
        <v>-117.84311</v>
      </c>
      <c r="D4325">
        <f t="shared" si="270"/>
        <v>62</v>
      </c>
      <c r="E4325">
        <v>69.498999999999995</v>
      </c>
      <c r="F4325">
        <f t="shared" si="271"/>
        <v>-7.4989999999999952</v>
      </c>
      <c r="G4325">
        <v>121.533</v>
      </c>
      <c r="H4325">
        <v>2.335</v>
      </c>
      <c r="I4325">
        <v>1.9239999999999999</v>
      </c>
      <c r="J4325">
        <v>7</v>
      </c>
      <c r="K4325">
        <v>39</v>
      </c>
      <c r="L4325">
        <v>20</v>
      </c>
      <c r="M4325" s="1">
        <v>9000000000</v>
      </c>
    </row>
    <row r="4326" spans="1:13" ht="15" customHeight="1">
      <c r="A4326" t="s">
        <v>48</v>
      </c>
      <c r="B4326">
        <f t="shared" si="268"/>
        <v>33.712007999999997</v>
      </c>
      <c r="C4326">
        <f t="shared" si="269"/>
        <v>-117.84311</v>
      </c>
      <c r="D4326">
        <f t="shared" si="270"/>
        <v>62</v>
      </c>
      <c r="E4326">
        <v>70.498999999999995</v>
      </c>
      <c r="F4326">
        <f t="shared" si="271"/>
        <v>-8.4989999999999952</v>
      </c>
      <c r="G4326">
        <v>131.55000000000001</v>
      </c>
      <c r="H4326">
        <v>2</v>
      </c>
      <c r="I4326">
        <v>1.522</v>
      </c>
      <c r="J4326">
        <v>8</v>
      </c>
      <c r="K4326">
        <v>31</v>
      </c>
      <c r="L4326">
        <v>16</v>
      </c>
      <c r="M4326" s="1">
        <v>9000000000</v>
      </c>
    </row>
    <row r="4327" spans="1:13" ht="15" customHeight="1">
      <c r="A4327" t="s">
        <v>48</v>
      </c>
      <c r="B4327">
        <f t="shared" si="268"/>
        <v>33.712007999999997</v>
      </c>
      <c r="C4327">
        <f t="shared" si="269"/>
        <v>-117.84311</v>
      </c>
      <c r="D4327">
        <f t="shared" si="270"/>
        <v>62</v>
      </c>
      <c r="E4327">
        <v>71.498999999999995</v>
      </c>
      <c r="F4327">
        <f t="shared" si="271"/>
        <v>-9.4989999999999952</v>
      </c>
      <c r="G4327">
        <v>175.85</v>
      </c>
      <c r="H4327">
        <v>1.353</v>
      </c>
      <c r="I4327">
        <v>0.77</v>
      </c>
      <c r="J4327">
        <v>9</v>
      </c>
      <c r="K4327">
        <v>34</v>
      </c>
      <c r="L4327">
        <v>17</v>
      </c>
      <c r="M4327" s="1">
        <v>9000000000</v>
      </c>
    </row>
    <row r="4328" spans="1:13" ht="15" customHeight="1">
      <c r="A4328" t="s">
        <v>48</v>
      </c>
      <c r="B4328">
        <f t="shared" si="268"/>
        <v>33.712007999999997</v>
      </c>
      <c r="C4328">
        <f t="shared" si="269"/>
        <v>-117.84311</v>
      </c>
      <c r="D4328">
        <f t="shared" si="270"/>
        <v>62</v>
      </c>
      <c r="E4328">
        <v>72.498999999999995</v>
      </c>
      <c r="F4328">
        <f t="shared" si="271"/>
        <v>-10.498999999999995</v>
      </c>
      <c r="G4328">
        <v>217</v>
      </c>
      <c r="H4328">
        <v>1.45</v>
      </c>
      <c r="I4328">
        <v>0.66900000000000004</v>
      </c>
      <c r="J4328">
        <v>9</v>
      </c>
      <c r="K4328">
        <v>42</v>
      </c>
      <c r="L4328">
        <v>21</v>
      </c>
      <c r="M4328" s="1">
        <v>9000000000</v>
      </c>
    </row>
    <row r="4329" spans="1:13" ht="15" customHeight="1">
      <c r="A4329" t="s">
        <v>48</v>
      </c>
      <c r="B4329">
        <f t="shared" si="268"/>
        <v>33.712007999999997</v>
      </c>
      <c r="C4329">
        <f t="shared" si="269"/>
        <v>-117.84311</v>
      </c>
      <c r="D4329">
        <f t="shared" si="270"/>
        <v>62</v>
      </c>
      <c r="E4329">
        <v>73.498999999999995</v>
      </c>
      <c r="F4329">
        <f t="shared" si="271"/>
        <v>-11.498999999999995</v>
      </c>
      <c r="G4329">
        <v>374.11700000000002</v>
      </c>
      <c r="H4329">
        <v>4.1349999999999998</v>
      </c>
      <c r="I4329">
        <v>1.1060000000000001</v>
      </c>
      <c r="J4329">
        <v>9</v>
      </c>
      <c r="K4329">
        <v>72</v>
      </c>
      <c r="L4329">
        <v>36</v>
      </c>
      <c r="M4329" s="1">
        <v>9000000000</v>
      </c>
    </row>
    <row r="4330" spans="1:13" ht="15" customHeight="1">
      <c r="A4330" t="s">
        <v>48</v>
      </c>
      <c r="B4330">
        <f t="shared" si="268"/>
        <v>33.712007999999997</v>
      </c>
      <c r="C4330">
        <f t="shared" si="269"/>
        <v>-117.84311</v>
      </c>
      <c r="D4330">
        <f t="shared" si="270"/>
        <v>62</v>
      </c>
      <c r="E4330">
        <v>74.498999999999995</v>
      </c>
      <c r="F4330">
        <f t="shared" si="271"/>
        <v>-12.498999999999995</v>
      </c>
      <c r="G4330">
        <v>143.267</v>
      </c>
      <c r="H4330">
        <v>1.7270000000000001</v>
      </c>
      <c r="I4330">
        <v>1.206</v>
      </c>
      <c r="J4330">
        <v>8</v>
      </c>
      <c r="K4330">
        <v>34</v>
      </c>
      <c r="L4330">
        <v>17</v>
      </c>
      <c r="M4330" s="1">
        <v>9000000000</v>
      </c>
    </row>
    <row r="4331" spans="1:13" ht="15" customHeight="1">
      <c r="A4331" t="s">
        <v>48</v>
      </c>
      <c r="B4331">
        <f t="shared" si="268"/>
        <v>33.712007999999997</v>
      </c>
      <c r="C4331">
        <f t="shared" si="269"/>
        <v>-117.84311</v>
      </c>
      <c r="D4331">
        <f t="shared" si="270"/>
        <v>62</v>
      </c>
      <c r="E4331">
        <v>75.498999999999995</v>
      </c>
      <c r="F4331">
        <f t="shared" si="271"/>
        <v>-13.498999999999995</v>
      </c>
      <c r="G4331">
        <v>28.283000000000001</v>
      </c>
      <c r="H4331">
        <v>0.45</v>
      </c>
      <c r="I4331">
        <v>1.591</v>
      </c>
      <c r="J4331">
        <v>6</v>
      </c>
      <c r="K4331">
        <v>11</v>
      </c>
      <c r="L4331">
        <v>6</v>
      </c>
      <c r="M4331">
        <v>1.5720000000000001</v>
      </c>
    </row>
    <row r="4332" spans="1:13" ht="15" customHeight="1">
      <c r="A4332" t="s">
        <v>48</v>
      </c>
      <c r="B4332">
        <f t="shared" si="268"/>
        <v>33.712007999999997</v>
      </c>
      <c r="C4332">
        <f t="shared" si="269"/>
        <v>-117.84311</v>
      </c>
      <c r="D4332">
        <f t="shared" si="270"/>
        <v>62</v>
      </c>
      <c r="E4332">
        <v>76.498999999999995</v>
      </c>
      <c r="F4332">
        <f t="shared" si="271"/>
        <v>-14.498999999999995</v>
      </c>
      <c r="G4332">
        <v>28.567</v>
      </c>
      <c r="H4332">
        <v>0.64700000000000002</v>
      </c>
      <c r="I4332">
        <v>2.2120000000000002</v>
      </c>
      <c r="J4332">
        <v>6</v>
      </c>
      <c r="K4332">
        <v>11</v>
      </c>
      <c r="L4332">
        <v>6</v>
      </c>
      <c r="M4332">
        <v>1.631</v>
      </c>
    </row>
    <row r="4333" spans="1:13" ht="15" customHeight="1">
      <c r="A4333" t="s">
        <v>48</v>
      </c>
      <c r="B4333">
        <f t="shared" si="268"/>
        <v>33.712007999999997</v>
      </c>
      <c r="C4333">
        <f t="shared" si="269"/>
        <v>-117.84311</v>
      </c>
      <c r="D4333">
        <f t="shared" si="270"/>
        <v>62</v>
      </c>
      <c r="E4333">
        <v>77.498999999999995</v>
      </c>
      <c r="F4333">
        <f t="shared" si="271"/>
        <v>-15.498999999999995</v>
      </c>
      <c r="G4333">
        <v>33.049999999999997</v>
      </c>
      <c r="H4333">
        <v>1</v>
      </c>
      <c r="I4333">
        <v>2.911</v>
      </c>
      <c r="J4333">
        <v>6</v>
      </c>
      <c r="K4333">
        <v>13</v>
      </c>
      <c r="L4333">
        <v>7</v>
      </c>
      <c r="M4333">
        <v>1.968</v>
      </c>
    </row>
    <row r="4334" spans="1:13" ht="15" customHeight="1">
      <c r="A4334" t="s">
        <v>48</v>
      </c>
      <c r="B4334">
        <f t="shared" si="268"/>
        <v>33.712007999999997</v>
      </c>
      <c r="C4334">
        <f t="shared" si="269"/>
        <v>-117.84311</v>
      </c>
      <c r="D4334">
        <f t="shared" si="270"/>
        <v>62</v>
      </c>
      <c r="E4334">
        <v>78.498999999999995</v>
      </c>
      <c r="F4334">
        <f t="shared" si="271"/>
        <v>-16.498999999999995</v>
      </c>
      <c r="G4334">
        <v>26.233000000000001</v>
      </c>
      <c r="H4334">
        <v>0.74</v>
      </c>
      <c r="I4334">
        <v>2.6509999999999998</v>
      </c>
      <c r="J4334">
        <v>6</v>
      </c>
      <c r="K4334">
        <v>11</v>
      </c>
      <c r="L4334">
        <v>6</v>
      </c>
      <c r="M4334">
        <v>1.5349999999999999</v>
      </c>
    </row>
    <row r="4335" spans="1:13" ht="15" customHeight="1">
      <c r="A4335" t="s">
        <v>48</v>
      </c>
      <c r="B4335">
        <f t="shared" si="268"/>
        <v>33.712007999999997</v>
      </c>
      <c r="C4335">
        <f t="shared" si="269"/>
        <v>-117.84311</v>
      </c>
      <c r="D4335">
        <f t="shared" si="270"/>
        <v>62</v>
      </c>
      <c r="E4335">
        <v>79.498999999999995</v>
      </c>
      <c r="F4335">
        <f t="shared" si="271"/>
        <v>-17.498999999999995</v>
      </c>
      <c r="G4335">
        <v>42.6</v>
      </c>
      <c r="H4335">
        <v>1.6279999999999999</v>
      </c>
      <c r="I4335">
        <v>3.7429999999999999</v>
      </c>
      <c r="J4335">
        <v>5</v>
      </c>
      <c r="K4335">
        <v>21</v>
      </c>
      <c r="L4335">
        <v>11</v>
      </c>
      <c r="M4335">
        <v>2.569</v>
      </c>
    </row>
    <row r="4336" spans="1:13" ht="15" customHeight="1">
      <c r="A4336" t="s">
        <v>48</v>
      </c>
      <c r="B4336">
        <f t="shared" si="268"/>
        <v>33.712007999999997</v>
      </c>
      <c r="C4336">
        <f t="shared" si="269"/>
        <v>-117.84311</v>
      </c>
      <c r="D4336">
        <f t="shared" si="270"/>
        <v>62</v>
      </c>
      <c r="E4336">
        <v>80.498999999999995</v>
      </c>
      <c r="F4336">
        <f t="shared" si="271"/>
        <v>-18.498999999999995</v>
      </c>
      <c r="G4336">
        <v>26.632999999999999</v>
      </c>
      <c r="H4336">
        <v>0.88</v>
      </c>
      <c r="I4336">
        <v>3.29</v>
      </c>
      <c r="J4336">
        <v>5</v>
      </c>
      <c r="K4336">
        <v>13</v>
      </c>
      <c r="L4336">
        <v>7</v>
      </c>
      <c r="M4336">
        <v>1.448</v>
      </c>
    </row>
    <row r="4337" spans="1:13" ht="15" customHeight="1">
      <c r="A4337" t="s">
        <v>48</v>
      </c>
      <c r="B4337">
        <f t="shared" si="268"/>
        <v>33.712007999999997</v>
      </c>
      <c r="C4337">
        <f t="shared" si="269"/>
        <v>-117.84311</v>
      </c>
      <c r="D4337">
        <f t="shared" si="270"/>
        <v>62</v>
      </c>
      <c r="E4337">
        <v>81.498999999999995</v>
      </c>
      <c r="F4337">
        <f t="shared" si="271"/>
        <v>-19.498999999999995</v>
      </c>
      <c r="G4337">
        <v>27.25</v>
      </c>
      <c r="H4337">
        <v>0.81699999999999995</v>
      </c>
      <c r="I4337">
        <v>2.968</v>
      </c>
      <c r="J4337">
        <v>5</v>
      </c>
      <c r="K4337">
        <v>13</v>
      </c>
      <c r="L4337">
        <v>7</v>
      </c>
      <c r="M4337">
        <v>1.4950000000000001</v>
      </c>
    </row>
    <row r="4338" spans="1:13" ht="15" customHeight="1">
      <c r="A4338" t="s">
        <v>48</v>
      </c>
      <c r="B4338">
        <f t="shared" si="268"/>
        <v>33.712007999999997</v>
      </c>
      <c r="C4338">
        <f t="shared" si="269"/>
        <v>-117.84311</v>
      </c>
      <c r="D4338">
        <f t="shared" si="270"/>
        <v>62</v>
      </c>
      <c r="E4338">
        <v>82.498999999999995</v>
      </c>
      <c r="F4338">
        <f t="shared" si="271"/>
        <v>-20.498999999999995</v>
      </c>
      <c r="G4338">
        <v>27.35</v>
      </c>
      <c r="H4338">
        <v>0.81</v>
      </c>
      <c r="I4338">
        <v>2.835</v>
      </c>
      <c r="J4338">
        <v>5</v>
      </c>
      <c r="K4338">
        <v>14</v>
      </c>
      <c r="L4338">
        <v>7</v>
      </c>
      <c r="M4338">
        <v>1.5609999999999999</v>
      </c>
    </row>
    <row r="4339" spans="1:13" ht="15" customHeight="1">
      <c r="A4339" t="s">
        <v>48</v>
      </c>
      <c r="B4339">
        <f t="shared" si="268"/>
        <v>33.712007999999997</v>
      </c>
      <c r="C4339">
        <f t="shared" si="269"/>
        <v>-117.84311</v>
      </c>
      <c r="D4339">
        <f t="shared" si="270"/>
        <v>62</v>
      </c>
      <c r="E4339">
        <v>83.498999999999995</v>
      </c>
      <c r="F4339">
        <f t="shared" si="271"/>
        <v>-21.498999999999995</v>
      </c>
      <c r="G4339">
        <v>28.114000000000001</v>
      </c>
      <c r="H4339">
        <v>0.90400000000000003</v>
      </c>
      <c r="I4339">
        <v>3.052</v>
      </c>
      <c r="J4339">
        <v>5</v>
      </c>
      <c r="K4339">
        <v>14</v>
      </c>
      <c r="L4339">
        <v>7</v>
      </c>
      <c r="M4339">
        <v>1.6279999999999999</v>
      </c>
    </row>
    <row r="4340" spans="1:13" ht="15" customHeight="1">
      <c r="A4340" t="s">
        <v>48</v>
      </c>
      <c r="B4340">
        <f t="shared" si="268"/>
        <v>33.712007999999997</v>
      </c>
      <c r="C4340">
        <f t="shared" si="269"/>
        <v>-117.84311</v>
      </c>
      <c r="D4340">
        <f t="shared" si="270"/>
        <v>62</v>
      </c>
      <c r="E4340">
        <v>84.498999999999995</v>
      </c>
      <c r="F4340">
        <f t="shared" si="271"/>
        <v>-22.498999999999995</v>
      </c>
      <c r="G4340">
        <v>36.017000000000003</v>
      </c>
      <c r="H4340">
        <v>1.3720000000000001</v>
      </c>
      <c r="I4340">
        <v>3.653</v>
      </c>
      <c r="J4340">
        <v>5</v>
      </c>
      <c r="K4340">
        <v>18</v>
      </c>
      <c r="L4340">
        <v>9</v>
      </c>
      <c r="M4340">
        <v>2.1520000000000001</v>
      </c>
    </row>
    <row r="4341" spans="1:13" ht="15" customHeight="1">
      <c r="A4341" t="s">
        <v>48</v>
      </c>
      <c r="B4341">
        <f t="shared" si="268"/>
        <v>33.712007999999997</v>
      </c>
      <c r="C4341">
        <f t="shared" si="269"/>
        <v>-117.84311</v>
      </c>
      <c r="D4341">
        <f t="shared" si="270"/>
        <v>62</v>
      </c>
      <c r="E4341">
        <v>85.498999999999995</v>
      </c>
      <c r="F4341">
        <f t="shared" si="271"/>
        <v>-23.498999999999995</v>
      </c>
      <c r="G4341">
        <v>38.517000000000003</v>
      </c>
      <c r="H4341">
        <v>1.9630000000000001</v>
      </c>
      <c r="I4341">
        <v>5.0209999999999999</v>
      </c>
      <c r="J4341">
        <v>3</v>
      </c>
      <c r="K4341">
        <v>37</v>
      </c>
      <c r="L4341">
        <v>19</v>
      </c>
      <c r="M4341">
        <v>2.2509999999999999</v>
      </c>
    </row>
    <row r="4342" spans="1:13" ht="15" customHeight="1">
      <c r="A4342" t="s">
        <v>48</v>
      </c>
      <c r="B4342">
        <f t="shared" si="268"/>
        <v>33.712007999999997</v>
      </c>
      <c r="C4342">
        <f t="shared" si="269"/>
        <v>-117.84311</v>
      </c>
      <c r="D4342">
        <f t="shared" si="270"/>
        <v>62</v>
      </c>
      <c r="E4342">
        <v>86.498999999999995</v>
      </c>
      <c r="F4342">
        <f t="shared" si="271"/>
        <v>-24.498999999999995</v>
      </c>
      <c r="G4342">
        <v>26.95</v>
      </c>
      <c r="H4342">
        <v>1.0029999999999999</v>
      </c>
      <c r="I4342">
        <v>3.5659999999999998</v>
      </c>
      <c r="J4342">
        <v>5</v>
      </c>
      <c r="K4342">
        <v>13</v>
      </c>
      <c r="L4342">
        <v>7</v>
      </c>
      <c r="M4342">
        <v>1.516</v>
      </c>
    </row>
    <row r="4343" spans="1:13" ht="15" customHeight="1">
      <c r="A4343" t="s">
        <v>48</v>
      </c>
      <c r="B4343">
        <f t="shared" si="268"/>
        <v>33.712007999999997</v>
      </c>
      <c r="C4343">
        <f t="shared" si="269"/>
        <v>-117.84311</v>
      </c>
      <c r="D4343">
        <f t="shared" si="270"/>
        <v>62</v>
      </c>
      <c r="E4343">
        <v>87.498999999999995</v>
      </c>
      <c r="F4343">
        <f t="shared" si="271"/>
        <v>-25.498999999999995</v>
      </c>
      <c r="G4343">
        <v>24.5</v>
      </c>
      <c r="H4343">
        <v>0.68</v>
      </c>
      <c r="I4343">
        <v>2.661</v>
      </c>
      <c r="J4343">
        <v>6</v>
      </c>
      <c r="K4343">
        <v>10</v>
      </c>
      <c r="L4343">
        <v>5</v>
      </c>
      <c r="M4343">
        <v>1.339</v>
      </c>
    </row>
    <row r="4344" spans="1:13" ht="15" customHeight="1">
      <c r="A4344" t="s">
        <v>48</v>
      </c>
      <c r="B4344">
        <f t="shared" si="268"/>
        <v>33.712007999999997</v>
      </c>
      <c r="C4344">
        <f t="shared" si="269"/>
        <v>-117.84311</v>
      </c>
      <c r="D4344">
        <f t="shared" si="270"/>
        <v>62</v>
      </c>
      <c r="E4344">
        <v>88.498999999999995</v>
      </c>
      <c r="F4344">
        <f t="shared" si="271"/>
        <v>-26.498999999999995</v>
      </c>
      <c r="G4344">
        <v>28</v>
      </c>
      <c r="H4344">
        <v>0.92300000000000004</v>
      </c>
      <c r="I4344">
        <v>3.2130000000000001</v>
      </c>
      <c r="J4344">
        <v>5</v>
      </c>
      <c r="K4344">
        <v>14</v>
      </c>
      <c r="L4344">
        <v>7</v>
      </c>
      <c r="M4344">
        <v>1.5469999999999999</v>
      </c>
    </row>
    <row r="4345" spans="1:13" ht="15" customHeight="1">
      <c r="A4345" t="s">
        <v>48</v>
      </c>
      <c r="B4345">
        <f t="shared" si="268"/>
        <v>33.712007999999997</v>
      </c>
      <c r="C4345">
        <f t="shared" si="269"/>
        <v>-117.84311</v>
      </c>
      <c r="D4345">
        <f t="shared" si="270"/>
        <v>62</v>
      </c>
      <c r="E4345">
        <v>89.498999999999995</v>
      </c>
      <c r="F4345">
        <f t="shared" si="271"/>
        <v>-27.498999999999995</v>
      </c>
      <c r="G4345">
        <v>29.983000000000001</v>
      </c>
      <c r="H4345">
        <v>0.96699999999999997</v>
      </c>
      <c r="I4345">
        <v>3.0920000000000001</v>
      </c>
      <c r="J4345">
        <v>5</v>
      </c>
      <c r="K4345">
        <v>15</v>
      </c>
      <c r="L4345">
        <v>8</v>
      </c>
      <c r="M4345">
        <v>1.712</v>
      </c>
    </row>
    <row r="4346" spans="1:13" ht="15" customHeight="1">
      <c r="A4346" t="s">
        <v>48</v>
      </c>
      <c r="B4346">
        <f t="shared" si="268"/>
        <v>33.712007999999997</v>
      </c>
      <c r="C4346">
        <f t="shared" si="269"/>
        <v>-117.84311</v>
      </c>
      <c r="D4346">
        <f t="shared" si="270"/>
        <v>62</v>
      </c>
      <c r="E4346">
        <v>90.498999999999995</v>
      </c>
      <c r="F4346">
        <f t="shared" si="271"/>
        <v>-28.498999999999995</v>
      </c>
      <c r="G4346">
        <v>27.283000000000001</v>
      </c>
      <c r="H4346">
        <v>0.79300000000000004</v>
      </c>
      <c r="I4346">
        <v>2.7320000000000002</v>
      </c>
      <c r="J4346">
        <v>6</v>
      </c>
      <c r="K4346">
        <v>11</v>
      </c>
      <c r="L4346">
        <v>6</v>
      </c>
      <c r="M4346">
        <v>1.5589999999999999</v>
      </c>
    </row>
    <row r="4347" spans="1:13" ht="15" customHeight="1">
      <c r="A4347" t="s">
        <v>48</v>
      </c>
      <c r="B4347">
        <f t="shared" si="268"/>
        <v>33.712007999999997</v>
      </c>
      <c r="C4347">
        <f t="shared" si="269"/>
        <v>-117.84311</v>
      </c>
      <c r="D4347">
        <f t="shared" si="270"/>
        <v>62</v>
      </c>
      <c r="E4347">
        <v>91.498999999999995</v>
      </c>
      <c r="F4347">
        <f t="shared" si="271"/>
        <v>-29.498999999999995</v>
      </c>
      <c r="G4347">
        <v>26.7</v>
      </c>
      <c r="H4347">
        <v>0.89500000000000002</v>
      </c>
      <c r="I4347">
        <v>3.21</v>
      </c>
      <c r="J4347">
        <v>5</v>
      </c>
      <c r="K4347">
        <v>13</v>
      </c>
      <c r="L4347">
        <v>7</v>
      </c>
      <c r="M4347">
        <v>1.478</v>
      </c>
    </row>
    <row r="4348" spans="1:13" ht="15" customHeight="1">
      <c r="A4348" t="s">
        <v>48</v>
      </c>
      <c r="B4348">
        <f t="shared" si="268"/>
        <v>33.712007999999997</v>
      </c>
      <c r="C4348">
        <f t="shared" si="269"/>
        <v>-117.84311</v>
      </c>
      <c r="D4348">
        <f t="shared" si="270"/>
        <v>62</v>
      </c>
      <c r="E4348">
        <v>92.498999999999995</v>
      </c>
      <c r="F4348">
        <f t="shared" si="271"/>
        <v>-30.498999999999995</v>
      </c>
      <c r="G4348">
        <v>28.567</v>
      </c>
      <c r="H4348">
        <v>0.78300000000000003</v>
      </c>
      <c r="I4348">
        <v>2.637</v>
      </c>
      <c r="J4348">
        <v>6</v>
      </c>
      <c r="K4348">
        <v>11</v>
      </c>
      <c r="L4348">
        <v>6</v>
      </c>
      <c r="M4348">
        <v>1.595</v>
      </c>
    </row>
    <row r="4349" spans="1:13" ht="15" customHeight="1">
      <c r="A4349" t="s">
        <v>48</v>
      </c>
      <c r="B4349">
        <f t="shared" si="268"/>
        <v>33.712007999999997</v>
      </c>
      <c r="C4349">
        <f t="shared" si="269"/>
        <v>-117.84311</v>
      </c>
      <c r="D4349">
        <f t="shared" si="270"/>
        <v>62</v>
      </c>
      <c r="E4349">
        <v>93.498999999999995</v>
      </c>
      <c r="F4349">
        <f t="shared" si="271"/>
        <v>-31.498999999999995</v>
      </c>
      <c r="G4349">
        <v>31.414000000000001</v>
      </c>
      <c r="H4349">
        <v>1.1100000000000001</v>
      </c>
      <c r="I4349">
        <v>3.4550000000000001</v>
      </c>
      <c r="J4349">
        <v>5</v>
      </c>
      <c r="K4349">
        <v>15</v>
      </c>
      <c r="L4349">
        <v>8</v>
      </c>
      <c r="M4349">
        <v>1.7529999999999999</v>
      </c>
    </row>
    <row r="4350" spans="1:13" ht="15" customHeight="1">
      <c r="A4350" t="s">
        <v>48</v>
      </c>
      <c r="B4350">
        <f t="shared" si="268"/>
        <v>33.712007999999997</v>
      </c>
      <c r="C4350">
        <f t="shared" si="269"/>
        <v>-117.84311</v>
      </c>
      <c r="D4350">
        <f t="shared" si="270"/>
        <v>62</v>
      </c>
      <c r="E4350">
        <v>94.498999999999995</v>
      </c>
      <c r="F4350">
        <f t="shared" si="271"/>
        <v>-32.498999999999995</v>
      </c>
      <c r="G4350">
        <v>29.6</v>
      </c>
      <c r="H4350">
        <v>0.92300000000000004</v>
      </c>
      <c r="I4350">
        <v>3.0419999999999998</v>
      </c>
      <c r="J4350">
        <v>5</v>
      </c>
      <c r="K4350">
        <v>15</v>
      </c>
      <c r="L4350">
        <v>8</v>
      </c>
      <c r="M4350">
        <v>1.63</v>
      </c>
    </row>
    <row r="4351" spans="1:13" ht="15" customHeight="1">
      <c r="A4351" t="s">
        <v>48</v>
      </c>
      <c r="B4351">
        <f t="shared" si="268"/>
        <v>33.712007999999997</v>
      </c>
      <c r="C4351">
        <f t="shared" si="269"/>
        <v>-117.84311</v>
      </c>
      <c r="D4351">
        <f t="shared" si="270"/>
        <v>62</v>
      </c>
      <c r="E4351">
        <v>95.498999999999995</v>
      </c>
      <c r="F4351">
        <f t="shared" si="271"/>
        <v>-33.498999999999995</v>
      </c>
      <c r="G4351">
        <v>31.882999999999999</v>
      </c>
      <c r="H4351">
        <v>1.008</v>
      </c>
      <c r="I4351">
        <v>3.0539999999999998</v>
      </c>
      <c r="J4351">
        <v>5</v>
      </c>
      <c r="K4351">
        <v>16</v>
      </c>
      <c r="L4351">
        <v>8</v>
      </c>
      <c r="M4351">
        <v>1.804</v>
      </c>
    </row>
    <row r="4352" spans="1:13" ht="15" customHeight="1">
      <c r="A4352" t="s">
        <v>48</v>
      </c>
      <c r="B4352">
        <f t="shared" si="268"/>
        <v>33.712007999999997</v>
      </c>
      <c r="C4352">
        <f t="shared" si="269"/>
        <v>-117.84311</v>
      </c>
      <c r="D4352">
        <f t="shared" si="270"/>
        <v>62</v>
      </c>
      <c r="E4352">
        <v>96.498999999999995</v>
      </c>
      <c r="F4352">
        <f t="shared" si="271"/>
        <v>-34.498999999999995</v>
      </c>
      <c r="G4352">
        <v>30.1</v>
      </c>
      <c r="H4352">
        <v>0.89300000000000002</v>
      </c>
      <c r="I4352">
        <v>2.827</v>
      </c>
      <c r="J4352">
        <v>6</v>
      </c>
      <c r="K4352">
        <v>12</v>
      </c>
      <c r="L4352">
        <v>6</v>
      </c>
      <c r="M4352">
        <v>1.7050000000000001</v>
      </c>
    </row>
    <row r="4353" spans="1:13" ht="15" customHeight="1">
      <c r="A4353" t="s">
        <v>48</v>
      </c>
      <c r="B4353">
        <f t="shared" si="268"/>
        <v>33.712007999999997</v>
      </c>
      <c r="C4353">
        <f t="shared" si="269"/>
        <v>-117.84311</v>
      </c>
      <c r="D4353">
        <f t="shared" si="270"/>
        <v>62</v>
      </c>
      <c r="E4353">
        <v>97.498999999999995</v>
      </c>
      <c r="F4353">
        <f t="shared" si="271"/>
        <v>-35.498999999999995</v>
      </c>
      <c r="G4353">
        <v>30.317</v>
      </c>
      <c r="H4353">
        <v>0.88300000000000001</v>
      </c>
      <c r="I4353">
        <v>2.782</v>
      </c>
      <c r="J4353">
        <v>6</v>
      </c>
      <c r="K4353">
        <v>12</v>
      </c>
      <c r="L4353">
        <v>6</v>
      </c>
      <c r="M4353">
        <v>1.7110000000000001</v>
      </c>
    </row>
    <row r="4354" spans="1:13" ht="15" customHeight="1">
      <c r="A4354" t="s">
        <v>48</v>
      </c>
      <c r="B4354">
        <f t="shared" ref="B4354:B4417" si="272">VLOOKUP(A4354,XYdata,3,FALSE)</f>
        <v>33.712007999999997</v>
      </c>
      <c r="C4354">
        <f t="shared" ref="C4354:C4417" si="273">VLOOKUP(A4354,XYdata,2,FALSE)</f>
        <v>-117.84311</v>
      </c>
      <c r="D4354">
        <f t="shared" ref="D4354:D4417" si="274">VLOOKUP(A4354,Elevation,2,FALSE)</f>
        <v>62</v>
      </c>
      <c r="E4354">
        <v>98.498999999999995</v>
      </c>
      <c r="F4354">
        <f t="shared" si="271"/>
        <v>-36.498999999999995</v>
      </c>
      <c r="G4354">
        <v>39.4</v>
      </c>
      <c r="H4354">
        <v>1.3129999999999999</v>
      </c>
      <c r="I4354">
        <v>3.226</v>
      </c>
      <c r="J4354">
        <v>5</v>
      </c>
      <c r="K4354">
        <v>20</v>
      </c>
      <c r="L4354">
        <v>10</v>
      </c>
      <c r="M4354">
        <v>2.3050000000000002</v>
      </c>
    </row>
    <row r="4355" spans="1:13" ht="15" customHeight="1">
      <c r="A4355" t="s">
        <v>48</v>
      </c>
      <c r="B4355">
        <f t="shared" si="272"/>
        <v>33.712007999999997</v>
      </c>
      <c r="C4355">
        <f t="shared" si="273"/>
        <v>-117.84311</v>
      </c>
      <c r="D4355">
        <f t="shared" si="274"/>
        <v>62</v>
      </c>
      <c r="E4355">
        <v>99.498999999999995</v>
      </c>
      <c r="F4355">
        <f t="shared" ref="F4355:F4418" si="275">D4355-E4355</f>
        <v>-37.498999999999995</v>
      </c>
      <c r="G4355">
        <v>38.25</v>
      </c>
      <c r="H4355">
        <v>1.4650000000000001</v>
      </c>
      <c r="I4355">
        <v>3.7610000000000001</v>
      </c>
      <c r="J4355">
        <v>5</v>
      </c>
      <c r="K4355">
        <v>19</v>
      </c>
      <c r="L4355">
        <v>10</v>
      </c>
      <c r="M4355">
        <v>2.1829999999999998</v>
      </c>
    </row>
    <row r="4356" spans="1:13" ht="15" customHeight="1">
      <c r="A4356" t="s">
        <v>48</v>
      </c>
      <c r="B4356">
        <f t="shared" si="272"/>
        <v>33.712007999999997</v>
      </c>
      <c r="C4356">
        <f t="shared" si="273"/>
        <v>-117.84311</v>
      </c>
      <c r="D4356">
        <f t="shared" si="274"/>
        <v>62</v>
      </c>
      <c r="E4356">
        <v>100.499</v>
      </c>
      <c r="F4356">
        <f t="shared" si="275"/>
        <v>-38.498999999999995</v>
      </c>
      <c r="G4356">
        <v>32</v>
      </c>
      <c r="H4356">
        <v>1.272</v>
      </c>
      <c r="I4356">
        <v>3.9249999999999998</v>
      </c>
      <c r="J4356">
        <v>4</v>
      </c>
      <c r="K4356">
        <v>21</v>
      </c>
      <c r="L4356">
        <v>11</v>
      </c>
      <c r="M4356">
        <v>1.742</v>
      </c>
    </row>
    <row r="4357" spans="1:13" ht="15" customHeight="1">
      <c r="A4357" t="s">
        <v>48</v>
      </c>
      <c r="B4357">
        <f t="shared" si="272"/>
        <v>33.712007999999997</v>
      </c>
      <c r="C4357">
        <f t="shared" si="273"/>
        <v>-117.84311</v>
      </c>
      <c r="D4357">
        <f t="shared" si="274"/>
        <v>62</v>
      </c>
      <c r="E4357">
        <v>101.499</v>
      </c>
      <c r="F4357">
        <f t="shared" si="275"/>
        <v>-39.498999999999995</v>
      </c>
      <c r="G4357">
        <v>31.6</v>
      </c>
      <c r="H4357">
        <v>1.218</v>
      </c>
      <c r="I4357">
        <v>3.7989999999999999</v>
      </c>
      <c r="J4357">
        <v>5</v>
      </c>
      <c r="K4357">
        <v>15</v>
      </c>
      <c r="L4357">
        <v>8</v>
      </c>
      <c r="M4357">
        <v>1.7150000000000001</v>
      </c>
    </row>
    <row r="4358" spans="1:13" ht="15" customHeight="1">
      <c r="A4358" t="s">
        <v>48</v>
      </c>
      <c r="B4358">
        <f t="shared" si="272"/>
        <v>33.712007999999997</v>
      </c>
      <c r="C4358">
        <f t="shared" si="273"/>
        <v>-117.84311</v>
      </c>
      <c r="D4358">
        <f t="shared" si="274"/>
        <v>62</v>
      </c>
      <c r="E4358">
        <v>102.499</v>
      </c>
      <c r="F4358">
        <f t="shared" si="275"/>
        <v>-40.498999999999995</v>
      </c>
      <c r="G4358">
        <v>33.716999999999999</v>
      </c>
      <c r="H4358">
        <v>1.095</v>
      </c>
      <c r="I4358">
        <v>3.1019999999999999</v>
      </c>
      <c r="J4358">
        <v>5</v>
      </c>
      <c r="K4358">
        <v>17</v>
      </c>
      <c r="L4358">
        <v>9</v>
      </c>
      <c r="M4358">
        <v>1.927</v>
      </c>
    </row>
    <row r="4359" spans="1:13" ht="15" customHeight="1">
      <c r="A4359" t="s">
        <v>48</v>
      </c>
      <c r="B4359">
        <f t="shared" si="272"/>
        <v>33.712007999999997</v>
      </c>
      <c r="C4359">
        <f t="shared" si="273"/>
        <v>-117.84311</v>
      </c>
      <c r="D4359">
        <f t="shared" si="274"/>
        <v>62</v>
      </c>
      <c r="E4359">
        <v>103.499</v>
      </c>
      <c r="F4359">
        <f t="shared" si="275"/>
        <v>-41.498999999999995</v>
      </c>
      <c r="G4359">
        <v>38.917000000000002</v>
      </c>
      <c r="H4359">
        <v>1.2629999999999999</v>
      </c>
      <c r="I4359">
        <v>3.1150000000000002</v>
      </c>
      <c r="J4359">
        <v>5</v>
      </c>
      <c r="K4359">
        <v>19</v>
      </c>
      <c r="L4359">
        <v>10</v>
      </c>
      <c r="M4359">
        <v>2.2730000000000001</v>
      </c>
    </row>
    <row r="4360" spans="1:13" ht="15" customHeight="1">
      <c r="A4360" t="s">
        <v>48</v>
      </c>
      <c r="B4360">
        <f t="shared" si="272"/>
        <v>33.712007999999997</v>
      </c>
      <c r="C4360">
        <f t="shared" si="273"/>
        <v>-117.84311</v>
      </c>
      <c r="D4360">
        <f t="shared" si="274"/>
        <v>62</v>
      </c>
      <c r="E4360">
        <v>104.499</v>
      </c>
      <c r="F4360">
        <f t="shared" si="275"/>
        <v>-42.498999999999995</v>
      </c>
      <c r="G4360">
        <v>37.670999999999999</v>
      </c>
      <c r="H4360">
        <v>1.206</v>
      </c>
      <c r="I4360">
        <v>3.0329999999999999</v>
      </c>
      <c r="J4360">
        <v>5</v>
      </c>
      <c r="K4360">
        <v>19</v>
      </c>
      <c r="L4360">
        <v>10</v>
      </c>
      <c r="M4360">
        <v>2.2160000000000002</v>
      </c>
    </row>
    <row r="4361" spans="1:13" ht="15" customHeight="1">
      <c r="A4361" t="s">
        <v>48</v>
      </c>
      <c r="B4361">
        <f t="shared" si="272"/>
        <v>33.712007999999997</v>
      </c>
      <c r="C4361">
        <f t="shared" si="273"/>
        <v>-117.84311</v>
      </c>
      <c r="D4361">
        <f t="shared" si="274"/>
        <v>62</v>
      </c>
      <c r="E4361">
        <v>105.499</v>
      </c>
      <c r="F4361">
        <f t="shared" si="275"/>
        <v>-43.498999999999995</v>
      </c>
      <c r="G4361">
        <v>39.232999999999997</v>
      </c>
      <c r="H4361">
        <v>1.3420000000000001</v>
      </c>
      <c r="I4361">
        <v>3.198</v>
      </c>
      <c r="J4361">
        <v>5</v>
      </c>
      <c r="K4361">
        <v>20</v>
      </c>
      <c r="L4361">
        <v>10</v>
      </c>
      <c r="M4361">
        <v>2.3580000000000001</v>
      </c>
    </row>
    <row r="4362" spans="1:13" ht="15" customHeight="1">
      <c r="A4362" t="s">
        <v>48</v>
      </c>
      <c r="B4362">
        <f t="shared" si="272"/>
        <v>33.712007999999997</v>
      </c>
      <c r="C4362">
        <f t="shared" si="273"/>
        <v>-117.84311</v>
      </c>
      <c r="D4362">
        <f t="shared" si="274"/>
        <v>62</v>
      </c>
      <c r="E4362">
        <v>106.499</v>
      </c>
      <c r="F4362">
        <f t="shared" si="275"/>
        <v>-44.498999999999995</v>
      </c>
      <c r="G4362">
        <v>287.66699999999997</v>
      </c>
      <c r="H4362">
        <v>3.1869999999999998</v>
      </c>
      <c r="I4362">
        <v>1.1060000000000001</v>
      </c>
      <c r="J4362">
        <v>9</v>
      </c>
      <c r="K4362">
        <v>55</v>
      </c>
      <c r="L4362">
        <v>28</v>
      </c>
      <c r="M4362" s="1">
        <v>9000000000</v>
      </c>
    </row>
    <row r="4363" spans="1:13" ht="15" customHeight="1">
      <c r="A4363" t="s">
        <v>48</v>
      </c>
      <c r="B4363">
        <f t="shared" si="272"/>
        <v>33.712007999999997</v>
      </c>
      <c r="C4363">
        <f t="shared" si="273"/>
        <v>-117.84311</v>
      </c>
      <c r="D4363">
        <f t="shared" si="274"/>
        <v>62</v>
      </c>
      <c r="E4363">
        <v>107.499</v>
      </c>
      <c r="F4363">
        <f t="shared" si="275"/>
        <v>-45.498999999999995</v>
      </c>
      <c r="G4363">
        <v>85.632999999999996</v>
      </c>
      <c r="H4363">
        <v>2.0680000000000001</v>
      </c>
      <c r="I4363">
        <v>2.42</v>
      </c>
      <c r="J4363">
        <v>7</v>
      </c>
      <c r="K4363">
        <v>27</v>
      </c>
      <c r="L4363">
        <v>14</v>
      </c>
      <c r="M4363" s="1">
        <v>9000000000</v>
      </c>
    </row>
    <row r="4364" spans="1:13" ht="15" customHeight="1">
      <c r="A4364" t="s">
        <v>48</v>
      </c>
      <c r="B4364">
        <f t="shared" si="272"/>
        <v>33.712007999999997</v>
      </c>
      <c r="C4364">
        <f t="shared" si="273"/>
        <v>-117.84311</v>
      </c>
      <c r="D4364">
        <f t="shared" si="274"/>
        <v>62</v>
      </c>
      <c r="E4364">
        <v>108.499</v>
      </c>
      <c r="F4364">
        <f t="shared" si="275"/>
        <v>-46.498999999999995</v>
      </c>
      <c r="G4364">
        <v>51.332999999999998</v>
      </c>
      <c r="H4364">
        <v>1.7849999999999999</v>
      </c>
      <c r="I4364">
        <v>3.4889999999999999</v>
      </c>
      <c r="J4364">
        <v>5</v>
      </c>
      <c r="K4364">
        <v>25</v>
      </c>
      <c r="L4364">
        <v>13</v>
      </c>
      <c r="M4364">
        <v>2.96</v>
      </c>
    </row>
    <row r="4365" spans="1:13" ht="15" customHeight="1">
      <c r="A4365" t="s">
        <v>48</v>
      </c>
      <c r="B4365">
        <f t="shared" si="272"/>
        <v>33.712007999999997</v>
      </c>
      <c r="C4365">
        <f t="shared" si="273"/>
        <v>-117.84311</v>
      </c>
      <c r="D4365">
        <f t="shared" si="274"/>
        <v>62</v>
      </c>
      <c r="E4365">
        <v>109.499</v>
      </c>
      <c r="F4365">
        <f t="shared" si="275"/>
        <v>-47.498999999999995</v>
      </c>
      <c r="G4365">
        <v>52.017000000000003</v>
      </c>
      <c r="H4365">
        <v>1.2949999999999999</v>
      </c>
      <c r="I4365">
        <v>2.4950000000000001</v>
      </c>
      <c r="J4365">
        <v>6</v>
      </c>
      <c r="K4365">
        <v>20</v>
      </c>
      <c r="L4365">
        <v>10</v>
      </c>
      <c r="M4365">
        <v>3.004</v>
      </c>
    </row>
    <row r="4366" spans="1:13" ht="15" customHeight="1">
      <c r="A4366" t="s">
        <v>48</v>
      </c>
      <c r="B4366">
        <f t="shared" si="272"/>
        <v>33.712007999999997</v>
      </c>
      <c r="C4366">
        <f t="shared" si="273"/>
        <v>-117.84311</v>
      </c>
      <c r="D4366">
        <f t="shared" si="274"/>
        <v>62</v>
      </c>
      <c r="E4366">
        <v>110.499</v>
      </c>
      <c r="F4366">
        <f t="shared" si="275"/>
        <v>-48.498999999999995</v>
      </c>
      <c r="G4366">
        <v>51.082999999999998</v>
      </c>
      <c r="H4366">
        <v>1.655</v>
      </c>
      <c r="I4366">
        <v>3.2469999999999999</v>
      </c>
      <c r="J4366">
        <v>5</v>
      </c>
      <c r="K4366">
        <v>24</v>
      </c>
      <c r="L4366">
        <v>12</v>
      </c>
      <c r="M4366">
        <v>2.9380000000000002</v>
      </c>
    </row>
    <row r="4367" spans="1:13" ht="15" customHeight="1">
      <c r="A4367" t="s">
        <v>48</v>
      </c>
      <c r="B4367">
        <f t="shared" si="272"/>
        <v>33.712007999999997</v>
      </c>
      <c r="C4367">
        <f t="shared" si="273"/>
        <v>-117.84311</v>
      </c>
      <c r="D4367">
        <f t="shared" si="274"/>
        <v>62</v>
      </c>
      <c r="E4367">
        <v>111.499</v>
      </c>
      <c r="F4367">
        <f t="shared" si="275"/>
        <v>-49.498999999999995</v>
      </c>
      <c r="G4367">
        <v>90.05</v>
      </c>
      <c r="H4367">
        <v>4.1319999999999997</v>
      </c>
      <c r="I4367">
        <v>4.5949999999999998</v>
      </c>
      <c r="J4367">
        <v>11</v>
      </c>
      <c r="K4367">
        <v>86</v>
      </c>
      <c r="L4367">
        <v>43</v>
      </c>
      <c r="M4367" s="1">
        <v>9000000000</v>
      </c>
    </row>
    <row r="4368" spans="1:13" ht="15" customHeight="1">
      <c r="A4368" t="s">
        <v>48</v>
      </c>
      <c r="B4368">
        <f t="shared" si="272"/>
        <v>33.712007999999997</v>
      </c>
      <c r="C4368">
        <f t="shared" si="273"/>
        <v>-117.84311</v>
      </c>
      <c r="D4368">
        <f t="shared" si="274"/>
        <v>62</v>
      </c>
      <c r="E4368">
        <v>112.499</v>
      </c>
      <c r="F4368">
        <f t="shared" si="275"/>
        <v>-50.498999999999995</v>
      </c>
      <c r="G4368">
        <v>105.833</v>
      </c>
      <c r="H4368">
        <v>3.665</v>
      </c>
      <c r="I4368">
        <v>3.4660000000000002</v>
      </c>
      <c r="J4368">
        <v>6</v>
      </c>
      <c r="K4368">
        <v>41</v>
      </c>
      <c r="L4368">
        <v>21</v>
      </c>
      <c r="M4368">
        <v>6.58</v>
      </c>
    </row>
    <row r="4369" spans="1:13" ht="15" customHeight="1">
      <c r="A4369" t="s">
        <v>48</v>
      </c>
      <c r="B4369">
        <f t="shared" si="272"/>
        <v>33.712007999999997</v>
      </c>
      <c r="C4369">
        <f t="shared" si="273"/>
        <v>-117.84311</v>
      </c>
      <c r="D4369">
        <f t="shared" si="274"/>
        <v>62</v>
      </c>
      <c r="E4369">
        <v>113.499</v>
      </c>
      <c r="F4369">
        <f t="shared" si="275"/>
        <v>-51.498999999999995</v>
      </c>
      <c r="G4369">
        <v>202.15</v>
      </c>
      <c r="H4369">
        <v>5.492</v>
      </c>
      <c r="I4369">
        <v>2.718</v>
      </c>
      <c r="J4369">
        <v>7</v>
      </c>
      <c r="K4369">
        <v>65</v>
      </c>
      <c r="L4369">
        <v>33</v>
      </c>
      <c r="M4369" s="1">
        <v>9000000000</v>
      </c>
    </row>
    <row r="4370" spans="1:13" ht="15" customHeight="1">
      <c r="A4370" t="s">
        <v>48</v>
      </c>
      <c r="B4370">
        <f t="shared" si="272"/>
        <v>33.712007999999997</v>
      </c>
      <c r="C4370">
        <f t="shared" si="273"/>
        <v>-117.84311</v>
      </c>
      <c r="D4370">
        <f t="shared" si="274"/>
        <v>62</v>
      </c>
      <c r="E4370">
        <v>114.499</v>
      </c>
      <c r="F4370">
        <f t="shared" si="275"/>
        <v>-52.498999999999995</v>
      </c>
      <c r="G4370">
        <v>136.214</v>
      </c>
      <c r="H4370">
        <v>4.694</v>
      </c>
      <c r="I4370">
        <v>3.4489999999999998</v>
      </c>
      <c r="J4370">
        <v>6</v>
      </c>
      <c r="K4370">
        <v>52</v>
      </c>
      <c r="L4370">
        <v>26</v>
      </c>
      <c r="M4370">
        <v>8.5980000000000008</v>
      </c>
    </row>
    <row r="4371" spans="1:13" ht="15" customHeight="1">
      <c r="A4371" t="s">
        <v>48</v>
      </c>
      <c r="B4371">
        <f t="shared" si="272"/>
        <v>33.712007999999997</v>
      </c>
      <c r="C4371">
        <f t="shared" si="273"/>
        <v>-117.84311</v>
      </c>
      <c r="D4371">
        <f t="shared" si="274"/>
        <v>62</v>
      </c>
      <c r="E4371">
        <v>115.499</v>
      </c>
      <c r="F4371">
        <f t="shared" si="275"/>
        <v>-53.498999999999995</v>
      </c>
      <c r="G4371">
        <v>62.716999999999999</v>
      </c>
      <c r="H4371">
        <v>2.125</v>
      </c>
      <c r="I4371">
        <v>3.395</v>
      </c>
      <c r="J4371">
        <v>5</v>
      </c>
      <c r="K4371">
        <v>30</v>
      </c>
      <c r="L4371">
        <v>15</v>
      </c>
      <c r="M4371">
        <v>3.6930000000000001</v>
      </c>
    </row>
    <row r="4372" spans="1:13" ht="15" customHeight="1">
      <c r="A4372" t="s">
        <v>48</v>
      </c>
      <c r="B4372">
        <f t="shared" si="272"/>
        <v>33.712007999999997</v>
      </c>
      <c r="C4372">
        <f t="shared" si="273"/>
        <v>-117.84311</v>
      </c>
      <c r="D4372">
        <f t="shared" si="274"/>
        <v>62</v>
      </c>
      <c r="E4372">
        <v>116.499</v>
      </c>
      <c r="F4372">
        <f t="shared" si="275"/>
        <v>-54.498999999999995</v>
      </c>
      <c r="G4372">
        <v>248.93299999999999</v>
      </c>
      <c r="H4372">
        <v>6.1429999999999998</v>
      </c>
      <c r="I4372">
        <v>2.4689999999999999</v>
      </c>
      <c r="J4372">
        <v>7</v>
      </c>
      <c r="K4372">
        <v>79</v>
      </c>
      <c r="L4372">
        <v>40</v>
      </c>
      <c r="M4372" s="1">
        <v>9000000000</v>
      </c>
    </row>
    <row r="4373" spans="1:13" ht="15" customHeight="1">
      <c r="A4373" t="s">
        <v>48</v>
      </c>
      <c r="B4373">
        <f t="shared" si="272"/>
        <v>33.712007999999997</v>
      </c>
      <c r="C4373">
        <f t="shared" si="273"/>
        <v>-117.84311</v>
      </c>
      <c r="D4373">
        <f t="shared" si="274"/>
        <v>62</v>
      </c>
      <c r="E4373">
        <v>117.498</v>
      </c>
      <c r="F4373">
        <f t="shared" si="275"/>
        <v>-55.498000000000005</v>
      </c>
      <c r="G4373">
        <v>98.15</v>
      </c>
      <c r="H4373">
        <v>5.2069999999999999</v>
      </c>
      <c r="I4373">
        <v>5.3109999999999999</v>
      </c>
      <c r="J4373">
        <v>11</v>
      </c>
      <c r="K4373">
        <v>94</v>
      </c>
      <c r="L4373">
        <v>47</v>
      </c>
      <c r="M4373" s="1">
        <v>9000000000</v>
      </c>
    </row>
    <row r="4374" spans="1:13" ht="15" customHeight="1">
      <c r="A4374" t="s">
        <v>48</v>
      </c>
      <c r="B4374">
        <f t="shared" si="272"/>
        <v>33.712007999999997</v>
      </c>
      <c r="C4374">
        <f t="shared" si="273"/>
        <v>-117.84311</v>
      </c>
      <c r="D4374">
        <f t="shared" si="274"/>
        <v>62</v>
      </c>
      <c r="E4374">
        <v>118.498</v>
      </c>
      <c r="F4374">
        <f t="shared" si="275"/>
        <v>-56.498000000000005</v>
      </c>
      <c r="G4374">
        <v>241.68299999999999</v>
      </c>
      <c r="H4374">
        <v>6.4749999999999996</v>
      </c>
      <c r="I4374">
        <v>2.681</v>
      </c>
      <c r="J4374">
        <v>7</v>
      </c>
      <c r="K4374">
        <v>77</v>
      </c>
      <c r="L4374">
        <v>39</v>
      </c>
      <c r="M4374" s="1">
        <v>9000000000</v>
      </c>
    </row>
    <row r="4375" spans="1:13" ht="15" customHeight="1">
      <c r="A4375" t="s">
        <v>48</v>
      </c>
      <c r="B4375">
        <f t="shared" si="272"/>
        <v>33.712007999999997</v>
      </c>
      <c r="C4375">
        <f t="shared" si="273"/>
        <v>-117.84311</v>
      </c>
      <c r="D4375">
        <f t="shared" si="274"/>
        <v>62</v>
      </c>
      <c r="E4375">
        <v>119.498</v>
      </c>
      <c r="F4375">
        <f t="shared" si="275"/>
        <v>-57.498000000000005</v>
      </c>
      <c r="G4375">
        <v>139.03299999999999</v>
      </c>
      <c r="H4375">
        <v>5.2880000000000003</v>
      </c>
      <c r="I4375">
        <v>3.8090000000000002</v>
      </c>
      <c r="J4375">
        <v>12</v>
      </c>
      <c r="K4375">
        <v>66</v>
      </c>
      <c r="L4375">
        <v>33</v>
      </c>
      <c r="M4375" s="1">
        <v>9000000000</v>
      </c>
    </row>
    <row r="4376" spans="1:13" ht="15" customHeight="1">
      <c r="A4376" t="s">
        <v>48</v>
      </c>
      <c r="B4376">
        <f t="shared" si="272"/>
        <v>33.712007999999997</v>
      </c>
      <c r="C4376">
        <f t="shared" si="273"/>
        <v>-117.84311</v>
      </c>
      <c r="D4376">
        <f t="shared" si="274"/>
        <v>62</v>
      </c>
      <c r="E4376">
        <v>120.498</v>
      </c>
      <c r="F4376">
        <f t="shared" si="275"/>
        <v>-58.498000000000005</v>
      </c>
      <c r="G4376">
        <v>169.6</v>
      </c>
      <c r="H4376">
        <v>5.7679999999999998</v>
      </c>
      <c r="I4376">
        <v>3.4049999999999998</v>
      </c>
      <c r="J4376">
        <v>6</v>
      </c>
      <c r="K4376">
        <v>65</v>
      </c>
      <c r="L4376">
        <v>33</v>
      </c>
      <c r="M4376">
        <v>10.791</v>
      </c>
    </row>
    <row r="4377" spans="1:13" ht="15" customHeight="1">
      <c r="A4377" t="s">
        <v>48</v>
      </c>
      <c r="B4377">
        <f t="shared" si="272"/>
        <v>33.712007999999997</v>
      </c>
      <c r="C4377">
        <f t="shared" si="273"/>
        <v>-117.84311</v>
      </c>
      <c r="D4377">
        <f t="shared" si="274"/>
        <v>62</v>
      </c>
      <c r="E4377">
        <v>121.498</v>
      </c>
      <c r="F4377">
        <f t="shared" si="275"/>
        <v>-59.498000000000005</v>
      </c>
      <c r="G4377">
        <v>272.33300000000003</v>
      </c>
      <c r="H4377">
        <v>5.6280000000000001</v>
      </c>
      <c r="I4377">
        <v>2.0680000000000001</v>
      </c>
      <c r="J4377">
        <v>8</v>
      </c>
      <c r="K4377">
        <v>65</v>
      </c>
      <c r="L4377">
        <v>33</v>
      </c>
      <c r="M4377" s="1">
        <v>9000000000</v>
      </c>
    </row>
    <row r="4378" spans="1:13" ht="15" customHeight="1">
      <c r="A4378" t="s">
        <v>48</v>
      </c>
      <c r="B4378">
        <f t="shared" si="272"/>
        <v>33.712007999999997</v>
      </c>
      <c r="C4378">
        <f t="shared" si="273"/>
        <v>-117.84311</v>
      </c>
      <c r="D4378">
        <f t="shared" si="274"/>
        <v>62</v>
      </c>
      <c r="E4378">
        <v>122.498</v>
      </c>
      <c r="F4378">
        <f t="shared" si="275"/>
        <v>-60.498000000000005</v>
      </c>
      <c r="G4378">
        <v>286.233</v>
      </c>
      <c r="H4378">
        <v>5.3019999999999996</v>
      </c>
      <c r="I4378">
        <v>1.853</v>
      </c>
      <c r="J4378">
        <v>8</v>
      </c>
      <c r="K4378">
        <v>68</v>
      </c>
      <c r="L4378">
        <v>34</v>
      </c>
      <c r="M4378" s="1">
        <v>9000000000</v>
      </c>
    </row>
    <row r="4379" spans="1:13" ht="15" customHeight="1">
      <c r="A4379" t="s">
        <v>48</v>
      </c>
      <c r="B4379">
        <f t="shared" si="272"/>
        <v>33.712007999999997</v>
      </c>
      <c r="C4379">
        <f t="shared" si="273"/>
        <v>-117.84311</v>
      </c>
      <c r="D4379">
        <f t="shared" si="274"/>
        <v>62</v>
      </c>
      <c r="E4379">
        <v>123.498</v>
      </c>
      <c r="F4379">
        <f t="shared" si="275"/>
        <v>-61.498000000000005</v>
      </c>
      <c r="G4379">
        <v>354.21699999999998</v>
      </c>
      <c r="H4379">
        <v>4.6929999999999996</v>
      </c>
      <c r="I4379">
        <v>1.325</v>
      </c>
      <c r="J4379">
        <v>9</v>
      </c>
      <c r="K4379">
        <v>68</v>
      </c>
      <c r="L4379">
        <v>34</v>
      </c>
      <c r="M4379" s="1">
        <v>9000000000</v>
      </c>
    </row>
    <row r="4380" spans="1:13" ht="15" customHeight="1">
      <c r="A4380" t="s">
        <v>48</v>
      </c>
      <c r="B4380">
        <f t="shared" si="272"/>
        <v>33.712007999999997</v>
      </c>
      <c r="C4380">
        <f t="shared" si="273"/>
        <v>-117.84311</v>
      </c>
      <c r="D4380">
        <f t="shared" si="274"/>
        <v>62</v>
      </c>
      <c r="E4380">
        <v>124.498</v>
      </c>
      <c r="F4380">
        <f t="shared" si="275"/>
        <v>-62.498000000000005</v>
      </c>
      <c r="G4380">
        <v>255.8</v>
      </c>
      <c r="H4380">
        <v>6.34</v>
      </c>
      <c r="I4380">
        <v>2.4790000000000001</v>
      </c>
      <c r="J4380">
        <v>7</v>
      </c>
      <c r="K4380">
        <v>82</v>
      </c>
      <c r="L4380">
        <v>41</v>
      </c>
      <c r="M4380" s="1">
        <v>9000000000</v>
      </c>
    </row>
    <row r="4381" spans="1:13" ht="15" customHeight="1">
      <c r="A4381" t="s">
        <v>49</v>
      </c>
      <c r="B4381">
        <f t="shared" si="272"/>
        <v>33.704600999999997</v>
      </c>
      <c r="C4381">
        <f t="shared" si="273"/>
        <v>-117.84863799999999</v>
      </c>
      <c r="D4381">
        <f t="shared" si="274"/>
        <v>49</v>
      </c>
      <c r="E4381">
        <v>0.5</v>
      </c>
      <c r="F4381">
        <f t="shared" si="275"/>
        <v>48.5</v>
      </c>
      <c r="G4381">
        <v>1.867</v>
      </c>
      <c r="H4381">
        <v>0.02</v>
      </c>
      <c r="I4381">
        <v>1.071</v>
      </c>
      <c r="J4381">
        <v>1</v>
      </c>
      <c r="K4381">
        <v>1</v>
      </c>
      <c r="L4381">
        <v>2</v>
      </c>
      <c r="M4381">
        <v>0.123</v>
      </c>
    </row>
    <row r="4382" spans="1:13" ht="15" customHeight="1">
      <c r="A4382" t="s">
        <v>49</v>
      </c>
      <c r="B4382">
        <f t="shared" si="272"/>
        <v>33.704600999999997</v>
      </c>
      <c r="C4382">
        <f t="shared" si="273"/>
        <v>-117.84863799999999</v>
      </c>
      <c r="D4382">
        <f t="shared" si="274"/>
        <v>49</v>
      </c>
      <c r="E4382">
        <v>1.5</v>
      </c>
      <c r="F4382">
        <f t="shared" si="275"/>
        <v>47.5</v>
      </c>
      <c r="G4382">
        <v>25.582999999999998</v>
      </c>
      <c r="H4382">
        <v>0.998</v>
      </c>
      <c r="I4382">
        <v>3.8820000000000001</v>
      </c>
      <c r="J4382">
        <v>4</v>
      </c>
      <c r="K4382">
        <v>16</v>
      </c>
      <c r="L4382">
        <v>24</v>
      </c>
      <c r="M4382">
        <v>1.7090000000000001</v>
      </c>
    </row>
    <row r="4383" spans="1:13" ht="15" customHeight="1">
      <c r="A4383" t="s">
        <v>49</v>
      </c>
      <c r="B4383">
        <f t="shared" si="272"/>
        <v>33.704600999999997</v>
      </c>
      <c r="C4383">
        <f t="shared" si="273"/>
        <v>-117.84863799999999</v>
      </c>
      <c r="D4383">
        <f t="shared" si="274"/>
        <v>49</v>
      </c>
      <c r="E4383">
        <v>2.5</v>
      </c>
      <c r="F4383">
        <f t="shared" si="275"/>
        <v>46.5</v>
      </c>
      <c r="G4383">
        <v>24.25</v>
      </c>
      <c r="H4383">
        <v>1.3480000000000001</v>
      </c>
      <c r="I4383">
        <v>5.56</v>
      </c>
      <c r="J4383">
        <v>3</v>
      </c>
      <c r="K4383">
        <v>23</v>
      </c>
      <c r="L4383">
        <v>35</v>
      </c>
      <c r="M4383">
        <v>1.607</v>
      </c>
    </row>
    <row r="4384" spans="1:13" ht="15" customHeight="1">
      <c r="A4384" t="s">
        <v>49</v>
      </c>
      <c r="B4384">
        <f t="shared" si="272"/>
        <v>33.704600999999997</v>
      </c>
      <c r="C4384">
        <f t="shared" si="273"/>
        <v>-117.84863799999999</v>
      </c>
      <c r="D4384">
        <f t="shared" si="274"/>
        <v>49</v>
      </c>
      <c r="E4384">
        <v>3.5</v>
      </c>
      <c r="F4384">
        <f t="shared" si="275"/>
        <v>45.5</v>
      </c>
      <c r="G4384">
        <v>9.4</v>
      </c>
      <c r="H4384">
        <v>0.5</v>
      </c>
      <c r="I4384">
        <v>5.319</v>
      </c>
      <c r="J4384">
        <v>3</v>
      </c>
      <c r="K4384">
        <v>9</v>
      </c>
      <c r="L4384">
        <v>14</v>
      </c>
      <c r="M4384">
        <v>0.61299999999999999</v>
      </c>
    </row>
    <row r="4385" spans="1:13" ht="15" customHeight="1">
      <c r="A4385" t="s">
        <v>49</v>
      </c>
      <c r="B4385">
        <f t="shared" si="272"/>
        <v>33.704600999999997</v>
      </c>
      <c r="C4385">
        <f t="shared" si="273"/>
        <v>-117.84863799999999</v>
      </c>
      <c r="D4385">
        <f t="shared" si="274"/>
        <v>49</v>
      </c>
      <c r="E4385">
        <v>4.5</v>
      </c>
      <c r="F4385">
        <f t="shared" si="275"/>
        <v>44.5</v>
      </c>
      <c r="G4385">
        <v>14.1</v>
      </c>
      <c r="H4385">
        <v>0.56699999999999995</v>
      </c>
      <c r="I4385">
        <v>4.0190000000000001</v>
      </c>
      <c r="J4385">
        <v>3</v>
      </c>
      <c r="K4385">
        <v>14</v>
      </c>
      <c r="L4385">
        <v>21</v>
      </c>
      <c r="M4385">
        <v>0.92200000000000004</v>
      </c>
    </row>
    <row r="4386" spans="1:13" ht="15" customHeight="1">
      <c r="A4386" t="s">
        <v>49</v>
      </c>
      <c r="B4386">
        <f t="shared" si="272"/>
        <v>33.704600999999997</v>
      </c>
      <c r="C4386">
        <f t="shared" si="273"/>
        <v>-117.84863799999999</v>
      </c>
      <c r="D4386">
        <f t="shared" si="274"/>
        <v>49</v>
      </c>
      <c r="E4386">
        <v>5.5</v>
      </c>
      <c r="F4386">
        <f t="shared" si="275"/>
        <v>43.5</v>
      </c>
      <c r="G4386">
        <v>11.516999999999999</v>
      </c>
      <c r="H4386">
        <v>0.45800000000000002</v>
      </c>
      <c r="I4386">
        <v>3.98</v>
      </c>
      <c r="J4386">
        <v>3</v>
      </c>
      <c r="K4386">
        <v>11</v>
      </c>
      <c r="L4386">
        <v>17</v>
      </c>
      <c r="M4386">
        <v>0.746</v>
      </c>
    </row>
    <row r="4387" spans="1:13" ht="15" customHeight="1">
      <c r="A4387" t="s">
        <v>49</v>
      </c>
      <c r="B4387">
        <f t="shared" si="272"/>
        <v>33.704600999999997</v>
      </c>
      <c r="C4387">
        <f t="shared" si="273"/>
        <v>-117.84863799999999</v>
      </c>
      <c r="D4387">
        <f t="shared" si="274"/>
        <v>49</v>
      </c>
      <c r="E4387">
        <v>6.5</v>
      </c>
      <c r="F4387">
        <f t="shared" si="275"/>
        <v>42.5</v>
      </c>
      <c r="G4387">
        <v>20.067</v>
      </c>
      <c r="H4387">
        <v>0.67200000000000004</v>
      </c>
      <c r="I4387">
        <v>3.3530000000000002</v>
      </c>
      <c r="J4387">
        <v>5</v>
      </c>
      <c r="K4387">
        <v>10</v>
      </c>
      <c r="L4387">
        <v>15</v>
      </c>
      <c r="M4387">
        <v>1.31</v>
      </c>
    </row>
    <row r="4388" spans="1:13" ht="15" customHeight="1">
      <c r="A4388" t="s">
        <v>49</v>
      </c>
      <c r="B4388">
        <f t="shared" si="272"/>
        <v>33.704600999999997</v>
      </c>
      <c r="C4388">
        <f t="shared" si="273"/>
        <v>-117.84863799999999</v>
      </c>
      <c r="D4388">
        <f t="shared" si="274"/>
        <v>49</v>
      </c>
      <c r="E4388">
        <v>7.5</v>
      </c>
      <c r="F4388">
        <f t="shared" si="275"/>
        <v>41.5</v>
      </c>
      <c r="G4388">
        <v>16.667000000000002</v>
      </c>
      <c r="H4388">
        <v>0.55800000000000005</v>
      </c>
      <c r="I4388">
        <v>3.35</v>
      </c>
      <c r="J4388">
        <v>4</v>
      </c>
      <c r="K4388">
        <v>11</v>
      </c>
      <c r="L4388">
        <v>17</v>
      </c>
      <c r="M4388">
        <v>1.081</v>
      </c>
    </row>
    <row r="4389" spans="1:13" ht="15" customHeight="1">
      <c r="A4389" t="s">
        <v>49</v>
      </c>
      <c r="B4389">
        <f t="shared" si="272"/>
        <v>33.704600999999997</v>
      </c>
      <c r="C4389">
        <f t="shared" si="273"/>
        <v>-117.84863799999999</v>
      </c>
      <c r="D4389">
        <f t="shared" si="274"/>
        <v>49</v>
      </c>
      <c r="E4389">
        <v>8.5</v>
      </c>
      <c r="F4389">
        <f t="shared" si="275"/>
        <v>40.5</v>
      </c>
      <c r="G4389">
        <v>12.933</v>
      </c>
      <c r="H4389">
        <v>0.435</v>
      </c>
      <c r="I4389">
        <v>3.363</v>
      </c>
      <c r="J4389">
        <v>4</v>
      </c>
      <c r="K4389">
        <v>8</v>
      </c>
      <c r="L4389">
        <v>12</v>
      </c>
      <c r="M4389">
        <v>0.82799999999999996</v>
      </c>
    </row>
    <row r="4390" spans="1:13" ht="15" customHeight="1">
      <c r="A4390" t="s">
        <v>49</v>
      </c>
      <c r="B4390">
        <f t="shared" si="272"/>
        <v>33.704600999999997</v>
      </c>
      <c r="C4390">
        <f t="shared" si="273"/>
        <v>-117.84863799999999</v>
      </c>
      <c r="D4390">
        <f t="shared" si="274"/>
        <v>49</v>
      </c>
      <c r="E4390">
        <v>9.5</v>
      </c>
      <c r="F4390">
        <f t="shared" si="275"/>
        <v>39.5</v>
      </c>
      <c r="G4390">
        <v>9.3829999999999991</v>
      </c>
      <c r="H4390">
        <v>0.308</v>
      </c>
      <c r="I4390">
        <v>3.286</v>
      </c>
      <c r="J4390">
        <v>3</v>
      </c>
      <c r="K4390">
        <v>9</v>
      </c>
      <c r="L4390">
        <v>14</v>
      </c>
      <c r="M4390">
        <v>0.58799999999999997</v>
      </c>
    </row>
    <row r="4391" spans="1:13" ht="15" customHeight="1">
      <c r="A4391" t="s">
        <v>49</v>
      </c>
      <c r="B4391">
        <f t="shared" si="272"/>
        <v>33.704600999999997</v>
      </c>
      <c r="C4391">
        <f t="shared" si="273"/>
        <v>-117.84863799999999</v>
      </c>
      <c r="D4391">
        <f t="shared" si="274"/>
        <v>49</v>
      </c>
      <c r="E4391">
        <v>10.5</v>
      </c>
      <c r="F4391">
        <f t="shared" si="275"/>
        <v>38.5</v>
      </c>
      <c r="G4391">
        <v>9.4</v>
      </c>
      <c r="H4391">
        <v>0.34100000000000003</v>
      </c>
      <c r="I4391">
        <v>3.6269999999999998</v>
      </c>
      <c r="J4391">
        <v>3</v>
      </c>
      <c r="K4391">
        <v>9</v>
      </c>
      <c r="L4391">
        <v>13</v>
      </c>
      <c r="M4391">
        <v>0.58599999999999997</v>
      </c>
    </row>
    <row r="4392" spans="1:13" ht="15" customHeight="1">
      <c r="A4392" t="s">
        <v>49</v>
      </c>
      <c r="B4392">
        <f t="shared" si="272"/>
        <v>33.704600999999997</v>
      </c>
      <c r="C4392">
        <f t="shared" si="273"/>
        <v>-117.84863799999999</v>
      </c>
      <c r="D4392">
        <f t="shared" si="274"/>
        <v>49</v>
      </c>
      <c r="E4392">
        <v>11.5</v>
      </c>
      <c r="F4392">
        <f t="shared" si="275"/>
        <v>37.5</v>
      </c>
      <c r="G4392">
        <v>9.5670000000000002</v>
      </c>
      <c r="H4392">
        <v>0.377</v>
      </c>
      <c r="I4392">
        <v>3.9369999999999998</v>
      </c>
      <c r="J4392">
        <v>3</v>
      </c>
      <c r="K4392">
        <v>9</v>
      </c>
      <c r="L4392">
        <v>12</v>
      </c>
      <c r="M4392">
        <v>0.59199999999999997</v>
      </c>
    </row>
    <row r="4393" spans="1:13" ht="15" customHeight="1">
      <c r="A4393" t="s">
        <v>49</v>
      </c>
      <c r="B4393">
        <f t="shared" si="272"/>
        <v>33.704600999999997</v>
      </c>
      <c r="C4393">
        <f t="shared" si="273"/>
        <v>-117.84863799999999</v>
      </c>
      <c r="D4393">
        <f t="shared" si="274"/>
        <v>49</v>
      </c>
      <c r="E4393">
        <v>12.5</v>
      </c>
      <c r="F4393">
        <f t="shared" si="275"/>
        <v>36.5</v>
      </c>
      <c r="G4393">
        <v>7</v>
      </c>
      <c r="H4393">
        <v>0.222</v>
      </c>
      <c r="I4393">
        <v>3.1669999999999998</v>
      </c>
      <c r="J4393">
        <v>3</v>
      </c>
      <c r="K4393">
        <v>7</v>
      </c>
      <c r="L4393">
        <v>9</v>
      </c>
      <c r="M4393">
        <v>0.41699999999999998</v>
      </c>
    </row>
    <row r="4394" spans="1:13" ht="15" customHeight="1">
      <c r="A4394" t="s">
        <v>49</v>
      </c>
      <c r="B4394">
        <f t="shared" si="272"/>
        <v>33.704600999999997</v>
      </c>
      <c r="C4394">
        <f t="shared" si="273"/>
        <v>-117.84863799999999</v>
      </c>
      <c r="D4394">
        <f t="shared" si="274"/>
        <v>49</v>
      </c>
      <c r="E4394">
        <v>13.5</v>
      </c>
      <c r="F4394">
        <f t="shared" si="275"/>
        <v>35.5</v>
      </c>
      <c r="G4394">
        <v>8.4499999999999993</v>
      </c>
      <c r="H4394">
        <v>0.22700000000000001</v>
      </c>
      <c r="I4394">
        <v>2.6819999999999999</v>
      </c>
      <c r="J4394">
        <v>4</v>
      </c>
      <c r="K4394">
        <v>5</v>
      </c>
      <c r="L4394">
        <v>6</v>
      </c>
      <c r="M4394">
        <v>0.50900000000000001</v>
      </c>
    </row>
    <row r="4395" spans="1:13" ht="15" customHeight="1">
      <c r="A4395" t="s">
        <v>49</v>
      </c>
      <c r="B4395">
        <f t="shared" si="272"/>
        <v>33.704600999999997</v>
      </c>
      <c r="C4395">
        <f t="shared" si="273"/>
        <v>-117.84863799999999</v>
      </c>
      <c r="D4395">
        <f t="shared" si="274"/>
        <v>49</v>
      </c>
      <c r="E4395">
        <v>14.5</v>
      </c>
      <c r="F4395">
        <f t="shared" si="275"/>
        <v>34.5</v>
      </c>
      <c r="G4395">
        <v>7.4669999999999996</v>
      </c>
      <c r="H4395">
        <v>0.115</v>
      </c>
      <c r="I4395">
        <v>1.54</v>
      </c>
      <c r="J4395">
        <v>5</v>
      </c>
      <c r="K4395">
        <v>4</v>
      </c>
      <c r="L4395">
        <v>4</v>
      </c>
      <c r="M4395">
        <v>0.44</v>
      </c>
    </row>
    <row r="4396" spans="1:13" ht="15" customHeight="1">
      <c r="A4396" t="s">
        <v>49</v>
      </c>
      <c r="B4396">
        <f t="shared" si="272"/>
        <v>33.704600999999997</v>
      </c>
      <c r="C4396">
        <f t="shared" si="273"/>
        <v>-117.84863799999999</v>
      </c>
      <c r="D4396">
        <f t="shared" si="274"/>
        <v>49</v>
      </c>
      <c r="E4396">
        <v>15.5</v>
      </c>
      <c r="F4396">
        <f t="shared" si="275"/>
        <v>33.5</v>
      </c>
      <c r="G4396">
        <v>15.05</v>
      </c>
      <c r="H4396">
        <v>0.378</v>
      </c>
      <c r="I4396">
        <v>2.5110000000000001</v>
      </c>
      <c r="J4396">
        <v>5</v>
      </c>
      <c r="K4396">
        <v>7</v>
      </c>
      <c r="L4396">
        <v>7</v>
      </c>
      <c r="M4396">
        <v>0.94199999999999995</v>
      </c>
    </row>
    <row r="4397" spans="1:13" ht="15" customHeight="1">
      <c r="A4397" t="s">
        <v>49</v>
      </c>
      <c r="B4397">
        <f t="shared" si="272"/>
        <v>33.704600999999997</v>
      </c>
      <c r="C4397">
        <f t="shared" si="273"/>
        <v>-117.84863799999999</v>
      </c>
      <c r="D4397">
        <f t="shared" si="274"/>
        <v>49</v>
      </c>
      <c r="E4397">
        <v>16.5</v>
      </c>
      <c r="F4397">
        <f t="shared" si="275"/>
        <v>32.5</v>
      </c>
      <c r="G4397">
        <v>8.2170000000000005</v>
      </c>
      <c r="H4397">
        <v>0.28299999999999997</v>
      </c>
      <c r="I4397">
        <v>3.4340000000000002</v>
      </c>
      <c r="J4397">
        <v>3</v>
      </c>
      <c r="K4397">
        <v>8</v>
      </c>
      <c r="L4397">
        <v>8</v>
      </c>
      <c r="M4397">
        <v>0.48399999999999999</v>
      </c>
    </row>
    <row r="4398" spans="1:13" ht="15" customHeight="1">
      <c r="A4398" t="s">
        <v>49</v>
      </c>
      <c r="B4398">
        <f t="shared" si="272"/>
        <v>33.704600999999997</v>
      </c>
      <c r="C4398">
        <f t="shared" si="273"/>
        <v>-117.84863799999999</v>
      </c>
      <c r="D4398">
        <f t="shared" si="274"/>
        <v>49</v>
      </c>
      <c r="E4398">
        <v>17.5</v>
      </c>
      <c r="F4398">
        <f t="shared" si="275"/>
        <v>31.5</v>
      </c>
      <c r="G4398">
        <v>18.533000000000001</v>
      </c>
      <c r="H4398">
        <v>0.17199999999999999</v>
      </c>
      <c r="I4398">
        <v>0.92700000000000005</v>
      </c>
      <c r="J4398">
        <v>6</v>
      </c>
      <c r="K4398">
        <v>7</v>
      </c>
      <c r="L4398">
        <v>7</v>
      </c>
      <c r="M4398">
        <v>1.1639999999999999</v>
      </c>
    </row>
    <row r="4399" spans="1:13" ht="15" customHeight="1">
      <c r="A4399" t="s">
        <v>49</v>
      </c>
      <c r="B4399">
        <f t="shared" si="272"/>
        <v>33.704600999999997</v>
      </c>
      <c r="C4399">
        <f t="shared" si="273"/>
        <v>-117.84863799999999</v>
      </c>
      <c r="D4399">
        <f t="shared" si="274"/>
        <v>49</v>
      </c>
      <c r="E4399">
        <v>18.5</v>
      </c>
      <c r="F4399">
        <f t="shared" si="275"/>
        <v>30.5</v>
      </c>
      <c r="G4399">
        <v>9.9830000000000005</v>
      </c>
      <c r="H4399">
        <v>0.36699999999999999</v>
      </c>
      <c r="I4399">
        <v>3.6909999999999998</v>
      </c>
      <c r="J4399">
        <v>3</v>
      </c>
      <c r="K4399">
        <v>10</v>
      </c>
      <c r="L4399">
        <v>9</v>
      </c>
      <c r="M4399">
        <v>0.58799999999999997</v>
      </c>
    </row>
    <row r="4400" spans="1:13" ht="15" customHeight="1">
      <c r="A4400" t="s">
        <v>49</v>
      </c>
      <c r="B4400">
        <f t="shared" si="272"/>
        <v>33.704600999999997</v>
      </c>
      <c r="C4400">
        <f t="shared" si="273"/>
        <v>-117.84863799999999</v>
      </c>
      <c r="D4400">
        <f t="shared" si="274"/>
        <v>49</v>
      </c>
      <c r="E4400">
        <v>19.5</v>
      </c>
      <c r="F4400">
        <f t="shared" si="275"/>
        <v>29.5</v>
      </c>
      <c r="G4400">
        <v>23.367000000000001</v>
      </c>
      <c r="H4400">
        <v>1.0620000000000001</v>
      </c>
      <c r="I4400">
        <v>4.5599999999999996</v>
      </c>
      <c r="J4400">
        <v>3</v>
      </c>
      <c r="K4400">
        <v>22</v>
      </c>
      <c r="L4400">
        <v>19</v>
      </c>
      <c r="M4400">
        <v>1.474</v>
      </c>
    </row>
    <row r="4401" spans="1:13" ht="15" customHeight="1">
      <c r="A4401" t="s">
        <v>49</v>
      </c>
      <c r="B4401">
        <f t="shared" si="272"/>
        <v>33.704600999999997</v>
      </c>
      <c r="C4401">
        <f t="shared" si="273"/>
        <v>-117.84863799999999</v>
      </c>
      <c r="D4401">
        <f t="shared" si="274"/>
        <v>49</v>
      </c>
      <c r="E4401">
        <v>20.5</v>
      </c>
      <c r="F4401">
        <f t="shared" si="275"/>
        <v>28.5</v>
      </c>
      <c r="G4401">
        <v>29.443000000000001</v>
      </c>
      <c r="H4401">
        <v>1.57</v>
      </c>
      <c r="I4401">
        <v>5.34</v>
      </c>
      <c r="J4401">
        <v>3</v>
      </c>
      <c r="K4401">
        <v>28</v>
      </c>
      <c r="L4401">
        <v>24</v>
      </c>
      <c r="M4401">
        <v>1.8779999999999999</v>
      </c>
    </row>
    <row r="4402" spans="1:13" ht="15" customHeight="1">
      <c r="A4402" t="s">
        <v>49</v>
      </c>
      <c r="B4402">
        <f t="shared" si="272"/>
        <v>33.704600999999997</v>
      </c>
      <c r="C4402">
        <f t="shared" si="273"/>
        <v>-117.84863799999999</v>
      </c>
      <c r="D4402">
        <f t="shared" si="274"/>
        <v>49</v>
      </c>
      <c r="E4402">
        <v>21.5</v>
      </c>
      <c r="F4402">
        <f t="shared" si="275"/>
        <v>27.5</v>
      </c>
      <c r="G4402">
        <v>28.2</v>
      </c>
      <c r="H4402">
        <v>1.153</v>
      </c>
      <c r="I4402">
        <v>4.0970000000000004</v>
      </c>
      <c r="J4402">
        <v>4</v>
      </c>
      <c r="K4402">
        <v>18</v>
      </c>
      <c r="L4402">
        <v>15</v>
      </c>
      <c r="M4402">
        <v>1.79</v>
      </c>
    </row>
    <row r="4403" spans="1:13" ht="15" customHeight="1">
      <c r="A4403" t="s">
        <v>49</v>
      </c>
      <c r="B4403">
        <f t="shared" si="272"/>
        <v>33.704600999999997</v>
      </c>
      <c r="C4403">
        <f t="shared" si="273"/>
        <v>-117.84863799999999</v>
      </c>
      <c r="D4403">
        <f t="shared" si="274"/>
        <v>49</v>
      </c>
      <c r="E4403">
        <v>22.5</v>
      </c>
      <c r="F4403">
        <f t="shared" si="275"/>
        <v>26.5</v>
      </c>
      <c r="G4403">
        <v>88.966999999999999</v>
      </c>
      <c r="H4403">
        <v>3.9319999999999999</v>
      </c>
      <c r="I4403">
        <v>4.4210000000000003</v>
      </c>
      <c r="J4403">
        <v>11</v>
      </c>
      <c r="K4403">
        <v>85</v>
      </c>
      <c r="L4403">
        <v>67</v>
      </c>
      <c r="M4403" s="1">
        <v>9000000000</v>
      </c>
    </row>
    <row r="4404" spans="1:13" ht="15" customHeight="1">
      <c r="A4404" t="s">
        <v>49</v>
      </c>
      <c r="B4404">
        <f t="shared" si="272"/>
        <v>33.704600999999997</v>
      </c>
      <c r="C4404">
        <f t="shared" si="273"/>
        <v>-117.84863799999999</v>
      </c>
      <c r="D4404">
        <f t="shared" si="274"/>
        <v>49</v>
      </c>
      <c r="E4404">
        <v>23.5</v>
      </c>
      <c r="F4404">
        <f t="shared" si="275"/>
        <v>25.5</v>
      </c>
      <c r="G4404">
        <v>59.033000000000001</v>
      </c>
      <c r="H4404">
        <v>1.8120000000000001</v>
      </c>
      <c r="I4404">
        <v>3.07</v>
      </c>
      <c r="J4404">
        <v>6</v>
      </c>
      <c r="K4404">
        <v>23</v>
      </c>
      <c r="L4404">
        <v>17</v>
      </c>
      <c r="M4404">
        <v>3.839</v>
      </c>
    </row>
    <row r="4405" spans="1:13" ht="15" customHeight="1">
      <c r="A4405" t="s">
        <v>49</v>
      </c>
      <c r="B4405">
        <f t="shared" si="272"/>
        <v>33.704600999999997</v>
      </c>
      <c r="C4405">
        <f t="shared" si="273"/>
        <v>-117.84863799999999</v>
      </c>
      <c r="D4405">
        <f t="shared" si="274"/>
        <v>49</v>
      </c>
      <c r="E4405">
        <v>24.5</v>
      </c>
      <c r="F4405">
        <f t="shared" si="275"/>
        <v>24.5</v>
      </c>
      <c r="G4405">
        <v>48.9</v>
      </c>
      <c r="H4405">
        <v>1.59</v>
      </c>
      <c r="I4405">
        <v>3.2519999999999998</v>
      </c>
      <c r="J4405">
        <v>5</v>
      </c>
      <c r="K4405">
        <v>23</v>
      </c>
      <c r="L4405">
        <v>17</v>
      </c>
      <c r="M4405">
        <v>3.161</v>
      </c>
    </row>
    <row r="4406" spans="1:13" ht="15" customHeight="1">
      <c r="A4406" t="s">
        <v>49</v>
      </c>
      <c r="B4406">
        <f t="shared" si="272"/>
        <v>33.704600999999997</v>
      </c>
      <c r="C4406">
        <f t="shared" si="273"/>
        <v>-117.84863799999999</v>
      </c>
      <c r="D4406">
        <f t="shared" si="274"/>
        <v>49</v>
      </c>
      <c r="E4406">
        <v>25.5</v>
      </c>
      <c r="F4406">
        <f t="shared" si="275"/>
        <v>23.5</v>
      </c>
      <c r="G4406">
        <v>50.767000000000003</v>
      </c>
      <c r="H4406">
        <v>1.9670000000000001</v>
      </c>
      <c r="I4406">
        <v>3.875</v>
      </c>
      <c r="J4406">
        <v>5</v>
      </c>
      <c r="K4406">
        <v>24</v>
      </c>
      <c r="L4406">
        <v>17</v>
      </c>
      <c r="M4406">
        <v>3.28</v>
      </c>
    </row>
    <row r="4407" spans="1:13" ht="15" customHeight="1">
      <c r="A4407" t="s">
        <v>49</v>
      </c>
      <c r="B4407">
        <f t="shared" si="272"/>
        <v>33.704600999999997</v>
      </c>
      <c r="C4407">
        <f t="shared" si="273"/>
        <v>-117.84863799999999</v>
      </c>
      <c r="D4407">
        <f t="shared" si="274"/>
        <v>49</v>
      </c>
      <c r="E4407">
        <v>26.5</v>
      </c>
      <c r="F4407">
        <f t="shared" si="275"/>
        <v>22.5</v>
      </c>
      <c r="G4407">
        <v>39.15</v>
      </c>
      <c r="H4407">
        <v>1.91</v>
      </c>
      <c r="I4407">
        <v>4.8890000000000002</v>
      </c>
      <c r="J4407">
        <v>3</v>
      </c>
      <c r="K4407">
        <v>37</v>
      </c>
      <c r="L4407">
        <v>26</v>
      </c>
      <c r="M4407">
        <v>2.4969999999999999</v>
      </c>
    </row>
    <row r="4408" spans="1:13" ht="15" customHeight="1">
      <c r="A4408" t="s">
        <v>49</v>
      </c>
      <c r="B4408">
        <f t="shared" si="272"/>
        <v>33.704600999999997</v>
      </c>
      <c r="C4408">
        <f t="shared" si="273"/>
        <v>-117.84863799999999</v>
      </c>
      <c r="D4408">
        <f t="shared" si="274"/>
        <v>49</v>
      </c>
      <c r="E4408">
        <v>27.5</v>
      </c>
      <c r="F4408">
        <f t="shared" si="275"/>
        <v>21.5</v>
      </c>
      <c r="G4408">
        <v>21.65</v>
      </c>
      <c r="H4408">
        <v>0.80200000000000005</v>
      </c>
      <c r="I4408">
        <v>3.714</v>
      </c>
      <c r="J4408">
        <v>4</v>
      </c>
      <c r="K4408">
        <v>14</v>
      </c>
      <c r="L4408">
        <v>10</v>
      </c>
      <c r="M4408">
        <v>1.327</v>
      </c>
    </row>
    <row r="4409" spans="1:13" ht="15" customHeight="1">
      <c r="A4409" t="s">
        <v>49</v>
      </c>
      <c r="B4409">
        <f t="shared" si="272"/>
        <v>33.704600999999997</v>
      </c>
      <c r="C4409">
        <f t="shared" si="273"/>
        <v>-117.84863799999999</v>
      </c>
      <c r="D4409">
        <f t="shared" si="274"/>
        <v>49</v>
      </c>
      <c r="E4409">
        <v>28.5</v>
      </c>
      <c r="F4409">
        <f t="shared" si="275"/>
        <v>20.5</v>
      </c>
      <c r="G4409">
        <v>26.167000000000002</v>
      </c>
      <c r="H4409">
        <v>1.01</v>
      </c>
      <c r="I4409">
        <v>3.87</v>
      </c>
      <c r="J4409">
        <v>4</v>
      </c>
      <c r="K4409">
        <v>17</v>
      </c>
      <c r="L4409">
        <v>12</v>
      </c>
      <c r="M4409">
        <v>1.6240000000000001</v>
      </c>
    </row>
    <row r="4410" spans="1:13" ht="15" customHeight="1">
      <c r="A4410" t="s">
        <v>49</v>
      </c>
      <c r="B4410">
        <f t="shared" si="272"/>
        <v>33.704600999999997</v>
      </c>
      <c r="C4410">
        <f t="shared" si="273"/>
        <v>-117.84863799999999</v>
      </c>
      <c r="D4410">
        <f t="shared" si="274"/>
        <v>49</v>
      </c>
      <c r="E4410">
        <v>29.5</v>
      </c>
      <c r="F4410">
        <f t="shared" si="275"/>
        <v>19.5</v>
      </c>
      <c r="G4410">
        <v>69.766999999999996</v>
      </c>
      <c r="H4410">
        <v>2.5169999999999999</v>
      </c>
      <c r="I4410">
        <v>3.6120000000000001</v>
      </c>
      <c r="J4410">
        <v>5</v>
      </c>
      <c r="K4410">
        <v>33</v>
      </c>
      <c r="L4410">
        <v>22</v>
      </c>
      <c r="M4410">
        <v>4.5250000000000004</v>
      </c>
    </row>
    <row r="4411" spans="1:13" ht="15" customHeight="1">
      <c r="A4411" t="s">
        <v>49</v>
      </c>
      <c r="B4411">
        <f t="shared" si="272"/>
        <v>33.704600999999997</v>
      </c>
      <c r="C4411">
        <f t="shared" si="273"/>
        <v>-117.84863799999999</v>
      </c>
      <c r="D4411">
        <f t="shared" si="274"/>
        <v>49</v>
      </c>
      <c r="E4411">
        <v>30.5</v>
      </c>
      <c r="F4411">
        <f t="shared" si="275"/>
        <v>18.5</v>
      </c>
      <c r="G4411">
        <v>52.832999999999998</v>
      </c>
      <c r="H4411">
        <v>2.548</v>
      </c>
      <c r="I4411">
        <v>4.8319999999999999</v>
      </c>
      <c r="J4411">
        <v>4</v>
      </c>
      <c r="K4411">
        <v>34</v>
      </c>
      <c r="L4411">
        <v>23</v>
      </c>
      <c r="M4411">
        <v>3.391</v>
      </c>
    </row>
    <row r="4412" spans="1:13" ht="15" customHeight="1">
      <c r="A4412" t="s">
        <v>49</v>
      </c>
      <c r="B4412">
        <f t="shared" si="272"/>
        <v>33.704600999999997</v>
      </c>
      <c r="C4412">
        <f t="shared" si="273"/>
        <v>-117.84863799999999</v>
      </c>
      <c r="D4412">
        <f t="shared" si="274"/>
        <v>49</v>
      </c>
      <c r="E4412">
        <v>31.5</v>
      </c>
      <c r="F4412">
        <f t="shared" si="275"/>
        <v>17.5</v>
      </c>
      <c r="G4412">
        <v>46.6</v>
      </c>
      <c r="H4412">
        <v>2.1469999999999998</v>
      </c>
      <c r="I4412">
        <v>4.6180000000000003</v>
      </c>
      <c r="J4412">
        <v>4</v>
      </c>
      <c r="K4412">
        <v>30</v>
      </c>
      <c r="L4412">
        <v>20</v>
      </c>
      <c r="M4412">
        <v>2.972</v>
      </c>
    </row>
    <row r="4413" spans="1:13" ht="15" customHeight="1">
      <c r="A4413" t="s">
        <v>49</v>
      </c>
      <c r="B4413">
        <f t="shared" si="272"/>
        <v>33.704600999999997</v>
      </c>
      <c r="C4413">
        <f t="shared" si="273"/>
        <v>-117.84863799999999</v>
      </c>
      <c r="D4413">
        <f t="shared" si="274"/>
        <v>49</v>
      </c>
      <c r="E4413">
        <v>32.5</v>
      </c>
      <c r="F4413">
        <f t="shared" si="275"/>
        <v>16.5</v>
      </c>
      <c r="G4413">
        <v>50.067</v>
      </c>
      <c r="H4413">
        <v>2.2919999999999998</v>
      </c>
      <c r="I4413">
        <v>4.5830000000000002</v>
      </c>
      <c r="J4413">
        <v>4</v>
      </c>
      <c r="K4413">
        <v>32</v>
      </c>
      <c r="L4413">
        <v>21</v>
      </c>
      <c r="M4413">
        <v>3.2010000000000001</v>
      </c>
    </row>
    <row r="4414" spans="1:13" ht="15" customHeight="1">
      <c r="A4414" t="s">
        <v>49</v>
      </c>
      <c r="B4414">
        <f t="shared" si="272"/>
        <v>33.704600999999997</v>
      </c>
      <c r="C4414">
        <f t="shared" si="273"/>
        <v>-117.84863799999999</v>
      </c>
      <c r="D4414">
        <f t="shared" si="274"/>
        <v>49</v>
      </c>
      <c r="E4414">
        <v>33.5</v>
      </c>
      <c r="F4414">
        <f t="shared" si="275"/>
        <v>15.5</v>
      </c>
      <c r="G4414">
        <v>81.566999999999993</v>
      </c>
      <c r="H4414">
        <v>4.53</v>
      </c>
      <c r="I4414">
        <v>5.5590000000000002</v>
      </c>
      <c r="J4414">
        <v>11</v>
      </c>
      <c r="K4414">
        <v>78</v>
      </c>
      <c r="L4414">
        <v>50</v>
      </c>
      <c r="M4414" s="1">
        <v>9000000000</v>
      </c>
    </row>
    <row r="4415" spans="1:13" ht="15" customHeight="1">
      <c r="A4415" t="s">
        <v>49</v>
      </c>
      <c r="B4415">
        <f t="shared" si="272"/>
        <v>33.704600999999997</v>
      </c>
      <c r="C4415">
        <f t="shared" si="273"/>
        <v>-117.84863799999999</v>
      </c>
      <c r="D4415">
        <f t="shared" si="274"/>
        <v>49</v>
      </c>
      <c r="E4415">
        <v>34.5</v>
      </c>
      <c r="F4415">
        <f t="shared" si="275"/>
        <v>14.5</v>
      </c>
      <c r="G4415">
        <v>195.167</v>
      </c>
      <c r="H4415">
        <v>3.0529999999999999</v>
      </c>
      <c r="I4415">
        <v>1.5649999999999999</v>
      </c>
      <c r="J4415">
        <v>8</v>
      </c>
      <c r="K4415">
        <v>47</v>
      </c>
      <c r="L4415">
        <v>30</v>
      </c>
      <c r="M4415" s="1">
        <v>9000000000</v>
      </c>
    </row>
    <row r="4416" spans="1:13" ht="15" customHeight="1">
      <c r="A4416" t="s">
        <v>49</v>
      </c>
      <c r="B4416">
        <f t="shared" si="272"/>
        <v>33.704600999999997</v>
      </c>
      <c r="C4416">
        <f t="shared" si="273"/>
        <v>-117.84863799999999</v>
      </c>
      <c r="D4416">
        <f t="shared" si="274"/>
        <v>49</v>
      </c>
      <c r="E4416">
        <v>35.5</v>
      </c>
      <c r="F4416">
        <f t="shared" si="275"/>
        <v>13.5</v>
      </c>
      <c r="G4416">
        <v>182.35</v>
      </c>
      <c r="H4416">
        <v>4.4800000000000004</v>
      </c>
      <c r="I4416">
        <v>2.4580000000000002</v>
      </c>
      <c r="J4416">
        <v>7</v>
      </c>
      <c r="K4416">
        <v>58</v>
      </c>
      <c r="L4416">
        <v>36</v>
      </c>
      <c r="M4416" s="1">
        <v>9000000000</v>
      </c>
    </row>
    <row r="4417" spans="1:13" ht="15" customHeight="1">
      <c r="A4417" t="s">
        <v>49</v>
      </c>
      <c r="B4417">
        <f t="shared" si="272"/>
        <v>33.704600999999997</v>
      </c>
      <c r="C4417">
        <f t="shared" si="273"/>
        <v>-117.84863799999999</v>
      </c>
      <c r="D4417">
        <f t="shared" si="274"/>
        <v>49</v>
      </c>
      <c r="E4417">
        <v>36.5</v>
      </c>
      <c r="F4417">
        <f t="shared" si="275"/>
        <v>12.5</v>
      </c>
      <c r="G4417">
        <v>107.93300000000001</v>
      </c>
      <c r="H4417">
        <v>2.94</v>
      </c>
      <c r="I4417">
        <v>2.726</v>
      </c>
      <c r="J4417">
        <v>6</v>
      </c>
      <c r="K4417">
        <v>41</v>
      </c>
      <c r="L4417">
        <v>25</v>
      </c>
      <c r="M4417">
        <v>7.0389999999999997</v>
      </c>
    </row>
    <row r="4418" spans="1:13" ht="15" customHeight="1">
      <c r="A4418" t="s">
        <v>49</v>
      </c>
      <c r="B4418">
        <f t="shared" ref="B4418:B4481" si="276">VLOOKUP(A4418,XYdata,3,FALSE)</f>
        <v>33.704600999999997</v>
      </c>
      <c r="C4418">
        <f t="shared" ref="C4418:C4481" si="277">VLOOKUP(A4418,XYdata,2,FALSE)</f>
        <v>-117.84863799999999</v>
      </c>
      <c r="D4418">
        <f t="shared" ref="D4418:D4481" si="278">VLOOKUP(A4418,Elevation,2,FALSE)</f>
        <v>49</v>
      </c>
      <c r="E4418">
        <v>37.5</v>
      </c>
      <c r="F4418">
        <f t="shared" si="275"/>
        <v>11.5</v>
      </c>
      <c r="G4418">
        <v>37.767000000000003</v>
      </c>
      <c r="H4418">
        <v>1.45</v>
      </c>
      <c r="I4418">
        <v>3.855</v>
      </c>
      <c r="J4418">
        <v>5</v>
      </c>
      <c r="K4418">
        <v>18</v>
      </c>
      <c r="L4418">
        <v>11</v>
      </c>
      <c r="M4418">
        <v>2.3540000000000001</v>
      </c>
    </row>
    <row r="4419" spans="1:13" ht="15" customHeight="1">
      <c r="A4419" t="s">
        <v>49</v>
      </c>
      <c r="B4419">
        <f t="shared" si="276"/>
        <v>33.704600999999997</v>
      </c>
      <c r="C4419">
        <f t="shared" si="277"/>
        <v>-117.84863799999999</v>
      </c>
      <c r="D4419">
        <f t="shared" si="278"/>
        <v>49</v>
      </c>
      <c r="E4419">
        <v>38.5</v>
      </c>
      <c r="F4419">
        <f t="shared" ref="F4419:F4482" si="279">D4419-E4419</f>
        <v>10.5</v>
      </c>
      <c r="G4419">
        <v>23.417000000000002</v>
      </c>
      <c r="H4419">
        <v>0.85</v>
      </c>
      <c r="I4419">
        <v>3.653</v>
      </c>
      <c r="J4419">
        <v>4</v>
      </c>
      <c r="K4419">
        <v>15</v>
      </c>
      <c r="L4419">
        <v>9</v>
      </c>
      <c r="M4419">
        <v>1.393</v>
      </c>
    </row>
    <row r="4420" spans="1:13" ht="15" customHeight="1">
      <c r="A4420" t="s">
        <v>49</v>
      </c>
      <c r="B4420">
        <f t="shared" si="276"/>
        <v>33.704600999999997</v>
      </c>
      <c r="C4420">
        <f t="shared" si="277"/>
        <v>-117.84863799999999</v>
      </c>
      <c r="D4420">
        <f t="shared" si="278"/>
        <v>49</v>
      </c>
      <c r="E4420">
        <v>39.5</v>
      </c>
      <c r="F4420">
        <f t="shared" si="279"/>
        <v>9.5</v>
      </c>
      <c r="G4420">
        <v>30.266999999999999</v>
      </c>
      <c r="H4420">
        <v>1.1319999999999999</v>
      </c>
      <c r="I4420">
        <v>3.7509999999999999</v>
      </c>
      <c r="J4420">
        <v>5</v>
      </c>
      <c r="K4420">
        <v>14</v>
      </c>
      <c r="L4420">
        <v>8</v>
      </c>
      <c r="M4420">
        <v>1.849</v>
      </c>
    </row>
    <row r="4421" spans="1:13" ht="15" customHeight="1">
      <c r="A4421" t="s">
        <v>49</v>
      </c>
      <c r="B4421">
        <f t="shared" si="276"/>
        <v>33.704600999999997</v>
      </c>
      <c r="C4421">
        <f t="shared" si="277"/>
        <v>-117.84863799999999</v>
      </c>
      <c r="D4421">
        <f t="shared" si="278"/>
        <v>49</v>
      </c>
      <c r="E4421">
        <v>40.5</v>
      </c>
      <c r="F4421">
        <f t="shared" si="279"/>
        <v>8.5</v>
      </c>
      <c r="G4421">
        <v>29.216999999999999</v>
      </c>
      <c r="H4421">
        <v>1.1919999999999999</v>
      </c>
      <c r="I4421">
        <v>4.0970000000000004</v>
      </c>
      <c r="J4421">
        <v>4</v>
      </c>
      <c r="K4421">
        <v>19</v>
      </c>
      <c r="L4421">
        <v>11</v>
      </c>
      <c r="M4421">
        <v>1.7729999999999999</v>
      </c>
    </row>
    <row r="4422" spans="1:13" ht="15" customHeight="1">
      <c r="A4422" t="s">
        <v>49</v>
      </c>
      <c r="B4422">
        <f t="shared" si="276"/>
        <v>33.704600999999997</v>
      </c>
      <c r="C4422">
        <f t="shared" si="277"/>
        <v>-117.84863799999999</v>
      </c>
      <c r="D4422">
        <f t="shared" si="278"/>
        <v>49</v>
      </c>
      <c r="E4422">
        <v>41.499000000000002</v>
      </c>
      <c r="F4422">
        <f t="shared" si="279"/>
        <v>7.5009999999999977</v>
      </c>
      <c r="G4422">
        <v>66.129000000000005</v>
      </c>
      <c r="H4422">
        <v>2.8639999999999999</v>
      </c>
      <c r="I4422">
        <v>4.3390000000000004</v>
      </c>
      <c r="J4422">
        <v>5</v>
      </c>
      <c r="K4422">
        <v>32</v>
      </c>
      <c r="L4422">
        <v>18</v>
      </c>
      <c r="M4422">
        <v>4.2309999999999999</v>
      </c>
    </row>
    <row r="4423" spans="1:13" ht="15" customHeight="1">
      <c r="A4423" t="s">
        <v>49</v>
      </c>
      <c r="B4423">
        <f t="shared" si="276"/>
        <v>33.704600999999997</v>
      </c>
      <c r="C4423">
        <f t="shared" si="277"/>
        <v>-117.84863799999999</v>
      </c>
      <c r="D4423">
        <f t="shared" si="278"/>
        <v>49</v>
      </c>
      <c r="E4423">
        <v>42.499000000000002</v>
      </c>
      <c r="F4423">
        <f t="shared" si="279"/>
        <v>6.5009999999999977</v>
      </c>
      <c r="G4423">
        <v>44.116999999999997</v>
      </c>
      <c r="H4423">
        <v>2.177</v>
      </c>
      <c r="I4423">
        <v>4.9450000000000003</v>
      </c>
      <c r="J4423">
        <v>3</v>
      </c>
      <c r="K4423">
        <v>42</v>
      </c>
      <c r="L4423">
        <v>24</v>
      </c>
      <c r="M4423">
        <v>2.76</v>
      </c>
    </row>
    <row r="4424" spans="1:13" ht="15" customHeight="1">
      <c r="A4424" t="s">
        <v>49</v>
      </c>
      <c r="B4424">
        <f t="shared" si="276"/>
        <v>33.704600999999997</v>
      </c>
      <c r="C4424">
        <f t="shared" si="277"/>
        <v>-117.84863799999999</v>
      </c>
      <c r="D4424">
        <f t="shared" si="278"/>
        <v>49</v>
      </c>
      <c r="E4424">
        <v>43.499000000000002</v>
      </c>
      <c r="F4424">
        <f t="shared" si="279"/>
        <v>5.5009999999999977</v>
      </c>
      <c r="G4424">
        <v>79.75</v>
      </c>
      <c r="H4424">
        <v>2.5579999999999998</v>
      </c>
      <c r="I4424">
        <v>3.2120000000000002</v>
      </c>
      <c r="J4424">
        <v>6</v>
      </c>
      <c r="K4424">
        <v>31</v>
      </c>
      <c r="L4424">
        <v>17</v>
      </c>
      <c r="M4424">
        <v>5.1310000000000002</v>
      </c>
    </row>
    <row r="4425" spans="1:13" ht="15" customHeight="1">
      <c r="A4425" t="s">
        <v>49</v>
      </c>
      <c r="B4425">
        <f t="shared" si="276"/>
        <v>33.704600999999997</v>
      </c>
      <c r="C4425">
        <f t="shared" si="277"/>
        <v>-117.84863799999999</v>
      </c>
      <c r="D4425">
        <f t="shared" si="278"/>
        <v>49</v>
      </c>
      <c r="E4425">
        <v>44.499000000000002</v>
      </c>
      <c r="F4425">
        <f t="shared" si="279"/>
        <v>4.5009999999999977</v>
      </c>
      <c r="G4425">
        <v>131.11699999999999</v>
      </c>
      <c r="H4425">
        <v>2.8</v>
      </c>
      <c r="I4425">
        <v>2.137</v>
      </c>
      <c r="J4425">
        <v>7</v>
      </c>
      <c r="K4425">
        <v>42</v>
      </c>
      <c r="L4425">
        <v>23</v>
      </c>
      <c r="M4425" s="1">
        <v>9000000000</v>
      </c>
    </row>
    <row r="4426" spans="1:13" ht="15" customHeight="1">
      <c r="A4426" t="s">
        <v>49</v>
      </c>
      <c r="B4426">
        <f t="shared" si="276"/>
        <v>33.704600999999997</v>
      </c>
      <c r="C4426">
        <f t="shared" si="277"/>
        <v>-117.84863799999999</v>
      </c>
      <c r="D4426">
        <f t="shared" si="278"/>
        <v>49</v>
      </c>
      <c r="E4426">
        <v>45.499000000000002</v>
      </c>
      <c r="F4426">
        <f t="shared" si="279"/>
        <v>3.5009999999999977</v>
      </c>
      <c r="G4426">
        <v>211.333</v>
      </c>
      <c r="H4426">
        <v>1.847</v>
      </c>
      <c r="I4426">
        <v>0.874</v>
      </c>
      <c r="J4426">
        <v>9</v>
      </c>
      <c r="K4426">
        <v>40</v>
      </c>
      <c r="L4426">
        <v>22</v>
      </c>
      <c r="M4426" s="1">
        <v>9000000000</v>
      </c>
    </row>
    <row r="4427" spans="1:13" ht="15" customHeight="1">
      <c r="A4427" t="s">
        <v>49</v>
      </c>
      <c r="B4427">
        <f t="shared" si="276"/>
        <v>33.704600999999997</v>
      </c>
      <c r="C4427">
        <f t="shared" si="277"/>
        <v>-117.84863799999999</v>
      </c>
      <c r="D4427">
        <f t="shared" si="278"/>
        <v>49</v>
      </c>
      <c r="E4427">
        <v>46.499000000000002</v>
      </c>
      <c r="F4427">
        <f t="shared" si="279"/>
        <v>2.5009999999999977</v>
      </c>
      <c r="G4427">
        <v>123.75</v>
      </c>
      <c r="H4427">
        <v>2.492</v>
      </c>
      <c r="I4427">
        <v>2.0139999999999998</v>
      </c>
      <c r="J4427">
        <v>7</v>
      </c>
      <c r="K4427">
        <v>40</v>
      </c>
      <c r="L4427">
        <v>22</v>
      </c>
      <c r="M4427" s="1">
        <v>9000000000</v>
      </c>
    </row>
    <row r="4428" spans="1:13" ht="15" customHeight="1">
      <c r="A4428" t="s">
        <v>49</v>
      </c>
      <c r="B4428">
        <f t="shared" si="276"/>
        <v>33.704600999999997</v>
      </c>
      <c r="C4428">
        <f t="shared" si="277"/>
        <v>-117.84863799999999</v>
      </c>
      <c r="D4428">
        <f t="shared" si="278"/>
        <v>49</v>
      </c>
      <c r="E4428">
        <v>47.499000000000002</v>
      </c>
      <c r="F4428">
        <f t="shared" si="279"/>
        <v>1.5009999999999977</v>
      </c>
      <c r="G4428">
        <v>60.5</v>
      </c>
      <c r="H4428">
        <v>1.1200000000000001</v>
      </c>
      <c r="I4428">
        <v>1.853</v>
      </c>
      <c r="J4428">
        <v>7</v>
      </c>
      <c r="K4428">
        <v>19</v>
      </c>
      <c r="L4428">
        <v>10</v>
      </c>
      <c r="M4428" s="1">
        <v>9000000000</v>
      </c>
    </row>
    <row r="4429" spans="1:13" ht="15" customHeight="1">
      <c r="A4429" t="s">
        <v>49</v>
      </c>
      <c r="B4429">
        <f t="shared" si="276"/>
        <v>33.704600999999997</v>
      </c>
      <c r="C4429">
        <f t="shared" si="277"/>
        <v>-117.84863799999999</v>
      </c>
      <c r="D4429">
        <f t="shared" si="278"/>
        <v>49</v>
      </c>
      <c r="E4429">
        <v>48.499000000000002</v>
      </c>
      <c r="F4429">
        <f t="shared" si="279"/>
        <v>0.50099999999999767</v>
      </c>
      <c r="G4429">
        <v>20.7</v>
      </c>
      <c r="H4429">
        <v>0.47</v>
      </c>
      <c r="I4429">
        <v>2.21</v>
      </c>
      <c r="J4429">
        <v>6</v>
      </c>
      <c r="K4429">
        <v>8</v>
      </c>
      <c r="L4429">
        <v>4</v>
      </c>
      <c r="M4429">
        <v>1.2190000000000001</v>
      </c>
    </row>
    <row r="4430" spans="1:13" ht="15" customHeight="1">
      <c r="A4430" t="s">
        <v>49</v>
      </c>
      <c r="B4430">
        <f t="shared" si="276"/>
        <v>33.704600999999997</v>
      </c>
      <c r="C4430">
        <f t="shared" si="277"/>
        <v>-117.84863799999999</v>
      </c>
      <c r="D4430">
        <f t="shared" si="278"/>
        <v>49</v>
      </c>
      <c r="E4430">
        <v>49.499000000000002</v>
      </c>
      <c r="F4430">
        <f t="shared" si="279"/>
        <v>-0.49900000000000233</v>
      </c>
      <c r="G4430">
        <v>32.482999999999997</v>
      </c>
      <c r="H4430">
        <v>1.1870000000000001</v>
      </c>
      <c r="I4430">
        <v>3.5910000000000002</v>
      </c>
      <c r="J4430">
        <v>5</v>
      </c>
      <c r="K4430">
        <v>16</v>
      </c>
      <c r="L4430">
        <v>8</v>
      </c>
      <c r="M4430">
        <v>2</v>
      </c>
    </row>
    <row r="4431" spans="1:13" ht="15" customHeight="1">
      <c r="A4431" t="s">
        <v>49</v>
      </c>
      <c r="B4431">
        <f t="shared" si="276"/>
        <v>33.704600999999997</v>
      </c>
      <c r="C4431">
        <f t="shared" si="277"/>
        <v>-117.84863799999999</v>
      </c>
      <c r="D4431">
        <f t="shared" si="278"/>
        <v>49</v>
      </c>
      <c r="E4431">
        <v>50.499000000000002</v>
      </c>
      <c r="F4431">
        <f t="shared" si="279"/>
        <v>-1.4990000000000023</v>
      </c>
      <c r="G4431">
        <v>24.266999999999999</v>
      </c>
      <c r="H4431">
        <v>0.81799999999999995</v>
      </c>
      <c r="I4431">
        <v>3.3860000000000001</v>
      </c>
      <c r="J4431">
        <v>5</v>
      </c>
      <c r="K4431">
        <v>12</v>
      </c>
      <c r="L4431">
        <v>6</v>
      </c>
      <c r="M4431">
        <v>1.4039999999999999</v>
      </c>
    </row>
    <row r="4432" spans="1:13" ht="15" customHeight="1">
      <c r="A4432" t="s">
        <v>49</v>
      </c>
      <c r="B4432">
        <f t="shared" si="276"/>
        <v>33.704600999999997</v>
      </c>
      <c r="C4432">
        <f t="shared" si="277"/>
        <v>-117.84863799999999</v>
      </c>
      <c r="D4432">
        <f t="shared" si="278"/>
        <v>49</v>
      </c>
      <c r="E4432">
        <v>51.499000000000002</v>
      </c>
      <c r="F4432">
        <f t="shared" si="279"/>
        <v>-2.4990000000000023</v>
      </c>
      <c r="G4432">
        <v>29.332999999999998</v>
      </c>
      <c r="H4432">
        <v>1.008</v>
      </c>
      <c r="I4432">
        <v>3.4470000000000001</v>
      </c>
      <c r="J4432">
        <v>5</v>
      </c>
      <c r="K4432">
        <v>14</v>
      </c>
      <c r="L4432">
        <v>7</v>
      </c>
      <c r="M4432">
        <v>1.7390000000000001</v>
      </c>
    </row>
    <row r="4433" spans="1:13" ht="15" customHeight="1">
      <c r="A4433" t="s">
        <v>49</v>
      </c>
      <c r="B4433">
        <f t="shared" si="276"/>
        <v>33.704600999999997</v>
      </c>
      <c r="C4433">
        <f t="shared" si="277"/>
        <v>-117.84863799999999</v>
      </c>
      <c r="D4433">
        <f t="shared" si="278"/>
        <v>49</v>
      </c>
      <c r="E4433">
        <v>52.499000000000002</v>
      </c>
      <c r="F4433">
        <f t="shared" si="279"/>
        <v>-3.4990000000000023</v>
      </c>
      <c r="G4433">
        <v>33.470999999999997</v>
      </c>
      <c r="H4433">
        <v>1.216</v>
      </c>
      <c r="I4433">
        <v>3.6349999999999998</v>
      </c>
      <c r="J4433">
        <v>5</v>
      </c>
      <c r="K4433">
        <v>16</v>
      </c>
      <c r="L4433">
        <v>8</v>
      </c>
      <c r="M4433">
        <v>2.0139999999999998</v>
      </c>
    </row>
    <row r="4434" spans="1:13" ht="15" customHeight="1">
      <c r="A4434" t="s">
        <v>49</v>
      </c>
      <c r="B4434">
        <f t="shared" si="276"/>
        <v>33.704600999999997</v>
      </c>
      <c r="C4434">
        <f t="shared" si="277"/>
        <v>-117.84863799999999</v>
      </c>
      <c r="D4434">
        <f t="shared" si="278"/>
        <v>49</v>
      </c>
      <c r="E4434">
        <v>53.499000000000002</v>
      </c>
      <c r="F4434">
        <f t="shared" si="279"/>
        <v>-4.4990000000000023</v>
      </c>
      <c r="G4434">
        <v>27.5</v>
      </c>
      <c r="H4434">
        <v>1.0029999999999999</v>
      </c>
      <c r="I4434">
        <v>3.6509999999999998</v>
      </c>
      <c r="J4434">
        <v>5</v>
      </c>
      <c r="K4434">
        <v>13</v>
      </c>
      <c r="L4434">
        <v>7</v>
      </c>
      <c r="M4434">
        <v>1.6120000000000001</v>
      </c>
    </row>
    <row r="4435" spans="1:13" ht="15" customHeight="1">
      <c r="A4435" t="s">
        <v>49</v>
      </c>
      <c r="B4435">
        <f t="shared" si="276"/>
        <v>33.704600999999997</v>
      </c>
      <c r="C4435">
        <f t="shared" si="277"/>
        <v>-117.84863799999999</v>
      </c>
      <c r="D4435">
        <f t="shared" si="278"/>
        <v>49</v>
      </c>
      <c r="E4435">
        <v>54.499000000000002</v>
      </c>
      <c r="F4435">
        <f t="shared" si="279"/>
        <v>-5.4990000000000023</v>
      </c>
      <c r="G4435">
        <v>75.367000000000004</v>
      </c>
      <c r="H4435">
        <v>3.528</v>
      </c>
      <c r="I4435">
        <v>4.6859999999999999</v>
      </c>
      <c r="J4435">
        <v>11</v>
      </c>
      <c r="K4435">
        <v>72</v>
      </c>
      <c r="L4435">
        <v>36</v>
      </c>
      <c r="M4435" s="1">
        <v>9000000000</v>
      </c>
    </row>
    <row r="4436" spans="1:13" ht="15" customHeight="1">
      <c r="A4436" t="s">
        <v>49</v>
      </c>
      <c r="B4436">
        <f t="shared" si="276"/>
        <v>33.704600999999997</v>
      </c>
      <c r="C4436">
        <f t="shared" si="277"/>
        <v>-117.84863799999999</v>
      </c>
      <c r="D4436">
        <f t="shared" si="278"/>
        <v>49</v>
      </c>
      <c r="E4436">
        <v>55.499000000000002</v>
      </c>
      <c r="F4436">
        <f t="shared" si="279"/>
        <v>-6.4990000000000023</v>
      </c>
      <c r="G4436">
        <v>83.9</v>
      </c>
      <c r="H4436">
        <v>3.3929999999999998</v>
      </c>
      <c r="I4436">
        <v>4.0510000000000002</v>
      </c>
      <c r="J4436">
        <v>5</v>
      </c>
      <c r="K4436">
        <v>40</v>
      </c>
      <c r="L4436">
        <v>20</v>
      </c>
      <c r="M4436">
        <v>5.3559999999999999</v>
      </c>
    </row>
    <row r="4437" spans="1:13" ht="15" customHeight="1">
      <c r="A4437" t="s">
        <v>49</v>
      </c>
      <c r="B4437">
        <f t="shared" si="276"/>
        <v>33.704600999999997</v>
      </c>
      <c r="C4437">
        <f t="shared" si="277"/>
        <v>-117.84863799999999</v>
      </c>
      <c r="D4437">
        <f t="shared" si="278"/>
        <v>49</v>
      </c>
      <c r="E4437">
        <v>56.499000000000002</v>
      </c>
      <c r="F4437">
        <f t="shared" si="279"/>
        <v>-7.4990000000000023</v>
      </c>
      <c r="G4437">
        <v>67.216999999999999</v>
      </c>
      <c r="H4437">
        <v>1.738</v>
      </c>
      <c r="I4437">
        <v>2.5920000000000001</v>
      </c>
      <c r="J4437">
        <v>6</v>
      </c>
      <c r="K4437">
        <v>26</v>
      </c>
      <c r="L4437">
        <v>13</v>
      </c>
      <c r="M4437">
        <v>4.2380000000000004</v>
      </c>
    </row>
    <row r="4438" spans="1:13" ht="15" customHeight="1">
      <c r="A4438" t="s">
        <v>49</v>
      </c>
      <c r="B4438">
        <f t="shared" si="276"/>
        <v>33.704600999999997</v>
      </c>
      <c r="C4438">
        <f t="shared" si="277"/>
        <v>-117.84863799999999</v>
      </c>
      <c r="D4438">
        <f t="shared" si="278"/>
        <v>49</v>
      </c>
      <c r="E4438">
        <v>57.499000000000002</v>
      </c>
      <c r="F4438">
        <f t="shared" si="279"/>
        <v>-8.4990000000000023</v>
      </c>
      <c r="G4438">
        <v>197.71700000000001</v>
      </c>
      <c r="H4438">
        <v>2.198</v>
      </c>
      <c r="I4438">
        <v>1.1120000000000001</v>
      </c>
      <c r="J4438">
        <v>9</v>
      </c>
      <c r="K4438">
        <v>38</v>
      </c>
      <c r="L4438">
        <v>19</v>
      </c>
      <c r="M4438" s="1">
        <v>9000000000</v>
      </c>
    </row>
    <row r="4439" spans="1:13" ht="15" customHeight="1">
      <c r="A4439" t="s">
        <v>49</v>
      </c>
      <c r="B4439">
        <f t="shared" si="276"/>
        <v>33.704600999999997</v>
      </c>
      <c r="C4439">
        <f t="shared" si="277"/>
        <v>-117.84863799999999</v>
      </c>
      <c r="D4439">
        <f t="shared" si="278"/>
        <v>49</v>
      </c>
      <c r="E4439">
        <v>58.499000000000002</v>
      </c>
      <c r="F4439">
        <f t="shared" si="279"/>
        <v>-9.4990000000000023</v>
      </c>
      <c r="G4439">
        <v>175.13300000000001</v>
      </c>
      <c r="H4439">
        <v>2.14</v>
      </c>
      <c r="I4439">
        <v>1.2230000000000001</v>
      </c>
      <c r="J4439">
        <v>8</v>
      </c>
      <c r="K4439">
        <v>42</v>
      </c>
      <c r="L4439">
        <v>21</v>
      </c>
      <c r="M4439" s="1">
        <v>9000000000</v>
      </c>
    </row>
    <row r="4440" spans="1:13" ht="15" customHeight="1">
      <c r="A4440" t="s">
        <v>49</v>
      </c>
      <c r="B4440">
        <f t="shared" si="276"/>
        <v>33.704600999999997</v>
      </c>
      <c r="C4440">
        <f t="shared" si="277"/>
        <v>-117.84863799999999</v>
      </c>
      <c r="D4440">
        <f t="shared" si="278"/>
        <v>49</v>
      </c>
      <c r="E4440">
        <v>59.499000000000002</v>
      </c>
      <c r="F4440">
        <f t="shared" si="279"/>
        <v>-10.499000000000002</v>
      </c>
      <c r="G4440">
        <v>114.2</v>
      </c>
      <c r="H4440">
        <v>2.7869999999999999</v>
      </c>
      <c r="I4440">
        <v>2.4430000000000001</v>
      </c>
      <c r="J4440">
        <v>7</v>
      </c>
      <c r="K4440">
        <v>36</v>
      </c>
      <c r="L4440">
        <v>18</v>
      </c>
      <c r="M4440" s="1">
        <v>9000000000</v>
      </c>
    </row>
    <row r="4441" spans="1:13" ht="15" customHeight="1">
      <c r="A4441" t="s">
        <v>49</v>
      </c>
      <c r="B4441">
        <f t="shared" si="276"/>
        <v>33.704600999999997</v>
      </c>
      <c r="C4441">
        <f t="shared" si="277"/>
        <v>-117.84863799999999</v>
      </c>
      <c r="D4441">
        <f t="shared" si="278"/>
        <v>49</v>
      </c>
      <c r="E4441">
        <v>60.499000000000002</v>
      </c>
      <c r="F4441">
        <f t="shared" si="279"/>
        <v>-11.499000000000002</v>
      </c>
      <c r="G4441">
        <v>29.016999999999999</v>
      </c>
      <c r="H4441">
        <v>0.84699999999999998</v>
      </c>
      <c r="I4441">
        <v>2.9329999999999998</v>
      </c>
      <c r="J4441">
        <v>5</v>
      </c>
      <c r="K4441">
        <v>14</v>
      </c>
      <c r="L4441">
        <v>7</v>
      </c>
      <c r="M4441">
        <v>1.675</v>
      </c>
    </row>
    <row r="4442" spans="1:13" ht="15" customHeight="1">
      <c r="A4442" t="s">
        <v>49</v>
      </c>
      <c r="B4442">
        <f t="shared" si="276"/>
        <v>33.704600999999997</v>
      </c>
      <c r="C4442">
        <f t="shared" si="277"/>
        <v>-117.84863799999999</v>
      </c>
      <c r="D4442">
        <f t="shared" si="278"/>
        <v>49</v>
      </c>
      <c r="E4442">
        <v>61.499000000000002</v>
      </c>
      <c r="F4442">
        <f t="shared" si="279"/>
        <v>-12.499000000000002</v>
      </c>
      <c r="G4442">
        <v>62.25</v>
      </c>
      <c r="H4442">
        <v>2.62</v>
      </c>
      <c r="I4442">
        <v>4.2210000000000001</v>
      </c>
      <c r="J4442">
        <v>5</v>
      </c>
      <c r="K4442">
        <v>30</v>
      </c>
      <c r="L4442">
        <v>15</v>
      </c>
      <c r="M4442">
        <v>3.8839999999999999</v>
      </c>
    </row>
    <row r="4443" spans="1:13" ht="15" customHeight="1">
      <c r="A4443" t="s">
        <v>49</v>
      </c>
      <c r="B4443">
        <f t="shared" si="276"/>
        <v>33.704600999999997</v>
      </c>
      <c r="C4443">
        <f t="shared" si="277"/>
        <v>-117.84863799999999</v>
      </c>
      <c r="D4443">
        <f t="shared" si="278"/>
        <v>49</v>
      </c>
      <c r="E4443">
        <v>62.499000000000002</v>
      </c>
      <c r="F4443">
        <f t="shared" si="279"/>
        <v>-13.499000000000002</v>
      </c>
      <c r="G4443">
        <v>92.585999999999999</v>
      </c>
      <c r="H4443">
        <v>3.2429999999999999</v>
      </c>
      <c r="I4443">
        <v>3.5070000000000001</v>
      </c>
      <c r="J4443">
        <v>6</v>
      </c>
      <c r="K4443">
        <v>35</v>
      </c>
      <c r="L4443">
        <v>18</v>
      </c>
      <c r="M4443">
        <v>5.907</v>
      </c>
    </row>
    <row r="4444" spans="1:13" ht="15" customHeight="1">
      <c r="A4444" t="s">
        <v>49</v>
      </c>
      <c r="B4444">
        <f t="shared" si="276"/>
        <v>33.704600999999997</v>
      </c>
      <c r="C4444">
        <f t="shared" si="277"/>
        <v>-117.84863799999999</v>
      </c>
      <c r="D4444">
        <f t="shared" si="278"/>
        <v>49</v>
      </c>
      <c r="E4444">
        <v>63.499000000000002</v>
      </c>
      <c r="F4444">
        <f t="shared" si="279"/>
        <v>-14.499000000000002</v>
      </c>
      <c r="G4444">
        <v>54.65</v>
      </c>
      <c r="H4444">
        <v>2.4649999999999999</v>
      </c>
      <c r="I4444">
        <v>4.5220000000000002</v>
      </c>
      <c r="J4444">
        <v>4</v>
      </c>
      <c r="K4444">
        <v>35</v>
      </c>
      <c r="L4444">
        <v>18</v>
      </c>
      <c r="M4444">
        <v>3.3730000000000002</v>
      </c>
    </row>
    <row r="4445" spans="1:13" ht="15" customHeight="1">
      <c r="A4445" t="s">
        <v>49</v>
      </c>
      <c r="B4445">
        <f t="shared" si="276"/>
        <v>33.704600999999997</v>
      </c>
      <c r="C4445">
        <f t="shared" si="277"/>
        <v>-117.84863799999999</v>
      </c>
      <c r="D4445">
        <f t="shared" si="278"/>
        <v>49</v>
      </c>
      <c r="E4445">
        <v>64.498999999999995</v>
      </c>
      <c r="F4445">
        <f t="shared" si="279"/>
        <v>-15.498999999999995</v>
      </c>
      <c r="G4445">
        <v>59.35</v>
      </c>
      <c r="H4445">
        <v>2.6349999999999998</v>
      </c>
      <c r="I4445">
        <v>4.4470000000000001</v>
      </c>
      <c r="J4445">
        <v>4</v>
      </c>
      <c r="K4445">
        <v>38</v>
      </c>
      <c r="L4445">
        <v>19</v>
      </c>
      <c r="M4445">
        <v>3.6840000000000002</v>
      </c>
    </row>
    <row r="4446" spans="1:13" ht="15" customHeight="1">
      <c r="A4446" t="s">
        <v>49</v>
      </c>
      <c r="B4446">
        <f t="shared" si="276"/>
        <v>33.704600999999997</v>
      </c>
      <c r="C4446">
        <f t="shared" si="277"/>
        <v>-117.84863799999999</v>
      </c>
      <c r="D4446">
        <f t="shared" si="278"/>
        <v>49</v>
      </c>
      <c r="E4446">
        <v>65.498999999999995</v>
      </c>
      <c r="F4446">
        <f t="shared" si="279"/>
        <v>-16.498999999999995</v>
      </c>
      <c r="G4446">
        <v>26.632999999999999</v>
      </c>
      <c r="H4446">
        <v>0.98499999999999999</v>
      </c>
      <c r="I4446">
        <v>3.7170000000000001</v>
      </c>
      <c r="J4446">
        <v>5</v>
      </c>
      <c r="K4446">
        <v>13</v>
      </c>
      <c r="L4446">
        <v>7</v>
      </c>
      <c r="M4446">
        <v>1.4970000000000001</v>
      </c>
    </row>
    <row r="4447" spans="1:13" ht="15" customHeight="1">
      <c r="A4447" t="s">
        <v>49</v>
      </c>
      <c r="B4447">
        <f t="shared" si="276"/>
        <v>33.704600999999997</v>
      </c>
      <c r="C4447">
        <f t="shared" si="277"/>
        <v>-117.84863799999999</v>
      </c>
      <c r="D4447">
        <f t="shared" si="278"/>
        <v>49</v>
      </c>
      <c r="E4447">
        <v>66.498999999999995</v>
      </c>
      <c r="F4447">
        <f t="shared" si="279"/>
        <v>-17.498999999999995</v>
      </c>
      <c r="G4447">
        <v>24.483000000000001</v>
      </c>
      <c r="H4447">
        <v>0.78800000000000003</v>
      </c>
      <c r="I4447">
        <v>3.2349999999999999</v>
      </c>
      <c r="J4447">
        <v>5</v>
      </c>
      <c r="K4447">
        <v>12</v>
      </c>
      <c r="L4447">
        <v>6</v>
      </c>
      <c r="M4447">
        <v>1.35</v>
      </c>
    </row>
    <row r="4448" spans="1:13" ht="15" customHeight="1">
      <c r="A4448" t="s">
        <v>49</v>
      </c>
      <c r="B4448">
        <f t="shared" si="276"/>
        <v>33.704600999999997</v>
      </c>
      <c r="C4448">
        <f t="shared" si="277"/>
        <v>-117.84863799999999</v>
      </c>
      <c r="D4448">
        <f t="shared" si="278"/>
        <v>49</v>
      </c>
      <c r="E4448">
        <v>67.498999999999995</v>
      </c>
      <c r="F4448">
        <f t="shared" si="279"/>
        <v>-18.498999999999995</v>
      </c>
      <c r="G4448">
        <v>24.033000000000001</v>
      </c>
      <c r="H4448">
        <v>0.75800000000000001</v>
      </c>
      <c r="I4448">
        <v>3.1709999999999998</v>
      </c>
      <c r="J4448">
        <v>5</v>
      </c>
      <c r="K4448">
        <v>11</v>
      </c>
      <c r="L4448">
        <v>6</v>
      </c>
      <c r="M4448">
        <v>1.3160000000000001</v>
      </c>
    </row>
    <row r="4449" spans="1:13" ht="15" customHeight="1">
      <c r="A4449" t="s">
        <v>49</v>
      </c>
      <c r="B4449">
        <f t="shared" si="276"/>
        <v>33.704600999999997</v>
      </c>
      <c r="C4449">
        <f t="shared" si="277"/>
        <v>-117.84863799999999</v>
      </c>
      <c r="D4449">
        <f t="shared" si="278"/>
        <v>49</v>
      </c>
      <c r="E4449">
        <v>68.498999999999995</v>
      </c>
      <c r="F4449">
        <f t="shared" si="279"/>
        <v>-19.498999999999995</v>
      </c>
      <c r="G4449">
        <v>26.483000000000001</v>
      </c>
      <c r="H4449">
        <v>0.72199999999999998</v>
      </c>
      <c r="I4449">
        <v>2.7349999999999999</v>
      </c>
      <c r="J4449">
        <v>5</v>
      </c>
      <c r="K4449">
        <v>13</v>
      </c>
      <c r="L4449">
        <v>7</v>
      </c>
      <c r="M4449">
        <v>1.476</v>
      </c>
    </row>
    <row r="4450" spans="1:13" ht="15" customHeight="1">
      <c r="A4450" t="s">
        <v>49</v>
      </c>
      <c r="B4450">
        <f t="shared" si="276"/>
        <v>33.704600999999997</v>
      </c>
      <c r="C4450">
        <f t="shared" si="277"/>
        <v>-117.84863799999999</v>
      </c>
      <c r="D4450">
        <f t="shared" si="278"/>
        <v>49</v>
      </c>
      <c r="E4450">
        <v>69.498999999999995</v>
      </c>
      <c r="F4450">
        <f t="shared" si="279"/>
        <v>-20.498999999999995</v>
      </c>
      <c r="G4450">
        <v>31.6</v>
      </c>
      <c r="H4450">
        <v>1.113</v>
      </c>
      <c r="I4450">
        <v>3.5339999999999998</v>
      </c>
      <c r="J4450">
        <v>5</v>
      </c>
      <c r="K4450">
        <v>15</v>
      </c>
      <c r="L4450">
        <v>8</v>
      </c>
      <c r="M4450">
        <v>1.8129999999999999</v>
      </c>
    </row>
    <row r="4451" spans="1:13" ht="15" customHeight="1">
      <c r="A4451" t="s">
        <v>49</v>
      </c>
      <c r="B4451">
        <f t="shared" si="276"/>
        <v>33.704600999999997</v>
      </c>
      <c r="C4451">
        <f t="shared" si="277"/>
        <v>-117.84863799999999</v>
      </c>
      <c r="D4451">
        <f t="shared" si="278"/>
        <v>49</v>
      </c>
      <c r="E4451">
        <v>70.498999999999995</v>
      </c>
      <c r="F4451">
        <f t="shared" si="279"/>
        <v>-21.498999999999995</v>
      </c>
      <c r="G4451">
        <v>28.4</v>
      </c>
      <c r="H4451">
        <v>1.0349999999999999</v>
      </c>
      <c r="I4451">
        <v>3.657</v>
      </c>
      <c r="J4451">
        <v>5</v>
      </c>
      <c r="K4451">
        <v>14</v>
      </c>
      <c r="L4451">
        <v>7</v>
      </c>
      <c r="M4451">
        <v>1.5960000000000001</v>
      </c>
    </row>
    <row r="4452" spans="1:13" ht="15" customHeight="1">
      <c r="A4452" t="s">
        <v>49</v>
      </c>
      <c r="B4452">
        <f t="shared" si="276"/>
        <v>33.704600999999997</v>
      </c>
      <c r="C4452">
        <f t="shared" si="277"/>
        <v>-117.84863799999999</v>
      </c>
      <c r="D4452">
        <f t="shared" si="278"/>
        <v>49</v>
      </c>
      <c r="E4452">
        <v>71.498999999999995</v>
      </c>
      <c r="F4452">
        <f t="shared" si="279"/>
        <v>-22.498999999999995</v>
      </c>
      <c r="G4452">
        <v>24.1</v>
      </c>
      <c r="H4452">
        <v>0.83199999999999996</v>
      </c>
      <c r="I4452">
        <v>3.46</v>
      </c>
      <c r="J4452">
        <v>5</v>
      </c>
      <c r="K4452">
        <v>12</v>
      </c>
      <c r="L4452">
        <v>6</v>
      </c>
      <c r="M4452">
        <v>1.3069999999999999</v>
      </c>
    </row>
    <row r="4453" spans="1:13" ht="15" customHeight="1">
      <c r="A4453" t="s">
        <v>49</v>
      </c>
      <c r="B4453">
        <f t="shared" si="276"/>
        <v>33.704600999999997</v>
      </c>
      <c r="C4453">
        <f t="shared" si="277"/>
        <v>-117.84863799999999</v>
      </c>
      <c r="D4453">
        <f t="shared" si="278"/>
        <v>49</v>
      </c>
      <c r="E4453">
        <v>72.498999999999995</v>
      </c>
      <c r="F4453">
        <f t="shared" si="279"/>
        <v>-23.498999999999995</v>
      </c>
      <c r="G4453">
        <v>28.170999999999999</v>
      </c>
      <c r="H4453">
        <v>0.91600000000000004</v>
      </c>
      <c r="I4453">
        <v>3.2570000000000001</v>
      </c>
      <c r="J4453">
        <v>5</v>
      </c>
      <c r="K4453">
        <v>13</v>
      </c>
      <c r="L4453">
        <v>7</v>
      </c>
      <c r="M4453">
        <v>1.575</v>
      </c>
    </row>
    <row r="4454" spans="1:13" ht="15" customHeight="1">
      <c r="A4454" t="s">
        <v>49</v>
      </c>
      <c r="B4454">
        <f t="shared" si="276"/>
        <v>33.704600999999997</v>
      </c>
      <c r="C4454">
        <f t="shared" si="277"/>
        <v>-117.84863799999999</v>
      </c>
      <c r="D4454">
        <f t="shared" si="278"/>
        <v>49</v>
      </c>
      <c r="E4454">
        <v>73.498999999999995</v>
      </c>
      <c r="F4454">
        <f t="shared" si="279"/>
        <v>-24.498999999999995</v>
      </c>
      <c r="G4454">
        <v>33.517000000000003</v>
      </c>
      <c r="H4454">
        <v>1.2130000000000001</v>
      </c>
      <c r="I4454">
        <v>3.629</v>
      </c>
      <c r="J4454">
        <v>5</v>
      </c>
      <c r="K4454">
        <v>16</v>
      </c>
      <c r="L4454">
        <v>8</v>
      </c>
      <c r="M4454">
        <v>1.9259999999999999</v>
      </c>
    </row>
    <row r="4455" spans="1:13" ht="15" customHeight="1">
      <c r="A4455" t="s">
        <v>49</v>
      </c>
      <c r="B4455">
        <f t="shared" si="276"/>
        <v>33.704600999999997</v>
      </c>
      <c r="C4455">
        <f t="shared" si="277"/>
        <v>-117.84863799999999</v>
      </c>
      <c r="D4455">
        <f t="shared" si="278"/>
        <v>49</v>
      </c>
      <c r="E4455">
        <v>74.498999999999995</v>
      </c>
      <c r="F4455">
        <f t="shared" si="279"/>
        <v>-25.498999999999995</v>
      </c>
      <c r="G4455">
        <v>28.233000000000001</v>
      </c>
      <c r="H4455">
        <v>0.96499999999999997</v>
      </c>
      <c r="I4455">
        <v>3.4279999999999999</v>
      </c>
      <c r="J4455">
        <v>5</v>
      </c>
      <c r="K4455">
        <v>13</v>
      </c>
      <c r="L4455">
        <v>7</v>
      </c>
      <c r="M4455">
        <v>1.569</v>
      </c>
    </row>
    <row r="4456" spans="1:13" ht="15" customHeight="1">
      <c r="A4456" t="s">
        <v>49</v>
      </c>
      <c r="B4456">
        <f t="shared" si="276"/>
        <v>33.704600999999997</v>
      </c>
      <c r="C4456">
        <f t="shared" si="277"/>
        <v>-117.84863799999999</v>
      </c>
      <c r="D4456">
        <f t="shared" si="278"/>
        <v>49</v>
      </c>
      <c r="E4456">
        <v>75.498999999999995</v>
      </c>
      <c r="F4456">
        <f t="shared" si="279"/>
        <v>-26.498999999999995</v>
      </c>
      <c r="G4456">
        <v>27.132999999999999</v>
      </c>
      <c r="H4456">
        <v>0.82499999999999996</v>
      </c>
      <c r="I4456">
        <v>3.0419999999999998</v>
      </c>
      <c r="J4456">
        <v>5</v>
      </c>
      <c r="K4456">
        <v>13</v>
      </c>
      <c r="L4456">
        <v>7</v>
      </c>
      <c r="M4456">
        <v>1.496</v>
      </c>
    </row>
    <row r="4457" spans="1:13" ht="15" customHeight="1">
      <c r="A4457" t="s">
        <v>49</v>
      </c>
      <c r="B4457">
        <f t="shared" si="276"/>
        <v>33.704600999999997</v>
      </c>
      <c r="C4457">
        <f t="shared" si="277"/>
        <v>-117.84863799999999</v>
      </c>
      <c r="D4457">
        <f t="shared" si="278"/>
        <v>49</v>
      </c>
      <c r="E4457">
        <v>76.498999999999995</v>
      </c>
      <c r="F4457">
        <f t="shared" si="279"/>
        <v>-27.498999999999995</v>
      </c>
      <c r="G4457">
        <v>26.2</v>
      </c>
      <c r="H4457">
        <v>0.68799999999999994</v>
      </c>
      <c r="I4457">
        <v>2.6309999999999998</v>
      </c>
      <c r="J4457">
        <v>6</v>
      </c>
      <c r="K4457">
        <v>10</v>
      </c>
      <c r="L4457">
        <v>5</v>
      </c>
      <c r="M4457">
        <v>1.429</v>
      </c>
    </row>
    <row r="4458" spans="1:13" ht="15" customHeight="1">
      <c r="A4458" t="s">
        <v>49</v>
      </c>
      <c r="B4458">
        <f t="shared" si="276"/>
        <v>33.704600999999997</v>
      </c>
      <c r="C4458">
        <f t="shared" si="277"/>
        <v>-117.84863799999999</v>
      </c>
      <c r="D4458">
        <f t="shared" si="278"/>
        <v>49</v>
      </c>
      <c r="E4458">
        <v>77.498999999999995</v>
      </c>
      <c r="F4458">
        <f t="shared" si="279"/>
        <v>-28.498999999999995</v>
      </c>
      <c r="G4458">
        <v>24.05</v>
      </c>
      <c r="H4458">
        <v>0.6</v>
      </c>
      <c r="I4458">
        <v>2.4950000000000001</v>
      </c>
      <c r="J4458">
        <v>6</v>
      </c>
      <c r="K4458">
        <v>9</v>
      </c>
      <c r="L4458">
        <v>5</v>
      </c>
      <c r="M4458">
        <v>1.2829999999999999</v>
      </c>
    </row>
    <row r="4459" spans="1:13" ht="15" customHeight="1">
      <c r="A4459" t="s">
        <v>49</v>
      </c>
      <c r="B4459">
        <f t="shared" si="276"/>
        <v>33.704600999999997</v>
      </c>
      <c r="C4459">
        <f t="shared" si="277"/>
        <v>-117.84863799999999</v>
      </c>
      <c r="D4459">
        <f t="shared" si="278"/>
        <v>49</v>
      </c>
      <c r="E4459">
        <v>78.498999999999995</v>
      </c>
      <c r="F4459">
        <f t="shared" si="279"/>
        <v>-29.498999999999995</v>
      </c>
      <c r="G4459">
        <v>38.917000000000002</v>
      </c>
      <c r="H4459">
        <v>0.86</v>
      </c>
      <c r="I4459">
        <v>2.21</v>
      </c>
      <c r="J4459">
        <v>6</v>
      </c>
      <c r="K4459">
        <v>15</v>
      </c>
      <c r="L4459">
        <v>8</v>
      </c>
      <c r="M4459">
        <v>2.27</v>
      </c>
    </row>
    <row r="4460" spans="1:13" ht="15" customHeight="1">
      <c r="A4460" t="s">
        <v>49</v>
      </c>
      <c r="B4460">
        <f t="shared" si="276"/>
        <v>33.704600999999997</v>
      </c>
      <c r="C4460">
        <f t="shared" si="277"/>
        <v>-117.84863799999999</v>
      </c>
      <c r="D4460">
        <f t="shared" si="278"/>
        <v>49</v>
      </c>
      <c r="E4460">
        <v>79.498999999999995</v>
      </c>
      <c r="F4460">
        <f t="shared" si="279"/>
        <v>-30.498999999999995</v>
      </c>
      <c r="G4460">
        <v>52.817</v>
      </c>
      <c r="H4460">
        <v>1.8080000000000001</v>
      </c>
      <c r="I4460">
        <v>3.4209999999999998</v>
      </c>
      <c r="J4460">
        <v>5</v>
      </c>
      <c r="K4460">
        <v>25</v>
      </c>
      <c r="L4460">
        <v>13</v>
      </c>
      <c r="M4460">
        <v>3.1960000000000002</v>
      </c>
    </row>
    <row r="4461" spans="1:13" ht="15" customHeight="1">
      <c r="A4461" t="s">
        <v>49</v>
      </c>
      <c r="B4461">
        <f t="shared" si="276"/>
        <v>33.704600999999997</v>
      </c>
      <c r="C4461">
        <f t="shared" si="277"/>
        <v>-117.84863799999999</v>
      </c>
      <c r="D4461">
        <f t="shared" si="278"/>
        <v>49</v>
      </c>
      <c r="E4461">
        <v>80.498999999999995</v>
      </c>
      <c r="F4461">
        <f t="shared" si="279"/>
        <v>-31.498999999999995</v>
      </c>
      <c r="G4461">
        <v>204.767</v>
      </c>
      <c r="H4461">
        <v>2.95</v>
      </c>
      <c r="I4461">
        <v>1.4410000000000001</v>
      </c>
      <c r="J4461">
        <v>8</v>
      </c>
      <c r="K4461">
        <v>49</v>
      </c>
      <c r="L4461">
        <v>25</v>
      </c>
      <c r="M4461" s="1">
        <v>9000000000</v>
      </c>
    </row>
    <row r="4462" spans="1:13" ht="15" customHeight="1">
      <c r="A4462" t="s">
        <v>49</v>
      </c>
      <c r="B4462">
        <f t="shared" si="276"/>
        <v>33.704600999999997</v>
      </c>
      <c r="C4462">
        <f t="shared" si="277"/>
        <v>-117.84863799999999</v>
      </c>
      <c r="D4462">
        <f t="shared" si="278"/>
        <v>49</v>
      </c>
      <c r="E4462">
        <v>81.498999999999995</v>
      </c>
      <c r="F4462">
        <f t="shared" si="279"/>
        <v>-32.498999999999995</v>
      </c>
      <c r="G4462">
        <v>136.1</v>
      </c>
      <c r="H4462">
        <v>1.7430000000000001</v>
      </c>
      <c r="I4462">
        <v>1.282</v>
      </c>
      <c r="J4462">
        <v>8</v>
      </c>
      <c r="K4462">
        <v>33</v>
      </c>
      <c r="L4462">
        <v>17</v>
      </c>
      <c r="M4462" s="1">
        <v>9000000000</v>
      </c>
    </row>
    <row r="4463" spans="1:13" ht="15" customHeight="1">
      <c r="A4463" t="s">
        <v>49</v>
      </c>
      <c r="B4463">
        <f t="shared" si="276"/>
        <v>33.704600999999997</v>
      </c>
      <c r="C4463">
        <f t="shared" si="277"/>
        <v>-117.84863799999999</v>
      </c>
      <c r="D4463">
        <f t="shared" si="278"/>
        <v>49</v>
      </c>
      <c r="E4463">
        <v>82.498999999999995</v>
      </c>
      <c r="F4463">
        <f t="shared" si="279"/>
        <v>-33.498999999999995</v>
      </c>
      <c r="G4463">
        <v>58.917000000000002</v>
      </c>
      <c r="H4463">
        <v>1.893</v>
      </c>
      <c r="I4463">
        <v>3.2189999999999999</v>
      </c>
      <c r="J4463">
        <v>6</v>
      </c>
      <c r="K4463">
        <v>23</v>
      </c>
      <c r="L4463">
        <v>12</v>
      </c>
      <c r="M4463">
        <v>3.58</v>
      </c>
    </row>
    <row r="4464" spans="1:13" ht="15" customHeight="1">
      <c r="A4464" t="s">
        <v>49</v>
      </c>
      <c r="B4464">
        <f t="shared" si="276"/>
        <v>33.704600999999997</v>
      </c>
      <c r="C4464">
        <f t="shared" si="277"/>
        <v>-117.84863799999999</v>
      </c>
      <c r="D4464">
        <f t="shared" si="278"/>
        <v>49</v>
      </c>
      <c r="E4464">
        <v>83.498999999999995</v>
      </c>
      <c r="F4464">
        <f t="shared" si="279"/>
        <v>-34.498999999999995</v>
      </c>
      <c r="G4464">
        <v>33.243000000000002</v>
      </c>
      <c r="H4464">
        <v>1.32</v>
      </c>
      <c r="I4464">
        <v>3.976</v>
      </c>
      <c r="J4464">
        <v>4</v>
      </c>
      <c r="K4464">
        <v>21</v>
      </c>
      <c r="L4464">
        <v>11</v>
      </c>
      <c r="M4464">
        <v>1.8680000000000001</v>
      </c>
    </row>
    <row r="4465" spans="1:13" ht="15" customHeight="1">
      <c r="A4465" t="s">
        <v>49</v>
      </c>
      <c r="B4465">
        <f t="shared" si="276"/>
        <v>33.704600999999997</v>
      </c>
      <c r="C4465">
        <f t="shared" si="277"/>
        <v>-117.84863799999999</v>
      </c>
      <c r="D4465">
        <f t="shared" si="278"/>
        <v>49</v>
      </c>
      <c r="E4465">
        <v>84.498999999999995</v>
      </c>
      <c r="F4465">
        <f t="shared" si="279"/>
        <v>-35.498999999999995</v>
      </c>
      <c r="G4465">
        <v>28.75</v>
      </c>
      <c r="H4465">
        <v>0.74199999999999999</v>
      </c>
      <c r="I4465">
        <v>2.581</v>
      </c>
      <c r="J4465">
        <v>6</v>
      </c>
      <c r="K4465">
        <v>11</v>
      </c>
      <c r="L4465">
        <v>6</v>
      </c>
      <c r="M4465">
        <v>1.5660000000000001</v>
      </c>
    </row>
    <row r="4466" spans="1:13" ht="15" customHeight="1">
      <c r="A4466" t="s">
        <v>49</v>
      </c>
      <c r="B4466">
        <f t="shared" si="276"/>
        <v>33.704600999999997</v>
      </c>
      <c r="C4466">
        <f t="shared" si="277"/>
        <v>-117.84863799999999</v>
      </c>
      <c r="D4466">
        <f t="shared" si="278"/>
        <v>49</v>
      </c>
      <c r="E4466">
        <v>85.498999999999995</v>
      </c>
      <c r="F4466">
        <f t="shared" si="279"/>
        <v>-36.498999999999995</v>
      </c>
      <c r="G4466">
        <v>36.6</v>
      </c>
      <c r="H4466">
        <v>1.1919999999999999</v>
      </c>
      <c r="I4466">
        <v>3.2559999999999998</v>
      </c>
      <c r="J4466">
        <v>5</v>
      </c>
      <c r="K4466">
        <v>18</v>
      </c>
      <c r="L4466">
        <v>9</v>
      </c>
      <c r="M4466">
        <v>2.0870000000000002</v>
      </c>
    </row>
    <row r="4467" spans="1:13" ht="15" customHeight="1">
      <c r="A4467" t="s">
        <v>49</v>
      </c>
      <c r="B4467">
        <f t="shared" si="276"/>
        <v>33.704600999999997</v>
      </c>
      <c r="C4467">
        <f t="shared" si="277"/>
        <v>-117.84863799999999</v>
      </c>
      <c r="D4467">
        <f t="shared" si="278"/>
        <v>49</v>
      </c>
      <c r="E4467">
        <v>86.498999999999995</v>
      </c>
      <c r="F4467">
        <f t="shared" si="279"/>
        <v>-37.498999999999995</v>
      </c>
      <c r="G4467">
        <v>37.75</v>
      </c>
      <c r="H4467">
        <v>1.57</v>
      </c>
      <c r="I4467">
        <v>4.157</v>
      </c>
      <c r="J4467">
        <v>4</v>
      </c>
      <c r="K4467">
        <v>24</v>
      </c>
      <c r="L4467">
        <v>12</v>
      </c>
      <c r="M4467">
        <v>2.16</v>
      </c>
    </row>
    <row r="4468" spans="1:13" ht="15" customHeight="1">
      <c r="A4468" t="s">
        <v>49</v>
      </c>
      <c r="B4468">
        <f t="shared" si="276"/>
        <v>33.704600999999997</v>
      </c>
      <c r="C4468">
        <f t="shared" si="277"/>
        <v>-117.84863799999999</v>
      </c>
      <c r="D4468">
        <f t="shared" si="278"/>
        <v>49</v>
      </c>
      <c r="E4468">
        <v>87.498999999999995</v>
      </c>
      <c r="F4468">
        <f t="shared" si="279"/>
        <v>-38.498999999999995</v>
      </c>
      <c r="G4468">
        <v>36.616999999999997</v>
      </c>
      <c r="H4468">
        <v>1.4079999999999999</v>
      </c>
      <c r="I4468">
        <v>3.8439999999999999</v>
      </c>
      <c r="J4468">
        <v>5</v>
      </c>
      <c r="K4468">
        <v>18</v>
      </c>
      <c r="L4468">
        <v>9</v>
      </c>
      <c r="M4468">
        <v>2.08</v>
      </c>
    </row>
    <row r="4469" spans="1:13" ht="15" customHeight="1">
      <c r="A4469" t="s">
        <v>49</v>
      </c>
      <c r="B4469">
        <f t="shared" si="276"/>
        <v>33.704600999999997</v>
      </c>
      <c r="C4469">
        <f t="shared" si="277"/>
        <v>-117.84863799999999</v>
      </c>
      <c r="D4469">
        <f t="shared" si="278"/>
        <v>49</v>
      </c>
      <c r="E4469">
        <v>88.498999999999995</v>
      </c>
      <c r="F4469">
        <f t="shared" si="279"/>
        <v>-39.498999999999995</v>
      </c>
      <c r="G4469">
        <v>117</v>
      </c>
      <c r="H4469">
        <v>3.165</v>
      </c>
      <c r="I4469">
        <v>2.706</v>
      </c>
      <c r="J4469">
        <v>6</v>
      </c>
      <c r="K4469">
        <v>45</v>
      </c>
      <c r="L4469">
        <v>23</v>
      </c>
      <c r="M4469">
        <v>7.4329999999999998</v>
      </c>
    </row>
    <row r="4470" spans="1:13" ht="15" customHeight="1">
      <c r="A4470" t="s">
        <v>49</v>
      </c>
      <c r="B4470">
        <f t="shared" si="276"/>
        <v>33.704600999999997</v>
      </c>
      <c r="C4470">
        <f t="shared" si="277"/>
        <v>-117.84863799999999</v>
      </c>
      <c r="D4470">
        <f t="shared" si="278"/>
        <v>49</v>
      </c>
      <c r="E4470">
        <v>89.498999999999995</v>
      </c>
      <c r="F4470">
        <f t="shared" si="279"/>
        <v>-40.498999999999995</v>
      </c>
      <c r="G4470">
        <v>66.650000000000006</v>
      </c>
      <c r="H4470">
        <v>2.198</v>
      </c>
      <c r="I4470">
        <v>3.3010000000000002</v>
      </c>
      <c r="J4470">
        <v>6</v>
      </c>
      <c r="K4470">
        <v>26</v>
      </c>
      <c r="L4470">
        <v>13</v>
      </c>
      <c r="M4470">
        <v>4.07</v>
      </c>
    </row>
    <row r="4471" spans="1:13" ht="15" customHeight="1">
      <c r="A4471" t="s">
        <v>49</v>
      </c>
      <c r="B4471">
        <f t="shared" si="276"/>
        <v>33.704600999999997</v>
      </c>
      <c r="C4471">
        <f t="shared" si="277"/>
        <v>-117.84863799999999</v>
      </c>
      <c r="D4471">
        <f t="shared" si="278"/>
        <v>49</v>
      </c>
      <c r="E4471">
        <v>90.498999999999995</v>
      </c>
      <c r="F4471">
        <f t="shared" si="279"/>
        <v>-41.498999999999995</v>
      </c>
      <c r="G4471">
        <v>53.017000000000003</v>
      </c>
      <c r="H4471">
        <v>2.0979999999999999</v>
      </c>
      <c r="I4471">
        <v>3.9590000000000001</v>
      </c>
      <c r="J4471">
        <v>5</v>
      </c>
      <c r="K4471">
        <v>25</v>
      </c>
      <c r="L4471">
        <v>13</v>
      </c>
      <c r="M4471">
        <v>3.1589999999999998</v>
      </c>
    </row>
    <row r="4472" spans="1:13" ht="15" customHeight="1">
      <c r="A4472" t="s">
        <v>49</v>
      </c>
      <c r="B4472">
        <f t="shared" si="276"/>
        <v>33.704600999999997</v>
      </c>
      <c r="C4472">
        <f t="shared" si="277"/>
        <v>-117.84863799999999</v>
      </c>
      <c r="D4472">
        <f t="shared" si="278"/>
        <v>49</v>
      </c>
      <c r="E4472">
        <v>91.498999999999995</v>
      </c>
      <c r="F4472">
        <f t="shared" si="279"/>
        <v>-42.498999999999995</v>
      </c>
      <c r="G4472">
        <v>48.067</v>
      </c>
      <c r="H4472">
        <v>1.508</v>
      </c>
      <c r="I4472">
        <v>3.137</v>
      </c>
      <c r="J4472">
        <v>6</v>
      </c>
      <c r="K4472">
        <v>18</v>
      </c>
      <c r="L4472">
        <v>9</v>
      </c>
      <c r="M4472">
        <v>2.827</v>
      </c>
    </row>
    <row r="4473" spans="1:13" ht="15" customHeight="1">
      <c r="A4473" t="s">
        <v>49</v>
      </c>
      <c r="B4473">
        <f t="shared" si="276"/>
        <v>33.704600999999997</v>
      </c>
      <c r="C4473">
        <f t="shared" si="277"/>
        <v>-117.84863799999999</v>
      </c>
      <c r="D4473">
        <f t="shared" si="278"/>
        <v>49</v>
      </c>
      <c r="E4473">
        <v>92.498999999999995</v>
      </c>
      <c r="F4473">
        <f t="shared" si="279"/>
        <v>-43.498999999999995</v>
      </c>
      <c r="G4473">
        <v>55.183</v>
      </c>
      <c r="H4473">
        <v>2.2229999999999999</v>
      </c>
      <c r="I4473">
        <v>4.0250000000000004</v>
      </c>
      <c r="J4473">
        <v>5</v>
      </c>
      <c r="K4473">
        <v>26</v>
      </c>
      <c r="L4473">
        <v>13</v>
      </c>
      <c r="M4473">
        <v>3.3</v>
      </c>
    </row>
    <row r="4474" spans="1:13" ht="15" customHeight="1">
      <c r="A4474" t="s">
        <v>49</v>
      </c>
      <c r="B4474">
        <f t="shared" si="276"/>
        <v>33.704600999999997</v>
      </c>
      <c r="C4474">
        <f t="shared" si="277"/>
        <v>-117.84863799999999</v>
      </c>
      <c r="D4474">
        <f t="shared" si="278"/>
        <v>49</v>
      </c>
      <c r="E4474">
        <v>93.498999999999995</v>
      </c>
      <c r="F4474">
        <f t="shared" si="279"/>
        <v>-44.498999999999995</v>
      </c>
      <c r="G4474">
        <v>47.756999999999998</v>
      </c>
      <c r="H4474">
        <v>1.756</v>
      </c>
      <c r="I4474">
        <v>3.669</v>
      </c>
      <c r="J4474">
        <v>5</v>
      </c>
      <c r="K4474">
        <v>23</v>
      </c>
      <c r="L4474">
        <v>12</v>
      </c>
      <c r="M4474">
        <v>2.8039999999999998</v>
      </c>
    </row>
    <row r="4475" spans="1:13" ht="15" customHeight="1">
      <c r="A4475" t="s">
        <v>49</v>
      </c>
      <c r="B4475">
        <f t="shared" si="276"/>
        <v>33.704600999999997</v>
      </c>
      <c r="C4475">
        <f t="shared" si="277"/>
        <v>-117.84863799999999</v>
      </c>
      <c r="D4475">
        <f t="shared" si="278"/>
        <v>49</v>
      </c>
      <c r="E4475">
        <v>94.498999999999995</v>
      </c>
      <c r="F4475">
        <f t="shared" si="279"/>
        <v>-45.498999999999995</v>
      </c>
      <c r="G4475">
        <v>105.583</v>
      </c>
      <c r="H4475">
        <v>4.5279999999999996</v>
      </c>
      <c r="I4475">
        <v>4.2889999999999997</v>
      </c>
      <c r="J4475">
        <v>11</v>
      </c>
      <c r="K4475">
        <v>101</v>
      </c>
      <c r="L4475">
        <v>51</v>
      </c>
      <c r="M4475" s="1">
        <v>9000000000</v>
      </c>
    </row>
    <row r="4476" spans="1:13" ht="15" customHeight="1">
      <c r="A4476" t="s">
        <v>49</v>
      </c>
      <c r="B4476">
        <f t="shared" si="276"/>
        <v>33.704600999999997</v>
      </c>
      <c r="C4476">
        <f t="shared" si="277"/>
        <v>-117.84863799999999</v>
      </c>
      <c r="D4476">
        <f t="shared" si="278"/>
        <v>49</v>
      </c>
      <c r="E4476">
        <v>95.498999999999995</v>
      </c>
      <c r="F4476">
        <f t="shared" si="279"/>
        <v>-46.498999999999995</v>
      </c>
      <c r="G4476">
        <v>219.03299999999999</v>
      </c>
      <c r="H4476">
        <v>5.4249999999999998</v>
      </c>
      <c r="I4476">
        <v>2.4780000000000002</v>
      </c>
      <c r="J4476">
        <v>7</v>
      </c>
      <c r="K4476">
        <v>70</v>
      </c>
      <c r="L4476">
        <v>35</v>
      </c>
      <c r="M4476" s="1">
        <v>9000000000</v>
      </c>
    </row>
    <row r="4477" spans="1:13" ht="15" customHeight="1">
      <c r="A4477" t="s">
        <v>49</v>
      </c>
      <c r="B4477">
        <f t="shared" si="276"/>
        <v>33.704600999999997</v>
      </c>
      <c r="C4477">
        <f t="shared" si="277"/>
        <v>-117.84863799999999</v>
      </c>
      <c r="D4477">
        <f t="shared" si="278"/>
        <v>49</v>
      </c>
      <c r="E4477">
        <v>96.498999999999995</v>
      </c>
      <c r="F4477">
        <f t="shared" si="279"/>
        <v>-47.498999999999995</v>
      </c>
      <c r="G4477">
        <v>235.88300000000001</v>
      </c>
      <c r="H4477">
        <v>4.0880000000000001</v>
      </c>
      <c r="I4477">
        <v>1.734</v>
      </c>
      <c r="J4477">
        <v>8</v>
      </c>
      <c r="K4477">
        <v>56</v>
      </c>
      <c r="L4477">
        <v>28</v>
      </c>
      <c r="M4477" s="1">
        <v>9000000000</v>
      </c>
    </row>
    <row r="4478" spans="1:13" ht="15" customHeight="1">
      <c r="A4478" t="s">
        <v>49</v>
      </c>
      <c r="B4478">
        <f t="shared" si="276"/>
        <v>33.704600999999997</v>
      </c>
      <c r="C4478">
        <f t="shared" si="277"/>
        <v>-117.84863799999999</v>
      </c>
      <c r="D4478">
        <f t="shared" si="278"/>
        <v>49</v>
      </c>
      <c r="E4478">
        <v>97.498999999999995</v>
      </c>
      <c r="F4478">
        <f t="shared" si="279"/>
        <v>-48.498999999999995</v>
      </c>
      <c r="G4478">
        <v>245.53299999999999</v>
      </c>
      <c r="H4478">
        <v>3.54</v>
      </c>
      <c r="I4478">
        <v>1.4430000000000001</v>
      </c>
      <c r="J4478">
        <v>8</v>
      </c>
      <c r="K4478">
        <v>59</v>
      </c>
      <c r="L4478">
        <v>30</v>
      </c>
      <c r="M4478" s="1">
        <v>9000000000</v>
      </c>
    </row>
    <row r="4479" spans="1:13" ht="15" customHeight="1">
      <c r="A4479" t="s">
        <v>49</v>
      </c>
      <c r="B4479">
        <f t="shared" si="276"/>
        <v>33.704600999999997</v>
      </c>
      <c r="C4479">
        <f t="shared" si="277"/>
        <v>-117.84863799999999</v>
      </c>
      <c r="D4479">
        <f t="shared" si="278"/>
        <v>49</v>
      </c>
      <c r="E4479">
        <v>98.498999999999995</v>
      </c>
      <c r="F4479">
        <f t="shared" si="279"/>
        <v>-49.498999999999995</v>
      </c>
      <c r="G4479">
        <v>191.25</v>
      </c>
      <c r="H4479">
        <v>4.7080000000000002</v>
      </c>
      <c r="I4479">
        <v>2.464</v>
      </c>
      <c r="J4479">
        <v>7</v>
      </c>
      <c r="K4479">
        <v>61</v>
      </c>
      <c r="L4479">
        <v>31</v>
      </c>
      <c r="M4479" s="1">
        <v>9000000000</v>
      </c>
    </row>
    <row r="4480" spans="1:13" ht="15" customHeight="1">
      <c r="A4480" t="s">
        <v>49</v>
      </c>
      <c r="B4480">
        <f t="shared" si="276"/>
        <v>33.704600999999997</v>
      </c>
      <c r="C4480">
        <f t="shared" si="277"/>
        <v>-117.84863799999999</v>
      </c>
      <c r="D4480">
        <f t="shared" si="278"/>
        <v>49</v>
      </c>
      <c r="E4480">
        <v>99.498999999999995</v>
      </c>
      <c r="F4480">
        <f t="shared" si="279"/>
        <v>-50.498999999999995</v>
      </c>
      <c r="G4480">
        <v>119.667</v>
      </c>
      <c r="H4480">
        <v>4.0030000000000001</v>
      </c>
      <c r="I4480">
        <v>3.351</v>
      </c>
      <c r="J4480">
        <v>6</v>
      </c>
      <c r="K4480">
        <v>46</v>
      </c>
      <c r="L4480">
        <v>23</v>
      </c>
      <c r="M4480">
        <v>7.5540000000000003</v>
      </c>
    </row>
    <row r="4481" spans="1:13" ht="15" customHeight="1">
      <c r="A4481" t="s">
        <v>49</v>
      </c>
      <c r="B4481">
        <f t="shared" si="276"/>
        <v>33.704600999999997</v>
      </c>
      <c r="C4481">
        <f t="shared" si="277"/>
        <v>-117.84863799999999</v>
      </c>
      <c r="D4481">
        <f t="shared" si="278"/>
        <v>49</v>
      </c>
      <c r="E4481">
        <v>100.499</v>
      </c>
      <c r="F4481">
        <f t="shared" si="279"/>
        <v>-51.498999999999995</v>
      </c>
      <c r="G4481">
        <v>175.65</v>
      </c>
      <c r="H4481">
        <v>4.3079999999999998</v>
      </c>
      <c r="I4481">
        <v>2.4550000000000001</v>
      </c>
      <c r="J4481">
        <v>7</v>
      </c>
      <c r="K4481">
        <v>56</v>
      </c>
      <c r="L4481">
        <v>28</v>
      </c>
      <c r="M4481" s="1">
        <v>9000000000</v>
      </c>
    </row>
    <row r="4482" spans="1:13" ht="15" customHeight="1">
      <c r="A4482" t="s">
        <v>49</v>
      </c>
      <c r="B4482">
        <f t="shared" ref="B4482:B4545" si="280">VLOOKUP(A4482,XYdata,3,FALSE)</f>
        <v>33.704600999999997</v>
      </c>
      <c r="C4482">
        <f t="shared" ref="C4482:C4545" si="281">VLOOKUP(A4482,XYdata,2,FALSE)</f>
        <v>-117.84863799999999</v>
      </c>
      <c r="D4482">
        <f t="shared" ref="D4482:D4545" si="282">VLOOKUP(A4482,Elevation,2,FALSE)</f>
        <v>49</v>
      </c>
      <c r="E4482">
        <v>101.499</v>
      </c>
      <c r="F4482">
        <f t="shared" si="279"/>
        <v>-52.498999999999995</v>
      </c>
      <c r="G4482">
        <v>219.7</v>
      </c>
      <c r="H4482">
        <v>4.4930000000000003</v>
      </c>
      <c r="I4482">
        <v>2.0470000000000002</v>
      </c>
      <c r="J4482">
        <v>8</v>
      </c>
      <c r="K4482">
        <v>53</v>
      </c>
      <c r="L4482">
        <v>27</v>
      </c>
      <c r="M4482" s="1">
        <v>9000000000</v>
      </c>
    </row>
    <row r="4483" spans="1:13" ht="15" customHeight="1">
      <c r="A4483" t="s">
        <v>49</v>
      </c>
      <c r="B4483">
        <f t="shared" si="280"/>
        <v>33.704600999999997</v>
      </c>
      <c r="C4483">
        <f t="shared" si="281"/>
        <v>-117.84863799999999</v>
      </c>
      <c r="D4483">
        <f t="shared" si="282"/>
        <v>49</v>
      </c>
      <c r="E4483">
        <v>102.499</v>
      </c>
      <c r="F4483">
        <f t="shared" ref="F4483:F4546" si="283">D4483-E4483</f>
        <v>-53.498999999999995</v>
      </c>
      <c r="G4483">
        <v>356.9</v>
      </c>
      <c r="H4483">
        <v>3.8519999999999999</v>
      </c>
      <c r="I4483">
        <v>1.08</v>
      </c>
      <c r="J4483">
        <v>9</v>
      </c>
      <c r="K4483">
        <v>68</v>
      </c>
      <c r="L4483">
        <v>34</v>
      </c>
      <c r="M4483" s="1">
        <v>9000000000</v>
      </c>
    </row>
    <row r="4484" spans="1:13" ht="15" customHeight="1">
      <c r="A4484" t="s">
        <v>49</v>
      </c>
      <c r="B4484">
        <f t="shared" si="280"/>
        <v>33.704600999999997</v>
      </c>
      <c r="C4484">
        <f t="shared" si="281"/>
        <v>-117.84863799999999</v>
      </c>
      <c r="D4484">
        <f t="shared" si="282"/>
        <v>49</v>
      </c>
      <c r="E4484">
        <v>103.499</v>
      </c>
      <c r="F4484">
        <f t="shared" si="283"/>
        <v>-54.498999999999995</v>
      </c>
      <c r="G4484">
        <v>359.733</v>
      </c>
      <c r="H4484">
        <v>4.5430000000000001</v>
      </c>
      <c r="I4484">
        <v>1.2629999999999999</v>
      </c>
      <c r="J4484">
        <v>9</v>
      </c>
      <c r="K4484">
        <v>69</v>
      </c>
      <c r="L4484">
        <v>35</v>
      </c>
      <c r="M4484" s="1">
        <v>9000000000</v>
      </c>
    </row>
    <row r="4485" spans="1:13" ht="15" customHeight="1">
      <c r="A4485" t="s">
        <v>49</v>
      </c>
      <c r="B4485">
        <f t="shared" si="280"/>
        <v>33.704600999999997</v>
      </c>
      <c r="C4485">
        <f t="shared" si="281"/>
        <v>-117.84863799999999</v>
      </c>
      <c r="D4485">
        <f t="shared" si="282"/>
        <v>49</v>
      </c>
      <c r="E4485">
        <v>104.499</v>
      </c>
      <c r="F4485">
        <f t="shared" si="283"/>
        <v>-55.498999999999995</v>
      </c>
      <c r="G4485">
        <v>366.74299999999999</v>
      </c>
      <c r="H4485">
        <v>2.9329999999999998</v>
      </c>
      <c r="I4485">
        <v>0.8</v>
      </c>
      <c r="J4485">
        <v>10</v>
      </c>
      <c r="K4485">
        <v>59</v>
      </c>
      <c r="L4485">
        <v>30</v>
      </c>
      <c r="M4485" s="1">
        <v>9000000000</v>
      </c>
    </row>
    <row r="4486" spans="1:13" ht="15" customHeight="1">
      <c r="A4486" t="s">
        <v>50</v>
      </c>
      <c r="B4486">
        <f t="shared" si="280"/>
        <v>33.705243000000003</v>
      </c>
      <c r="C4486">
        <f t="shared" si="281"/>
        <v>-117.84956</v>
      </c>
      <c r="D4486">
        <f t="shared" si="282"/>
        <v>49</v>
      </c>
      <c r="E4486">
        <v>0.5</v>
      </c>
      <c r="F4486">
        <f t="shared" si="283"/>
        <v>48.5</v>
      </c>
      <c r="G4486">
        <v>1.4670000000000001</v>
      </c>
      <c r="H4486">
        <v>4.8000000000000001E-2</v>
      </c>
      <c r="I4486">
        <v>3.2949999999999999</v>
      </c>
      <c r="J4486">
        <v>3</v>
      </c>
      <c r="K4486">
        <v>1</v>
      </c>
      <c r="L4486">
        <v>2</v>
      </c>
      <c r="M4486">
        <v>9.6000000000000002E-2</v>
      </c>
    </row>
    <row r="4487" spans="1:13" ht="15" customHeight="1">
      <c r="A4487" t="s">
        <v>50</v>
      </c>
      <c r="B4487">
        <f t="shared" si="280"/>
        <v>33.705243000000003</v>
      </c>
      <c r="C4487">
        <f t="shared" si="281"/>
        <v>-117.84956</v>
      </c>
      <c r="D4487">
        <f t="shared" si="282"/>
        <v>49</v>
      </c>
      <c r="E4487">
        <v>1.5</v>
      </c>
      <c r="F4487">
        <f t="shared" si="283"/>
        <v>47.5</v>
      </c>
      <c r="G4487">
        <v>11.967000000000001</v>
      </c>
      <c r="H4487">
        <v>0.64300000000000002</v>
      </c>
      <c r="I4487">
        <v>5.28</v>
      </c>
      <c r="J4487">
        <v>3</v>
      </c>
      <c r="K4487">
        <v>12</v>
      </c>
      <c r="L4487">
        <v>18</v>
      </c>
      <c r="M4487">
        <v>0.80600000000000005</v>
      </c>
    </row>
    <row r="4488" spans="1:13" ht="15" customHeight="1">
      <c r="A4488" t="s">
        <v>50</v>
      </c>
      <c r="B4488">
        <f t="shared" si="280"/>
        <v>33.705243000000003</v>
      </c>
      <c r="C4488">
        <f t="shared" si="281"/>
        <v>-117.84956</v>
      </c>
      <c r="D4488">
        <f t="shared" si="282"/>
        <v>49</v>
      </c>
      <c r="E4488">
        <v>2.5</v>
      </c>
      <c r="F4488">
        <f t="shared" si="283"/>
        <v>46.5</v>
      </c>
      <c r="G4488">
        <v>7.7830000000000004</v>
      </c>
      <c r="H4488">
        <v>0.27300000000000002</v>
      </c>
      <c r="I4488">
        <v>3.4820000000000002</v>
      </c>
      <c r="J4488">
        <v>3</v>
      </c>
      <c r="K4488">
        <v>8</v>
      </c>
      <c r="L4488">
        <v>12</v>
      </c>
      <c r="M4488">
        <v>0.51300000000000001</v>
      </c>
    </row>
    <row r="4489" spans="1:13" ht="15" customHeight="1">
      <c r="A4489" t="s">
        <v>50</v>
      </c>
      <c r="B4489">
        <f t="shared" si="280"/>
        <v>33.705243000000003</v>
      </c>
      <c r="C4489">
        <f t="shared" si="281"/>
        <v>-117.84956</v>
      </c>
      <c r="D4489">
        <f t="shared" si="282"/>
        <v>49</v>
      </c>
      <c r="E4489">
        <v>3.5</v>
      </c>
      <c r="F4489">
        <f t="shared" si="283"/>
        <v>45.5</v>
      </c>
      <c r="G4489">
        <v>7.7169999999999996</v>
      </c>
      <c r="H4489">
        <v>0.32200000000000001</v>
      </c>
      <c r="I4489">
        <v>4.1680000000000001</v>
      </c>
      <c r="J4489">
        <v>3</v>
      </c>
      <c r="K4489">
        <v>7</v>
      </c>
      <c r="L4489">
        <v>11</v>
      </c>
      <c r="M4489">
        <v>0.5</v>
      </c>
    </row>
    <row r="4490" spans="1:13" ht="15" customHeight="1">
      <c r="A4490" t="s">
        <v>50</v>
      </c>
      <c r="B4490">
        <f t="shared" si="280"/>
        <v>33.705243000000003</v>
      </c>
      <c r="C4490">
        <f t="shared" si="281"/>
        <v>-117.84956</v>
      </c>
      <c r="D4490">
        <f t="shared" si="282"/>
        <v>49</v>
      </c>
      <c r="E4490">
        <v>4.5</v>
      </c>
      <c r="F4490">
        <f t="shared" si="283"/>
        <v>44.5</v>
      </c>
      <c r="G4490">
        <v>3.6</v>
      </c>
      <c r="H4490">
        <v>0.10199999999999999</v>
      </c>
      <c r="I4490">
        <v>2.8239999999999998</v>
      </c>
      <c r="J4490">
        <v>3</v>
      </c>
      <c r="K4490">
        <v>3</v>
      </c>
      <c r="L4490">
        <v>5</v>
      </c>
      <c r="M4490">
        <v>0.222</v>
      </c>
    </row>
    <row r="4491" spans="1:13" ht="15" customHeight="1">
      <c r="A4491" t="s">
        <v>50</v>
      </c>
      <c r="B4491">
        <f t="shared" si="280"/>
        <v>33.705243000000003</v>
      </c>
      <c r="C4491">
        <f t="shared" si="281"/>
        <v>-117.84956</v>
      </c>
      <c r="D4491">
        <f t="shared" si="282"/>
        <v>49</v>
      </c>
      <c r="E4491">
        <v>5.5</v>
      </c>
      <c r="F4491">
        <f t="shared" si="283"/>
        <v>43.5</v>
      </c>
      <c r="G4491">
        <v>19.600000000000001</v>
      </c>
      <c r="H4491">
        <v>0.53500000000000003</v>
      </c>
      <c r="I4491">
        <v>2.734</v>
      </c>
      <c r="J4491">
        <v>5</v>
      </c>
      <c r="K4491">
        <v>9</v>
      </c>
      <c r="L4491">
        <v>14</v>
      </c>
      <c r="M4491">
        <v>1.282</v>
      </c>
    </row>
    <row r="4492" spans="1:13" ht="15" customHeight="1">
      <c r="A4492" t="s">
        <v>50</v>
      </c>
      <c r="B4492">
        <f t="shared" si="280"/>
        <v>33.705243000000003</v>
      </c>
      <c r="C4492">
        <f t="shared" si="281"/>
        <v>-117.84956</v>
      </c>
      <c r="D4492">
        <f t="shared" si="282"/>
        <v>49</v>
      </c>
      <c r="E4492">
        <v>6.5</v>
      </c>
      <c r="F4492">
        <f t="shared" si="283"/>
        <v>42.5</v>
      </c>
      <c r="G4492">
        <v>27.85</v>
      </c>
      <c r="H4492">
        <v>1.0880000000000001</v>
      </c>
      <c r="I4492">
        <v>3.9079999999999999</v>
      </c>
      <c r="J4492">
        <v>4</v>
      </c>
      <c r="K4492">
        <v>18</v>
      </c>
      <c r="L4492">
        <v>27</v>
      </c>
      <c r="M4492">
        <v>1.83</v>
      </c>
    </row>
    <row r="4493" spans="1:13" ht="15" customHeight="1">
      <c r="A4493" t="s">
        <v>50</v>
      </c>
      <c r="B4493">
        <f t="shared" si="280"/>
        <v>33.705243000000003</v>
      </c>
      <c r="C4493">
        <f t="shared" si="281"/>
        <v>-117.84956</v>
      </c>
      <c r="D4493">
        <f t="shared" si="282"/>
        <v>49</v>
      </c>
      <c r="E4493">
        <v>7.5</v>
      </c>
      <c r="F4493">
        <f t="shared" si="283"/>
        <v>41.5</v>
      </c>
      <c r="G4493">
        <v>38.716999999999999</v>
      </c>
      <c r="H4493">
        <v>0.86299999999999999</v>
      </c>
      <c r="I4493">
        <v>2.2349999999999999</v>
      </c>
      <c r="J4493">
        <v>6</v>
      </c>
      <c r="K4493">
        <v>15</v>
      </c>
      <c r="L4493">
        <v>23</v>
      </c>
      <c r="M4493">
        <v>2.5449999999999999</v>
      </c>
    </row>
    <row r="4494" spans="1:13" ht="15" customHeight="1">
      <c r="A4494" t="s">
        <v>50</v>
      </c>
      <c r="B4494">
        <f t="shared" si="280"/>
        <v>33.705243000000003</v>
      </c>
      <c r="C4494">
        <f t="shared" si="281"/>
        <v>-117.84956</v>
      </c>
      <c r="D4494">
        <f t="shared" si="282"/>
        <v>49</v>
      </c>
      <c r="E4494">
        <v>8.5</v>
      </c>
      <c r="F4494">
        <f t="shared" si="283"/>
        <v>40.5</v>
      </c>
      <c r="G4494">
        <v>65.566999999999993</v>
      </c>
      <c r="H4494">
        <v>0.86199999999999999</v>
      </c>
      <c r="I4494">
        <v>1.3149999999999999</v>
      </c>
      <c r="J4494">
        <v>7</v>
      </c>
      <c r="K4494">
        <v>21</v>
      </c>
      <c r="L4494">
        <v>32</v>
      </c>
      <c r="M4494" s="1">
        <v>9000000000</v>
      </c>
    </row>
    <row r="4495" spans="1:13" ht="15" customHeight="1">
      <c r="A4495" t="s">
        <v>50</v>
      </c>
      <c r="B4495">
        <f t="shared" si="280"/>
        <v>33.705243000000003</v>
      </c>
      <c r="C4495">
        <f t="shared" si="281"/>
        <v>-117.84956</v>
      </c>
      <c r="D4495">
        <f t="shared" si="282"/>
        <v>49</v>
      </c>
      <c r="E4495">
        <v>9.5</v>
      </c>
      <c r="F4495">
        <f t="shared" si="283"/>
        <v>39.5</v>
      </c>
      <c r="G4495">
        <v>39.450000000000003</v>
      </c>
      <c r="H4495">
        <v>0.45500000000000002</v>
      </c>
      <c r="I4495">
        <v>1.1539999999999999</v>
      </c>
      <c r="J4495">
        <v>7</v>
      </c>
      <c r="K4495">
        <v>13</v>
      </c>
      <c r="L4495">
        <v>20</v>
      </c>
      <c r="M4495" s="1">
        <v>9000000000</v>
      </c>
    </row>
    <row r="4496" spans="1:13" ht="15" customHeight="1">
      <c r="A4496" t="s">
        <v>50</v>
      </c>
      <c r="B4496">
        <f t="shared" si="280"/>
        <v>33.705243000000003</v>
      </c>
      <c r="C4496">
        <f t="shared" si="281"/>
        <v>-117.84956</v>
      </c>
      <c r="D4496">
        <f t="shared" si="282"/>
        <v>49</v>
      </c>
      <c r="E4496">
        <v>10.5</v>
      </c>
      <c r="F4496">
        <f t="shared" si="283"/>
        <v>38.5</v>
      </c>
      <c r="G4496">
        <v>32.429000000000002</v>
      </c>
      <c r="H4496">
        <v>0.39400000000000002</v>
      </c>
      <c r="I4496">
        <v>1.216</v>
      </c>
      <c r="J4496">
        <v>7</v>
      </c>
      <c r="K4496">
        <v>10</v>
      </c>
      <c r="L4496">
        <v>14</v>
      </c>
      <c r="M4496" s="1">
        <v>9000000000</v>
      </c>
    </row>
    <row r="4497" spans="1:13" ht="15" customHeight="1">
      <c r="A4497" t="s">
        <v>50</v>
      </c>
      <c r="B4497">
        <f t="shared" si="280"/>
        <v>33.705243000000003</v>
      </c>
      <c r="C4497">
        <f t="shared" si="281"/>
        <v>-117.84956</v>
      </c>
      <c r="D4497">
        <f t="shared" si="282"/>
        <v>49</v>
      </c>
      <c r="E4497">
        <v>11.5</v>
      </c>
      <c r="F4497">
        <f t="shared" si="283"/>
        <v>37.5</v>
      </c>
      <c r="G4497">
        <v>5</v>
      </c>
      <c r="H4497">
        <v>0.155</v>
      </c>
      <c r="I4497">
        <v>3.0590000000000002</v>
      </c>
      <c r="J4497">
        <v>3</v>
      </c>
      <c r="K4497">
        <v>5</v>
      </c>
      <c r="L4497">
        <v>7</v>
      </c>
      <c r="M4497">
        <v>0.29099999999999998</v>
      </c>
    </row>
    <row r="4498" spans="1:13" ht="15" customHeight="1">
      <c r="A4498" t="s">
        <v>50</v>
      </c>
      <c r="B4498">
        <f t="shared" si="280"/>
        <v>33.705243000000003</v>
      </c>
      <c r="C4498">
        <f t="shared" si="281"/>
        <v>-117.84956</v>
      </c>
      <c r="D4498">
        <f t="shared" si="282"/>
        <v>49</v>
      </c>
      <c r="E4498">
        <v>12.5</v>
      </c>
      <c r="F4498">
        <f t="shared" si="283"/>
        <v>36.5</v>
      </c>
      <c r="G4498">
        <v>4.5999999999999996</v>
      </c>
      <c r="H4498">
        <v>0.16300000000000001</v>
      </c>
      <c r="I4498">
        <v>3.5129999999999999</v>
      </c>
      <c r="J4498">
        <v>3</v>
      </c>
      <c r="K4498">
        <v>4</v>
      </c>
      <c r="L4498">
        <v>5</v>
      </c>
      <c r="M4498">
        <v>0.25900000000000001</v>
      </c>
    </row>
    <row r="4499" spans="1:13" ht="15" customHeight="1">
      <c r="A4499" t="s">
        <v>50</v>
      </c>
      <c r="B4499">
        <f t="shared" si="280"/>
        <v>33.705243000000003</v>
      </c>
      <c r="C4499">
        <f t="shared" si="281"/>
        <v>-117.84956</v>
      </c>
      <c r="D4499">
        <f t="shared" si="282"/>
        <v>49</v>
      </c>
      <c r="E4499">
        <v>13.5</v>
      </c>
      <c r="F4499">
        <f t="shared" si="283"/>
        <v>35.5</v>
      </c>
      <c r="G4499">
        <v>5.117</v>
      </c>
      <c r="H4499">
        <v>0.14299999999999999</v>
      </c>
      <c r="I4499">
        <v>2.7650000000000001</v>
      </c>
      <c r="J4499">
        <v>3</v>
      </c>
      <c r="K4499">
        <v>5</v>
      </c>
      <c r="L4499">
        <v>6</v>
      </c>
      <c r="M4499">
        <v>0.29099999999999998</v>
      </c>
    </row>
    <row r="4500" spans="1:13" ht="15" customHeight="1">
      <c r="A4500" t="s">
        <v>50</v>
      </c>
      <c r="B4500">
        <f t="shared" si="280"/>
        <v>33.705243000000003</v>
      </c>
      <c r="C4500">
        <f t="shared" si="281"/>
        <v>-117.84956</v>
      </c>
      <c r="D4500">
        <f t="shared" si="282"/>
        <v>49</v>
      </c>
      <c r="E4500">
        <v>14.5</v>
      </c>
      <c r="F4500">
        <f t="shared" si="283"/>
        <v>34.5</v>
      </c>
      <c r="G4500">
        <v>20.983000000000001</v>
      </c>
      <c r="H4500">
        <v>0.60699999999999998</v>
      </c>
      <c r="I4500">
        <v>2.8929999999999998</v>
      </c>
      <c r="J4500">
        <v>5</v>
      </c>
      <c r="K4500">
        <v>10</v>
      </c>
      <c r="L4500">
        <v>11</v>
      </c>
      <c r="M4500">
        <v>1.339</v>
      </c>
    </row>
    <row r="4501" spans="1:13" ht="15" customHeight="1">
      <c r="A4501" t="s">
        <v>50</v>
      </c>
      <c r="B4501">
        <f t="shared" si="280"/>
        <v>33.705243000000003</v>
      </c>
      <c r="C4501">
        <f t="shared" si="281"/>
        <v>-117.84956</v>
      </c>
      <c r="D4501">
        <f t="shared" si="282"/>
        <v>49</v>
      </c>
      <c r="E4501">
        <v>15.5</v>
      </c>
      <c r="F4501">
        <f t="shared" si="283"/>
        <v>33.5</v>
      </c>
      <c r="G4501">
        <v>17.5</v>
      </c>
      <c r="H4501">
        <v>0.83299999999999996</v>
      </c>
      <c r="I4501">
        <v>4.8029999999999999</v>
      </c>
      <c r="J4501">
        <v>3</v>
      </c>
      <c r="K4501">
        <v>17</v>
      </c>
      <c r="L4501">
        <v>18</v>
      </c>
      <c r="M4501">
        <v>1.0940000000000001</v>
      </c>
    </row>
    <row r="4502" spans="1:13" ht="15" customHeight="1">
      <c r="A4502" t="s">
        <v>50</v>
      </c>
      <c r="B4502">
        <f t="shared" si="280"/>
        <v>33.705243000000003</v>
      </c>
      <c r="C4502">
        <f t="shared" si="281"/>
        <v>-117.84956</v>
      </c>
      <c r="D4502">
        <f t="shared" si="282"/>
        <v>49</v>
      </c>
      <c r="E4502">
        <v>16.5</v>
      </c>
      <c r="F4502">
        <f t="shared" si="283"/>
        <v>32.5</v>
      </c>
      <c r="G4502">
        <v>7.5670000000000002</v>
      </c>
      <c r="H4502">
        <v>0.25700000000000001</v>
      </c>
      <c r="I4502">
        <v>3.4529999999999998</v>
      </c>
      <c r="J4502">
        <v>3</v>
      </c>
      <c r="K4502">
        <v>7</v>
      </c>
      <c r="L4502">
        <v>7</v>
      </c>
      <c r="M4502">
        <v>0.42899999999999999</v>
      </c>
    </row>
    <row r="4503" spans="1:13" ht="15" customHeight="1">
      <c r="A4503" t="s">
        <v>50</v>
      </c>
      <c r="B4503">
        <f t="shared" si="280"/>
        <v>33.705243000000003</v>
      </c>
      <c r="C4503">
        <f t="shared" si="281"/>
        <v>-117.84956</v>
      </c>
      <c r="D4503">
        <f t="shared" si="282"/>
        <v>49</v>
      </c>
      <c r="E4503">
        <v>17.5</v>
      </c>
      <c r="F4503">
        <f t="shared" si="283"/>
        <v>31.5</v>
      </c>
      <c r="G4503">
        <v>9.3000000000000007</v>
      </c>
      <c r="H4503">
        <v>0.247</v>
      </c>
      <c r="I4503">
        <v>2.6859999999999999</v>
      </c>
      <c r="J4503">
        <v>4</v>
      </c>
      <c r="K4503">
        <v>6</v>
      </c>
      <c r="L4503">
        <v>6</v>
      </c>
      <c r="M4503">
        <v>0.54100000000000004</v>
      </c>
    </row>
    <row r="4504" spans="1:13" ht="15" customHeight="1">
      <c r="A4504" t="s">
        <v>50</v>
      </c>
      <c r="B4504">
        <f t="shared" si="280"/>
        <v>33.705243000000003</v>
      </c>
      <c r="C4504">
        <f t="shared" si="281"/>
        <v>-117.84956</v>
      </c>
      <c r="D4504">
        <f t="shared" si="282"/>
        <v>49</v>
      </c>
      <c r="E4504">
        <v>18.5</v>
      </c>
      <c r="F4504">
        <f t="shared" si="283"/>
        <v>30.5</v>
      </c>
      <c r="G4504">
        <v>10.667</v>
      </c>
      <c r="H4504">
        <v>0.39</v>
      </c>
      <c r="I4504">
        <v>3.6970000000000001</v>
      </c>
      <c r="J4504">
        <v>3</v>
      </c>
      <c r="K4504">
        <v>10</v>
      </c>
      <c r="L4504">
        <v>9</v>
      </c>
      <c r="M4504">
        <v>0.628</v>
      </c>
    </row>
    <row r="4505" spans="1:13" ht="15" customHeight="1">
      <c r="A4505" t="s">
        <v>50</v>
      </c>
      <c r="B4505">
        <f t="shared" si="280"/>
        <v>33.705243000000003</v>
      </c>
      <c r="C4505">
        <f t="shared" si="281"/>
        <v>-117.84956</v>
      </c>
      <c r="D4505">
        <f t="shared" si="282"/>
        <v>49</v>
      </c>
      <c r="E4505">
        <v>19.5</v>
      </c>
      <c r="F4505">
        <f t="shared" si="283"/>
        <v>29.5</v>
      </c>
      <c r="G4505">
        <v>12.7</v>
      </c>
      <c r="H4505">
        <v>0.26800000000000002</v>
      </c>
      <c r="I4505">
        <v>2.1320000000000001</v>
      </c>
      <c r="J4505">
        <v>5</v>
      </c>
      <c r="K4505">
        <v>6</v>
      </c>
      <c r="L4505">
        <v>5</v>
      </c>
      <c r="M4505">
        <v>0.76</v>
      </c>
    </row>
    <row r="4506" spans="1:13" ht="15" customHeight="1">
      <c r="A4506" t="s">
        <v>50</v>
      </c>
      <c r="B4506">
        <f t="shared" si="280"/>
        <v>33.705243000000003</v>
      </c>
      <c r="C4506">
        <f t="shared" si="281"/>
        <v>-117.84956</v>
      </c>
      <c r="D4506">
        <f t="shared" si="282"/>
        <v>49</v>
      </c>
      <c r="E4506">
        <v>20.5</v>
      </c>
      <c r="F4506">
        <f t="shared" si="283"/>
        <v>28.5</v>
      </c>
      <c r="G4506">
        <v>10.786</v>
      </c>
      <c r="H4506">
        <v>0.36299999999999999</v>
      </c>
      <c r="I4506">
        <v>3.3780000000000001</v>
      </c>
      <c r="J4506">
        <v>4</v>
      </c>
      <c r="K4506">
        <v>7</v>
      </c>
      <c r="L4506">
        <v>6</v>
      </c>
      <c r="M4506">
        <v>0.63300000000000001</v>
      </c>
    </row>
    <row r="4507" spans="1:13" ht="15" customHeight="1">
      <c r="A4507" t="s">
        <v>50</v>
      </c>
      <c r="B4507">
        <f t="shared" si="280"/>
        <v>33.705243000000003</v>
      </c>
      <c r="C4507">
        <f t="shared" si="281"/>
        <v>-117.84956</v>
      </c>
      <c r="D4507">
        <f t="shared" si="282"/>
        <v>49</v>
      </c>
      <c r="E4507">
        <v>21.5</v>
      </c>
      <c r="F4507">
        <f t="shared" si="283"/>
        <v>27.5</v>
      </c>
      <c r="G4507">
        <v>14.583</v>
      </c>
      <c r="H4507">
        <v>0.54500000000000004</v>
      </c>
      <c r="I4507">
        <v>3.7629999999999999</v>
      </c>
      <c r="J4507">
        <v>4</v>
      </c>
      <c r="K4507">
        <v>9</v>
      </c>
      <c r="L4507">
        <v>7</v>
      </c>
      <c r="M4507">
        <v>0.879</v>
      </c>
    </row>
    <row r="4508" spans="1:13" ht="15" customHeight="1">
      <c r="A4508" t="s">
        <v>50</v>
      </c>
      <c r="B4508">
        <f t="shared" si="280"/>
        <v>33.705243000000003</v>
      </c>
      <c r="C4508">
        <f t="shared" si="281"/>
        <v>-117.84956</v>
      </c>
      <c r="D4508">
        <f t="shared" si="282"/>
        <v>49</v>
      </c>
      <c r="E4508">
        <v>22.5</v>
      </c>
      <c r="F4508">
        <f t="shared" si="283"/>
        <v>26.5</v>
      </c>
      <c r="G4508">
        <v>28.382999999999999</v>
      </c>
      <c r="H4508">
        <v>1.125</v>
      </c>
      <c r="I4508">
        <v>3.9729999999999999</v>
      </c>
      <c r="J4508">
        <v>4</v>
      </c>
      <c r="K4508">
        <v>18</v>
      </c>
      <c r="L4508">
        <v>14</v>
      </c>
      <c r="M4508">
        <v>1.7969999999999999</v>
      </c>
    </row>
    <row r="4509" spans="1:13" ht="15" customHeight="1">
      <c r="A4509" t="s">
        <v>50</v>
      </c>
      <c r="B4509">
        <f t="shared" si="280"/>
        <v>33.705243000000003</v>
      </c>
      <c r="C4509">
        <f t="shared" si="281"/>
        <v>-117.84956</v>
      </c>
      <c r="D4509">
        <f t="shared" si="282"/>
        <v>49</v>
      </c>
      <c r="E4509">
        <v>23.5</v>
      </c>
      <c r="F4509">
        <f t="shared" si="283"/>
        <v>25.5</v>
      </c>
      <c r="G4509">
        <v>31.933</v>
      </c>
      <c r="H4509">
        <v>1.448</v>
      </c>
      <c r="I4509">
        <v>4.55</v>
      </c>
      <c r="J4509">
        <v>4</v>
      </c>
      <c r="K4509">
        <v>20</v>
      </c>
      <c r="L4509">
        <v>15</v>
      </c>
      <c r="M4509">
        <v>2.0270000000000001</v>
      </c>
    </row>
    <row r="4510" spans="1:13" ht="15" customHeight="1">
      <c r="A4510" t="s">
        <v>50</v>
      </c>
      <c r="B4510">
        <f t="shared" si="280"/>
        <v>33.705243000000003</v>
      </c>
      <c r="C4510">
        <f t="shared" si="281"/>
        <v>-117.84956</v>
      </c>
      <c r="D4510">
        <f t="shared" si="282"/>
        <v>49</v>
      </c>
      <c r="E4510">
        <v>24.5</v>
      </c>
      <c r="F4510">
        <f t="shared" si="283"/>
        <v>24.5</v>
      </c>
      <c r="G4510">
        <v>37.25</v>
      </c>
      <c r="H4510">
        <v>1.44</v>
      </c>
      <c r="I4510">
        <v>3.8740000000000001</v>
      </c>
      <c r="J4510">
        <v>5</v>
      </c>
      <c r="K4510">
        <v>18</v>
      </c>
      <c r="L4510">
        <v>13</v>
      </c>
      <c r="M4510">
        <v>2.3780000000000001</v>
      </c>
    </row>
    <row r="4511" spans="1:13" ht="15" customHeight="1">
      <c r="A4511" t="s">
        <v>50</v>
      </c>
      <c r="B4511">
        <f t="shared" si="280"/>
        <v>33.705243000000003</v>
      </c>
      <c r="C4511">
        <f t="shared" si="281"/>
        <v>-117.84956</v>
      </c>
      <c r="D4511">
        <f t="shared" si="282"/>
        <v>49</v>
      </c>
      <c r="E4511">
        <v>25.5</v>
      </c>
      <c r="F4511">
        <f t="shared" si="283"/>
        <v>23.5</v>
      </c>
      <c r="G4511">
        <v>43.417000000000002</v>
      </c>
      <c r="H4511">
        <v>1.647</v>
      </c>
      <c r="I4511">
        <v>3.8</v>
      </c>
      <c r="J4511">
        <v>5</v>
      </c>
      <c r="K4511">
        <v>21</v>
      </c>
      <c r="L4511">
        <v>15</v>
      </c>
      <c r="M4511">
        <v>2.7850000000000001</v>
      </c>
    </row>
    <row r="4512" spans="1:13" ht="15" customHeight="1">
      <c r="A4512" t="s">
        <v>50</v>
      </c>
      <c r="B4512">
        <f t="shared" si="280"/>
        <v>33.705243000000003</v>
      </c>
      <c r="C4512">
        <f t="shared" si="281"/>
        <v>-117.84956</v>
      </c>
      <c r="D4512">
        <f t="shared" si="282"/>
        <v>49</v>
      </c>
      <c r="E4512">
        <v>26.5</v>
      </c>
      <c r="F4512">
        <f t="shared" si="283"/>
        <v>22.5</v>
      </c>
      <c r="G4512">
        <v>42.35</v>
      </c>
      <c r="H4512">
        <v>1.552</v>
      </c>
      <c r="I4512">
        <v>3.67</v>
      </c>
      <c r="J4512">
        <v>5</v>
      </c>
      <c r="K4512">
        <v>20</v>
      </c>
      <c r="L4512">
        <v>14</v>
      </c>
      <c r="M4512">
        <v>2.7109999999999999</v>
      </c>
    </row>
    <row r="4513" spans="1:13" ht="15" customHeight="1">
      <c r="A4513" t="s">
        <v>50</v>
      </c>
      <c r="B4513">
        <f t="shared" si="280"/>
        <v>33.705243000000003</v>
      </c>
      <c r="C4513">
        <f t="shared" si="281"/>
        <v>-117.84956</v>
      </c>
      <c r="D4513">
        <f t="shared" si="282"/>
        <v>49</v>
      </c>
      <c r="E4513">
        <v>27.5</v>
      </c>
      <c r="F4513">
        <f t="shared" si="283"/>
        <v>21.5</v>
      </c>
      <c r="G4513">
        <v>42.116999999999997</v>
      </c>
      <c r="H4513">
        <v>1.4770000000000001</v>
      </c>
      <c r="I4513">
        <v>3.51</v>
      </c>
      <c r="J4513">
        <v>5</v>
      </c>
      <c r="K4513">
        <v>20</v>
      </c>
      <c r="L4513">
        <v>14</v>
      </c>
      <c r="M4513">
        <v>2.6920000000000002</v>
      </c>
    </row>
    <row r="4514" spans="1:13" ht="15" customHeight="1">
      <c r="A4514" t="s">
        <v>50</v>
      </c>
      <c r="B4514">
        <f t="shared" si="280"/>
        <v>33.705243000000003</v>
      </c>
      <c r="C4514">
        <f t="shared" si="281"/>
        <v>-117.84956</v>
      </c>
      <c r="D4514">
        <f t="shared" si="282"/>
        <v>49</v>
      </c>
      <c r="E4514">
        <v>28.5</v>
      </c>
      <c r="F4514">
        <f t="shared" si="283"/>
        <v>20.5</v>
      </c>
      <c r="G4514">
        <v>44.533000000000001</v>
      </c>
      <c r="H4514">
        <v>1.4930000000000001</v>
      </c>
      <c r="I4514">
        <v>3.3559999999999999</v>
      </c>
      <c r="J4514">
        <v>5</v>
      </c>
      <c r="K4514">
        <v>21</v>
      </c>
      <c r="L4514">
        <v>14</v>
      </c>
      <c r="M4514">
        <v>2.851</v>
      </c>
    </row>
    <row r="4515" spans="1:13" ht="15" customHeight="1">
      <c r="A4515" t="s">
        <v>50</v>
      </c>
      <c r="B4515">
        <f t="shared" si="280"/>
        <v>33.705243000000003</v>
      </c>
      <c r="C4515">
        <f t="shared" si="281"/>
        <v>-117.84956</v>
      </c>
      <c r="D4515">
        <f t="shared" si="282"/>
        <v>49</v>
      </c>
      <c r="E4515">
        <v>29.5</v>
      </c>
      <c r="F4515">
        <f t="shared" si="283"/>
        <v>19.5</v>
      </c>
      <c r="G4515">
        <v>39.9</v>
      </c>
      <c r="H4515">
        <v>1.325</v>
      </c>
      <c r="I4515">
        <v>3.3210000000000002</v>
      </c>
      <c r="J4515">
        <v>5</v>
      </c>
      <c r="K4515">
        <v>19</v>
      </c>
      <c r="L4515">
        <v>13</v>
      </c>
      <c r="M4515">
        <v>2.54</v>
      </c>
    </row>
    <row r="4516" spans="1:13" ht="15" customHeight="1">
      <c r="A4516" t="s">
        <v>50</v>
      </c>
      <c r="B4516">
        <f t="shared" si="280"/>
        <v>33.705243000000003</v>
      </c>
      <c r="C4516">
        <f t="shared" si="281"/>
        <v>-117.84956</v>
      </c>
      <c r="D4516">
        <f t="shared" si="282"/>
        <v>49</v>
      </c>
      <c r="E4516">
        <v>30.5</v>
      </c>
      <c r="F4516">
        <f t="shared" si="283"/>
        <v>18.5</v>
      </c>
      <c r="G4516">
        <v>39.067</v>
      </c>
      <c r="H4516">
        <v>1.127</v>
      </c>
      <c r="I4516">
        <v>2.883</v>
      </c>
      <c r="J4516">
        <v>6</v>
      </c>
      <c r="K4516">
        <v>15</v>
      </c>
      <c r="L4516">
        <v>10</v>
      </c>
      <c r="M4516">
        <v>2.4809999999999999</v>
      </c>
    </row>
    <row r="4517" spans="1:13" ht="15" customHeight="1">
      <c r="A4517" t="s">
        <v>50</v>
      </c>
      <c r="B4517">
        <f t="shared" si="280"/>
        <v>33.705243000000003</v>
      </c>
      <c r="C4517">
        <f t="shared" si="281"/>
        <v>-117.84956</v>
      </c>
      <c r="D4517">
        <f t="shared" si="282"/>
        <v>49</v>
      </c>
      <c r="E4517">
        <v>31.5</v>
      </c>
      <c r="F4517">
        <f t="shared" si="283"/>
        <v>17.5</v>
      </c>
      <c r="G4517">
        <v>39.643000000000001</v>
      </c>
      <c r="H4517">
        <v>1.27</v>
      </c>
      <c r="I4517">
        <v>3.202</v>
      </c>
      <c r="J4517">
        <v>5</v>
      </c>
      <c r="K4517">
        <v>19</v>
      </c>
      <c r="L4517">
        <v>12</v>
      </c>
      <c r="M4517">
        <v>2.5150000000000001</v>
      </c>
    </row>
    <row r="4518" spans="1:13" ht="15" customHeight="1">
      <c r="A4518" t="s">
        <v>50</v>
      </c>
      <c r="B4518">
        <f t="shared" si="280"/>
        <v>33.705243000000003</v>
      </c>
      <c r="C4518">
        <f t="shared" si="281"/>
        <v>-117.84956</v>
      </c>
      <c r="D4518">
        <f t="shared" si="282"/>
        <v>49</v>
      </c>
      <c r="E4518">
        <v>32.5</v>
      </c>
      <c r="F4518">
        <f t="shared" si="283"/>
        <v>16.5</v>
      </c>
      <c r="G4518">
        <v>150.31700000000001</v>
      </c>
      <c r="H4518">
        <v>6.1180000000000003</v>
      </c>
      <c r="I4518">
        <v>4.069</v>
      </c>
      <c r="J4518">
        <v>11</v>
      </c>
      <c r="K4518">
        <v>144</v>
      </c>
      <c r="L4518">
        <v>93</v>
      </c>
      <c r="M4518" s="1">
        <v>9000000000</v>
      </c>
    </row>
    <row r="4519" spans="1:13" ht="15" customHeight="1">
      <c r="A4519" t="s">
        <v>50</v>
      </c>
      <c r="B4519">
        <f t="shared" si="280"/>
        <v>33.705243000000003</v>
      </c>
      <c r="C4519">
        <f t="shared" si="281"/>
        <v>-117.84956</v>
      </c>
      <c r="D4519">
        <f t="shared" si="282"/>
        <v>49</v>
      </c>
      <c r="E4519">
        <v>33.5</v>
      </c>
      <c r="F4519">
        <f t="shared" si="283"/>
        <v>15.5</v>
      </c>
      <c r="G4519">
        <v>52.133000000000003</v>
      </c>
      <c r="H4519">
        <v>3.1</v>
      </c>
      <c r="I4519">
        <v>5.9619999999999997</v>
      </c>
      <c r="J4519">
        <v>3</v>
      </c>
      <c r="K4519">
        <v>50</v>
      </c>
      <c r="L4519">
        <v>32</v>
      </c>
      <c r="M4519">
        <v>3.3290000000000002</v>
      </c>
    </row>
    <row r="4520" spans="1:13" ht="15" customHeight="1">
      <c r="A4520" t="s">
        <v>50</v>
      </c>
      <c r="B4520">
        <f t="shared" si="280"/>
        <v>33.705243000000003</v>
      </c>
      <c r="C4520">
        <f t="shared" si="281"/>
        <v>-117.84956</v>
      </c>
      <c r="D4520">
        <f t="shared" si="282"/>
        <v>49</v>
      </c>
      <c r="E4520">
        <v>34.5</v>
      </c>
      <c r="F4520">
        <f t="shared" si="283"/>
        <v>14.5</v>
      </c>
      <c r="G4520">
        <v>55.633000000000003</v>
      </c>
      <c r="H4520">
        <v>2.4750000000000001</v>
      </c>
      <c r="I4520">
        <v>4.4580000000000002</v>
      </c>
      <c r="J4520">
        <v>4</v>
      </c>
      <c r="K4520">
        <v>35</v>
      </c>
      <c r="L4520">
        <v>22</v>
      </c>
      <c r="M4520">
        <v>3.56</v>
      </c>
    </row>
    <row r="4521" spans="1:13" ht="15" customHeight="1">
      <c r="A4521" t="s">
        <v>50</v>
      </c>
      <c r="B4521">
        <f t="shared" si="280"/>
        <v>33.705243000000003</v>
      </c>
      <c r="C4521">
        <f t="shared" si="281"/>
        <v>-117.84956</v>
      </c>
      <c r="D4521">
        <f t="shared" si="282"/>
        <v>49</v>
      </c>
      <c r="E4521">
        <v>35.5</v>
      </c>
      <c r="F4521">
        <f t="shared" si="283"/>
        <v>13.5</v>
      </c>
      <c r="G4521">
        <v>36.433</v>
      </c>
      <c r="H4521">
        <v>1.673</v>
      </c>
      <c r="I4521">
        <v>4.6079999999999997</v>
      </c>
      <c r="J4521">
        <v>4</v>
      </c>
      <c r="K4521">
        <v>23</v>
      </c>
      <c r="L4521">
        <v>14</v>
      </c>
      <c r="M4521">
        <v>2.2749999999999999</v>
      </c>
    </row>
    <row r="4522" spans="1:13" ht="15" customHeight="1">
      <c r="A4522" t="s">
        <v>50</v>
      </c>
      <c r="B4522">
        <f t="shared" si="280"/>
        <v>33.705243000000003</v>
      </c>
      <c r="C4522">
        <f t="shared" si="281"/>
        <v>-117.84956</v>
      </c>
      <c r="D4522">
        <f t="shared" si="282"/>
        <v>49</v>
      </c>
      <c r="E4522">
        <v>36.5</v>
      </c>
      <c r="F4522">
        <f t="shared" si="283"/>
        <v>12.5</v>
      </c>
      <c r="G4522">
        <v>117.467</v>
      </c>
      <c r="H4522">
        <v>2.9649999999999999</v>
      </c>
      <c r="I4522">
        <v>2.5270000000000001</v>
      </c>
      <c r="J4522">
        <v>7</v>
      </c>
      <c r="K4522">
        <v>37</v>
      </c>
      <c r="L4522">
        <v>23</v>
      </c>
      <c r="M4522" s="1">
        <v>9000000000</v>
      </c>
    </row>
    <row r="4523" spans="1:13" ht="15" customHeight="1">
      <c r="A4523" t="s">
        <v>50</v>
      </c>
      <c r="B4523">
        <f t="shared" si="280"/>
        <v>33.705243000000003</v>
      </c>
      <c r="C4523">
        <f t="shared" si="281"/>
        <v>-117.84956</v>
      </c>
      <c r="D4523">
        <f t="shared" si="282"/>
        <v>49</v>
      </c>
      <c r="E4523">
        <v>37.5</v>
      </c>
      <c r="F4523">
        <f t="shared" si="283"/>
        <v>11.5</v>
      </c>
      <c r="G4523">
        <v>87.1</v>
      </c>
      <c r="H4523">
        <v>2.3929999999999998</v>
      </c>
      <c r="I4523">
        <v>2.754</v>
      </c>
      <c r="J4523">
        <v>6</v>
      </c>
      <c r="K4523">
        <v>33</v>
      </c>
      <c r="L4523">
        <v>20</v>
      </c>
      <c r="M4523">
        <v>5.641</v>
      </c>
    </row>
    <row r="4524" spans="1:13" ht="15" customHeight="1">
      <c r="A4524" t="s">
        <v>50</v>
      </c>
      <c r="B4524">
        <f t="shared" si="280"/>
        <v>33.705243000000003</v>
      </c>
      <c r="C4524">
        <f t="shared" si="281"/>
        <v>-117.84956</v>
      </c>
      <c r="D4524">
        <f t="shared" si="282"/>
        <v>49</v>
      </c>
      <c r="E4524">
        <v>38.5</v>
      </c>
      <c r="F4524">
        <f t="shared" si="283"/>
        <v>10.5</v>
      </c>
      <c r="G4524">
        <v>71.900000000000006</v>
      </c>
      <c r="H4524">
        <v>2.5449999999999999</v>
      </c>
      <c r="I4524">
        <v>3.548</v>
      </c>
      <c r="J4524">
        <v>5</v>
      </c>
      <c r="K4524">
        <v>34</v>
      </c>
      <c r="L4524">
        <v>20</v>
      </c>
      <c r="M4524">
        <v>4.6239999999999997</v>
      </c>
    </row>
    <row r="4525" spans="1:13" ht="15" customHeight="1">
      <c r="A4525" t="s">
        <v>50</v>
      </c>
      <c r="B4525">
        <f t="shared" si="280"/>
        <v>33.705243000000003</v>
      </c>
      <c r="C4525">
        <f t="shared" si="281"/>
        <v>-117.84956</v>
      </c>
      <c r="D4525">
        <f t="shared" si="282"/>
        <v>49</v>
      </c>
      <c r="E4525">
        <v>39.5</v>
      </c>
      <c r="F4525">
        <f t="shared" si="283"/>
        <v>9.5</v>
      </c>
      <c r="G4525">
        <v>50.716999999999999</v>
      </c>
      <c r="H4525">
        <v>1.798</v>
      </c>
      <c r="I4525">
        <v>3.5590000000000002</v>
      </c>
      <c r="J4525">
        <v>5</v>
      </c>
      <c r="K4525">
        <v>24</v>
      </c>
      <c r="L4525">
        <v>14</v>
      </c>
      <c r="M4525">
        <v>3.2069999999999999</v>
      </c>
    </row>
    <row r="4526" spans="1:13" ht="15" customHeight="1">
      <c r="A4526" t="s">
        <v>50</v>
      </c>
      <c r="B4526">
        <f t="shared" si="280"/>
        <v>33.705243000000003</v>
      </c>
      <c r="C4526">
        <f t="shared" si="281"/>
        <v>-117.84956</v>
      </c>
      <c r="D4526">
        <f t="shared" si="282"/>
        <v>49</v>
      </c>
      <c r="E4526">
        <v>40.5</v>
      </c>
      <c r="F4526">
        <f t="shared" si="283"/>
        <v>8.5</v>
      </c>
      <c r="G4526">
        <v>24.783000000000001</v>
      </c>
      <c r="H4526">
        <v>0.99299999999999999</v>
      </c>
      <c r="I4526">
        <v>4.03</v>
      </c>
      <c r="J4526">
        <v>4</v>
      </c>
      <c r="K4526">
        <v>16</v>
      </c>
      <c r="L4526">
        <v>9</v>
      </c>
      <c r="M4526">
        <v>1.4770000000000001</v>
      </c>
    </row>
    <row r="4527" spans="1:13" ht="15" customHeight="1">
      <c r="A4527" t="s">
        <v>50</v>
      </c>
      <c r="B4527">
        <f t="shared" si="280"/>
        <v>33.705243000000003</v>
      </c>
      <c r="C4527">
        <f t="shared" si="281"/>
        <v>-117.84956</v>
      </c>
      <c r="D4527">
        <f t="shared" si="282"/>
        <v>49</v>
      </c>
      <c r="E4527">
        <v>41.499000000000002</v>
      </c>
      <c r="F4527">
        <f t="shared" si="283"/>
        <v>7.5009999999999977</v>
      </c>
      <c r="G4527">
        <v>53.886000000000003</v>
      </c>
      <c r="H4527">
        <v>2.3199999999999998</v>
      </c>
      <c r="I4527">
        <v>4.3150000000000004</v>
      </c>
      <c r="J4527">
        <v>5</v>
      </c>
      <c r="K4527">
        <v>26</v>
      </c>
      <c r="L4527">
        <v>15</v>
      </c>
      <c r="M4527">
        <v>3.4140000000000001</v>
      </c>
    </row>
    <row r="4528" spans="1:13" ht="15" customHeight="1">
      <c r="A4528" t="s">
        <v>50</v>
      </c>
      <c r="B4528">
        <f t="shared" si="280"/>
        <v>33.705243000000003</v>
      </c>
      <c r="C4528">
        <f t="shared" si="281"/>
        <v>-117.84956</v>
      </c>
      <c r="D4528">
        <f t="shared" si="282"/>
        <v>49</v>
      </c>
      <c r="E4528">
        <v>42.499000000000002</v>
      </c>
      <c r="F4528">
        <f t="shared" si="283"/>
        <v>6.5009999999999977</v>
      </c>
      <c r="G4528">
        <v>71.117000000000004</v>
      </c>
      <c r="H4528">
        <v>3.5019999999999998</v>
      </c>
      <c r="I4528">
        <v>4.9370000000000003</v>
      </c>
      <c r="J4528">
        <v>11</v>
      </c>
      <c r="K4528">
        <v>68</v>
      </c>
      <c r="L4528">
        <v>39</v>
      </c>
      <c r="M4528" s="1">
        <v>9000000000</v>
      </c>
    </row>
    <row r="4529" spans="1:13" ht="15" customHeight="1">
      <c r="A4529" t="s">
        <v>50</v>
      </c>
      <c r="B4529">
        <f t="shared" si="280"/>
        <v>33.705243000000003</v>
      </c>
      <c r="C4529">
        <f t="shared" si="281"/>
        <v>-117.84956</v>
      </c>
      <c r="D4529">
        <f t="shared" si="282"/>
        <v>49</v>
      </c>
      <c r="E4529">
        <v>43.499000000000002</v>
      </c>
      <c r="F4529">
        <f t="shared" si="283"/>
        <v>5.5009999999999977</v>
      </c>
      <c r="G4529">
        <v>42.716999999999999</v>
      </c>
      <c r="H4529">
        <v>1.72</v>
      </c>
      <c r="I4529">
        <v>4.0419999999999998</v>
      </c>
      <c r="J4529">
        <v>5</v>
      </c>
      <c r="K4529">
        <v>20</v>
      </c>
      <c r="L4529">
        <v>11</v>
      </c>
      <c r="M4529">
        <v>2.6579999999999999</v>
      </c>
    </row>
    <row r="4530" spans="1:13" ht="15" customHeight="1">
      <c r="A4530" t="s">
        <v>50</v>
      </c>
      <c r="B4530">
        <f t="shared" si="280"/>
        <v>33.705243000000003</v>
      </c>
      <c r="C4530">
        <f t="shared" si="281"/>
        <v>-117.84956</v>
      </c>
      <c r="D4530">
        <f t="shared" si="282"/>
        <v>49</v>
      </c>
      <c r="E4530">
        <v>44.499000000000002</v>
      </c>
      <c r="F4530">
        <f t="shared" si="283"/>
        <v>4.5009999999999977</v>
      </c>
      <c r="G4530">
        <v>47.8</v>
      </c>
      <c r="H4530">
        <v>2.2149999999999999</v>
      </c>
      <c r="I4530">
        <v>4.6500000000000004</v>
      </c>
      <c r="J4530">
        <v>4</v>
      </c>
      <c r="K4530">
        <v>30</v>
      </c>
      <c r="L4530">
        <v>17</v>
      </c>
      <c r="M4530">
        <v>2.992</v>
      </c>
    </row>
    <row r="4531" spans="1:13" ht="15" customHeight="1">
      <c r="A4531" t="s">
        <v>50</v>
      </c>
      <c r="B4531">
        <f t="shared" si="280"/>
        <v>33.705243000000003</v>
      </c>
      <c r="C4531">
        <f t="shared" si="281"/>
        <v>-117.84956</v>
      </c>
      <c r="D4531">
        <f t="shared" si="282"/>
        <v>49</v>
      </c>
      <c r="E4531">
        <v>45.499000000000002</v>
      </c>
      <c r="F4531">
        <f t="shared" si="283"/>
        <v>3.5009999999999977</v>
      </c>
      <c r="G4531">
        <v>231.417</v>
      </c>
      <c r="H4531">
        <v>5.4050000000000002</v>
      </c>
      <c r="I4531">
        <v>2.3370000000000002</v>
      </c>
      <c r="J4531">
        <v>7</v>
      </c>
      <c r="K4531">
        <v>74</v>
      </c>
      <c r="L4531">
        <v>41</v>
      </c>
      <c r="M4531" s="1">
        <v>9000000000</v>
      </c>
    </row>
    <row r="4532" spans="1:13" ht="15" customHeight="1">
      <c r="A4532" t="s">
        <v>50</v>
      </c>
      <c r="B4532">
        <f t="shared" si="280"/>
        <v>33.705243000000003</v>
      </c>
      <c r="C4532">
        <f t="shared" si="281"/>
        <v>-117.84956</v>
      </c>
      <c r="D4532">
        <f t="shared" si="282"/>
        <v>49</v>
      </c>
      <c r="E4532">
        <v>46.499000000000002</v>
      </c>
      <c r="F4532">
        <f t="shared" si="283"/>
        <v>2.5009999999999977</v>
      </c>
      <c r="G4532">
        <v>238.61699999999999</v>
      </c>
      <c r="H4532">
        <v>5.0949999999999998</v>
      </c>
      <c r="I4532">
        <v>2.137</v>
      </c>
      <c r="J4532">
        <v>7</v>
      </c>
      <c r="K4532">
        <v>76</v>
      </c>
      <c r="L4532">
        <v>41</v>
      </c>
      <c r="M4532" s="1">
        <v>9000000000</v>
      </c>
    </row>
    <row r="4533" spans="1:13" ht="15" customHeight="1">
      <c r="A4533" t="s">
        <v>50</v>
      </c>
      <c r="B4533">
        <f t="shared" si="280"/>
        <v>33.705243000000003</v>
      </c>
      <c r="C4533">
        <f t="shared" si="281"/>
        <v>-117.84956</v>
      </c>
      <c r="D4533">
        <f t="shared" si="282"/>
        <v>49</v>
      </c>
      <c r="E4533">
        <v>47.499000000000002</v>
      </c>
      <c r="F4533">
        <f t="shared" si="283"/>
        <v>1.5009999999999977</v>
      </c>
      <c r="G4533">
        <v>157.05000000000001</v>
      </c>
      <c r="H4533">
        <v>3.5670000000000002</v>
      </c>
      <c r="I4533">
        <v>2.274</v>
      </c>
      <c r="J4533">
        <v>7</v>
      </c>
      <c r="K4533">
        <v>50</v>
      </c>
      <c r="L4533">
        <v>27</v>
      </c>
      <c r="M4533" s="1">
        <v>9000000000</v>
      </c>
    </row>
    <row r="4534" spans="1:13" ht="15" customHeight="1">
      <c r="A4534" t="s">
        <v>50</v>
      </c>
      <c r="B4534">
        <f t="shared" si="280"/>
        <v>33.705243000000003</v>
      </c>
      <c r="C4534">
        <f t="shared" si="281"/>
        <v>-117.84956</v>
      </c>
      <c r="D4534">
        <f t="shared" si="282"/>
        <v>49</v>
      </c>
      <c r="E4534">
        <v>48.499000000000002</v>
      </c>
      <c r="F4534">
        <f t="shared" si="283"/>
        <v>0.50099999999999767</v>
      </c>
      <c r="G4534">
        <v>117.617</v>
      </c>
      <c r="H4534">
        <v>2.915</v>
      </c>
      <c r="I4534">
        <v>2.4820000000000002</v>
      </c>
      <c r="J4534">
        <v>7</v>
      </c>
      <c r="K4534">
        <v>38</v>
      </c>
      <c r="L4534">
        <v>20</v>
      </c>
      <c r="M4534" s="1">
        <v>9000000000</v>
      </c>
    </row>
    <row r="4535" spans="1:13" ht="15" customHeight="1">
      <c r="A4535" t="s">
        <v>50</v>
      </c>
      <c r="B4535">
        <f t="shared" si="280"/>
        <v>33.705243000000003</v>
      </c>
      <c r="C4535">
        <f t="shared" si="281"/>
        <v>-117.84956</v>
      </c>
      <c r="D4535">
        <f t="shared" si="282"/>
        <v>49</v>
      </c>
      <c r="E4535">
        <v>49.499000000000002</v>
      </c>
      <c r="F4535">
        <f t="shared" si="283"/>
        <v>-0.49900000000000233</v>
      </c>
      <c r="G4535">
        <v>36.549999999999997</v>
      </c>
      <c r="H4535">
        <v>1.4450000000000001</v>
      </c>
      <c r="I4535">
        <v>3.9630000000000001</v>
      </c>
      <c r="J4535">
        <v>5</v>
      </c>
      <c r="K4535">
        <v>17</v>
      </c>
      <c r="L4535">
        <v>9</v>
      </c>
      <c r="M4535">
        <v>2.2280000000000002</v>
      </c>
    </row>
    <row r="4536" spans="1:13" ht="15" customHeight="1">
      <c r="A4536" t="s">
        <v>50</v>
      </c>
      <c r="B4536">
        <f t="shared" si="280"/>
        <v>33.705243000000003</v>
      </c>
      <c r="C4536">
        <f t="shared" si="281"/>
        <v>-117.84956</v>
      </c>
      <c r="D4536">
        <f t="shared" si="282"/>
        <v>49</v>
      </c>
      <c r="E4536">
        <v>50.499000000000002</v>
      </c>
      <c r="F4536">
        <f t="shared" si="283"/>
        <v>-1.4990000000000023</v>
      </c>
      <c r="G4536">
        <v>17.817</v>
      </c>
      <c r="H4536">
        <v>0.48499999999999999</v>
      </c>
      <c r="I4536">
        <v>2.73</v>
      </c>
      <c r="J4536">
        <v>5</v>
      </c>
      <c r="K4536">
        <v>9</v>
      </c>
      <c r="L4536">
        <v>5</v>
      </c>
      <c r="M4536">
        <v>0.97699999999999998</v>
      </c>
    </row>
    <row r="4537" spans="1:13" ht="15" customHeight="1">
      <c r="A4537" t="s">
        <v>50</v>
      </c>
      <c r="B4537">
        <f t="shared" si="280"/>
        <v>33.705243000000003</v>
      </c>
      <c r="C4537">
        <f t="shared" si="281"/>
        <v>-117.84956</v>
      </c>
      <c r="D4537">
        <f t="shared" si="282"/>
        <v>49</v>
      </c>
      <c r="E4537">
        <v>51.499000000000002</v>
      </c>
      <c r="F4537">
        <f t="shared" si="283"/>
        <v>-2.4990000000000023</v>
      </c>
      <c r="G4537">
        <v>26.7</v>
      </c>
      <c r="H4537">
        <v>0.90800000000000003</v>
      </c>
      <c r="I4537">
        <v>3.3980000000000001</v>
      </c>
      <c r="J4537">
        <v>5</v>
      </c>
      <c r="K4537">
        <v>13</v>
      </c>
      <c r="L4537">
        <v>7</v>
      </c>
      <c r="M4537">
        <v>1.571</v>
      </c>
    </row>
    <row r="4538" spans="1:13" ht="15" customHeight="1">
      <c r="A4538" t="s">
        <v>50</v>
      </c>
      <c r="B4538">
        <f t="shared" si="280"/>
        <v>33.705243000000003</v>
      </c>
      <c r="C4538">
        <f t="shared" si="281"/>
        <v>-117.84956</v>
      </c>
      <c r="D4538">
        <f t="shared" si="282"/>
        <v>49</v>
      </c>
      <c r="E4538">
        <v>52.499000000000002</v>
      </c>
      <c r="F4538">
        <f t="shared" si="283"/>
        <v>-3.4990000000000023</v>
      </c>
      <c r="G4538">
        <v>23.786000000000001</v>
      </c>
      <c r="H4538">
        <v>0.70899999999999996</v>
      </c>
      <c r="I4538">
        <v>2.93</v>
      </c>
      <c r="J4538">
        <v>5</v>
      </c>
      <c r="K4538">
        <v>12</v>
      </c>
      <c r="L4538">
        <v>6</v>
      </c>
      <c r="M4538">
        <v>1.397</v>
      </c>
    </row>
    <row r="4539" spans="1:13" ht="15" customHeight="1">
      <c r="A4539" t="s">
        <v>50</v>
      </c>
      <c r="B4539">
        <f t="shared" si="280"/>
        <v>33.705243000000003</v>
      </c>
      <c r="C4539">
        <f t="shared" si="281"/>
        <v>-117.84956</v>
      </c>
      <c r="D4539">
        <f t="shared" si="282"/>
        <v>49</v>
      </c>
      <c r="E4539">
        <v>53.499000000000002</v>
      </c>
      <c r="F4539">
        <f t="shared" si="283"/>
        <v>-4.4990000000000023</v>
      </c>
      <c r="G4539">
        <v>29.233000000000001</v>
      </c>
      <c r="H4539">
        <v>0.97</v>
      </c>
      <c r="I4539">
        <v>3.2829999999999999</v>
      </c>
      <c r="J4539">
        <v>5</v>
      </c>
      <c r="K4539">
        <v>14</v>
      </c>
      <c r="L4539">
        <v>7</v>
      </c>
      <c r="M4539">
        <v>1.75</v>
      </c>
    </row>
    <row r="4540" spans="1:13" ht="15" customHeight="1">
      <c r="A4540" t="s">
        <v>50</v>
      </c>
      <c r="B4540">
        <f t="shared" si="280"/>
        <v>33.705243000000003</v>
      </c>
      <c r="C4540">
        <f t="shared" si="281"/>
        <v>-117.84956</v>
      </c>
      <c r="D4540">
        <f t="shared" si="282"/>
        <v>49</v>
      </c>
      <c r="E4540">
        <v>54.499000000000002</v>
      </c>
      <c r="F4540">
        <f t="shared" si="283"/>
        <v>-5.4990000000000023</v>
      </c>
      <c r="G4540">
        <v>23.716999999999999</v>
      </c>
      <c r="H4540">
        <v>1.01</v>
      </c>
      <c r="I4540">
        <v>4.226</v>
      </c>
      <c r="J4540">
        <v>4</v>
      </c>
      <c r="K4540">
        <v>15</v>
      </c>
      <c r="L4540">
        <v>8</v>
      </c>
      <c r="M4540">
        <v>1.369</v>
      </c>
    </row>
    <row r="4541" spans="1:13" ht="15" customHeight="1">
      <c r="A4541" t="s">
        <v>50</v>
      </c>
      <c r="B4541">
        <f t="shared" si="280"/>
        <v>33.705243000000003</v>
      </c>
      <c r="C4541">
        <f t="shared" si="281"/>
        <v>-117.84956</v>
      </c>
      <c r="D4541">
        <f t="shared" si="282"/>
        <v>49</v>
      </c>
      <c r="E4541">
        <v>55.499000000000002</v>
      </c>
      <c r="F4541">
        <f t="shared" si="283"/>
        <v>-6.4990000000000023</v>
      </c>
      <c r="G4541">
        <v>21.832999999999998</v>
      </c>
      <c r="H4541">
        <v>0.68200000000000005</v>
      </c>
      <c r="I4541">
        <v>3.0569999999999999</v>
      </c>
      <c r="J4541">
        <v>5</v>
      </c>
      <c r="K4541">
        <v>11</v>
      </c>
      <c r="L4541">
        <v>6</v>
      </c>
      <c r="M4541">
        <v>1.258</v>
      </c>
    </row>
    <row r="4542" spans="1:13" ht="15" customHeight="1">
      <c r="A4542" t="s">
        <v>50</v>
      </c>
      <c r="B4542">
        <f t="shared" si="280"/>
        <v>33.705243000000003</v>
      </c>
      <c r="C4542">
        <f t="shared" si="281"/>
        <v>-117.84956</v>
      </c>
      <c r="D4542">
        <f t="shared" si="282"/>
        <v>49</v>
      </c>
      <c r="E4542">
        <v>56.499000000000002</v>
      </c>
      <c r="F4542">
        <f t="shared" si="283"/>
        <v>-7.4990000000000023</v>
      </c>
      <c r="G4542">
        <v>23.817</v>
      </c>
      <c r="H4542">
        <v>0.76500000000000001</v>
      </c>
      <c r="I4542">
        <v>3.1160000000000001</v>
      </c>
      <c r="J4542">
        <v>5</v>
      </c>
      <c r="K4542">
        <v>12</v>
      </c>
      <c r="L4542">
        <v>6</v>
      </c>
      <c r="M4542">
        <v>1.4039999999999999</v>
      </c>
    </row>
    <row r="4543" spans="1:13" ht="15" customHeight="1">
      <c r="A4543" t="s">
        <v>50</v>
      </c>
      <c r="B4543">
        <f t="shared" si="280"/>
        <v>33.705243000000003</v>
      </c>
      <c r="C4543">
        <f t="shared" si="281"/>
        <v>-117.84956</v>
      </c>
      <c r="D4543">
        <f t="shared" si="282"/>
        <v>49</v>
      </c>
      <c r="E4543">
        <v>57.499000000000002</v>
      </c>
      <c r="F4543">
        <f t="shared" si="283"/>
        <v>-8.4990000000000023</v>
      </c>
      <c r="G4543">
        <v>22.283000000000001</v>
      </c>
      <c r="H4543">
        <v>0.63300000000000001</v>
      </c>
      <c r="I4543">
        <v>2.7559999999999998</v>
      </c>
      <c r="J4543">
        <v>5</v>
      </c>
      <c r="K4543">
        <v>11</v>
      </c>
      <c r="L4543">
        <v>6</v>
      </c>
      <c r="M4543">
        <v>1.296</v>
      </c>
    </row>
    <row r="4544" spans="1:13" ht="15" customHeight="1">
      <c r="A4544" t="s">
        <v>50</v>
      </c>
      <c r="B4544">
        <f t="shared" si="280"/>
        <v>33.705243000000003</v>
      </c>
      <c r="C4544">
        <f t="shared" si="281"/>
        <v>-117.84956</v>
      </c>
      <c r="D4544">
        <f t="shared" si="282"/>
        <v>49</v>
      </c>
      <c r="E4544">
        <v>58.499000000000002</v>
      </c>
      <c r="F4544">
        <f t="shared" si="283"/>
        <v>-9.4990000000000023</v>
      </c>
      <c r="G4544">
        <v>50.9</v>
      </c>
      <c r="H4544">
        <v>2.1779999999999999</v>
      </c>
      <c r="I4544">
        <v>4.2439999999999998</v>
      </c>
      <c r="J4544">
        <v>5</v>
      </c>
      <c r="K4544">
        <v>25</v>
      </c>
      <c r="L4544">
        <v>13</v>
      </c>
      <c r="M4544">
        <v>3.181</v>
      </c>
    </row>
    <row r="4545" spans="1:13" ht="15" customHeight="1">
      <c r="A4545" t="s">
        <v>50</v>
      </c>
      <c r="B4545">
        <f t="shared" si="280"/>
        <v>33.705243000000003</v>
      </c>
      <c r="C4545">
        <f t="shared" si="281"/>
        <v>-117.84956</v>
      </c>
      <c r="D4545">
        <f t="shared" si="282"/>
        <v>49</v>
      </c>
      <c r="E4545">
        <v>59.499000000000002</v>
      </c>
      <c r="F4545">
        <f t="shared" si="283"/>
        <v>-10.499000000000002</v>
      </c>
      <c r="G4545">
        <v>131.86699999999999</v>
      </c>
      <c r="H4545">
        <v>3.2170000000000001</v>
      </c>
      <c r="I4545">
        <v>2.4409999999999998</v>
      </c>
      <c r="J4545">
        <v>7</v>
      </c>
      <c r="K4545">
        <v>42</v>
      </c>
      <c r="L4545">
        <v>21</v>
      </c>
      <c r="M4545" s="1">
        <v>9000000000</v>
      </c>
    </row>
    <row r="4546" spans="1:13" ht="15" customHeight="1">
      <c r="A4546" t="s">
        <v>50</v>
      </c>
      <c r="B4546">
        <f t="shared" ref="B4546:B4609" si="284">VLOOKUP(A4546,XYdata,3,FALSE)</f>
        <v>33.705243000000003</v>
      </c>
      <c r="C4546">
        <f t="shared" ref="C4546:C4609" si="285">VLOOKUP(A4546,XYdata,2,FALSE)</f>
        <v>-117.84956</v>
      </c>
      <c r="D4546">
        <f t="shared" ref="D4546:D4609" si="286">VLOOKUP(A4546,Elevation,2,FALSE)</f>
        <v>49</v>
      </c>
      <c r="E4546">
        <v>60.499000000000002</v>
      </c>
      <c r="F4546">
        <f t="shared" si="283"/>
        <v>-11.499000000000002</v>
      </c>
      <c r="G4546">
        <v>152.5</v>
      </c>
      <c r="H4546">
        <v>3.0619999999999998</v>
      </c>
      <c r="I4546">
        <v>2.0089999999999999</v>
      </c>
      <c r="J4546">
        <v>7</v>
      </c>
      <c r="K4546">
        <v>49</v>
      </c>
      <c r="L4546">
        <v>25</v>
      </c>
      <c r="M4546" s="1">
        <v>9000000000</v>
      </c>
    </row>
    <row r="4547" spans="1:13" ht="15" customHeight="1">
      <c r="A4547" t="s">
        <v>50</v>
      </c>
      <c r="B4547">
        <f t="shared" si="284"/>
        <v>33.705243000000003</v>
      </c>
      <c r="C4547">
        <f t="shared" si="285"/>
        <v>-117.84956</v>
      </c>
      <c r="D4547">
        <f t="shared" si="286"/>
        <v>49</v>
      </c>
      <c r="E4547">
        <v>61.499000000000002</v>
      </c>
      <c r="F4547">
        <f t="shared" ref="F4547:F4610" si="287">D4547-E4547</f>
        <v>-12.499000000000002</v>
      </c>
      <c r="G4547">
        <v>69.216999999999999</v>
      </c>
      <c r="H4547">
        <v>2.4449999999999998</v>
      </c>
      <c r="I4547">
        <v>3.5409999999999999</v>
      </c>
      <c r="J4547">
        <v>5</v>
      </c>
      <c r="K4547">
        <v>33</v>
      </c>
      <c r="L4547">
        <v>17</v>
      </c>
      <c r="M4547">
        <v>4.3499999999999996</v>
      </c>
    </row>
    <row r="4548" spans="1:13" ht="15" customHeight="1">
      <c r="A4548" t="s">
        <v>50</v>
      </c>
      <c r="B4548">
        <f t="shared" si="284"/>
        <v>33.705243000000003</v>
      </c>
      <c r="C4548">
        <f t="shared" si="285"/>
        <v>-117.84956</v>
      </c>
      <c r="D4548">
        <f t="shared" si="286"/>
        <v>49</v>
      </c>
      <c r="E4548">
        <v>62.499000000000002</v>
      </c>
      <c r="F4548">
        <f t="shared" si="287"/>
        <v>-13.499000000000002</v>
      </c>
      <c r="G4548">
        <v>23.686</v>
      </c>
      <c r="H4548">
        <v>0.83099999999999996</v>
      </c>
      <c r="I4548">
        <v>3.532</v>
      </c>
      <c r="J4548">
        <v>5</v>
      </c>
      <c r="K4548">
        <v>11</v>
      </c>
      <c r="L4548">
        <v>6</v>
      </c>
      <c r="M4548">
        <v>1.3120000000000001</v>
      </c>
    </row>
    <row r="4549" spans="1:13" ht="15" customHeight="1">
      <c r="A4549" t="s">
        <v>50</v>
      </c>
      <c r="B4549">
        <f t="shared" si="284"/>
        <v>33.705243000000003</v>
      </c>
      <c r="C4549">
        <f t="shared" si="285"/>
        <v>-117.84956</v>
      </c>
      <c r="D4549">
        <f t="shared" si="286"/>
        <v>49</v>
      </c>
      <c r="E4549">
        <v>63.499000000000002</v>
      </c>
      <c r="F4549">
        <f t="shared" si="287"/>
        <v>-14.499000000000002</v>
      </c>
      <c r="G4549">
        <v>33.417000000000002</v>
      </c>
      <c r="H4549">
        <v>1.0629999999999999</v>
      </c>
      <c r="I4549">
        <v>3.1930000000000001</v>
      </c>
      <c r="J4549">
        <v>5</v>
      </c>
      <c r="K4549">
        <v>16</v>
      </c>
      <c r="L4549">
        <v>8</v>
      </c>
      <c r="M4549">
        <v>1.9590000000000001</v>
      </c>
    </row>
    <row r="4550" spans="1:13" ht="15" customHeight="1">
      <c r="A4550" t="s">
        <v>50</v>
      </c>
      <c r="B4550">
        <f t="shared" si="284"/>
        <v>33.705243000000003</v>
      </c>
      <c r="C4550">
        <f t="shared" si="285"/>
        <v>-117.84956</v>
      </c>
      <c r="D4550">
        <f t="shared" si="286"/>
        <v>49</v>
      </c>
      <c r="E4550">
        <v>64.498999999999995</v>
      </c>
      <c r="F4550">
        <f t="shared" si="287"/>
        <v>-15.498999999999995</v>
      </c>
      <c r="G4550">
        <v>126.483</v>
      </c>
      <c r="H4550">
        <v>4.5999999999999996</v>
      </c>
      <c r="I4550">
        <v>3.641</v>
      </c>
      <c r="J4550">
        <v>6</v>
      </c>
      <c r="K4550">
        <v>48</v>
      </c>
      <c r="L4550">
        <v>24</v>
      </c>
      <c r="M4550">
        <v>8.1579999999999995</v>
      </c>
    </row>
    <row r="4551" spans="1:13" ht="15" customHeight="1">
      <c r="A4551" t="s">
        <v>50</v>
      </c>
      <c r="B4551">
        <f t="shared" si="284"/>
        <v>33.705243000000003</v>
      </c>
      <c r="C4551">
        <f t="shared" si="285"/>
        <v>-117.84956</v>
      </c>
      <c r="D4551">
        <f t="shared" si="286"/>
        <v>49</v>
      </c>
      <c r="E4551">
        <v>65.498999999999995</v>
      </c>
      <c r="F4551">
        <f t="shared" si="287"/>
        <v>-16.498999999999995</v>
      </c>
      <c r="G4551">
        <v>119.133</v>
      </c>
      <c r="H4551">
        <v>2.7429999999999999</v>
      </c>
      <c r="I4551">
        <v>2.3069999999999999</v>
      </c>
      <c r="J4551">
        <v>7</v>
      </c>
      <c r="K4551">
        <v>38</v>
      </c>
      <c r="L4551">
        <v>19</v>
      </c>
      <c r="M4551" s="1">
        <v>9000000000</v>
      </c>
    </row>
    <row r="4552" spans="1:13" ht="15" customHeight="1">
      <c r="A4552" t="s">
        <v>50</v>
      </c>
      <c r="B4552">
        <f t="shared" si="284"/>
        <v>33.705243000000003</v>
      </c>
      <c r="C4552">
        <f t="shared" si="285"/>
        <v>-117.84956</v>
      </c>
      <c r="D4552">
        <f t="shared" si="286"/>
        <v>49</v>
      </c>
      <c r="E4552">
        <v>66.498999999999995</v>
      </c>
      <c r="F4552">
        <f t="shared" si="287"/>
        <v>-17.498999999999995</v>
      </c>
      <c r="G4552">
        <v>37.299999999999997</v>
      </c>
      <c r="H4552">
        <v>1.518</v>
      </c>
      <c r="I4552">
        <v>4.0910000000000002</v>
      </c>
      <c r="J4552">
        <v>4</v>
      </c>
      <c r="K4552">
        <v>24</v>
      </c>
      <c r="L4552">
        <v>12</v>
      </c>
      <c r="M4552">
        <v>2.2010000000000001</v>
      </c>
    </row>
    <row r="4553" spans="1:13" ht="15" customHeight="1">
      <c r="A4553" t="s">
        <v>50</v>
      </c>
      <c r="B4553">
        <f t="shared" si="284"/>
        <v>33.705243000000003</v>
      </c>
      <c r="C4553">
        <f t="shared" si="285"/>
        <v>-117.84956</v>
      </c>
      <c r="D4553">
        <f t="shared" si="286"/>
        <v>49</v>
      </c>
      <c r="E4553">
        <v>67.498999999999995</v>
      </c>
      <c r="F4553">
        <f t="shared" si="287"/>
        <v>-18.498999999999995</v>
      </c>
      <c r="G4553">
        <v>21.317</v>
      </c>
      <c r="H4553">
        <v>0.72699999999999998</v>
      </c>
      <c r="I4553">
        <v>3.4380000000000002</v>
      </c>
      <c r="J4553">
        <v>5</v>
      </c>
      <c r="K4553">
        <v>10</v>
      </c>
      <c r="L4553">
        <v>5</v>
      </c>
      <c r="M4553">
        <v>1.131</v>
      </c>
    </row>
    <row r="4554" spans="1:13" ht="15" customHeight="1">
      <c r="A4554" t="s">
        <v>50</v>
      </c>
      <c r="B4554">
        <f t="shared" si="284"/>
        <v>33.705243000000003</v>
      </c>
      <c r="C4554">
        <f t="shared" si="285"/>
        <v>-117.84956</v>
      </c>
      <c r="D4554">
        <f t="shared" si="286"/>
        <v>49</v>
      </c>
      <c r="E4554">
        <v>68.498999999999995</v>
      </c>
      <c r="F4554">
        <f t="shared" si="287"/>
        <v>-19.498999999999995</v>
      </c>
      <c r="G4554">
        <v>20.716999999999999</v>
      </c>
      <c r="H4554">
        <v>0.64800000000000002</v>
      </c>
      <c r="I4554">
        <v>3.1549999999999998</v>
      </c>
      <c r="J4554">
        <v>5</v>
      </c>
      <c r="K4554">
        <v>10</v>
      </c>
      <c r="L4554">
        <v>5</v>
      </c>
      <c r="M4554">
        <v>1.0880000000000001</v>
      </c>
    </row>
    <row r="4555" spans="1:13" ht="15" customHeight="1">
      <c r="A4555" t="s">
        <v>50</v>
      </c>
      <c r="B4555">
        <f t="shared" si="284"/>
        <v>33.705243000000003</v>
      </c>
      <c r="C4555">
        <f t="shared" si="285"/>
        <v>-117.84956</v>
      </c>
      <c r="D4555">
        <f t="shared" si="286"/>
        <v>49</v>
      </c>
      <c r="E4555">
        <v>69.498999999999995</v>
      </c>
      <c r="F4555">
        <f t="shared" si="287"/>
        <v>-20.498999999999995</v>
      </c>
      <c r="G4555">
        <v>20.167000000000002</v>
      </c>
      <c r="H4555">
        <v>0.56200000000000006</v>
      </c>
      <c r="I4555">
        <v>2.8109999999999999</v>
      </c>
      <c r="J4555">
        <v>5</v>
      </c>
      <c r="K4555">
        <v>10</v>
      </c>
      <c r="L4555">
        <v>5</v>
      </c>
      <c r="M4555">
        <v>1.046</v>
      </c>
    </row>
    <row r="4556" spans="1:13" ht="15" customHeight="1">
      <c r="A4556" t="s">
        <v>50</v>
      </c>
      <c r="B4556">
        <f t="shared" si="284"/>
        <v>33.705243000000003</v>
      </c>
      <c r="C4556">
        <f t="shared" si="285"/>
        <v>-117.84956</v>
      </c>
      <c r="D4556">
        <f t="shared" si="286"/>
        <v>49</v>
      </c>
      <c r="E4556">
        <v>70.498999999999995</v>
      </c>
      <c r="F4556">
        <f t="shared" si="287"/>
        <v>-21.498999999999995</v>
      </c>
      <c r="G4556">
        <v>29</v>
      </c>
      <c r="H4556">
        <v>0.86199999999999999</v>
      </c>
      <c r="I4556">
        <v>2.988</v>
      </c>
      <c r="J4556">
        <v>5</v>
      </c>
      <c r="K4556">
        <v>14</v>
      </c>
      <c r="L4556">
        <v>7</v>
      </c>
      <c r="M4556">
        <v>1.6319999999999999</v>
      </c>
    </row>
    <row r="4557" spans="1:13" ht="15" customHeight="1">
      <c r="A4557" t="s">
        <v>50</v>
      </c>
      <c r="B4557">
        <f t="shared" si="284"/>
        <v>33.705243000000003</v>
      </c>
      <c r="C4557">
        <f t="shared" si="285"/>
        <v>-117.84956</v>
      </c>
      <c r="D4557">
        <f t="shared" si="286"/>
        <v>49</v>
      </c>
      <c r="E4557">
        <v>71.498999999999995</v>
      </c>
      <c r="F4557">
        <f t="shared" si="287"/>
        <v>-22.498999999999995</v>
      </c>
      <c r="G4557">
        <v>27.817</v>
      </c>
      <c r="H4557">
        <v>0.70299999999999996</v>
      </c>
      <c r="I4557">
        <v>2.5409999999999999</v>
      </c>
      <c r="J4557">
        <v>6</v>
      </c>
      <c r="K4557">
        <v>11</v>
      </c>
      <c r="L4557">
        <v>6</v>
      </c>
      <c r="M4557">
        <v>1.5509999999999999</v>
      </c>
    </row>
    <row r="4558" spans="1:13" ht="15" customHeight="1">
      <c r="A4558" t="s">
        <v>50</v>
      </c>
      <c r="B4558">
        <f t="shared" si="284"/>
        <v>33.705243000000003</v>
      </c>
      <c r="C4558">
        <f t="shared" si="285"/>
        <v>-117.84956</v>
      </c>
      <c r="D4558">
        <f t="shared" si="286"/>
        <v>49</v>
      </c>
      <c r="E4558">
        <v>72.498999999999995</v>
      </c>
      <c r="F4558">
        <f t="shared" si="287"/>
        <v>-23.498999999999995</v>
      </c>
      <c r="G4558">
        <v>19.356999999999999</v>
      </c>
      <c r="H4558">
        <v>0.52400000000000002</v>
      </c>
      <c r="I4558">
        <v>2.7269999999999999</v>
      </c>
      <c r="J4558">
        <v>5</v>
      </c>
      <c r="K4558">
        <v>9</v>
      </c>
      <c r="L4558">
        <v>5</v>
      </c>
      <c r="M4558">
        <v>0.98399999999999999</v>
      </c>
    </row>
    <row r="4559" spans="1:13" ht="15" customHeight="1">
      <c r="A4559" t="s">
        <v>50</v>
      </c>
      <c r="B4559">
        <f t="shared" si="284"/>
        <v>33.705243000000003</v>
      </c>
      <c r="C4559">
        <f t="shared" si="285"/>
        <v>-117.84956</v>
      </c>
      <c r="D4559">
        <f t="shared" si="286"/>
        <v>49</v>
      </c>
      <c r="E4559">
        <v>73.498999999999995</v>
      </c>
      <c r="F4559">
        <f t="shared" si="287"/>
        <v>-24.498999999999995</v>
      </c>
      <c r="G4559">
        <v>22.817</v>
      </c>
      <c r="H4559">
        <v>0.69199999999999995</v>
      </c>
      <c r="I4559">
        <v>3.0470000000000002</v>
      </c>
      <c r="J4559">
        <v>5</v>
      </c>
      <c r="K4559">
        <v>11</v>
      </c>
      <c r="L4559">
        <v>6</v>
      </c>
      <c r="M4559">
        <v>1.2110000000000001</v>
      </c>
    </row>
    <row r="4560" spans="1:13" ht="15" customHeight="1">
      <c r="A4560" t="s">
        <v>50</v>
      </c>
      <c r="B4560">
        <f t="shared" si="284"/>
        <v>33.705243000000003</v>
      </c>
      <c r="C4560">
        <f t="shared" si="285"/>
        <v>-117.84956</v>
      </c>
      <c r="D4560">
        <f t="shared" si="286"/>
        <v>49</v>
      </c>
      <c r="E4560">
        <v>74.498999999999995</v>
      </c>
      <c r="F4560">
        <f t="shared" si="287"/>
        <v>-25.498999999999995</v>
      </c>
      <c r="G4560">
        <v>21.766999999999999</v>
      </c>
      <c r="H4560">
        <v>0.64500000000000002</v>
      </c>
      <c r="I4560">
        <v>2.9750000000000001</v>
      </c>
      <c r="J4560">
        <v>5</v>
      </c>
      <c r="K4560">
        <v>10</v>
      </c>
      <c r="L4560">
        <v>5</v>
      </c>
      <c r="M4560">
        <v>1.139</v>
      </c>
    </row>
    <row r="4561" spans="1:13" ht="15" customHeight="1">
      <c r="A4561" t="s">
        <v>50</v>
      </c>
      <c r="B4561">
        <f t="shared" si="284"/>
        <v>33.705243000000003</v>
      </c>
      <c r="C4561">
        <f t="shared" si="285"/>
        <v>-117.84956</v>
      </c>
      <c r="D4561">
        <f t="shared" si="286"/>
        <v>49</v>
      </c>
      <c r="E4561">
        <v>75.498999999999995</v>
      </c>
      <c r="F4561">
        <f t="shared" si="287"/>
        <v>-26.498999999999995</v>
      </c>
      <c r="G4561">
        <v>22.266999999999999</v>
      </c>
      <c r="H4561">
        <v>0.71299999999999997</v>
      </c>
      <c r="I4561">
        <v>3.2130000000000001</v>
      </c>
      <c r="J4561">
        <v>5</v>
      </c>
      <c r="K4561">
        <v>11</v>
      </c>
      <c r="L4561">
        <v>6</v>
      </c>
      <c r="M4561">
        <v>1.169</v>
      </c>
    </row>
    <row r="4562" spans="1:13" ht="15" customHeight="1">
      <c r="A4562" t="s">
        <v>50</v>
      </c>
      <c r="B4562">
        <f t="shared" si="284"/>
        <v>33.705243000000003</v>
      </c>
      <c r="C4562">
        <f t="shared" si="285"/>
        <v>-117.84956</v>
      </c>
      <c r="D4562">
        <f t="shared" si="286"/>
        <v>49</v>
      </c>
      <c r="E4562">
        <v>76.498999999999995</v>
      </c>
      <c r="F4562">
        <f t="shared" si="287"/>
        <v>-27.498999999999995</v>
      </c>
      <c r="G4562">
        <v>24.1</v>
      </c>
      <c r="H4562">
        <v>0.84299999999999997</v>
      </c>
      <c r="I4562">
        <v>3.5089999999999999</v>
      </c>
      <c r="J4562">
        <v>5</v>
      </c>
      <c r="K4562">
        <v>12</v>
      </c>
      <c r="L4562">
        <v>6</v>
      </c>
      <c r="M4562">
        <v>1.2869999999999999</v>
      </c>
    </row>
    <row r="4563" spans="1:13" ht="15" customHeight="1">
      <c r="A4563" t="s">
        <v>50</v>
      </c>
      <c r="B4563">
        <f t="shared" si="284"/>
        <v>33.705243000000003</v>
      </c>
      <c r="C4563">
        <f t="shared" si="285"/>
        <v>-117.84956</v>
      </c>
      <c r="D4563">
        <f t="shared" si="286"/>
        <v>49</v>
      </c>
      <c r="E4563">
        <v>77.498999999999995</v>
      </c>
      <c r="F4563">
        <f t="shared" si="287"/>
        <v>-28.498999999999995</v>
      </c>
      <c r="G4563">
        <v>31.25</v>
      </c>
      <c r="H4563">
        <v>0.79500000000000004</v>
      </c>
      <c r="I4563">
        <v>2.544</v>
      </c>
      <c r="J4563">
        <v>6</v>
      </c>
      <c r="K4563">
        <v>12</v>
      </c>
      <c r="L4563">
        <v>6</v>
      </c>
      <c r="M4563">
        <v>1.764</v>
      </c>
    </row>
    <row r="4564" spans="1:13" ht="15" customHeight="1">
      <c r="A4564" t="s">
        <v>50</v>
      </c>
      <c r="B4564">
        <f t="shared" si="284"/>
        <v>33.705243000000003</v>
      </c>
      <c r="C4564">
        <f t="shared" si="285"/>
        <v>-117.84956</v>
      </c>
      <c r="D4564">
        <f t="shared" si="286"/>
        <v>49</v>
      </c>
      <c r="E4564">
        <v>78.498999999999995</v>
      </c>
      <c r="F4564">
        <f t="shared" si="287"/>
        <v>-29.498999999999995</v>
      </c>
      <c r="G4564">
        <v>47.133000000000003</v>
      </c>
      <c r="H4564">
        <v>0.95499999999999996</v>
      </c>
      <c r="I4564">
        <v>2.0219999999999998</v>
      </c>
      <c r="J4564">
        <v>6</v>
      </c>
      <c r="K4564">
        <v>18</v>
      </c>
      <c r="L4564">
        <v>9</v>
      </c>
      <c r="M4564">
        <v>2.8260000000000001</v>
      </c>
    </row>
    <row r="4565" spans="1:13" ht="15" customHeight="1">
      <c r="A4565" t="s">
        <v>50</v>
      </c>
      <c r="B4565">
        <f t="shared" si="284"/>
        <v>33.705243000000003</v>
      </c>
      <c r="C4565">
        <f t="shared" si="285"/>
        <v>-117.84956</v>
      </c>
      <c r="D4565">
        <f t="shared" si="286"/>
        <v>49</v>
      </c>
      <c r="E4565">
        <v>79.498999999999995</v>
      </c>
      <c r="F4565">
        <f t="shared" si="287"/>
        <v>-30.498999999999995</v>
      </c>
      <c r="G4565">
        <v>39.35</v>
      </c>
      <c r="H4565">
        <v>1.06</v>
      </c>
      <c r="I4565">
        <v>2.66</v>
      </c>
      <c r="J4565">
        <v>6</v>
      </c>
      <c r="K4565">
        <v>15</v>
      </c>
      <c r="L4565">
        <v>8</v>
      </c>
      <c r="M4565">
        <v>2.3290000000000002</v>
      </c>
    </row>
    <row r="4566" spans="1:13" ht="15" customHeight="1">
      <c r="A4566" t="s">
        <v>50</v>
      </c>
      <c r="B4566">
        <f t="shared" si="284"/>
        <v>33.705243000000003</v>
      </c>
      <c r="C4566">
        <f t="shared" si="285"/>
        <v>-117.84956</v>
      </c>
      <c r="D4566">
        <f t="shared" si="286"/>
        <v>49</v>
      </c>
      <c r="E4566">
        <v>80.498999999999995</v>
      </c>
      <c r="F4566">
        <f t="shared" si="287"/>
        <v>-31.498999999999995</v>
      </c>
      <c r="G4566">
        <v>105.93300000000001</v>
      </c>
      <c r="H4566">
        <v>2.2799999999999998</v>
      </c>
      <c r="I4566">
        <v>2.1509999999999998</v>
      </c>
      <c r="J4566">
        <v>7</v>
      </c>
      <c r="K4566">
        <v>34</v>
      </c>
      <c r="L4566">
        <v>17</v>
      </c>
      <c r="M4566" s="1">
        <v>9000000000</v>
      </c>
    </row>
    <row r="4567" spans="1:13" ht="15" customHeight="1">
      <c r="A4567" t="s">
        <v>50</v>
      </c>
      <c r="B4567">
        <f t="shared" si="284"/>
        <v>33.705243000000003</v>
      </c>
      <c r="C4567">
        <f t="shared" si="285"/>
        <v>-117.84956</v>
      </c>
      <c r="D4567">
        <f t="shared" si="286"/>
        <v>49</v>
      </c>
      <c r="E4567">
        <v>81.498999999999995</v>
      </c>
      <c r="F4567">
        <f t="shared" si="287"/>
        <v>-32.498999999999995</v>
      </c>
      <c r="G4567">
        <v>27.832999999999998</v>
      </c>
      <c r="H4567">
        <v>1.0249999999999999</v>
      </c>
      <c r="I4567">
        <v>3.7</v>
      </c>
      <c r="J4567">
        <v>5</v>
      </c>
      <c r="K4567">
        <v>13</v>
      </c>
      <c r="L4567">
        <v>7</v>
      </c>
      <c r="M4567">
        <v>1.5109999999999999</v>
      </c>
    </row>
    <row r="4568" spans="1:13" ht="15" customHeight="1">
      <c r="A4568" t="s">
        <v>50</v>
      </c>
      <c r="B4568">
        <f t="shared" si="284"/>
        <v>33.705243000000003</v>
      </c>
      <c r="C4568">
        <f t="shared" si="285"/>
        <v>-117.84956</v>
      </c>
      <c r="D4568">
        <f t="shared" si="286"/>
        <v>49</v>
      </c>
      <c r="E4568">
        <v>82.498999999999995</v>
      </c>
      <c r="F4568">
        <f t="shared" si="287"/>
        <v>-33.498999999999995</v>
      </c>
      <c r="G4568">
        <v>26.9</v>
      </c>
      <c r="H4568">
        <v>1.0569999999999999</v>
      </c>
      <c r="I4568">
        <v>3.9430000000000001</v>
      </c>
      <c r="J4568">
        <v>4</v>
      </c>
      <c r="K4568">
        <v>17</v>
      </c>
      <c r="L4568">
        <v>9</v>
      </c>
      <c r="M4568">
        <v>1.4470000000000001</v>
      </c>
    </row>
    <row r="4569" spans="1:13" ht="15" customHeight="1">
      <c r="A4569" t="s">
        <v>50</v>
      </c>
      <c r="B4569">
        <f t="shared" si="284"/>
        <v>33.705243000000003</v>
      </c>
      <c r="C4569">
        <f t="shared" si="285"/>
        <v>-117.84956</v>
      </c>
      <c r="D4569">
        <f t="shared" si="286"/>
        <v>49</v>
      </c>
      <c r="E4569">
        <v>83.498999999999995</v>
      </c>
      <c r="F4569">
        <f t="shared" si="287"/>
        <v>-34.498999999999995</v>
      </c>
      <c r="G4569">
        <v>31.914000000000001</v>
      </c>
      <c r="H4569">
        <v>1.137</v>
      </c>
      <c r="I4569">
        <v>3.5739999999999998</v>
      </c>
      <c r="J4569">
        <v>5</v>
      </c>
      <c r="K4569">
        <v>15</v>
      </c>
      <c r="L4569">
        <v>8</v>
      </c>
      <c r="M4569">
        <v>1.7769999999999999</v>
      </c>
    </row>
    <row r="4570" spans="1:13" ht="15" customHeight="1">
      <c r="A4570" t="s">
        <v>50</v>
      </c>
      <c r="B4570">
        <f t="shared" si="284"/>
        <v>33.705243000000003</v>
      </c>
      <c r="C4570">
        <f t="shared" si="285"/>
        <v>-117.84956</v>
      </c>
      <c r="D4570">
        <f t="shared" si="286"/>
        <v>49</v>
      </c>
      <c r="E4570">
        <v>84.498999999999995</v>
      </c>
      <c r="F4570">
        <f t="shared" si="287"/>
        <v>-35.498999999999995</v>
      </c>
      <c r="G4570">
        <v>47.917000000000002</v>
      </c>
      <c r="H4570">
        <v>1.84</v>
      </c>
      <c r="I4570">
        <v>3.8479999999999999</v>
      </c>
      <c r="J4570">
        <v>5</v>
      </c>
      <c r="K4570">
        <v>23</v>
      </c>
      <c r="L4570">
        <v>12</v>
      </c>
      <c r="M4570">
        <v>2.84</v>
      </c>
    </row>
    <row r="4571" spans="1:13" ht="15" customHeight="1">
      <c r="A4571" t="s">
        <v>50</v>
      </c>
      <c r="B4571">
        <f t="shared" si="284"/>
        <v>33.705243000000003</v>
      </c>
      <c r="C4571">
        <f t="shared" si="285"/>
        <v>-117.84956</v>
      </c>
      <c r="D4571">
        <f t="shared" si="286"/>
        <v>49</v>
      </c>
      <c r="E4571">
        <v>85.498999999999995</v>
      </c>
      <c r="F4571">
        <f t="shared" si="287"/>
        <v>-36.498999999999995</v>
      </c>
      <c r="G4571">
        <v>47.366999999999997</v>
      </c>
      <c r="H4571">
        <v>1.5920000000000001</v>
      </c>
      <c r="I4571">
        <v>3.3639999999999999</v>
      </c>
      <c r="J4571">
        <v>5</v>
      </c>
      <c r="K4571">
        <v>23</v>
      </c>
      <c r="L4571">
        <v>12</v>
      </c>
      <c r="M4571">
        <v>2.802</v>
      </c>
    </row>
    <row r="4572" spans="1:13" ht="15" customHeight="1">
      <c r="A4572" t="s">
        <v>50</v>
      </c>
      <c r="B4572">
        <f t="shared" si="284"/>
        <v>33.705243000000003</v>
      </c>
      <c r="C4572">
        <f t="shared" si="285"/>
        <v>-117.84956</v>
      </c>
      <c r="D4572">
        <f t="shared" si="286"/>
        <v>49</v>
      </c>
      <c r="E4572">
        <v>86.498999999999995</v>
      </c>
      <c r="F4572">
        <f t="shared" si="287"/>
        <v>-37.498999999999995</v>
      </c>
      <c r="G4572">
        <v>27.117000000000001</v>
      </c>
      <c r="H4572">
        <v>0.872</v>
      </c>
      <c r="I4572">
        <v>3.222</v>
      </c>
      <c r="J4572">
        <v>5</v>
      </c>
      <c r="K4572">
        <v>13</v>
      </c>
      <c r="L4572">
        <v>7</v>
      </c>
      <c r="M4572">
        <v>1.4470000000000001</v>
      </c>
    </row>
    <row r="4573" spans="1:13" ht="15" customHeight="1">
      <c r="A4573" t="s">
        <v>50</v>
      </c>
      <c r="B4573">
        <f t="shared" si="284"/>
        <v>33.705243000000003</v>
      </c>
      <c r="C4573">
        <f t="shared" si="285"/>
        <v>-117.84956</v>
      </c>
      <c r="D4573">
        <f t="shared" si="286"/>
        <v>49</v>
      </c>
      <c r="E4573">
        <v>87.498999999999995</v>
      </c>
      <c r="F4573">
        <f t="shared" si="287"/>
        <v>-38.498999999999995</v>
      </c>
      <c r="G4573">
        <v>29.617000000000001</v>
      </c>
      <c r="H4573">
        <v>0.92200000000000004</v>
      </c>
      <c r="I4573">
        <v>3.1120000000000001</v>
      </c>
      <c r="J4573">
        <v>5</v>
      </c>
      <c r="K4573">
        <v>14</v>
      </c>
      <c r="L4573">
        <v>7</v>
      </c>
      <c r="M4573">
        <v>1.6140000000000001</v>
      </c>
    </row>
    <row r="4574" spans="1:13" ht="15" customHeight="1">
      <c r="A4574" t="s">
        <v>50</v>
      </c>
      <c r="B4574">
        <f t="shared" si="284"/>
        <v>33.705243000000003</v>
      </c>
      <c r="C4574">
        <f t="shared" si="285"/>
        <v>-117.84956</v>
      </c>
      <c r="D4574">
        <f t="shared" si="286"/>
        <v>49</v>
      </c>
      <c r="E4574">
        <v>88.498999999999995</v>
      </c>
      <c r="F4574">
        <f t="shared" si="287"/>
        <v>-39.498999999999995</v>
      </c>
      <c r="G4574">
        <v>28.3</v>
      </c>
      <c r="H4574">
        <v>0.878</v>
      </c>
      <c r="I4574">
        <v>3.0979999999999999</v>
      </c>
      <c r="J4574">
        <v>5</v>
      </c>
      <c r="K4574">
        <v>14</v>
      </c>
      <c r="L4574">
        <v>7</v>
      </c>
      <c r="M4574">
        <v>1.5249999999999999</v>
      </c>
    </row>
    <row r="4575" spans="1:13" ht="15" customHeight="1">
      <c r="A4575" t="s">
        <v>50</v>
      </c>
      <c r="B4575">
        <f t="shared" si="284"/>
        <v>33.705243000000003</v>
      </c>
      <c r="C4575">
        <f t="shared" si="285"/>
        <v>-117.84956</v>
      </c>
      <c r="D4575">
        <f t="shared" si="286"/>
        <v>49</v>
      </c>
      <c r="E4575">
        <v>89.498999999999995</v>
      </c>
      <c r="F4575">
        <f t="shared" si="287"/>
        <v>-40.498999999999995</v>
      </c>
      <c r="G4575">
        <v>26.283000000000001</v>
      </c>
      <c r="H4575">
        <v>0.73199999999999998</v>
      </c>
      <c r="I4575">
        <v>2.7770000000000001</v>
      </c>
      <c r="J4575">
        <v>5</v>
      </c>
      <c r="K4575">
        <v>13</v>
      </c>
      <c r="L4575">
        <v>7</v>
      </c>
      <c r="M4575">
        <v>1.3879999999999999</v>
      </c>
    </row>
    <row r="4576" spans="1:13" ht="15" customHeight="1">
      <c r="A4576" t="s">
        <v>50</v>
      </c>
      <c r="B4576">
        <f t="shared" si="284"/>
        <v>33.705243000000003</v>
      </c>
      <c r="C4576">
        <f t="shared" si="285"/>
        <v>-117.84956</v>
      </c>
      <c r="D4576">
        <f t="shared" si="286"/>
        <v>49</v>
      </c>
      <c r="E4576">
        <v>90.498999999999995</v>
      </c>
      <c r="F4576">
        <f t="shared" si="287"/>
        <v>-41.498999999999995</v>
      </c>
      <c r="G4576">
        <v>28.5</v>
      </c>
      <c r="H4576">
        <v>0.98199999999999998</v>
      </c>
      <c r="I4576">
        <v>3.4159999999999999</v>
      </c>
      <c r="J4576">
        <v>5</v>
      </c>
      <c r="K4576">
        <v>14</v>
      </c>
      <c r="L4576">
        <v>7</v>
      </c>
      <c r="M4576">
        <v>1.542</v>
      </c>
    </row>
    <row r="4577" spans="1:13" ht="15" customHeight="1">
      <c r="A4577" t="s">
        <v>50</v>
      </c>
      <c r="B4577">
        <f t="shared" si="284"/>
        <v>33.705243000000003</v>
      </c>
      <c r="C4577">
        <f t="shared" si="285"/>
        <v>-117.84956</v>
      </c>
      <c r="D4577">
        <f t="shared" si="286"/>
        <v>49</v>
      </c>
      <c r="E4577">
        <v>91.498999999999995</v>
      </c>
      <c r="F4577">
        <f t="shared" si="287"/>
        <v>-42.498999999999995</v>
      </c>
      <c r="G4577">
        <v>28.65</v>
      </c>
      <c r="H4577">
        <v>0.85</v>
      </c>
      <c r="I4577">
        <v>2.9289999999999998</v>
      </c>
      <c r="J4577">
        <v>5</v>
      </c>
      <c r="K4577">
        <v>14</v>
      </c>
      <c r="L4577">
        <v>7</v>
      </c>
      <c r="M4577">
        <v>1.5569999999999999</v>
      </c>
    </row>
    <row r="4578" spans="1:13" ht="15" customHeight="1">
      <c r="A4578" t="s">
        <v>50</v>
      </c>
      <c r="B4578">
        <f t="shared" si="284"/>
        <v>33.705243000000003</v>
      </c>
      <c r="C4578">
        <f t="shared" si="285"/>
        <v>-117.84956</v>
      </c>
      <c r="D4578">
        <f t="shared" si="286"/>
        <v>49</v>
      </c>
      <c r="E4578">
        <v>92.498999999999995</v>
      </c>
      <c r="F4578">
        <f t="shared" si="287"/>
        <v>-43.498999999999995</v>
      </c>
      <c r="G4578">
        <v>29.332999999999998</v>
      </c>
      <c r="H4578">
        <v>0.81200000000000006</v>
      </c>
      <c r="I4578">
        <v>2.7160000000000002</v>
      </c>
      <c r="J4578">
        <v>6</v>
      </c>
      <c r="K4578">
        <v>11</v>
      </c>
      <c r="L4578">
        <v>6</v>
      </c>
      <c r="M4578">
        <v>1.611</v>
      </c>
    </row>
    <row r="4579" spans="1:13" ht="15" customHeight="1">
      <c r="A4579" t="s">
        <v>50</v>
      </c>
      <c r="B4579">
        <f t="shared" si="284"/>
        <v>33.705243000000003</v>
      </c>
      <c r="C4579">
        <f t="shared" si="285"/>
        <v>-117.84956</v>
      </c>
      <c r="D4579">
        <f t="shared" si="286"/>
        <v>49</v>
      </c>
      <c r="E4579">
        <v>93.498999999999995</v>
      </c>
      <c r="F4579">
        <f t="shared" si="287"/>
        <v>-44.498999999999995</v>
      </c>
      <c r="G4579">
        <v>38.442999999999998</v>
      </c>
      <c r="H4579">
        <v>1.3</v>
      </c>
      <c r="I4579">
        <v>3.2850000000000001</v>
      </c>
      <c r="J4579">
        <v>5</v>
      </c>
      <c r="K4579">
        <v>19</v>
      </c>
      <c r="L4579">
        <v>10</v>
      </c>
      <c r="M4579">
        <v>2.2530000000000001</v>
      </c>
    </row>
    <row r="4580" spans="1:13" ht="15" customHeight="1">
      <c r="A4580" t="s">
        <v>50</v>
      </c>
      <c r="B4580">
        <f t="shared" si="284"/>
        <v>33.705243000000003</v>
      </c>
      <c r="C4580">
        <f t="shared" si="285"/>
        <v>-117.84956</v>
      </c>
      <c r="D4580">
        <f t="shared" si="286"/>
        <v>49</v>
      </c>
      <c r="E4580">
        <v>94.498999999999995</v>
      </c>
      <c r="F4580">
        <f t="shared" si="287"/>
        <v>-45.498999999999995</v>
      </c>
      <c r="G4580">
        <v>122.31699999999999</v>
      </c>
      <c r="H4580">
        <v>3.238</v>
      </c>
      <c r="I4580">
        <v>2.6440000000000001</v>
      </c>
      <c r="J4580">
        <v>7</v>
      </c>
      <c r="K4580">
        <v>39</v>
      </c>
      <c r="L4580">
        <v>20</v>
      </c>
      <c r="M4580" s="1">
        <v>9000000000</v>
      </c>
    </row>
    <row r="4581" spans="1:13" ht="15" customHeight="1">
      <c r="A4581" t="s">
        <v>50</v>
      </c>
      <c r="B4581">
        <f t="shared" si="284"/>
        <v>33.705243000000003</v>
      </c>
      <c r="C4581">
        <f t="shared" si="285"/>
        <v>-117.84956</v>
      </c>
      <c r="D4581">
        <f t="shared" si="286"/>
        <v>49</v>
      </c>
      <c r="E4581">
        <v>95.498999999999995</v>
      </c>
      <c r="F4581">
        <f t="shared" si="287"/>
        <v>-46.498999999999995</v>
      </c>
      <c r="G4581">
        <v>351.65</v>
      </c>
      <c r="H4581">
        <v>2.4300000000000002</v>
      </c>
      <c r="I4581">
        <v>0.69099999999999995</v>
      </c>
      <c r="J4581">
        <v>10</v>
      </c>
      <c r="K4581">
        <v>56</v>
      </c>
      <c r="L4581">
        <v>28</v>
      </c>
      <c r="M4581" s="1">
        <v>9000000000</v>
      </c>
    </row>
    <row r="4582" spans="1:13" ht="15" customHeight="1">
      <c r="A4582" t="s">
        <v>50</v>
      </c>
      <c r="B4582">
        <f t="shared" si="284"/>
        <v>33.705243000000003</v>
      </c>
      <c r="C4582">
        <f t="shared" si="285"/>
        <v>-117.84956</v>
      </c>
      <c r="D4582">
        <f t="shared" si="286"/>
        <v>49</v>
      </c>
      <c r="E4582">
        <v>96.498999999999995</v>
      </c>
      <c r="F4582">
        <f t="shared" si="287"/>
        <v>-47.498999999999995</v>
      </c>
      <c r="G4582">
        <v>334.96699999999998</v>
      </c>
      <c r="H4582">
        <v>4.2649999999999997</v>
      </c>
      <c r="I4582">
        <v>1.272</v>
      </c>
      <c r="J4582">
        <v>9</v>
      </c>
      <c r="K4582">
        <v>64</v>
      </c>
      <c r="L4582">
        <v>32</v>
      </c>
      <c r="M4582" s="1">
        <v>9000000000</v>
      </c>
    </row>
    <row r="4583" spans="1:13" ht="15" customHeight="1">
      <c r="A4583" t="s">
        <v>50</v>
      </c>
      <c r="B4583">
        <f t="shared" si="284"/>
        <v>33.705243000000003</v>
      </c>
      <c r="C4583">
        <f t="shared" si="285"/>
        <v>-117.84956</v>
      </c>
      <c r="D4583">
        <f t="shared" si="286"/>
        <v>49</v>
      </c>
      <c r="E4583">
        <v>97.498999999999995</v>
      </c>
      <c r="F4583">
        <f t="shared" si="287"/>
        <v>-48.498999999999995</v>
      </c>
      <c r="G4583">
        <v>342.983</v>
      </c>
      <c r="H4583">
        <v>5.7619999999999996</v>
      </c>
      <c r="I4583">
        <v>1.677</v>
      </c>
      <c r="J4583">
        <v>8</v>
      </c>
      <c r="K4583">
        <v>82</v>
      </c>
      <c r="L4583">
        <v>41</v>
      </c>
      <c r="M4583" s="1">
        <v>9000000000</v>
      </c>
    </row>
    <row r="4584" spans="1:13" ht="15" customHeight="1">
      <c r="A4584" t="s">
        <v>50</v>
      </c>
      <c r="B4584">
        <f t="shared" si="284"/>
        <v>33.705243000000003</v>
      </c>
      <c r="C4584">
        <f t="shared" si="285"/>
        <v>-117.84956</v>
      </c>
      <c r="D4584">
        <f t="shared" si="286"/>
        <v>49</v>
      </c>
      <c r="E4584">
        <v>98.498999999999995</v>
      </c>
      <c r="F4584">
        <f t="shared" si="287"/>
        <v>-49.498999999999995</v>
      </c>
      <c r="G4584">
        <v>339.483</v>
      </c>
      <c r="H4584">
        <v>5.5129999999999999</v>
      </c>
      <c r="I4584">
        <v>1.6220000000000001</v>
      </c>
      <c r="J4584">
        <v>8</v>
      </c>
      <c r="K4584">
        <v>81</v>
      </c>
      <c r="L4584">
        <v>41</v>
      </c>
      <c r="M4584" s="1">
        <v>9000000000</v>
      </c>
    </row>
    <row r="4585" spans="1:13" ht="15" customHeight="1">
      <c r="A4585" t="s">
        <v>50</v>
      </c>
      <c r="B4585">
        <f t="shared" si="284"/>
        <v>33.705243000000003</v>
      </c>
      <c r="C4585">
        <f t="shared" si="285"/>
        <v>-117.84956</v>
      </c>
      <c r="D4585">
        <f t="shared" si="286"/>
        <v>49</v>
      </c>
      <c r="E4585">
        <v>99.498999999999995</v>
      </c>
      <c r="F4585">
        <f t="shared" si="287"/>
        <v>-50.498999999999995</v>
      </c>
      <c r="G4585">
        <v>367.267</v>
      </c>
      <c r="H4585">
        <v>5.9980000000000002</v>
      </c>
      <c r="I4585">
        <v>1.631</v>
      </c>
      <c r="J4585">
        <v>8</v>
      </c>
      <c r="K4585">
        <v>88</v>
      </c>
      <c r="L4585">
        <v>44</v>
      </c>
      <c r="M4585" s="1">
        <v>9000000000</v>
      </c>
    </row>
    <row r="4586" spans="1:13" ht="15" customHeight="1">
      <c r="A4586" t="s">
        <v>50</v>
      </c>
      <c r="B4586">
        <f t="shared" si="284"/>
        <v>33.705243000000003</v>
      </c>
      <c r="C4586">
        <f t="shared" si="285"/>
        <v>-117.84956</v>
      </c>
      <c r="D4586">
        <f t="shared" si="286"/>
        <v>49</v>
      </c>
      <c r="E4586">
        <v>100.499</v>
      </c>
      <c r="F4586">
        <f t="shared" si="287"/>
        <v>-51.498999999999995</v>
      </c>
      <c r="G4586">
        <v>391.6</v>
      </c>
      <c r="H4586">
        <v>4.96</v>
      </c>
      <c r="I4586">
        <v>1.2649999999999999</v>
      </c>
      <c r="J4586">
        <v>9</v>
      </c>
      <c r="K4586">
        <v>75</v>
      </c>
      <c r="L4586">
        <v>38</v>
      </c>
      <c r="M4586" s="1">
        <v>9000000000</v>
      </c>
    </row>
    <row r="4587" spans="1:13" ht="15" customHeight="1">
      <c r="A4587" t="s">
        <v>51</v>
      </c>
      <c r="B4587">
        <f t="shared" si="284"/>
        <v>33.704048</v>
      </c>
      <c r="C4587">
        <f t="shared" si="285"/>
        <v>-117.84785100000001</v>
      </c>
      <c r="D4587">
        <f t="shared" si="286"/>
        <v>48</v>
      </c>
      <c r="E4587">
        <v>0.5</v>
      </c>
      <c r="F4587">
        <f t="shared" si="287"/>
        <v>47.5</v>
      </c>
      <c r="G4587">
        <v>1.4670000000000001</v>
      </c>
      <c r="H4587">
        <v>3.6999999999999998E-2</v>
      </c>
      <c r="I4587">
        <v>2.5289999999999999</v>
      </c>
      <c r="J4587">
        <v>1</v>
      </c>
      <c r="K4587">
        <v>1</v>
      </c>
      <c r="L4587">
        <v>2</v>
      </c>
      <c r="M4587">
        <v>9.5000000000000001E-2</v>
      </c>
    </row>
    <row r="4588" spans="1:13" ht="15" customHeight="1">
      <c r="A4588" t="s">
        <v>51</v>
      </c>
      <c r="B4588">
        <f t="shared" si="284"/>
        <v>33.704048</v>
      </c>
      <c r="C4588">
        <f t="shared" si="285"/>
        <v>-117.84785100000001</v>
      </c>
      <c r="D4588">
        <f t="shared" si="286"/>
        <v>48</v>
      </c>
      <c r="E4588">
        <v>1.5</v>
      </c>
      <c r="F4588">
        <f t="shared" si="287"/>
        <v>46.5</v>
      </c>
      <c r="G4588">
        <v>16.600000000000001</v>
      </c>
      <c r="H4588">
        <v>0.56799999999999995</v>
      </c>
      <c r="I4588">
        <v>3.42</v>
      </c>
      <c r="J4588">
        <v>4</v>
      </c>
      <c r="K4588">
        <v>11</v>
      </c>
      <c r="L4588">
        <v>17</v>
      </c>
      <c r="M4588">
        <v>1.1020000000000001</v>
      </c>
    </row>
    <row r="4589" spans="1:13" ht="15" customHeight="1">
      <c r="A4589" t="s">
        <v>51</v>
      </c>
      <c r="B4589">
        <f t="shared" si="284"/>
        <v>33.704048</v>
      </c>
      <c r="C4589">
        <f t="shared" si="285"/>
        <v>-117.84785100000001</v>
      </c>
      <c r="D4589">
        <f t="shared" si="286"/>
        <v>48</v>
      </c>
      <c r="E4589">
        <v>2.5</v>
      </c>
      <c r="F4589">
        <f t="shared" si="287"/>
        <v>45.5</v>
      </c>
      <c r="G4589">
        <v>10.3</v>
      </c>
      <c r="H4589">
        <v>0.46800000000000003</v>
      </c>
      <c r="I4589">
        <v>4.4960000000000004</v>
      </c>
      <c r="J4589">
        <v>3</v>
      </c>
      <c r="K4589">
        <v>10</v>
      </c>
      <c r="L4589">
        <v>15</v>
      </c>
      <c r="M4589">
        <v>0.68500000000000005</v>
      </c>
    </row>
    <row r="4590" spans="1:13" ht="15" customHeight="1">
      <c r="A4590" t="s">
        <v>51</v>
      </c>
      <c r="B4590">
        <f t="shared" si="284"/>
        <v>33.704048</v>
      </c>
      <c r="C4590">
        <f t="shared" si="285"/>
        <v>-117.84785100000001</v>
      </c>
      <c r="D4590">
        <f t="shared" si="286"/>
        <v>48</v>
      </c>
      <c r="E4590">
        <v>3.5</v>
      </c>
      <c r="F4590">
        <f t="shared" si="287"/>
        <v>44.5</v>
      </c>
      <c r="G4590">
        <v>9.2170000000000005</v>
      </c>
      <c r="H4590">
        <v>0.40699999999999997</v>
      </c>
      <c r="I4590">
        <v>4.4039999999999999</v>
      </c>
      <c r="J4590">
        <v>3</v>
      </c>
      <c r="K4590">
        <v>9</v>
      </c>
      <c r="L4590">
        <v>14</v>
      </c>
      <c r="M4590">
        <v>0.60199999999999998</v>
      </c>
    </row>
    <row r="4591" spans="1:13" ht="15" customHeight="1">
      <c r="A4591" t="s">
        <v>51</v>
      </c>
      <c r="B4591">
        <f t="shared" si="284"/>
        <v>33.704048</v>
      </c>
      <c r="C4591">
        <f t="shared" si="285"/>
        <v>-117.84785100000001</v>
      </c>
      <c r="D4591">
        <f t="shared" si="286"/>
        <v>48</v>
      </c>
      <c r="E4591">
        <v>4.5</v>
      </c>
      <c r="F4591">
        <f t="shared" si="287"/>
        <v>43.5</v>
      </c>
      <c r="G4591">
        <v>10.132999999999999</v>
      </c>
      <c r="H4591">
        <v>0.43</v>
      </c>
      <c r="I4591">
        <v>4.2569999999999997</v>
      </c>
      <c r="J4591">
        <v>3</v>
      </c>
      <c r="K4591">
        <v>10</v>
      </c>
      <c r="L4591">
        <v>15</v>
      </c>
      <c r="M4591">
        <v>0.65600000000000003</v>
      </c>
    </row>
    <row r="4592" spans="1:13" ht="15" customHeight="1">
      <c r="A4592" t="s">
        <v>51</v>
      </c>
      <c r="B4592">
        <f t="shared" si="284"/>
        <v>33.704048</v>
      </c>
      <c r="C4592">
        <f t="shared" si="285"/>
        <v>-117.84785100000001</v>
      </c>
      <c r="D4592">
        <f t="shared" si="286"/>
        <v>48</v>
      </c>
      <c r="E4592">
        <v>5.5</v>
      </c>
      <c r="F4592">
        <f t="shared" si="287"/>
        <v>42.5</v>
      </c>
      <c r="G4592">
        <v>11.55</v>
      </c>
      <c r="H4592">
        <v>0.54800000000000004</v>
      </c>
      <c r="I4592">
        <v>4.7610000000000001</v>
      </c>
      <c r="J4592">
        <v>3</v>
      </c>
      <c r="K4592">
        <v>11</v>
      </c>
      <c r="L4592">
        <v>17</v>
      </c>
      <c r="M4592">
        <v>0.746</v>
      </c>
    </row>
    <row r="4593" spans="1:13" ht="15" customHeight="1">
      <c r="A4593" t="s">
        <v>51</v>
      </c>
      <c r="B4593">
        <f t="shared" si="284"/>
        <v>33.704048</v>
      </c>
      <c r="C4593">
        <f t="shared" si="285"/>
        <v>-117.84785100000001</v>
      </c>
      <c r="D4593">
        <f t="shared" si="286"/>
        <v>48</v>
      </c>
      <c r="E4593">
        <v>6.5</v>
      </c>
      <c r="F4593">
        <f t="shared" si="287"/>
        <v>41.5</v>
      </c>
      <c r="G4593">
        <v>9.2829999999999995</v>
      </c>
      <c r="H4593">
        <v>0.443</v>
      </c>
      <c r="I4593">
        <v>4.7839999999999998</v>
      </c>
      <c r="J4593">
        <v>3</v>
      </c>
      <c r="K4593">
        <v>9</v>
      </c>
      <c r="L4593">
        <v>14</v>
      </c>
      <c r="M4593">
        <v>0.59199999999999997</v>
      </c>
    </row>
    <row r="4594" spans="1:13" ht="15" customHeight="1">
      <c r="A4594" t="s">
        <v>51</v>
      </c>
      <c r="B4594">
        <f t="shared" si="284"/>
        <v>33.704048</v>
      </c>
      <c r="C4594">
        <f t="shared" si="285"/>
        <v>-117.84785100000001</v>
      </c>
      <c r="D4594">
        <f t="shared" si="286"/>
        <v>48</v>
      </c>
      <c r="E4594">
        <v>7.5</v>
      </c>
      <c r="F4594">
        <f t="shared" si="287"/>
        <v>40.5</v>
      </c>
      <c r="G4594">
        <v>23.167000000000002</v>
      </c>
      <c r="H4594">
        <v>0.80500000000000005</v>
      </c>
      <c r="I4594">
        <v>3.4670000000000001</v>
      </c>
      <c r="J4594">
        <v>5</v>
      </c>
      <c r="K4594">
        <v>11</v>
      </c>
      <c r="L4594">
        <v>17</v>
      </c>
      <c r="M4594">
        <v>1.518</v>
      </c>
    </row>
    <row r="4595" spans="1:13" ht="15" customHeight="1">
      <c r="A4595" t="s">
        <v>51</v>
      </c>
      <c r="B4595">
        <f t="shared" si="284"/>
        <v>33.704048</v>
      </c>
      <c r="C4595">
        <f t="shared" si="285"/>
        <v>-117.84785100000001</v>
      </c>
      <c r="D4595">
        <f t="shared" si="286"/>
        <v>48</v>
      </c>
      <c r="E4595">
        <v>8.5</v>
      </c>
      <c r="F4595">
        <f t="shared" si="287"/>
        <v>39.5</v>
      </c>
      <c r="G4595">
        <v>16.417000000000002</v>
      </c>
      <c r="H4595">
        <v>0.67800000000000005</v>
      </c>
      <c r="I4595">
        <v>4.1319999999999997</v>
      </c>
      <c r="J4595">
        <v>3</v>
      </c>
      <c r="K4595">
        <v>16</v>
      </c>
      <c r="L4595">
        <v>24</v>
      </c>
      <c r="M4595">
        <v>1.0609999999999999</v>
      </c>
    </row>
    <row r="4596" spans="1:13" ht="15" customHeight="1">
      <c r="A4596" t="s">
        <v>51</v>
      </c>
      <c r="B4596">
        <f t="shared" si="284"/>
        <v>33.704048</v>
      </c>
      <c r="C4596">
        <f t="shared" si="285"/>
        <v>-117.84785100000001</v>
      </c>
      <c r="D4596">
        <f t="shared" si="286"/>
        <v>48</v>
      </c>
      <c r="E4596">
        <v>9.5</v>
      </c>
      <c r="F4596">
        <f t="shared" si="287"/>
        <v>38.5</v>
      </c>
      <c r="G4596">
        <v>10.483000000000001</v>
      </c>
      <c r="H4596">
        <v>0.43</v>
      </c>
      <c r="I4596">
        <v>4.1020000000000003</v>
      </c>
      <c r="J4596">
        <v>3</v>
      </c>
      <c r="K4596">
        <v>10</v>
      </c>
      <c r="L4596">
        <v>15</v>
      </c>
      <c r="M4596">
        <v>0.66100000000000003</v>
      </c>
    </row>
    <row r="4597" spans="1:13" ht="15" customHeight="1">
      <c r="A4597" t="s">
        <v>51</v>
      </c>
      <c r="B4597">
        <f t="shared" si="284"/>
        <v>33.704048</v>
      </c>
      <c r="C4597">
        <f t="shared" si="285"/>
        <v>-117.84785100000001</v>
      </c>
      <c r="D4597">
        <f t="shared" si="286"/>
        <v>48</v>
      </c>
      <c r="E4597">
        <v>10.5</v>
      </c>
      <c r="F4597">
        <f t="shared" si="287"/>
        <v>37.5</v>
      </c>
      <c r="G4597">
        <v>13.542999999999999</v>
      </c>
      <c r="H4597">
        <v>0.60599999999999998</v>
      </c>
      <c r="I4597">
        <v>4.4580000000000002</v>
      </c>
      <c r="J4597">
        <v>3</v>
      </c>
      <c r="K4597">
        <v>13</v>
      </c>
      <c r="L4597">
        <v>19</v>
      </c>
      <c r="M4597">
        <v>0.86399999999999999</v>
      </c>
    </row>
    <row r="4598" spans="1:13" ht="15" customHeight="1">
      <c r="A4598" t="s">
        <v>51</v>
      </c>
      <c r="B4598">
        <f t="shared" si="284"/>
        <v>33.704048</v>
      </c>
      <c r="C4598">
        <f t="shared" si="285"/>
        <v>-117.84785100000001</v>
      </c>
      <c r="D4598">
        <f t="shared" si="286"/>
        <v>48</v>
      </c>
      <c r="E4598">
        <v>11.5</v>
      </c>
      <c r="F4598">
        <f t="shared" si="287"/>
        <v>36.5</v>
      </c>
      <c r="G4598">
        <v>11.983000000000001</v>
      </c>
      <c r="H4598">
        <v>0.52</v>
      </c>
      <c r="I4598">
        <v>4.3150000000000004</v>
      </c>
      <c r="J4598">
        <v>3</v>
      </c>
      <c r="K4598">
        <v>12</v>
      </c>
      <c r="L4598">
        <v>16</v>
      </c>
      <c r="M4598">
        <v>0.75700000000000001</v>
      </c>
    </row>
    <row r="4599" spans="1:13" ht="15" customHeight="1">
      <c r="A4599" t="s">
        <v>51</v>
      </c>
      <c r="B4599">
        <f t="shared" si="284"/>
        <v>33.704048</v>
      </c>
      <c r="C4599">
        <f t="shared" si="285"/>
        <v>-117.84785100000001</v>
      </c>
      <c r="D4599">
        <f t="shared" si="286"/>
        <v>48</v>
      </c>
      <c r="E4599">
        <v>12.5</v>
      </c>
      <c r="F4599">
        <f t="shared" si="287"/>
        <v>35.5</v>
      </c>
      <c r="G4599">
        <v>8.2330000000000005</v>
      </c>
      <c r="H4599">
        <v>0.312</v>
      </c>
      <c r="I4599">
        <v>3.77</v>
      </c>
      <c r="J4599">
        <v>3</v>
      </c>
      <c r="K4599">
        <v>8</v>
      </c>
      <c r="L4599">
        <v>10</v>
      </c>
      <c r="M4599">
        <v>0.501</v>
      </c>
    </row>
    <row r="4600" spans="1:13" ht="15" customHeight="1">
      <c r="A4600" t="s">
        <v>51</v>
      </c>
      <c r="B4600">
        <f t="shared" si="284"/>
        <v>33.704048</v>
      </c>
      <c r="C4600">
        <f t="shared" si="285"/>
        <v>-117.84785100000001</v>
      </c>
      <c r="D4600">
        <f t="shared" si="286"/>
        <v>48</v>
      </c>
      <c r="E4600">
        <v>13.5</v>
      </c>
      <c r="F4600">
        <f t="shared" si="287"/>
        <v>34.5</v>
      </c>
      <c r="G4600">
        <v>10.25</v>
      </c>
      <c r="H4600">
        <v>0.24299999999999999</v>
      </c>
      <c r="I4600">
        <v>2.359</v>
      </c>
      <c r="J4600">
        <v>5</v>
      </c>
      <c r="K4600">
        <v>5</v>
      </c>
      <c r="L4600">
        <v>6</v>
      </c>
      <c r="M4600">
        <v>0.63300000000000001</v>
      </c>
    </row>
    <row r="4601" spans="1:13" ht="15" customHeight="1">
      <c r="A4601" t="s">
        <v>51</v>
      </c>
      <c r="B4601">
        <f t="shared" si="284"/>
        <v>33.704048</v>
      </c>
      <c r="C4601">
        <f t="shared" si="285"/>
        <v>-117.84785100000001</v>
      </c>
      <c r="D4601">
        <f t="shared" si="286"/>
        <v>48</v>
      </c>
      <c r="E4601">
        <v>14.5</v>
      </c>
      <c r="F4601">
        <f t="shared" si="287"/>
        <v>33.5</v>
      </c>
      <c r="G4601">
        <v>9.5830000000000002</v>
      </c>
      <c r="H4601">
        <v>0.123</v>
      </c>
      <c r="I4601">
        <v>1.274</v>
      </c>
      <c r="J4601">
        <v>5</v>
      </c>
      <c r="K4601">
        <v>5</v>
      </c>
      <c r="L4601">
        <v>6</v>
      </c>
      <c r="M4601">
        <v>0.58699999999999997</v>
      </c>
    </row>
    <row r="4602" spans="1:13" ht="15" customHeight="1">
      <c r="A4602" t="s">
        <v>51</v>
      </c>
      <c r="B4602">
        <f t="shared" si="284"/>
        <v>33.704048</v>
      </c>
      <c r="C4602">
        <f t="shared" si="285"/>
        <v>-117.84785100000001</v>
      </c>
      <c r="D4602">
        <f t="shared" si="286"/>
        <v>48</v>
      </c>
      <c r="E4602">
        <v>15.5</v>
      </c>
      <c r="F4602">
        <f t="shared" si="287"/>
        <v>32.5</v>
      </c>
      <c r="G4602">
        <v>9.3829999999999991</v>
      </c>
      <c r="H4602">
        <v>0.14299999999999999</v>
      </c>
      <c r="I4602">
        <v>1.506</v>
      </c>
      <c r="J4602">
        <v>5</v>
      </c>
      <c r="K4602">
        <v>5</v>
      </c>
      <c r="L4602">
        <v>5</v>
      </c>
      <c r="M4602">
        <v>0.57199999999999995</v>
      </c>
    </row>
    <row r="4603" spans="1:13" ht="15" customHeight="1">
      <c r="A4603" t="s">
        <v>51</v>
      </c>
      <c r="B4603">
        <f t="shared" si="284"/>
        <v>33.704048</v>
      </c>
      <c r="C4603">
        <f t="shared" si="285"/>
        <v>-117.84785100000001</v>
      </c>
      <c r="D4603">
        <f t="shared" si="286"/>
        <v>48</v>
      </c>
      <c r="E4603">
        <v>16.5</v>
      </c>
      <c r="F4603">
        <f t="shared" si="287"/>
        <v>31.5</v>
      </c>
      <c r="G4603">
        <v>21.733000000000001</v>
      </c>
      <c r="H4603">
        <v>0.497</v>
      </c>
      <c r="I4603">
        <v>2.27</v>
      </c>
      <c r="J4603">
        <v>6</v>
      </c>
      <c r="K4603">
        <v>8</v>
      </c>
      <c r="L4603">
        <v>8</v>
      </c>
      <c r="M4603">
        <v>1.3919999999999999</v>
      </c>
    </row>
    <row r="4604" spans="1:13" ht="15" customHeight="1">
      <c r="A4604" t="s">
        <v>51</v>
      </c>
      <c r="B4604">
        <f t="shared" si="284"/>
        <v>33.704048</v>
      </c>
      <c r="C4604">
        <f t="shared" si="285"/>
        <v>-117.84785100000001</v>
      </c>
      <c r="D4604">
        <f t="shared" si="286"/>
        <v>48</v>
      </c>
      <c r="E4604">
        <v>17.5</v>
      </c>
      <c r="F4604">
        <f t="shared" si="287"/>
        <v>30.5</v>
      </c>
      <c r="G4604">
        <v>9.4329999999999998</v>
      </c>
      <c r="H4604">
        <v>0.28000000000000003</v>
      </c>
      <c r="I4604">
        <v>3.0219999999999998</v>
      </c>
      <c r="J4604">
        <v>4</v>
      </c>
      <c r="K4604">
        <v>6</v>
      </c>
      <c r="L4604">
        <v>6</v>
      </c>
      <c r="M4604">
        <v>0.54700000000000004</v>
      </c>
    </row>
    <row r="4605" spans="1:13" ht="15" customHeight="1">
      <c r="A4605" t="s">
        <v>51</v>
      </c>
      <c r="B4605">
        <f t="shared" si="284"/>
        <v>33.704048</v>
      </c>
      <c r="C4605">
        <f t="shared" si="285"/>
        <v>-117.84785100000001</v>
      </c>
      <c r="D4605">
        <f t="shared" si="286"/>
        <v>48</v>
      </c>
      <c r="E4605">
        <v>18.5</v>
      </c>
      <c r="F4605">
        <f t="shared" si="287"/>
        <v>29.5</v>
      </c>
      <c r="G4605">
        <v>15.217000000000001</v>
      </c>
      <c r="H4605">
        <v>0.65200000000000002</v>
      </c>
      <c r="I4605">
        <v>4.32</v>
      </c>
      <c r="J4605">
        <v>3</v>
      </c>
      <c r="K4605">
        <v>14</v>
      </c>
      <c r="L4605">
        <v>13</v>
      </c>
      <c r="M4605">
        <v>0.93100000000000005</v>
      </c>
    </row>
    <row r="4606" spans="1:13" ht="15" customHeight="1">
      <c r="A4606" t="s">
        <v>51</v>
      </c>
      <c r="B4606">
        <f t="shared" si="284"/>
        <v>33.704048</v>
      </c>
      <c r="C4606">
        <f t="shared" si="285"/>
        <v>-117.84785100000001</v>
      </c>
      <c r="D4606">
        <f t="shared" si="286"/>
        <v>48</v>
      </c>
      <c r="E4606">
        <v>19.5</v>
      </c>
      <c r="F4606">
        <f t="shared" si="287"/>
        <v>28.5</v>
      </c>
      <c r="G4606">
        <v>31.683</v>
      </c>
      <c r="H4606">
        <v>1.8049999999999999</v>
      </c>
      <c r="I4606">
        <v>5.7149999999999999</v>
      </c>
      <c r="J4606">
        <v>3</v>
      </c>
      <c r="K4606">
        <v>30</v>
      </c>
      <c r="L4606">
        <v>26</v>
      </c>
      <c r="M4606">
        <v>2.0270000000000001</v>
      </c>
    </row>
    <row r="4607" spans="1:13" ht="15" customHeight="1">
      <c r="A4607" t="s">
        <v>51</v>
      </c>
      <c r="B4607">
        <f t="shared" si="284"/>
        <v>33.704048</v>
      </c>
      <c r="C4607">
        <f t="shared" si="285"/>
        <v>-117.84785100000001</v>
      </c>
      <c r="D4607">
        <f t="shared" si="286"/>
        <v>48</v>
      </c>
      <c r="E4607">
        <v>20.5</v>
      </c>
      <c r="F4607">
        <f t="shared" si="287"/>
        <v>27.5</v>
      </c>
      <c r="G4607">
        <v>32.485999999999997</v>
      </c>
      <c r="H4607">
        <v>1.49</v>
      </c>
      <c r="I4607">
        <v>4.6029999999999998</v>
      </c>
      <c r="J4607">
        <v>4</v>
      </c>
      <c r="K4607">
        <v>21</v>
      </c>
      <c r="L4607">
        <v>18</v>
      </c>
      <c r="M4607">
        <v>2.0750000000000002</v>
      </c>
    </row>
    <row r="4608" spans="1:13" ht="15" customHeight="1">
      <c r="A4608" t="s">
        <v>51</v>
      </c>
      <c r="B4608">
        <f t="shared" si="284"/>
        <v>33.704048</v>
      </c>
      <c r="C4608">
        <f t="shared" si="285"/>
        <v>-117.84785100000001</v>
      </c>
      <c r="D4608">
        <f t="shared" si="286"/>
        <v>48</v>
      </c>
      <c r="E4608">
        <v>21.5</v>
      </c>
      <c r="F4608">
        <f t="shared" si="287"/>
        <v>26.5</v>
      </c>
      <c r="G4608">
        <v>40.366999999999997</v>
      </c>
      <c r="H4608">
        <v>1.61</v>
      </c>
      <c r="I4608">
        <v>3.9980000000000002</v>
      </c>
      <c r="J4608">
        <v>5</v>
      </c>
      <c r="K4608">
        <v>19</v>
      </c>
      <c r="L4608">
        <v>15</v>
      </c>
      <c r="M4608">
        <v>2.597</v>
      </c>
    </row>
    <row r="4609" spans="1:13" ht="15" customHeight="1">
      <c r="A4609" t="s">
        <v>51</v>
      </c>
      <c r="B4609">
        <f t="shared" si="284"/>
        <v>33.704048</v>
      </c>
      <c r="C4609">
        <f t="shared" si="285"/>
        <v>-117.84785100000001</v>
      </c>
      <c r="D4609">
        <f t="shared" si="286"/>
        <v>48</v>
      </c>
      <c r="E4609">
        <v>22.5</v>
      </c>
      <c r="F4609">
        <f t="shared" si="287"/>
        <v>25.5</v>
      </c>
      <c r="G4609">
        <v>58.6</v>
      </c>
      <c r="H4609">
        <v>2.2320000000000002</v>
      </c>
      <c r="I4609">
        <v>3.8050000000000002</v>
      </c>
      <c r="J4609">
        <v>5</v>
      </c>
      <c r="K4609">
        <v>28</v>
      </c>
      <c r="L4609">
        <v>22</v>
      </c>
      <c r="M4609">
        <v>3.819</v>
      </c>
    </row>
    <row r="4610" spans="1:13" ht="15" customHeight="1">
      <c r="A4610" t="s">
        <v>51</v>
      </c>
      <c r="B4610">
        <f t="shared" ref="B4610:B4673" si="288">VLOOKUP(A4610,XYdata,3,FALSE)</f>
        <v>33.704048</v>
      </c>
      <c r="C4610">
        <f t="shared" ref="C4610:C4673" si="289">VLOOKUP(A4610,XYdata,2,FALSE)</f>
        <v>-117.84785100000001</v>
      </c>
      <c r="D4610">
        <f t="shared" ref="D4610:D4673" si="290">VLOOKUP(A4610,Elevation,2,FALSE)</f>
        <v>48</v>
      </c>
      <c r="E4610">
        <v>23.5</v>
      </c>
      <c r="F4610">
        <f t="shared" si="287"/>
        <v>24.5</v>
      </c>
      <c r="G4610">
        <v>68.2</v>
      </c>
      <c r="H4610">
        <v>2.34</v>
      </c>
      <c r="I4610">
        <v>3.42</v>
      </c>
      <c r="J4610">
        <v>6</v>
      </c>
      <c r="K4610">
        <v>26</v>
      </c>
      <c r="L4610">
        <v>20</v>
      </c>
      <c r="M4610">
        <v>4.4660000000000002</v>
      </c>
    </row>
    <row r="4611" spans="1:13" ht="15" customHeight="1">
      <c r="A4611" t="s">
        <v>51</v>
      </c>
      <c r="B4611">
        <f t="shared" si="288"/>
        <v>33.704048</v>
      </c>
      <c r="C4611">
        <f t="shared" si="289"/>
        <v>-117.84785100000001</v>
      </c>
      <c r="D4611">
        <f t="shared" si="290"/>
        <v>48</v>
      </c>
      <c r="E4611">
        <v>24.5</v>
      </c>
      <c r="F4611">
        <f t="shared" ref="F4611:F4674" si="291">D4611-E4611</f>
        <v>23.5</v>
      </c>
      <c r="G4611">
        <v>57.783000000000001</v>
      </c>
      <c r="H4611">
        <v>2.73</v>
      </c>
      <c r="I4611">
        <v>4.7290000000000001</v>
      </c>
      <c r="J4611">
        <v>4</v>
      </c>
      <c r="K4611">
        <v>37</v>
      </c>
      <c r="L4611">
        <v>27</v>
      </c>
      <c r="M4611">
        <v>3.7490000000000001</v>
      </c>
    </row>
    <row r="4612" spans="1:13" ht="15" customHeight="1">
      <c r="A4612" t="s">
        <v>51</v>
      </c>
      <c r="B4612">
        <f t="shared" si="288"/>
        <v>33.704048</v>
      </c>
      <c r="C4612">
        <f t="shared" si="289"/>
        <v>-117.84785100000001</v>
      </c>
      <c r="D4612">
        <f t="shared" si="290"/>
        <v>48</v>
      </c>
      <c r="E4612">
        <v>25.5</v>
      </c>
      <c r="F4612">
        <f t="shared" si="291"/>
        <v>22.5</v>
      </c>
      <c r="G4612">
        <v>43.817</v>
      </c>
      <c r="H4612">
        <v>1.8149999999999999</v>
      </c>
      <c r="I4612">
        <v>4.1550000000000002</v>
      </c>
      <c r="J4612">
        <v>4</v>
      </c>
      <c r="K4612">
        <v>28</v>
      </c>
      <c r="L4612">
        <v>20</v>
      </c>
      <c r="M4612">
        <v>2.8079999999999998</v>
      </c>
    </row>
    <row r="4613" spans="1:13" ht="15" customHeight="1">
      <c r="A4613" t="s">
        <v>51</v>
      </c>
      <c r="B4613">
        <f t="shared" si="288"/>
        <v>33.704048</v>
      </c>
      <c r="C4613">
        <f t="shared" si="289"/>
        <v>-117.84785100000001</v>
      </c>
      <c r="D4613">
        <f t="shared" si="290"/>
        <v>48</v>
      </c>
      <c r="E4613">
        <v>26.5</v>
      </c>
      <c r="F4613">
        <f t="shared" si="291"/>
        <v>21.5</v>
      </c>
      <c r="G4613">
        <v>47.567</v>
      </c>
      <c r="H4613">
        <v>1.605</v>
      </c>
      <c r="I4613">
        <v>3.3809999999999998</v>
      </c>
      <c r="J4613">
        <v>5</v>
      </c>
      <c r="K4613">
        <v>23</v>
      </c>
      <c r="L4613">
        <v>16</v>
      </c>
      <c r="M4613">
        <v>3.056</v>
      </c>
    </row>
    <row r="4614" spans="1:13" ht="15" customHeight="1">
      <c r="A4614" t="s">
        <v>51</v>
      </c>
      <c r="B4614">
        <f t="shared" si="288"/>
        <v>33.704048</v>
      </c>
      <c r="C4614">
        <f t="shared" si="289"/>
        <v>-117.84785100000001</v>
      </c>
      <c r="D4614">
        <f t="shared" si="290"/>
        <v>48</v>
      </c>
      <c r="E4614">
        <v>27.5</v>
      </c>
      <c r="F4614">
        <f t="shared" si="291"/>
        <v>20.5</v>
      </c>
      <c r="G4614">
        <v>33.700000000000003</v>
      </c>
      <c r="H4614">
        <v>1.1850000000000001</v>
      </c>
      <c r="I4614">
        <v>3.5230000000000001</v>
      </c>
      <c r="J4614">
        <v>5</v>
      </c>
      <c r="K4614">
        <v>16</v>
      </c>
      <c r="L4614">
        <v>11</v>
      </c>
      <c r="M4614">
        <v>2.13</v>
      </c>
    </row>
    <row r="4615" spans="1:13" ht="15" customHeight="1">
      <c r="A4615" t="s">
        <v>51</v>
      </c>
      <c r="B4615">
        <f t="shared" si="288"/>
        <v>33.704048</v>
      </c>
      <c r="C4615">
        <f t="shared" si="289"/>
        <v>-117.84785100000001</v>
      </c>
      <c r="D4615">
        <f t="shared" si="290"/>
        <v>48</v>
      </c>
      <c r="E4615">
        <v>28.5</v>
      </c>
      <c r="F4615">
        <f t="shared" si="291"/>
        <v>19.5</v>
      </c>
      <c r="G4615">
        <v>25.483000000000001</v>
      </c>
      <c r="H4615">
        <v>0.81</v>
      </c>
      <c r="I4615">
        <v>3.1909999999999998</v>
      </c>
      <c r="J4615">
        <v>5</v>
      </c>
      <c r="K4615">
        <v>12</v>
      </c>
      <c r="L4615">
        <v>8</v>
      </c>
      <c r="M4615">
        <v>1.5760000000000001</v>
      </c>
    </row>
    <row r="4616" spans="1:13" ht="15" customHeight="1">
      <c r="A4616" t="s">
        <v>51</v>
      </c>
      <c r="B4616">
        <f t="shared" si="288"/>
        <v>33.704048</v>
      </c>
      <c r="C4616">
        <f t="shared" si="289"/>
        <v>-117.84785100000001</v>
      </c>
      <c r="D4616">
        <f t="shared" si="290"/>
        <v>48</v>
      </c>
      <c r="E4616">
        <v>29.5</v>
      </c>
      <c r="F4616">
        <f t="shared" si="291"/>
        <v>18.5</v>
      </c>
      <c r="G4616">
        <v>28.783000000000001</v>
      </c>
      <c r="H4616">
        <v>1.073</v>
      </c>
      <c r="I4616">
        <v>3.7309999999999999</v>
      </c>
      <c r="J4616">
        <v>5</v>
      </c>
      <c r="K4616">
        <v>14</v>
      </c>
      <c r="L4616">
        <v>9</v>
      </c>
      <c r="M4616">
        <v>1.7969999999999999</v>
      </c>
    </row>
    <row r="4617" spans="1:13" ht="15" customHeight="1">
      <c r="A4617" t="s">
        <v>51</v>
      </c>
      <c r="B4617">
        <f t="shared" si="288"/>
        <v>33.704048</v>
      </c>
      <c r="C4617">
        <f t="shared" si="289"/>
        <v>-117.84785100000001</v>
      </c>
      <c r="D4617">
        <f t="shared" si="290"/>
        <v>48</v>
      </c>
      <c r="E4617">
        <v>30.5</v>
      </c>
      <c r="F4617">
        <f t="shared" si="291"/>
        <v>17.5</v>
      </c>
      <c r="G4617">
        <v>65.75</v>
      </c>
      <c r="H4617">
        <v>3.57</v>
      </c>
      <c r="I4617">
        <v>5.4379999999999997</v>
      </c>
      <c r="J4617">
        <v>11</v>
      </c>
      <c r="K4617">
        <v>63</v>
      </c>
      <c r="L4617">
        <v>42</v>
      </c>
      <c r="M4617" s="1">
        <v>9000000000</v>
      </c>
    </row>
    <row r="4618" spans="1:13" ht="15" customHeight="1">
      <c r="A4618" t="s">
        <v>51</v>
      </c>
      <c r="B4618">
        <f t="shared" si="288"/>
        <v>33.704048</v>
      </c>
      <c r="C4618">
        <f t="shared" si="289"/>
        <v>-117.84785100000001</v>
      </c>
      <c r="D4618">
        <f t="shared" si="290"/>
        <v>48</v>
      </c>
      <c r="E4618">
        <v>31.5</v>
      </c>
      <c r="F4618">
        <f t="shared" si="291"/>
        <v>16.5</v>
      </c>
      <c r="G4618">
        <v>69.513999999999996</v>
      </c>
      <c r="H4618">
        <v>2.14</v>
      </c>
      <c r="I4618">
        <v>3.0840000000000001</v>
      </c>
      <c r="J4618">
        <v>6</v>
      </c>
      <c r="K4618">
        <v>27</v>
      </c>
      <c r="L4618">
        <v>18</v>
      </c>
      <c r="M4618">
        <v>4.4969999999999999</v>
      </c>
    </row>
    <row r="4619" spans="1:13" ht="15" customHeight="1">
      <c r="A4619" t="s">
        <v>51</v>
      </c>
      <c r="B4619">
        <f t="shared" si="288"/>
        <v>33.704048</v>
      </c>
      <c r="C4619">
        <f t="shared" si="289"/>
        <v>-117.84785100000001</v>
      </c>
      <c r="D4619">
        <f t="shared" si="290"/>
        <v>48</v>
      </c>
      <c r="E4619">
        <v>32.5</v>
      </c>
      <c r="F4619">
        <f t="shared" si="291"/>
        <v>15.5</v>
      </c>
      <c r="G4619">
        <v>171.21700000000001</v>
      </c>
      <c r="H4619">
        <v>1.5449999999999999</v>
      </c>
      <c r="I4619">
        <v>0.90300000000000002</v>
      </c>
      <c r="J4619">
        <v>9</v>
      </c>
      <c r="K4619">
        <v>33</v>
      </c>
      <c r="L4619">
        <v>21</v>
      </c>
      <c r="M4619" s="1">
        <v>9000000000</v>
      </c>
    </row>
    <row r="4620" spans="1:13" ht="15" customHeight="1">
      <c r="A4620" t="s">
        <v>51</v>
      </c>
      <c r="B4620">
        <f t="shared" si="288"/>
        <v>33.704048</v>
      </c>
      <c r="C4620">
        <f t="shared" si="289"/>
        <v>-117.84785100000001</v>
      </c>
      <c r="D4620">
        <f t="shared" si="290"/>
        <v>48</v>
      </c>
      <c r="E4620">
        <v>33.5</v>
      </c>
      <c r="F4620">
        <f t="shared" si="291"/>
        <v>14.5</v>
      </c>
      <c r="G4620">
        <v>211.3</v>
      </c>
      <c r="H4620">
        <v>1.5329999999999999</v>
      </c>
      <c r="I4620">
        <v>0.72599999999999998</v>
      </c>
      <c r="J4620">
        <v>9</v>
      </c>
      <c r="K4620">
        <v>40</v>
      </c>
      <c r="L4620">
        <v>25</v>
      </c>
      <c r="M4620" s="1">
        <v>9000000000</v>
      </c>
    </row>
    <row r="4621" spans="1:13" ht="15" customHeight="1">
      <c r="A4621" t="s">
        <v>51</v>
      </c>
      <c r="B4621">
        <f t="shared" si="288"/>
        <v>33.704048</v>
      </c>
      <c r="C4621">
        <f t="shared" si="289"/>
        <v>-117.84785100000001</v>
      </c>
      <c r="D4621">
        <f t="shared" si="290"/>
        <v>48</v>
      </c>
      <c r="E4621">
        <v>34.5</v>
      </c>
      <c r="F4621">
        <f t="shared" si="291"/>
        <v>13.5</v>
      </c>
      <c r="G4621">
        <v>302.41699999999997</v>
      </c>
      <c r="H4621">
        <v>2.823</v>
      </c>
      <c r="I4621">
        <v>0.93400000000000005</v>
      </c>
      <c r="J4621">
        <v>9</v>
      </c>
      <c r="K4621">
        <v>58</v>
      </c>
      <c r="L4621">
        <v>36</v>
      </c>
      <c r="M4621" s="1">
        <v>9000000000</v>
      </c>
    </row>
    <row r="4622" spans="1:13" ht="15" customHeight="1">
      <c r="A4622" t="s">
        <v>51</v>
      </c>
      <c r="B4622">
        <f t="shared" si="288"/>
        <v>33.704048</v>
      </c>
      <c r="C4622">
        <f t="shared" si="289"/>
        <v>-117.84785100000001</v>
      </c>
      <c r="D4622">
        <f t="shared" si="290"/>
        <v>48</v>
      </c>
      <c r="E4622">
        <v>35.5</v>
      </c>
      <c r="F4622">
        <f t="shared" si="291"/>
        <v>12.5</v>
      </c>
      <c r="G4622">
        <v>161.1</v>
      </c>
      <c r="H4622">
        <v>2.605</v>
      </c>
      <c r="I4622">
        <v>1.6180000000000001</v>
      </c>
      <c r="J4622">
        <v>8</v>
      </c>
      <c r="K4622">
        <v>39</v>
      </c>
      <c r="L4622">
        <v>24</v>
      </c>
      <c r="M4622" s="1">
        <v>9000000000</v>
      </c>
    </row>
    <row r="4623" spans="1:13" ht="15" customHeight="1">
      <c r="A4623" t="s">
        <v>51</v>
      </c>
      <c r="B4623">
        <f t="shared" si="288"/>
        <v>33.704048</v>
      </c>
      <c r="C4623">
        <f t="shared" si="289"/>
        <v>-117.84785100000001</v>
      </c>
      <c r="D4623">
        <f t="shared" si="290"/>
        <v>48</v>
      </c>
      <c r="E4623">
        <v>36.5</v>
      </c>
      <c r="F4623">
        <f t="shared" si="291"/>
        <v>11.5</v>
      </c>
      <c r="G4623">
        <v>27</v>
      </c>
      <c r="H4623">
        <v>1.0820000000000001</v>
      </c>
      <c r="I4623">
        <v>4.0090000000000003</v>
      </c>
      <c r="J4623">
        <v>4</v>
      </c>
      <c r="K4623">
        <v>17</v>
      </c>
      <c r="L4623">
        <v>10</v>
      </c>
      <c r="M4623">
        <v>1.649</v>
      </c>
    </row>
    <row r="4624" spans="1:13" ht="15" customHeight="1">
      <c r="A4624" t="s">
        <v>51</v>
      </c>
      <c r="B4624">
        <f t="shared" si="288"/>
        <v>33.704048</v>
      </c>
      <c r="C4624">
        <f t="shared" si="289"/>
        <v>-117.84785100000001</v>
      </c>
      <c r="D4624">
        <f t="shared" si="290"/>
        <v>48</v>
      </c>
      <c r="E4624">
        <v>37.5</v>
      </c>
      <c r="F4624">
        <f t="shared" si="291"/>
        <v>10.5</v>
      </c>
      <c r="G4624">
        <v>53.7</v>
      </c>
      <c r="H4624">
        <v>2.077</v>
      </c>
      <c r="I4624">
        <v>3.867</v>
      </c>
      <c r="J4624">
        <v>5</v>
      </c>
      <c r="K4624">
        <v>26</v>
      </c>
      <c r="L4624">
        <v>16</v>
      </c>
      <c r="M4624">
        <v>3.4260000000000002</v>
      </c>
    </row>
    <row r="4625" spans="1:13" ht="15" customHeight="1">
      <c r="A4625" t="s">
        <v>51</v>
      </c>
      <c r="B4625">
        <f t="shared" si="288"/>
        <v>33.704048</v>
      </c>
      <c r="C4625">
        <f t="shared" si="289"/>
        <v>-117.84785100000001</v>
      </c>
      <c r="D4625">
        <f t="shared" si="290"/>
        <v>48</v>
      </c>
      <c r="E4625">
        <v>38.5</v>
      </c>
      <c r="F4625">
        <f t="shared" si="291"/>
        <v>9.5</v>
      </c>
      <c r="G4625">
        <v>86.2</v>
      </c>
      <c r="H4625">
        <v>2.3119999999999998</v>
      </c>
      <c r="I4625">
        <v>2.6890000000000001</v>
      </c>
      <c r="J4625">
        <v>6</v>
      </c>
      <c r="K4625">
        <v>33</v>
      </c>
      <c r="L4625">
        <v>20</v>
      </c>
      <c r="M4625">
        <v>5.5739999999999998</v>
      </c>
    </row>
    <row r="4626" spans="1:13" ht="15" customHeight="1">
      <c r="A4626" t="s">
        <v>51</v>
      </c>
      <c r="B4626">
        <f t="shared" si="288"/>
        <v>33.704048</v>
      </c>
      <c r="C4626">
        <f t="shared" si="289"/>
        <v>-117.84785100000001</v>
      </c>
      <c r="D4626">
        <f t="shared" si="290"/>
        <v>48</v>
      </c>
      <c r="E4626">
        <v>39.5</v>
      </c>
      <c r="F4626">
        <f t="shared" si="291"/>
        <v>8.5</v>
      </c>
      <c r="G4626">
        <v>148.21700000000001</v>
      </c>
      <c r="H4626">
        <v>4.1269999999999998</v>
      </c>
      <c r="I4626">
        <v>2.7879999999999998</v>
      </c>
      <c r="J4626">
        <v>7</v>
      </c>
      <c r="K4626">
        <v>47</v>
      </c>
      <c r="L4626">
        <v>28</v>
      </c>
      <c r="M4626" s="1">
        <v>9000000000</v>
      </c>
    </row>
    <row r="4627" spans="1:13" ht="15" customHeight="1">
      <c r="A4627" t="s">
        <v>51</v>
      </c>
      <c r="B4627">
        <f t="shared" si="288"/>
        <v>33.704048</v>
      </c>
      <c r="C4627">
        <f t="shared" si="289"/>
        <v>-117.84785100000001</v>
      </c>
      <c r="D4627">
        <f t="shared" si="290"/>
        <v>48</v>
      </c>
      <c r="E4627">
        <v>40.5</v>
      </c>
      <c r="F4627">
        <f t="shared" si="291"/>
        <v>7.5</v>
      </c>
      <c r="G4627">
        <v>274.7</v>
      </c>
      <c r="H4627">
        <v>4.5620000000000003</v>
      </c>
      <c r="I4627">
        <v>1.6619999999999999</v>
      </c>
      <c r="J4627">
        <v>8</v>
      </c>
      <c r="K4627">
        <v>66</v>
      </c>
      <c r="L4627">
        <v>39</v>
      </c>
      <c r="M4627" s="1">
        <v>9000000000</v>
      </c>
    </row>
    <row r="4628" spans="1:13" ht="15" customHeight="1">
      <c r="A4628" t="s">
        <v>51</v>
      </c>
      <c r="B4628">
        <f t="shared" si="288"/>
        <v>33.704048</v>
      </c>
      <c r="C4628">
        <f t="shared" si="289"/>
        <v>-117.84785100000001</v>
      </c>
      <c r="D4628">
        <f t="shared" si="290"/>
        <v>48</v>
      </c>
      <c r="E4628">
        <v>41.499000000000002</v>
      </c>
      <c r="F4628">
        <f t="shared" si="291"/>
        <v>6.5009999999999977</v>
      </c>
      <c r="G4628">
        <v>32.557000000000002</v>
      </c>
      <c r="H4628">
        <v>1.1599999999999999</v>
      </c>
      <c r="I4628">
        <v>3.585</v>
      </c>
      <c r="J4628">
        <v>5</v>
      </c>
      <c r="K4628">
        <v>15</v>
      </c>
      <c r="L4628">
        <v>9</v>
      </c>
      <c r="M4628">
        <v>1.986</v>
      </c>
    </row>
    <row r="4629" spans="1:13" ht="15" customHeight="1">
      <c r="A4629" t="s">
        <v>51</v>
      </c>
      <c r="B4629">
        <f t="shared" si="288"/>
        <v>33.704048</v>
      </c>
      <c r="C4629">
        <f t="shared" si="289"/>
        <v>-117.84785100000001</v>
      </c>
      <c r="D4629">
        <f t="shared" si="290"/>
        <v>48</v>
      </c>
      <c r="E4629">
        <v>42.499000000000002</v>
      </c>
      <c r="F4629">
        <f t="shared" si="291"/>
        <v>5.5009999999999977</v>
      </c>
      <c r="G4629">
        <v>101.133</v>
      </c>
      <c r="H4629">
        <v>3.5249999999999999</v>
      </c>
      <c r="I4629">
        <v>3.4910000000000001</v>
      </c>
      <c r="J4629">
        <v>6</v>
      </c>
      <c r="K4629">
        <v>39</v>
      </c>
      <c r="L4629">
        <v>22</v>
      </c>
      <c r="M4629">
        <v>6.5570000000000004</v>
      </c>
    </row>
    <row r="4630" spans="1:13" ht="15" customHeight="1">
      <c r="A4630" t="s">
        <v>51</v>
      </c>
      <c r="B4630">
        <f t="shared" si="288"/>
        <v>33.704048</v>
      </c>
      <c r="C4630">
        <f t="shared" si="289"/>
        <v>-117.84785100000001</v>
      </c>
      <c r="D4630">
        <f t="shared" si="290"/>
        <v>48</v>
      </c>
      <c r="E4630">
        <v>43.499000000000002</v>
      </c>
      <c r="F4630">
        <f t="shared" si="291"/>
        <v>4.5009999999999977</v>
      </c>
      <c r="G4630">
        <v>264.61700000000002</v>
      </c>
      <c r="H4630">
        <v>2.58</v>
      </c>
      <c r="I4630">
        <v>0.97599999999999998</v>
      </c>
      <c r="J4630">
        <v>9</v>
      </c>
      <c r="K4630">
        <v>51</v>
      </c>
      <c r="L4630">
        <v>29</v>
      </c>
      <c r="M4630" s="1">
        <v>9000000000</v>
      </c>
    </row>
    <row r="4631" spans="1:13" ht="15" customHeight="1">
      <c r="A4631" t="s">
        <v>51</v>
      </c>
      <c r="B4631">
        <f t="shared" si="288"/>
        <v>33.704048</v>
      </c>
      <c r="C4631">
        <f t="shared" si="289"/>
        <v>-117.84785100000001</v>
      </c>
      <c r="D4631">
        <f t="shared" si="290"/>
        <v>48</v>
      </c>
      <c r="E4631">
        <v>44.499000000000002</v>
      </c>
      <c r="F4631">
        <f t="shared" si="291"/>
        <v>3.5009999999999977</v>
      </c>
      <c r="G4631">
        <v>119.533</v>
      </c>
      <c r="H4631">
        <v>2.74</v>
      </c>
      <c r="I4631">
        <v>2.2959999999999998</v>
      </c>
      <c r="J4631">
        <v>7</v>
      </c>
      <c r="K4631">
        <v>38</v>
      </c>
      <c r="L4631">
        <v>21</v>
      </c>
      <c r="M4631" s="1">
        <v>9000000000</v>
      </c>
    </row>
    <row r="4632" spans="1:13" ht="15" customHeight="1">
      <c r="A4632" t="s">
        <v>51</v>
      </c>
      <c r="B4632">
        <f t="shared" si="288"/>
        <v>33.704048</v>
      </c>
      <c r="C4632">
        <f t="shared" si="289"/>
        <v>-117.84785100000001</v>
      </c>
      <c r="D4632">
        <f t="shared" si="290"/>
        <v>48</v>
      </c>
      <c r="E4632">
        <v>45.499000000000002</v>
      </c>
      <c r="F4632">
        <f t="shared" si="291"/>
        <v>2.5009999999999977</v>
      </c>
      <c r="G4632">
        <v>113.1</v>
      </c>
      <c r="H4632">
        <v>2.1579999999999999</v>
      </c>
      <c r="I4632">
        <v>1.9119999999999999</v>
      </c>
      <c r="J4632">
        <v>7</v>
      </c>
      <c r="K4632">
        <v>36</v>
      </c>
      <c r="L4632">
        <v>20</v>
      </c>
      <c r="M4632" s="1">
        <v>9000000000</v>
      </c>
    </row>
    <row r="4633" spans="1:13" ht="15" customHeight="1">
      <c r="A4633" t="s">
        <v>51</v>
      </c>
      <c r="B4633">
        <f t="shared" si="288"/>
        <v>33.704048</v>
      </c>
      <c r="C4633">
        <f t="shared" si="289"/>
        <v>-117.84785100000001</v>
      </c>
      <c r="D4633">
        <f t="shared" si="290"/>
        <v>48</v>
      </c>
      <c r="E4633">
        <v>46.499000000000002</v>
      </c>
      <c r="F4633">
        <f t="shared" si="291"/>
        <v>1.5009999999999977</v>
      </c>
      <c r="G4633">
        <v>21.183</v>
      </c>
      <c r="H4633">
        <v>0.73</v>
      </c>
      <c r="I4633">
        <v>3.4790000000000001</v>
      </c>
      <c r="J4633">
        <v>5</v>
      </c>
      <c r="K4633">
        <v>10</v>
      </c>
      <c r="L4633">
        <v>5</v>
      </c>
      <c r="M4633">
        <v>1.208</v>
      </c>
    </row>
    <row r="4634" spans="1:13" ht="15" customHeight="1">
      <c r="A4634" t="s">
        <v>51</v>
      </c>
      <c r="B4634">
        <f t="shared" si="288"/>
        <v>33.704048</v>
      </c>
      <c r="C4634">
        <f t="shared" si="289"/>
        <v>-117.84785100000001</v>
      </c>
      <c r="D4634">
        <f t="shared" si="290"/>
        <v>48</v>
      </c>
      <c r="E4634">
        <v>47.499000000000002</v>
      </c>
      <c r="F4634">
        <f t="shared" si="291"/>
        <v>0.50099999999999767</v>
      </c>
      <c r="G4634">
        <v>22.183</v>
      </c>
      <c r="H4634">
        <v>0.79700000000000004</v>
      </c>
      <c r="I4634">
        <v>3.621</v>
      </c>
      <c r="J4634">
        <v>4</v>
      </c>
      <c r="K4634">
        <v>14</v>
      </c>
      <c r="L4634">
        <v>8</v>
      </c>
      <c r="M4634">
        <v>1.2709999999999999</v>
      </c>
    </row>
    <row r="4635" spans="1:13" ht="15" customHeight="1">
      <c r="A4635" t="s">
        <v>51</v>
      </c>
      <c r="B4635">
        <f t="shared" si="288"/>
        <v>33.704048</v>
      </c>
      <c r="C4635">
        <f t="shared" si="289"/>
        <v>-117.84785100000001</v>
      </c>
      <c r="D4635">
        <f t="shared" si="290"/>
        <v>48</v>
      </c>
      <c r="E4635">
        <v>48.499000000000002</v>
      </c>
      <c r="F4635">
        <f t="shared" si="291"/>
        <v>-0.49900000000000233</v>
      </c>
      <c r="G4635">
        <v>20.632999999999999</v>
      </c>
      <c r="H4635">
        <v>0.74</v>
      </c>
      <c r="I4635">
        <v>3.6160000000000001</v>
      </c>
      <c r="J4635">
        <v>4</v>
      </c>
      <c r="K4635">
        <v>13</v>
      </c>
      <c r="L4635">
        <v>7</v>
      </c>
      <c r="M4635">
        <v>1.165</v>
      </c>
    </row>
    <row r="4636" spans="1:13" ht="15" customHeight="1">
      <c r="A4636" t="s">
        <v>51</v>
      </c>
      <c r="B4636">
        <f t="shared" si="288"/>
        <v>33.704048</v>
      </c>
      <c r="C4636">
        <f t="shared" si="289"/>
        <v>-117.84785100000001</v>
      </c>
      <c r="D4636">
        <f t="shared" si="290"/>
        <v>48</v>
      </c>
      <c r="E4636">
        <v>49.499000000000002</v>
      </c>
      <c r="F4636">
        <f t="shared" si="291"/>
        <v>-1.4990000000000023</v>
      </c>
      <c r="G4636">
        <v>21.082999999999998</v>
      </c>
      <c r="H4636">
        <v>0.64300000000000002</v>
      </c>
      <c r="I4636">
        <v>3.0710000000000002</v>
      </c>
      <c r="J4636">
        <v>5</v>
      </c>
      <c r="K4636">
        <v>10</v>
      </c>
      <c r="L4636">
        <v>5</v>
      </c>
      <c r="M4636">
        <v>1.1930000000000001</v>
      </c>
    </row>
    <row r="4637" spans="1:13" ht="15" customHeight="1">
      <c r="A4637" t="s">
        <v>51</v>
      </c>
      <c r="B4637">
        <f t="shared" si="288"/>
        <v>33.704048</v>
      </c>
      <c r="C4637">
        <f t="shared" si="289"/>
        <v>-117.84785100000001</v>
      </c>
      <c r="D4637">
        <f t="shared" si="290"/>
        <v>48</v>
      </c>
      <c r="E4637">
        <v>50.499000000000002</v>
      </c>
      <c r="F4637">
        <f t="shared" si="291"/>
        <v>-2.4990000000000023</v>
      </c>
      <c r="G4637">
        <v>32.799999999999997</v>
      </c>
      <c r="H4637">
        <v>1.167</v>
      </c>
      <c r="I4637">
        <v>3.5750000000000002</v>
      </c>
      <c r="J4637">
        <v>5</v>
      </c>
      <c r="K4637">
        <v>16</v>
      </c>
      <c r="L4637">
        <v>8</v>
      </c>
      <c r="M4637">
        <v>1.968</v>
      </c>
    </row>
    <row r="4638" spans="1:13" ht="15" customHeight="1">
      <c r="A4638" t="s">
        <v>51</v>
      </c>
      <c r="B4638">
        <f t="shared" si="288"/>
        <v>33.704048</v>
      </c>
      <c r="C4638">
        <f t="shared" si="289"/>
        <v>-117.84785100000001</v>
      </c>
      <c r="D4638">
        <f t="shared" si="290"/>
        <v>48</v>
      </c>
      <c r="E4638">
        <v>51.499000000000002</v>
      </c>
      <c r="F4638">
        <f t="shared" si="291"/>
        <v>-3.4990000000000023</v>
      </c>
      <c r="G4638">
        <v>63.216999999999999</v>
      </c>
      <c r="H4638">
        <v>2.3969999999999998</v>
      </c>
      <c r="I4638">
        <v>3.8010000000000002</v>
      </c>
      <c r="J4638">
        <v>5</v>
      </c>
      <c r="K4638">
        <v>30</v>
      </c>
      <c r="L4638">
        <v>16</v>
      </c>
      <c r="M4638">
        <v>3.992</v>
      </c>
    </row>
    <row r="4639" spans="1:13" ht="15" customHeight="1">
      <c r="A4639" t="s">
        <v>51</v>
      </c>
      <c r="B4639">
        <f t="shared" si="288"/>
        <v>33.704048</v>
      </c>
      <c r="C4639">
        <f t="shared" si="289"/>
        <v>-117.84785100000001</v>
      </c>
      <c r="D4639">
        <f t="shared" si="290"/>
        <v>48</v>
      </c>
      <c r="E4639">
        <v>52.499000000000002</v>
      </c>
      <c r="F4639">
        <f t="shared" si="291"/>
        <v>-4.4990000000000023</v>
      </c>
      <c r="G4639">
        <v>201.857</v>
      </c>
      <c r="H4639">
        <v>5.3840000000000003</v>
      </c>
      <c r="I4639">
        <v>2.67</v>
      </c>
      <c r="J4639">
        <v>7</v>
      </c>
      <c r="K4639">
        <v>64</v>
      </c>
      <c r="L4639">
        <v>33</v>
      </c>
      <c r="M4639" s="1">
        <v>9000000000</v>
      </c>
    </row>
    <row r="4640" spans="1:13" ht="15" customHeight="1">
      <c r="A4640" t="s">
        <v>51</v>
      </c>
      <c r="B4640">
        <f t="shared" si="288"/>
        <v>33.704048</v>
      </c>
      <c r="C4640">
        <f t="shared" si="289"/>
        <v>-117.84785100000001</v>
      </c>
      <c r="D4640">
        <f t="shared" si="290"/>
        <v>48</v>
      </c>
      <c r="E4640">
        <v>53.499000000000002</v>
      </c>
      <c r="F4640">
        <f t="shared" si="291"/>
        <v>-5.4990000000000023</v>
      </c>
      <c r="G4640">
        <v>137.96700000000001</v>
      </c>
      <c r="H4640">
        <v>4.2629999999999999</v>
      </c>
      <c r="I4640">
        <v>3.0950000000000002</v>
      </c>
      <c r="J4640">
        <v>6</v>
      </c>
      <c r="K4640">
        <v>53</v>
      </c>
      <c r="L4640">
        <v>27</v>
      </c>
      <c r="M4640">
        <v>8.9619999999999997</v>
      </c>
    </row>
    <row r="4641" spans="1:13" ht="15" customHeight="1">
      <c r="A4641" t="s">
        <v>51</v>
      </c>
      <c r="B4641">
        <f t="shared" si="288"/>
        <v>33.704048</v>
      </c>
      <c r="C4641">
        <f t="shared" si="289"/>
        <v>-117.84785100000001</v>
      </c>
      <c r="D4641">
        <f t="shared" si="290"/>
        <v>48</v>
      </c>
      <c r="E4641">
        <v>54.499000000000002</v>
      </c>
      <c r="F4641">
        <f t="shared" si="291"/>
        <v>-6.4990000000000023</v>
      </c>
      <c r="G4641">
        <v>269.21699999999998</v>
      </c>
      <c r="H4641">
        <v>4.4530000000000003</v>
      </c>
      <c r="I4641">
        <v>1.6559999999999999</v>
      </c>
      <c r="J4641">
        <v>8</v>
      </c>
      <c r="K4641">
        <v>64</v>
      </c>
      <c r="L4641">
        <v>32</v>
      </c>
      <c r="M4641" s="1">
        <v>9000000000</v>
      </c>
    </row>
    <row r="4642" spans="1:13" ht="15" customHeight="1">
      <c r="A4642" t="s">
        <v>51</v>
      </c>
      <c r="B4642">
        <f t="shared" si="288"/>
        <v>33.704048</v>
      </c>
      <c r="C4642">
        <f t="shared" si="289"/>
        <v>-117.84785100000001</v>
      </c>
      <c r="D4642">
        <f t="shared" si="290"/>
        <v>48</v>
      </c>
      <c r="E4642">
        <v>55.499000000000002</v>
      </c>
      <c r="F4642">
        <f t="shared" si="291"/>
        <v>-7.4990000000000023</v>
      </c>
      <c r="G4642">
        <v>241.233</v>
      </c>
      <c r="H4642">
        <v>4.6619999999999999</v>
      </c>
      <c r="I4642">
        <v>1.9339999999999999</v>
      </c>
      <c r="J4642">
        <v>8</v>
      </c>
      <c r="K4642">
        <v>58</v>
      </c>
      <c r="L4642">
        <v>29</v>
      </c>
      <c r="M4642" s="1">
        <v>9000000000</v>
      </c>
    </row>
    <row r="4643" spans="1:13" ht="15" customHeight="1">
      <c r="A4643" t="s">
        <v>51</v>
      </c>
      <c r="B4643">
        <f t="shared" si="288"/>
        <v>33.704048</v>
      </c>
      <c r="C4643">
        <f t="shared" si="289"/>
        <v>-117.84785100000001</v>
      </c>
      <c r="D4643">
        <f t="shared" si="290"/>
        <v>48</v>
      </c>
      <c r="E4643">
        <v>56.499000000000002</v>
      </c>
      <c r="F4643">
        <f t="shared" si="291"/>
        <v>-8.4990000000000023</v>
      </c>
      <c r="G4643">
        <v>227.917</v>
      </c>
      <c r="H4643">
        <v>4.2469999999999999</v>
      </c>
      <c r="I4643">
        <v>1.865</v>
      </c>
      <c r="J4643">
        <v>8</v>
      </c>
      <c r="K4643">
        <v>55</v>
      </c>
      <c r="L4643">
        <v>28</v>
      </c>
      <c r="M4643" s="1">
        <v>9000000000</v>
      </c>
    </row>
    <row r="4644" spans="1:13" ht="15" customHeight="1">
      <c r="A4644" t="s">
        <v>51</v>
      </c>
      <c r="B4644">
        <f t="shared" si="288"/>
        <v>33.704048</v>
      </c>
      <c r="C4644">
        <f t="shared" si="289"/>
        <v>-117.84785100000001</v>
      </c>
      <c r="D4644">
        <f t="shared" si="290"/>
        <v>48</v>
      </c>
      <c r="E4644">
        <v>57.499000000000002</v>
      </c>
      <c r="F4644">
        <f t="shared" si="291"/>
        <v>-9.4990000000000023</v>
      </c>
      <c r="G4644">
        <v>208.81700000000001</v>
      </c>
      <c r="H4644">
        <v>4.2930000000000001</v>
      </c>
      <c r="I4644">
        <v>2.0579999999999998</v>
      </c>
      <c r="J4644">
        <v>7</v>
      </c>
      <c r="K4644">
        <v>67</v>
      </c>
      <c r="L4644">
        <v>34</v>
      </c>
      <c r="M4644" s="1">
        <v>9000000000</v>
      </c>
    </row>
    <row r="4645" spans="1:13" ht="15" customHeight="1">
      <c r="A4645" t="s">
        <v>51</v>
      </c>
      <c r="B4645">
        <f t="shared" si="288"/>
        <v>33.704048</v>
      </c>
      <c r="C4645">
        <f t="shared" si="289"/>
        <v>-117.84785100000001</v>
      </c>
      <c r="D4645">
        <f t="shared" si="290"/>
        <v>48</v>
      </c>
      <c r="E4645">
        <v>58.499000000000002</v>
      </c>
      <c r="F4645">
        <f t="shared" si="291"/>
        <v>-10.499000000000002</v>
      </c>
      <c r="G4645">
        <v>85.15</v>
      </c>
      <c r="H4645">
        <v>2.5670000000000002</v>
      </c>
      <c r="I4645">
        <v>3.0219999999999998</v>
      </c>
      <c r="J4645">
        <v>6</v>
      </c>
      <c r="K4645">
        <v>33</v>
      </c>
      <c r="L4645">
        <v>17</v>
      </c>
      <c r="M4645">
        <v>5.4219999999999997</v>
      </c>
    </row>
    <row r="4646" spans="1:13" ht="15" customHeight="1">
      <c r="A4646" t="s">
        <v>51</v>
      </c>
      <c r="B4646">
        <f t="shared" si="288"/>
        <v>33.704048</v>
      </c>
      <c r="C4646">
        <f t="shared" si="289"/>
        <v>-117.84785100000001</v>
      </c>
      <c r="D4646">
        <f t="shared" si="290"/>
        <v>48</v>
      </c>
      <c r="E4646">
        <v>59.499000000000002</v>
      </c>
      <c r="F4646">
        <f t="shared" si="291"/>
        <v>-11.499000000000002</v>
      </c>
      <c r="G4646">
        <v>23.9</v>
      </c>
      <c r="H4646">
        <v>0.69199999999999995</v>
      </c>
      <c r="I4646">
        <v>2.9180000000000001</v>
      </c>
      <c r="J4646">
        <v>5</v>
      </c>
      <c r="K4646">
        <v>11</v>
      </c>
      <c r="L4646">
        <v>6</v>
      </c>
      <c r="M4646">
        <v>1.335</v>
      </c>
    </row>
    <row r="4647" spans="1:13" ht="15" customHeight="1">
      <c r="A4647" t="s">
        <v>51</v>
      </c>
      <c r="B4647">
        <f t="shared" si="288"/>
        <v>33.704048</v>
      </c>
      <c r="C4647">
        <f t="shared" si="289"/>
        <v>-117.84785100000001</v>
      </c>
      <c r="D4647">
        <f t="shared" si="290"/>
        <v>48</v>
      </c>
      <c r="E4647">
        <v>60.499000000000002</v>
      </c>
      <c r="F4647">
        <f t="shared" si="291"/>
        <v>-12.499000000000002</v>
      </c>
      <c r="G4647">
        <v>42.267000000000003</v>
      </c>
      <c r="H4647">
        <v>2.0350000000000001</v>
      </c>
      <c r="I4647">
        <v>4.8380000000000001</v>
      </c>
      <c r="J4647">
        <v>4</v>
      </c>
      <c r="K4647">
        <v>27</v>
      </c>
      <c r="L4647">
        <v>14</v>
      </c>
      <c r="M4647">
        <v>2.5550000000000002</v>
      </c>
    </row>
    <row r="4648" spans="1:13" ht="15" customHeight="1">
      <c r="A4648" t="s">
        <v>51</v>
      </c>
      <c r="B4648">
        <f t="shared" si="288"/>
        <v>33.704048</v>
      </c>
      <c r="C4648">
        <f t="shared" si="289"/>
        <v>-117.84785100000001</v>
      </c>
      <c r="D4648">
        <f t="shared" si="290"/>
        <v>48</v>
      </c>
      <c r="E4648">
        <v>61.499000000000002</v>
      </c>
      <c r="F4648">
        <f t="shared" si="291"/>
        <v>-13.499000000000002</v>
      </c>
      <c r="G4648">
        <v>40.700000000000003</v>
      </c>
      <c r="H4648">
        <v>1.8879999999999999</v>
      </c>
      <c r="I4648">
        <v>4.6630000000000003</v>
      </c>
      <c r="J4648">
        <v>4</v>
      </c>
      <c r="K4648">
        <v>26</v>
      </c>
      <c r="L4648">
        <v>13</v>
      </c>
      <c r="M4648">
        <v>2.4470000000000001</v>
      </c>
    </row>
    <row r="4649" spans="1:13" ht="15" customHeight="1">
      <c r="A4649" t="s">
        <v>51</v>
      </c>
      <c r="B4649">
        <f t="shared" si="288"/>
        <v>33.704048</v>
      </c>
      <c r="C4649">
        <f t="shared" si="289"/>
        <v>-117.84785100000001</v>
      </c>
      <c r="D4649">
        <f t="shared" si="290"/>
        <v>48</v>
      </c>
      <c r="E4649">
        <v>62.499000000000002</v>
      </c>
      <c r="F4649">
        <f t="shared" si="291"/>
        <v>-14.499000000000002</v>
      </c>
      <c r="G4649">
        <v>61.113999999999997</v>
      </c>
      <c r="H4649">
        <v>2.3570000000000002</v>
      </c>
      <c r="I4649">
        <v>3.871</v>
      </c>
      <c r="J4649">
        <v>5</v>
      </c>
      <c r="K4649">
        <v>29</v>
      </c>
      <c r="L4649">
        <v>15</v>
      </c>
      <c r="M4649">
        <v>3.8029999999999999</v>
      </c>
    </row>
    <row r="4650" spans="1:13" ht="15" customHeight="1">
      <c r="A4650" t="s">
        <v>51</v>
      </c>
      <c r="B4650">
        <f t="shared" si="288"/>
        <v>33.704048</v>
      </c>
      <c r="C4650">
        <f t="shared" si="289"/>
        <v>-117.84785100000001</v>
      </c>
      <c r="D4650">
        <f t="shared" si="290"/>
        <v>48</v>
      </c>
      <c r="E4650">
        <v>63.499000000000002</v>
      </c>
      <c r="F4650">
        <f t="shared" si="291"/>
        <v>-15.499000000000002</v>
      </c>
      <c r="G4650">
        <v>130.333</v>
      </c>
      <c r="H4650">
        <v>2.887</v>
      </c>
      <c r="I4650">
        <v>2.2189999999999999</v>
      </c>
      <c r="J4650">
        <v>7</v>
      </c>
      <c r="K4650">
        <v>42</v>
      </c>
      <c r="L4650">
        <v>21</v>
      </c>
      <c r="M4650" s="1">
        <v>9000000000</v>
      </c>
    </row>
    <row r="4651" spans="1:13" ht="15" customHeight="1">
      <c r="A4651" t="s">
        <v>51</v>
      </c>
      <c r="B4651">
        <f t="shared" si="288"/>
        <v>33.704048</v>
      </c>
      <c r="C4651">
        <f t="shared" si="289"/>
        <v>-117.84785100000001</v>
      </c>
      <c r="D4651">
        <f t="shared" si="290"/>
        <v>48</v>
      </c>
      <c r="E4651">
        <v>64.498999999999995</v>
      </c>
      <c r="F4651">
        <f t="shared" si="291"/>
        <v>-16.498999999999995</v>
      </c>
      <c r="G4651">
        <v>25.132999999999999</v>
      </c>
      <c r="H4651">
        <v>0.80500000000000005</v>
      </c>
      <c r="I4651">
        <v>3.2290000000000001</v>
      </c>
      <c r="J4651">
        <v>5</v>
      </c>
      <c r="K4651">
        <v>12</v>
      </c>
      <c r="L4651">
        <v>6</v>
      </c>
      <c r="M4651">
        <v>1.397</v>
      </c>
    </row>
    <row r="4652" spans="1:13" ht="15" customHeight="1">
      <c r="A4652" t="s">
        <v>51</v>
      </c>
      <c r="B4652">
        <f t="shared" si="288"/>
        <v>33.704048</v>
      </c>
      <c r="C4652">
        <f t="shared" si="289"/>
        <v>-117.84785100000001</v>
      </c>
      <c r="D4652">
        <f t="shared" si="290"/>
        <v>48</v>
      </c>
      <c r="E4652">
        <v>65.498999999999995</v>
      </c>
      <c r="F4652">
        <f t="shared" si="291"/>
        <v>-17.498999999999995</v>
      </c>
      <c r="G4652">
        <v>22.817</v>
      </c>
      <c r="H4652">
        <v>0.69499999999999995</v>
      </c>
      <c r="I4652">
        <v>3.073</v>
      </c>
      <c r="J4652">
        <v>5</v>
      </c>
      <c r="K4652">
        <v>11</v>
      </c>
      <c r="L4652">
        <v>6</v>
      </c>
      <c r="M4652">
        <v>1.238</v>
      </c>
    </row>
    <row r="4653" spans="1:13" ht="15" customHeight="1">
      <c r="A4653" t="s">
        <v>51</v>
      </c>
      <c r="B4653">
        <f t="shared" si="288"/>
        <v>33.704048</v>
      </c>
      <c r="C4653">
        <f t="shared" si="289"/>
        <v>-117.84785100000001</v>
      </c>
      <c r="D4653">
        <f t="shared" si="290"/>
        <v>48</v>
      </c>
      <c r="E4653">
        <v>66.498999999999995</v>
      </c>
      <c r="F4653">
        <f t="shared" si="291"/>
        <v>-18.498999999999995</v>
      </c>
      <c r="G4653">
        <v>22.233000000000001</v>
      </c>
      <c r="H4653">
        <v>0.748</v>
      </c>
      <c r="I4653">
        <v>3.391</v>
      </c>
      <c r="J4653">
        <v>5</v>
      </c>
      <c r="K4653">
        <v>11</v>
      </c>
      <c r="L4653">
        <v>6</v>
      </c>
      <c r="M4653">
        <v>1.1970000000000001</v>
      </c>
    </row>
    <row r="4654" spans="1:13" ht="15" customHeight="1">
      <c r="A4654" t="s">
        <v>51</v>
      </c>
      <c r="B4654">
        <f t="shared" si="288"/>
        <v>33.704048</v>
      </c>
      <c r="C4654">
        <f t="shared" si="289"/>
        <v>-117.84785100000001</v>
      </c>
      <c r="D4654">
        <f t="shared" si="290"/>
        <v>48</v>
      </c>
      <c r="E4654">
        <v>67.498999999999995</v>
      </c>
      <c r="F4654">
        <f t="shared" si="291"/>
        <v>-19.498999999999995</v>
      </c>
      <c r="G4654">
        <v>25.367000000000001</v>
      </c>
      <c r="H4654">
        <v>0.75</v>
      </c>
      <c r="I4654">
        <v>2.9780000000000002</v>
      </c>
      <c r="J4654">
        <v>5</v>
      </c>
      <c r="K4654">
        <v>12</v>
      </c>
      <c r="L4654">
        <v>6</v>
      </c>
      <c r="M4654">
        <v>1.401</v>
      </c>
    </row>
    <row r="4655" spans="1:13" ht="15" customHeight="1">
      <c r="A4655" t="s">
        <v>51</v>
      </c>
      <c r="B4655">
        <f t="shared" si="288"/>
        <v>33.704048</v>
      </c>
      <c r="C4655">
        <f t="shared" si="289"/>
        <v>-117.84785100000001</v>
      </c>
      <c r="D4655">
        <f t="shared" si="290"/>
        <v>48</v>
      </c>
      <c r="E4655">
        <v>68.498999999999995</v>
      </c>
      <c r="F4655">
        <f t="shared" si="291"/>
        <v>-20.498999999999995</v>
      </c>
      <c r="G4655">
        <v>23.183</v>
      </c>
      <c r="H4655">
        <v>0.745</v>
      </c>
      <c r="I4655">
        <v>3.2320000000000002</v>
      </c>
      <c r="J4655">
        <v>5</v>
      </c>
      <c r="K4655">
        <v>11</v>
      </c>
      <c r="L4655">
        <v>6</v>
      </c>
      <c r="M4655">
        <v>1.254</v>
      </c>
    </row>
    <row r="4656" spans="1:13" ht="15" customHeight="1">
      <c r="A4656" t="s">
        <v>51</v>
      </c>
      <c r="B4656">
        <f t="shared" si="288"/>
        <v>33.704048</v>
      </c>
      <c r="C4656">
        <f t="shared" si="289"/>
        <v>-117.84785100000001</v>
      </c>
      <c r="D4656">
        <f t="shared" si="290"/>
        <v>48</v>
      </c>
      <c r="E4656">
        <v>69.498999999999995</v>
      </c>
      <c r="F4656">
        <f t="shared" si="291"/>
        <v>-21.498999999999995</v>
      </c>
      <c r="G4656">
        <v>20.8</v>
      </c>
      <c r="H4656">
        <v>0.61299999999999999</v>
      </c>
      <c r="I4656">
        <v>2.9649999999999999</v>
      </c>
      <c r="J4656">
        <v>5</v>
      </c>
      <c r="K4656">
        <v>10</v>
      </c>
      <c r="L4656">
        <v>5</v>
      </c>
      <c r="M4656">
        <v>1.093</v>
      </c>
    </row>
    <row r="4657" spans="1:13" ht="15" customHeight="1">
      <c r="A4657" t="s">
        <v>51</v>
      </c>
      <c r="B4657">
        <f t="shared" si="288"/>
        <v>33.704048</v>
      </c>
      <c r="C4657">
        <f t="shared" si="289"/>
        <v>-117.84785100000001</v>
      </c>
      <c r="D4657">
        <f t="shared" si="290"/>
        <v>48</v>
      </c>
      <c r="E4657">
        <v>70.498999999999995</v>
      </c>
      <c r="F4657">
        <f t="shared" si="291"/>
        <v>-22.498999999999995</v>
      </c>
      <c r="G4657">
        <v>23.317</v>
      </c>
      <c r="H4657">
        <v>0.90700000000000003</v>
      </c>
      <c r="I4657">
        <v>3.911</v>
      </c>
      <c r="J4657">
        <v>4</v>
      </c>
      <c r="K4657">
        <v>15</v>
      </c>
      <c r="L4657">
        <v>8</v>
      </c>
      <c r="M4657">
        <v>1.2549999999999999</v>
      </c>
    </row>
    <row r="4658" spans="1:13" ht="15" customHeight="1">
      <c r="A4658" t="s">
        <v>51</v>
      </c>
      <c r="B4658">
        <f t="shared" si="288"/>
        <v>33.704048</v>
      </c>
      <c r="C4658">
        <f t="shared" si="289"/>
        <v>-117.84785100000001</v>
      </c>
      <c r="D4658">
        <f t="shared" si="290"/>
        <v>48</v>
      </c>
      <c r="E4658">
        <v>71.498999999999995</v>
      </c>
      <c r="F4658">
        <f t="shared" si="291"/>
        <v>-23.498999999999995</v>
      </c>
      <c r="G4658">
        <v>24.95</v>
      </c>
      <c r="H4658">
        <v>0.79700000000000004</v>
      </c>
      <c r="I4658">
        <v>3.206</v>
      </c>
      <c r="J4658">
        <v>5</v>
      </c>
      <c r="K4658">
        <v>12</v>
      </c>
      <c r="L4658">
        <v>6</v>
      </c>
      <c r="M4658">
        <v>1.3620000000000001</v>
      </c>
    </row>
    <row r="4659" spans="1:13" ht="15" customHeight="1">
      <c r="A4659" t="s">
        <v>51</v>
      </c>
      <c r="B4659">
        <f t="shared" si="288"/>
        <v>33.704048</v>
      </c>
      <c r="C4659">
        <f t="shared" si="289"/>
        <v>-117.84785100000001</v>
      </c>
      <c r="D4659">
        <f t="shared" si="290"/>
        <v>48</v>
      </c>
      <c r="E4659">
        <v>72.498999999999995</v>
      </c>
      <c r="F4659">
        <f t="shared" si="291"/>
        <v>-24.498999999999995</v>
      </c>
      <c r="G4659">
        <v>25.071000000000002</v>
      </c>
      <c r="H4659">
        <v>0.89600000000000002</v>
      </c>
      <c r="I4659">
        <v>3.593</v>
      </c>
      <c r="J4659">
        <v>5</v>
      </c>
      <c r="K4659">
        <v>12</v>
      </c>
      <c r="L4659">
        <v>6</v>
      </c>
      <c r="M4659">
        <v>1.363</v>
      </c>
    </row>
    <row r="4660" spans="1:13" ht="15" customHeight="1">
      <c r="A4660" t="s">
        <v>51</v>
      </c>
      <c r="B4660">
        <f t="shared" si="288"/>
        <v>33.704048</v>
      </c>
      <c r="C4660">
        <f t="shared" si="289"/>
        <v>-117.84785100000001</v>
      </c>
      <c r="D4660">
        <f t="shared" si="290"/>
        <v>48</v>
      </c>
      <c r="E4660">
        <v>73.498999999999995</v>
      </c>
      <c r="F4660">
        <f t="shared" si="291"/>
        <v>-25.498999999999995</v>
      </c>
      <c r="G4660">
        <v>23.917000000000002</v>
      </c>
      <c r="H4660">
        <v>0.73</v>
      </c>
      <c r="I4660">
        <v>3.069</v>
      </c>
      <c r="J4660">
        <v>5</v>
      </c>
      <c r="K4660">
        <v>11</v>
      </c>
      <c r="L4660">
        <v>6</v>
      </c>
      <c r="M4660">
        <v>1.2829999999999999</v>
      </c>
    </row>
    <row r="4661" spans="1:13" ht="15" customHeight="1">
      <c r="A4661" t="s">
        <v>51</v>
      </c>
      <c r="B4661">
        <f t="shared" si="288"/>
        <v>33.704048</v>
      </c>
      <c r="C4661">
        <f t="shared" si="289"/>
        <v>-117.84785100000001</v>
      </c>
      <c r="D4661">
        <f t="shared" si="290"/>
        <v>48</v>
      </c>
      <c r="E4661">
        <v>74.498999999999995</v>
      </c>
      <c r="F4661">
        <f t="shared" si="291"/>
        <v>-26.498999999999995</v>
      </c>
      <c r="G4661">
        <v>48.732999999999997</v>
      </c>
      <c r="H4661">
        <v>1.528</v>
      </c>
      <c r="I4661">
        <v>3.1429999999999998</v>
      </c>
      <c r="J4661">
        <v>6</v>
      </c>
      <c r="K4661">
        <v>19</v>
      </c>
      <c r="L4661">
        <v>10</v>
      </c>
      <c r="M4661">
        <v>2.9350000000000001</v>
      </c>
    </row>
    <row r="4662" spans="1:13" ht="15" customHeight="1">
      <c r="A4662" t="s">
        <v>51</v>
      </c>
      <c r="B4662">
        <f t="shared" si="288"/>
        <v>33.704048</v>
      </c>
      <c r="C4662">
        <f t="shared" si="289"/>
        <v>-117.84785100000001</v>
      </c>
      <c r="D4662">
        <f t="shared" si="290"/>
        <v>48</v>
      </c>
      <c r="E4662">
        <v>75.498999999999995</v>
      </c>
      <c r="F4662">
        <f t="shared" si="291"/>
        <v>-27.498999999999995</v>
      </c>
      <c r="G4662">
        <v>101.75</v>
      </c>
      <c r="H4662">
        <v>3.6429999999999998</v>
      </c>
      <c r="I4662">
        <v>3.5859999999999999</v>
      </c>
      <c r="J4662">
        <v>6</v>
      </c>
      <c r="K4662">
        <v>39</v>
      </c>
      <c r="L4662">
        <v>20</v>
      </c>
      <c r="M4662">
        <v>6.4619999999999997</v>
      </c>
    </row>
    <row r="4663" spans="1:13" ht="15" customHeight="1">
      <c r="A4663" t="s">
        <v>51</v>
      </c>
      <c r="B4663">
        <f t="shared" si="288"/>
        <v>33.704048</v>
      </c>
      <c r="C4663">
        <f t="shared" si="289"/>
        <v>-117.84785100000001</v>
      </c>
      <c r="D4663">
        <f t="shared" si="290"/>
        <v>48</v>
      </c>
      <c r="E4663">
        <v>76.498999999999995</v>
      </c>
      <c r="F4663">
        <f t="shared" si="291"/>
        <v>-28.498999999999995</v>
      </c>
      <c r="G4663">
        <v>336.18299999999999</v>
      </c>
      <c r="H4663">
        <v>5.4619999999999997</v>
      </c>
      <c r="I4663">
        <v>1.6259999999999999</v>
      </c>
      <c r="J4663">
        <v>8</v>
      </c>
      <c r="K4663">
        <v>80</v>
      </c>
      <c r="L4663">
        <v>40</v>
      </c>
      <c r="M4663" s="1">
        <v>9000000000</v>
      </c>
    </row>
    <row r="4664" spans="1:13" ht="15" customHeight="1">
      <c r="A4664" t="s">
        <v>51</v>
      </c>
      <c r="B4664">
        <f t="shared" si="288"/>
        <v>33.704048</v>
      </c>
      <c r="C4664">
        <f t="shared" si="289"/>
        <v>-117.84785100000001</v>
      </c>
      <c r="D4664">
        <f t="shared" si="290"/>
        <v>48</v>
      </c>
      <c r="E4664">
        <v>77.498999999999995</v>
      </c>
      <c r="F4664">
        <f t="shared" si="291"/>
        <v>-29.498999999999995</v>
      </c>
      <c r="G4664">
        <v>143.25</v>
      </c>
      <c r="H4664">
        <v>1.88</v>
      </c>
      <c r="I4664">
        <v>1.3120000000000001</v>
      </c>
      <c r="J4664">
        <v>8</v>
      </c>
      <c r="K4664">
        <v>34</v>
      </c>
      <c r="L4664">
        <v>17</v>
      </c>
      <c r="M4664" s="1">
        <v>9000000000</v>
      </c>
    </row>
    <row r="4665" spans="1:13" ht="15" customHeight="1">
      <c r="A4665" t="s">
        <v>51</v>
      </c>
      <c r="B4665">
        <f t="shared" si="288"/>
        <v>33.704048</v>
      </c>
      <c r="C4665">
        <f t="shared" si="289"/>
        <v>-117.84785100000001</v>
      </c>
      <c r="D4665">
        <f t="shared" si="290"/>
        <v>48</v>
      </c>
      <c r="E4665">
        <v>78.498999999999995</v>
      </c>
      <c r="F4665">
        <f t="shared" si="291"/>
        <v>-30.498999999999995</v>
      </c>
      <c r="G4665">
        <v>28.4</v>
      </c>
      <c r="H4665">
        <v>0.69699999999999995</v>
      </c>
      <c r="I4665">
        <v>2.38</v>
      </c>
      <c r="J4665">
        <v>6</v>
      </c>
      <c r="K4665">
        <v>11</v>
      </c>
      <c r="L4665">
        <v>6</v>
      </c>
      <c r="M4665">
        <v>1.627</v>
      </c>
    </row>
    <row r="4666" spans="1:13" ht="15" customHeight="1">
      <c r="A4666" t="s">
        <v>51</v>
      </c>
      <c r="B4666">
        <f t="shared" si="288"/>
        <v>33.704048</v>
      </c>
      <c r="C4666">
        <f t="shared" si="289"/>
        <v>-117.84785100000001</v>
      </c>
      <c r="D4666">
        <f t="shared" si="290"/>
        <v>48</v>
      </c>
      <c r="E4666">
        <v>79.498999999999995</v>
      </c>
      <c r="F4666">
        <f t="shared" si="291"/>
        <v>-31.498999999999995</v>
      </c>
      <c r="G4666">
        <v>29.3</v>
      </c>
      <c r="H4666">
        <v>0.73199999999999998</v>
      </c>
      <c r="I4666">
        <v>2.4159999999999999</v>
      </c>
      <c r="J4666">
        <v>6</v>
      </c>
      <c r="K4666">
        <v>12</v>
      </c>
      <c r="L4666">
        <v>6</v>
      </c>
      <c r="M4666">
        <v>1.6910000000000001</v>
      </c>
    </row>
    <row r="4667" spans="1:13" ht="15" customHeight="1">
      <c r="A4667" t="s">
        <v>51</v>
      </c>
      <c r="B4667">
        <f t="shared" si="288"/>
        <v>33.704048</v>
      </c>
      <c r="C4667">
        <f t="shared" si="289"/>
        <v>-117.84785100000001</v>
      </c>
      <c r="D4667">
        <f t="shared" si="290"/>
        <v>48</v>
      </c>
      <c r="E4667">
        <v>80.498999999999995</v>
      </c>
      <c r="F4667">
        <f t="shared" si="291"/>
        <v>-32.498999999999995</v>
      </c>
      <c r="G4667">
        <v>62.966999999999999</v>
      </c>
      <c r="H4667">
        <v>1.722</v>
      </c>
      <c r="I4667">
        <v>2.68</v>
      </c>
      <c r="J4667">
        <v>6</v>
      </c>
      <c r="K4667">
        <v>25</v>
      </c>
      <c r="L4667">
        <v>13</v>
      </c>
      <c r="M4667">
        <v>3.95</v>
      </c>
    </row>
    <row r="4668" spans="1:13" ht="15" customHeight="1">
      <c r="A4668" t="s">
        <v>51</v>
      </c>
      <c r="B4668">
        <f t="shared" si="288"/>
        <v>33.704048</v>
      </c>
      <c r="C4668">
        <f t="shared" si="289"/>
        <v>-117.84785100000001</v>
      </c>
      <c r="D4668">
        <f t="shared" si="290"/>
        <v>48</v>
      </c>
      <c r="E4668">
        <v>81.498999999999995</v>
      </c>
      <c r="F4668">
        <f t="shared" si="291"/>
        <v>-33.498999999999995</v>
      </c>
      <c r="G4668">
        <v>330.03300000000002</v>
      </c>
      <c r="H4668">
        <v>3.6179999999999999</v>
      </c>
      <c r="I4668">
        <v>1.097</v>
      </c>
      <c r="J4668">
        <v>9</v>
      </c>
      <c r="K4668">
        <v>63</v>
      </c>
      <c r="L4668">
        <v>32</v>
      </c>
      <c r="M4668" s="1">
        <v>9000000000</v>
      </c>
    </row>
    <row r="4669" spans="1:13" ht="15" customHeight="1">
      <c r="A4669" t="s">
        <v>51</v>
      </c>
      <c r="B4669">
        <f t="shared" si="288"/>
        <v>33.704048</v>
      </c>
      <c r="C4669">
        <f t="shared" si="289"/>
        <v>-117.84785100000001</v>
      </c>
      <c r="D4669">
        <f t="shared" si="290"/>
        <v>48</v>
      </c>
      <c r="E4669">
        <v>82.498999999999995</v>
      </c>
      <c r="F4669">
        <f t="shared" si="291"/>
        <v>-34.498999999999995</v>
      </c>
      <c r="G4669">
        <v>399.08300000000003</v>
      </c>
      <c r="H4669">
        <v>2.3969999999999998</v>
      </c>
      <c r="I4669">
        <v>0.60099999999999998</v>
      </c>
      <c r="J4669">
        <v>10</v>
      </c>
      <c r="K4669">
        <v>64</v>
      </c>
      <c r="L4669">
        <v>32</v>
      </c>
      <c r="M4669" s="1">
        <v>9000000000</v>
      </c>
    </row>
    <row r="4670" spans="1:13" ht="15" customHeight="1">
      <c r="A4670" t="s">
        <v>51</v>
      </c>
      <c r="B4670">
        <f t="shared" si="288"/>
        <v>33.704048</v>
      </c>
      <c r="C4670">
        <f t="shared" si="289"/>
        <v>-117.84785100000001</v>
      </c>
      <c r="D4670">
        <f t="shared" si="290"/>
        <v>48</v>
      </c>
      <c r="E4670">
        <v>83.498999999999995</v>
      </c>
      <c r="F4670">
        <f t="shared" si="291"/>
        <v>-35.498999999999995</v>
      </c>
      <c r="G4670">
        <v>48.186</v>
      </c>
      <c r="H4670">
        <v>1.5369999999999999</v>
      </c>
      <c r="I4670">
        <v>3.2</v>
      </c>
      <c r="J4670">
        <v>5</v>
      </c>
      <c r="K4670">
        <v>23</v>
      </c>
      <c r="L4670">
        <v>12</v>
      </c>
      <c r="M4670">
        <v>2.8580000000000001</v>
      </c>
    </row>
    <row r="4671" spans="1:13" ht="15" customHeight="1">
      <c r="A4671" t="s">
        <v>51</v>
      </c>
      <c r="B4671">
        <f t="shared" si="288"/>
        <v>33.704048</v>
      </c>
      <c r="C4671">
        <f t="shared" si="289"/>
        <v>-117.84785100000001</v>
      </c>
      <c r="D4671">
        <f t="shared" si="290"/>
        <v>48</v>
      </c>
      <c r="E4671">
        <v>84.498999999999995</v>
      </c>
      <c r="F4671">
        <f t="shared" si="291"/>
        <v>-36.498999999999995</v>
      </c>
      <c r="G4671">
        <v>37.85</v>
      </c>
      <c r="H4671">
        <v>1.008</v>
      </c>
      <c r="I4671">
        <v>2.6680000000000001</v>
      </c>
      <c r="J4671">
        <v>6</v>
      </c>
      <c r="K4671">
        <v>14</v>
      </c>
      <c r="L4671">
        <v>7</v>
      </c>
      <c r="M4671">
        <v>2.1709999999999998</v>
      </c>
    </row>
    <row r="4672" spans="1:13" ht="15" customHeight="1">
      <c r="A4672" t="s">
        <v>51</v>
      </c>
      <c r="B4672">
        <f t="shared" si="288"/>
        <v>33.704048</v>
      </c>
      <c r="C4672">
        <f t="shared" si="289"/>
        <v>-117.84785100000001</v>
      </c>
      <c r="D4672">
        <f t="shared" si="290"/>
        <v>48</v>
      </c>
      <c r="E4672">
        <v>85.498999999999995</v>
      </c>
      <c r="F4672">
        <f t="shared" si="291"/>
        <v>-37.498999999999995</v>
      </c>
      <c r="G4672">
        <v>35.167000000000002</v>
      </c>
      <c r="H4672">
        <v>1.02</v>
      </c>
      <c r="I4672">
        <v>2.9060000000000001</v>
      </c>
      <c r="J4672">
        <v>6</v>
      </c>
      <c r="K4672">
        <v>13</v>
      </c>
      <c r="L4672">
        <v>7</v>
      </c>
      <c r="M4672">
        <v>1.9870000000000001</v>
      </c>
    </row>
    <row r="4673" spans="1:13" ht="15" customHeight="1">
      <c r="A4673" t="s">
        <v>51</v>
      </c>
      <c r="B4673">
        <f t="shared" si="288"/>
        <v>33.704048</v>
      </c>
      <c r="C4673">
        <f t="shared" si="289"/>
        <v>-117.84785100000001</v>
      </c>
      <c r="D4673">
        <f t="shared" si="290"/>
        <v>48</v>
      </c>
      <c r="E4673">
        <v>86.498999999999995</v>
      </c>
      <c r="F4673">
        <f t="shared" si="291"/>
        <v>-38.498999999999995</v>
      </c>
      <c r="G4673">
        <v>33.950000000000003</v>
      </c>
      <c r="H4673">
        <v>0.91700000000000004</v>
      </c>
      <c r="I4673">
        <v>2.7</v>
      </c>
      <c r="J4673">
        <v>6</v>
      </c>
      <c r="K4673">
        <v>13</v>
      </c>
      <c r="L4673">
        <v>7</v>
      </c>
      <c r="M4673">
        <v>1.9059999999999999</v>
      </c>
    </row>
    <row r="4674" spans="1:13" ht="15" customHeight="1">
      <c r="A4674" t="s">
        <v>51</v>
      </c>
      <c r="B4674">
        <f t="shared" ref="B4674:B4696" si="292">VLOOKUP(A4674,XYdata,3,FALSE)</f>
        <v>33.704048</v>
      </c>
      <c r="C4674">
        <f t="shared" ref="C4674:C4696" si="293">VLOOKUP(A4674,XYdata,2,FALSE)</f>
        <v>-117.84785100000001</v>
      </c>
      <c r="D4674">
        <f t="shared" ref="D4674:D4737" si="294">VLOOKUP(A4674,Elevation,2,FALSE)</f>
        <v>48</v>
      </c>
      <c r="E4674">
        <v>87.498999999999995</v>
      </c>
      <c r="F4674">
        <f t="shared" si="291"/>
        <v>-39.498999999999995</v>
      </c>
      <c r="G4674">
        <v>28.4</v>
      </c>
      <c r="H4674">
        <v>0.97199999999999998</v>
      </c>
      <c r="I4674">
        <v>3.4209999999999998</v>
      </c>
      <c r="J4674">
        <v>5</v>
      </c>
      <c r="K4674">
        <v>14</v>
      </c>
      <c r="L4674">
        <v>7</v>
      </c>
      <c r="M4674">
        <v>1.532</v>
      </c>
    </row>
    <row r="4675" spans="1:13" ht="15" customHeight="1">
      <c r="A4675" t="s">
        <v>51</v>
      </c>
      <c r="B4675">
        <f t="shared" si="292"/>
        <v>33.704048</v>
      </c>
      <c r="C4675">
        <f t="shared" si="293"/>
        <v>-117.84785100000001</v>
      </c>
      <c r="D4675">
        <f t="shared" si="294"/>
        <v>48</v>
      </c>
      <c r="E4675">
        <v>88.498999999999995</v>
      </c>
      <c r="F4675">
        <f t="shared" ref="F4675:F4738" si="295">D4675-E4675</f>
        <v>-40.498999999999995</v>
      </c>
      <c r="G4675">
        <v>43.982999999999997</v>
      </c>
      <c r="H4675">
        <v>1.69</v>
      </c>
      <c r="I4675">
        <v>3.835</v>
      </c>
      <c r="J4675">
        <v>5</v>
      </c>
      <c r="K4675">
        <v>21</v>
      </c>
      <c r="L4675">
        <v>11</v>
      </c>
      <c r="M4675">
        <v>2.5720000000000001</v>
      </c>
    </row>
    <row r="4676" spans="1:13" ht="15" customHeight="1">
      <c r="A4676" t="s">
        <v>51</v>
      </c>
      <c r="B4676">
        <f t="shared" si="292"/>
        <v>33.704048</v>
      </c>
      <c r="C4676">
        <f t="shared" si="293"/>
        <v>-117.84785100000001</v>
      </c>
      <c r="D4676">
        <f t="shared" si="294"/>
        <v>48</v>
      </c>
      <c r="E4676">
        <v>89.498999999999995</v>
      </c>
      <c r="F4676">
        <f t="shared" si="295"/>
        <v>-41.498999999999995</v>
      </c>
      <c r="G4676">
        <v>41.5</v>
      </c>
      <c r="H4676">
        <v>1.778</v>
      </c>
      <c r="I4676">
        <v>4.28</v>
      </c>
      <c r="J4676">
        <v>4</v>
      </c>
      <c r="K4676">
        <v>27</v>
      </c>
      <c r="L4676">
        <v>14</v>
      </c>
      <c r="M4676">
        <v>2.4</v>
      </c>
    </row>
    <row r="4677" spans="1:13" ht="15" customHeight="1">
      <c r="A4677" t="s">
        <v>51</v>
      </c>
      <c r="B4677">
        <f t="shared" si="292"/>
        <v>33.704048</v>
      </c>
      <c r="C4677">
        <f t="shared" si="293"/>
        <v>-117.84785100000001</v>
      </c>
      <c r="D4677">
        <f t="shared" si="294"/>
        <v>48</v>
      </c>
      <c r="E4677">
        <v>90.498999999999995</v>
      </c>
      <c r="F4677">
        <f t="shared" si="295"/>
        <v>-42.498999999999995</v>
      </c>
      <c r="G4677">
        <v>27</v>
      </c>
      <c r="H4677">
        <v>0.94299999999999995</v>
      </c>
      <c r="I4677">
        <v>3.4140000000000001</v>
      </c>
      <c r="J4677">
        <v>5</v>
      </c>
      <c r="K4677">
        <v>13</v>
      </c>
      <c r="L4677">
        <v>7</v>
      </c>
      <c r="M4677">
        <v>1.468</v>
      </c>
    </row>
    <row r="4678" spans="1:13" ht="15" customHeight="1">
      <c r="A4678" t="s">
        <v>51</v>
      </c>
      <c r="B4678">
        <f t="shared" si="292"/>
        <v>33.704048</v>
      </c>
      <c r="C4678">
        <f t="shared" si="293"/>
        <v>-117.84785100000001</v>
      </c>
      <c r="D4678">
        <f t="shared" si="294"/>
        <v>48</v>
      </c>
      <c r="E4678">
        <v>91.498999999999995</v>
      </c>
      <c r="F4678">
        <f t="shared" si="295"/>
        <v>-43.498999999999995</v>
      </c>
      <c r="G4678">
        <v>78.983000000000004</v>
      </c>
      <c r="H4678">
        <v>2.4849999999999999</v>
      </c>
      <c r="I4678">
        <v>3.14</v>
      </c>
      <c r="J4678">
        <v>6</v>
      </c>
      <c r="K4678">
        <v>30</v>
      </c>
      <c r="L4678">
        <v>15</v>
      </c>
      <c r="M4678">
        <v>4.8970000000000002</v>
      </c>
    </row>
    <row r="4679" spans="1:13" ht="15" customHeight="1">
      <c r="A4679" t="s">
        <v>51</v>
      </c>
      <c r="B4679">
        <f t="shared" si="292"/>
        <v>33.704048</v>
      </c>
      <c r="C4679">
        <f t="shared" si="293"/>
        <v>-117.84785100000001</v>
      </c>
      <c r="D4679">
        <f t="shared" si="294"/>
        <v>48</v>
      </c>
      <c r="E4679">
        <v>92.498999999999995</v>
      </c>
      <c r="F4679">
        <f t="shared" si="295"/>
        <v>-44.498999999999995</v>
      </c>
      <c r="G4679">
        <v>86.266999999999996</v>
      </c>
      <c r="H4679">
        <v>2.6179999999999999</v>
      </c>
      <c r="I4679">
        <v>3.04</v>
      </c>
      <c r="J4679">
        <v>6</v>
      </c>
      <c r="K4679">
        <v>33</v>
      </c>
      <c r="L4679">
        <v>17</v>
      </c>
      <c r="M4679">
        <v>5.359</v>
      </c>
    </row>
    <row r="4680" spans="1:13" ht="15" customHeight="1">
      <c r="A4680" t="s">
        <v>51</v>
      </c>
      <c r="B4680">
        <f t="shared" si="292"/>
        <v>33.704048</v>
      </c>
      <c r="C4680">
        <f t="shared" si="293"/>
        <v>-117.84785100000001</v>
      </c>
      <c r="D4680">
        <f t="shared" si="294"/>
        <v>48</v>
      </c>
      <c r="E4680">
        <v>93.498999999999995</v>
      </c>
      <c r="F4680">
        <f t="shared" si="295"/>
        <v>-45.498999999999995</v>
      </c>
      <c r="G4680">
        <v>38.256999999999998</v>
      </c>
      <c r="H4680">
        <v>1.143</v>
      </c>
      <c r="I4680">
        <v>2.9929999999999999</v>
      </c>
      <c r="J4680">
        <v>6</v>
      </c>
      <c r="K4680">
        <v>15</v>
      </c>
      <c r="L4680">
        <v>8</v>
      </c>
      <c r="M4680">
        <v>2.1589999999999998</v>
      </c>
    </row>
    <row r="4681" spans="1:13" ht="15" customHeight="1">
      <c r="A4681" t="s">
        <v>51</v>
      </c>
      <c r="B4681">
        <f t="shared" si="292"/>
        <v>33.704048</v>
      </c>
      <c r="C4681">
        <f t="shared" si="293"/>
        <v>-117.84785100000001</v>
      </c>
      <c r="D4681">
        <f t="shared" si="294"/>
        <v>48</v>
      </c>
      <c r="E4681">
        <v>94.498999999999995</v>
      </c>
      <c r="F4681">
        <f t="shared" si="295"/>
        <v>-46.498999999999995</v>
      </c>
      <c r="G4681">
        <v>41.267000000000003</v>
      </c>
      <c r="H4681">
        <v>1.647</v>
      </c>
      <c r="I4681">
        <v>3.984</v>
      </c>
      <c r="J4681">
        <v>5</v>
      </c>
      <c r="K4681">
        <v>20</v>
      </c>
      <c r="L4681">
        <v>10</v>
      </c>
      <c r="M4681">
        <v>2.3650000000000002</v>
      </c>
    </row>
    <row r="4682" spans="1:13" ht="15" customHeight="1">
      <c r="A4682" t="s">
        <v>51</v>
      </c>
      <c r="B4682">
        <f t="shared" si="292"/>
        <v>33.704048</v>
      </c>
      <c r="C4682">
        <f t="shared" si="293"/>
        <v>-117.84785100000001</v>
      </c>
      <c r="D4682">
        <f t="shared" si="294"/>
        <v>48</v>
      </c>
      <c r="E4682">
        <v>95.498999999999995</v>
      </c>
      <c r="F4682">
        <f t="shared" si="295"/>
        <v>-47.498999999999995</v>
      </c>
      <c r="G4682">
        <v>103.867</v>
      </c>
      <c r="H4682">
        <v>5.2619999999999996</v>
      </c>
      <c r="I4682">
        <v>5.0640000000000001</v>
      </c>
      <c r="J4682">
        <v>11</v>
      </c>
      <c r="K4682">
        <v>100</v>
      </c>
      <c r="L4682">
        <v>50</v>
      </c>
      <c r="M4682" s="1">
        <v>9000000000</v>
      </c>
    </row>
    <row r="4683" spans="1:13" ht="15" customHeight="1">
      <c r="A4683" t="s">
        <v>51</v>
      </c>
      <c r="B4683">
        <f t="shared" si="292"/>
        <v>33.704048</v>
      </c>
      <c r="C4683">
        <f t="shared" si="293"/>
        <v>-117.84785100000001</v>
      </c>
      <c r="D4683">
        <f t="shared" si="294"/>
        <v>48</v>
      </c>
      <c r="E4683">
        <v>96.498999999999995</v>
      </c>
      <c r="F4683">
        <f t="shared" si="295"/>
        <v>-48.498999999999995</v>
      </c>
      <c r="G4683">
        <v>140.68299999999999</v>
      </c>
      <c r="H4683">
        <v>6.133</v>
      </c>
      <c r="I4683">
        <v>4.3650000000000002</v>
      </c>
      <c r="J4683">
        <v>11</v>
      </c>
      <c r="K4683">
        <v>135</v>
      </c>
      <c r="L4683">
        <v>68</v>
      </c>
      <c r="M4683" s="1">
        <v>9000000000</v>
      </c>
    </row>
    <row r="4684" spans="1:13" ht="15" customHeight="1">
      <c r="A4684" t="s">
        <v>51</v>
      </c>
      <c r="B4684">
        <f t="shared" si="292"/>
        <v>33.704048</v>
      </c>
      <c r="C4684">
        <f t="shared" si="293"/>
        <v>-117.84785100000001</v>
      </c>
      <c r="D4684">
        <f t="shared" si="294"/>
        <v>48</v>
      </c>
      <c r="E4684">
        <v>97.498999999999995</v>
      </c>
      <c r="F4684">
        <f t="shared" si="295"/>
        <v>-49.498999999999995</v>
      </c>
      <c r="G4684">
        <v>138.43299999999999</v>
      </c>
      <c r="H4684">
        <v>4.3719999999999999</v>
      </c>
      <c r="I4684">
        <v>3.1619999999999999</v>
      </c>
      <c r="J4684">
        <v>6</v>
      </c>
      <c r="K4684">
        <v>53</v>
      </c>
      <c r="L4684">
        <v>27</v>
      </c>
      <c r="M4684">
        <v>8.8140000000000001</v>
      </c>
    </row>
    <row r="4685" spans="1:13" ht="15" customHeight="1">
      <c r="A4685" t="s">
        <v>51</v>
      </c>
      <c r="B4685">
        <f t="shared" si="292"/>
        <v>33.704048</v>
      </c>
      <c r="C4685">
        <f t="shared" si="293"/>
        <v>-117.84785100000001</v>
      </c>
      <c r="D4685">
        <f t="shared" si="294"/>
        <v>48</v>
      </c>
      <c r="E4685">
        <v>98.498999999999995</v>
      </c>
      <c r="F4685">
        <f t="shared" si="295"/>
        <v>-50.498999999999995</v>
      </c>
      <c r="G4685">
        <v>126.383</v>
      </c>
      <c r="H4685">
        <v>3.96</v>
      </c>
      <c r="I4685">
        <v>3.1379999999999999</v>
      </c>
      <c r="J4685">
        <v>6</v>
      </c>
      <c r="K4685">
        <v>48</v>
      </c>
      <c r="L4685">
        <v>24</v>
      </c>
      <c r="M4685">
        <v>8.0039999999999996</v>
      </c>
    </row>
    <row r="4686" spans="1:13" ht="15" customHeight="1">
      <c r="A4686" t="s">
        <v>51</v>
      </c>
      <c r="B4686">
        <f t="shared" si="292"/>
        <v>33.704048</v>
      </c>
      <c r="C4686">
        <f t="shared" si="293"/>
        <v>-117.84785100000001</v>
      </c>
      <c r="D4686">
        <f t="shared" si="294"/>
        <v>48</v>
      </c>
      <c r="E4686">
        <v>99.498999999999995</v>
      </c>
      <c r="F4686">
        <f t="shared" si="295"/>
        <v>-51.498999999999995</v>
      </c>
      <c r="G4686">
        <v>184.733</v>
      </c>
      <c r="H4686">
        <v>3.69</v>
      </c>
      <c r="I4686">
        <v>1.9990000000000001</v>
      </c>
      <c r="J4686">
        <v>7</v>
      </c>
      <c r="K4686">
        <v>59</v>
      </c>
      <c r="L4686">
        <v>30</v>
      </c>
      <c r="M4686" s="1">
        <v>9000000000</v>
      </c>
    </row>
    <row r="4687" spans="1:13" ht="15" customHeight="1">
      <c r="A4687" t="s">
        <v>51</v>
      </c>
      <c r="B4687">
        <f t="shared" si="292"/>
        <v>33.704048</v>
      </c>
      <c r="C4687">
        <f t="shared" si="293"/>
        <v>-117.84785100000001</v>
      </c>
      <c r="D4687">
        <f t="shared" si="294"/>
        <v>48</v>
      </c>
      <c r="E4687">
        <v>100.499</v>
      </c>
      <c r="F4687">
        <f t="shared" si="295"/>
        <v>-52.498999999999995</v>
      </c>
      <c r="G4687">
        <v>272.13299999999998</v>
      </c>
      <c r="H4687">
        <v>5.077</v>
      </c>
      <c r="I4687">
        <v>1.867</v>
      </c>
      <c r="J4687">
        <v>8</v>
      </c>
      <c r="K4687">
        <v>65</v>
      </c>
      <c r="L4687">
        <v>33</v>
      </c>
      <c r="M4687" s="1">
        <v>9000000000</v>
      </c>
    </row>
    <row r="4688" spans="1:13" ht="15" customHeight="1">
      <c r="A4688" t="s">
        <v>51</v>
      </c>
      <c r="B4688">
        <f t="shared" si="292"/>
        <v>33.704048</v>
      </c>
      <c r="C4688">
        <f t="shared" si="293"/>
        <v>-117.84785100000001</v>
      </c>
      <c r="D4688">
        <f t="shared" si="294"/>
        <v>48</v>
      </c>
      <c r="E4688">
        <v>101.499</v>
      </c>
      <c r="F4688">
        <f t="shared" si="295"/>
        <v>-53.498999999999995</v>
      </c>
      <c r="G4688">
        <v>318.86700000000002</v>
      </c>
      <c r="H4688">
        <v>8.3070000000000004</v>
      </c>
      <c r="I4688">
        <v>2.6070000000000002</v>
      </c>
      <c r="J4688">
        <v>12</v>
      </c>
      <c r="K4688">
        <v>153</v>
      </c>
      <c r="L4688">
        <v>77</v>
      </c>
      <c r="M4688" s="1">
        <v>9000000000</v>
      </c>
    </row>
    <row r="4689" spans="1:13" ht="15" customHeight="1">
      <c r="A4689" t="s">
        <v>51</v>
      </c>
      <c r="B4689">
        <f t="shared" si="292"/>
        <v>33.704048</v>
      </c>
      <c r="C4689">
        <f t="shared" si="293"/>
        <v>-117.84785100000001</v>
      </c>
      <c r="D4689">
        <f t="shared" si="294"/>
        <v>48</v>
      </c>
      <c r="E4689">
        <v>102.499</v>
      </c>
      <c r="F4689">
        <f t="shared" si="295"/>
        <v>-54.498999999999995</v>
      </c>
      <c r="G4689">
        <v>187.11699999999999</v>
      </c>
      <c r="H4689">
        <v>6.1150000000000002</v>
      </c>
      <c r="I4689">
        <v>3.2709999999999999</v>
      </c>
      <c r="J4689">
        <v>6</v>
      </c>
      <c r="K4689">
        <v>72</v>
      </c>
      <c r="L4689">
        <v>36</v>
      </c>
      <c r="M4689">
        <v>12.039</v>
      </c>
    </row>
    <row r="4690" spans="1:13" ht="15" customHeight="1">
      <c r="A4690" t="s">
        <v>51</v>
      </c>
      <c r="B4690">
        <f t="shared" si="292"/>
        <v>33.704048</v>
      </c>
      <c r="C4690">
        <f t="shared" si="293"/>
        <v>-117.84785100000001</v>
      </c>
      <c r="D4690">
        <f t="shared" si="294"/>
        <v>48</v>
      </c>
      <c r="E4690">
        <v>103.499</v>
      </c>
      <c r="F4690">
        <f t="shared" si="295"/>
        <v>-55.498999999999995</v>
      </c>
      <c r="G4690">
        <v>399.25</v>
      </c>
      <c r="H4690">
        <v>6.6619999999999999</v>
      </c>
      <c r="I4690">
        <v>1.669</v>
      </c>
      <c r="J4690">
        <v>8</v>
      </c>
      <c r="K4690">
        <v>96</v>
      </c>
      <c r="L4690">
        <v>48</v>
      </c>
      <c r="M4690" s="1">
        <v>9000000000</v>
      </c>
    </row>
    <row r="4691" spans="1:13" ht="15" customHeight="1">
      <c r="A4691" t="s">
        <v>51</v>
      </c>
      <c r="B4691">
        <f t="shared" si="292"/>
        <v>33.704048</v>
      </c>
      <c r="C4691">
        <f t="shared" si="293"/>
        <v>-117.84785100000001</v>
      </c>
      <c r="D4691">
        <f t="shared" si="294"/>
        <v>48</v>
      </c>
      <c r="E4691">
        <v>104.499</v>
      </c>
      <c r="F4691">
        <f t="shared" si="295"/>
        <v>-56.498999999999995</v>
      </c>
      <c r="G4691">
        <v>357.25700000000001</v>
      </c>
      <c r="H4691">
        <v>5.7329999999999997</v>
      </c>
      <c r="I4691">
        <v>1.6040000000000001</v>
      </c>
      <c r="J4691">
        <v>8</v>
      </c>
      <c r="K4691">
        <v>86</v>
      </c>
      <c r="L4691">
        <v>43</v>
      </c>
      <c r="M4691" s="1">
        <v>9000000000</v>
      </c>
    </row>
    <row r="4692" spans="1:13" ht="15" customHeight="1">
      <c r="A4692" t="s">
        <v>51</v>
      </c>
      <c r="B4692">
        <f t="shared" si="292"/>
        <v>33.704048</v>
      </c>
      <c r="C4692">
        <f t="shared" si="293"/>
        <v>-117.84785100000001</v>
      </c>
      <c r="D4692">
        <f t="shared" si="294"/>
        <v>48</v>
      </c>
      <c r="E4692">
        <v>105.499</v>
      </c>
      <c r="F4692">
        <f t="shared" si="295"/>
        <v>-57.498999999999995</v>
      </c>
      <c r="G4692">
        <v>289.86700000000002</v>
      </c>
      <c r="H4692">
        <v>5.782</v>
      </c>
      <c r="I4692">
        <v>1.992</v>
      </c>
      <c r="J4692">
        <v>8</v>
      </c>
      <c r="K4692">
        <v>70</v>
      </c>
      <c r="L4692">
        <v>35</v>
      </c>
      <c r="M4692" s="1">
        <v>9000000000</v>
      </c>
    </row>
    <row r="4693" spans="1:13" ht="15" customHeight="1">
      <c r="A4693" t="s">
        <v>51</v>
      </c>
      <c r="B4693">
        <f t="shared" si="292"/>
        <v>33.704048</v>
      </c>
      <c r="C4693">
        <f t="shared" si="293"/>
        <v>-117.84785100000001</v>
      </c>
      <c r="D4693">
        <f t="shared" si="294"/>
        <v>48</v>
      </c>
      <c r="E4693">
        <v>106.499</v>
      </c>
      <c r="F4693">
        <f t="shared" si="295"/>
        <v>-58.498999999999995</v>
      </c>
      <c r="G4693">
        <v>258.517</v>
      </c>
      <c r="H4693">
        <v>7.4530000000000003</v>
      </c>
      <c r="I4693">
        <v>2.8809999999999998</v>
      </c>
      <c r="J4693">
        <v>7</v>
      </c>
      <c r="K4693">
        <v>83</v>
      </c>
      <c r="L4693">
        <v>42</v>
      </c>
      <c r="M4693" s="1">
        <v>9000000000</v>
      </c>
    </row>
    <row r="4694" spans="1:13" ht="15" customHeight="1">
      <c r="A4694" t="s">
        <v>51</v>
      </c>
      <c r="B4694">
        <f t="shared" si="292"/>
        <v>33.704048</v>
      </c>
      <c r="C4694">
        <f t="shared" si="293"/>
        <v>-117.84785100000001</v>
      </c>
      <c r="D4694">
        <f t="shared" si="294"/>
        <v>48</v>
      </c>
      <c r="E4694">
        <v>107.499</v>
      </c>
      <c r="F4694">
        <f t="shared" si="295"/>
        <v>-59.498999999999995</v>
      </c>
      <c r="G4694">
        <v>364.86700000000002</v>
      </c>
      <c r="H4694">
        <v>6.6050000000000004</v>
      </c>
      <c r="I4694">
        <v>1.8080000000000001</v>
      </c>
      <c r="J4694">
        <v>8</v>
      </c>
      <c r="K4694">
        <v>87</v>
      </c>
      <c r="L4694">
        <v>44</v>
      </c>
      <c r="M4694" s="1">
        <v>9000000000</v>
      </c>
    </row>
    <row r="4695" spans="1:13" ht="15" customHeight="1">
      <c r="A4695" t="s">
        <v>51</v>
      </c>
      <c r="B4695">
        <f t="shared" si="292"/>
        <v>33.704048</v>
      </c>
      <c r="C4695">
        <f t="shared" si="293"/>
        <v>-117.84785100000001</v>
      </c>
      <c r="D4695">
        <f t="shared" si="294"/>
        <v>48</v>
      </c>
      <c r="E4695">
        <v>108.499</v>
      </c>
      <c r="F4695">
        <f t="shared" si="295"/>
        <v>-60.498999999999995</v>
      </c>
      <c r="G4695">
        <v>449.733</v>
      </c>
      <c r="H4695">
        <v>6.1219999999999999</v>
      </c>
      <c r="I4695">
        <v>1.36</v>
      </c>
      <c r="J4695">
        <v>9</v>
      </c>
      <c r="K4695">
        <v>86</v>
      </c>
      <c r="L4695">
        <v>43</v>
      </c>
      <c r="M4695" s="1">
        <v>9000000000</v>
      </c>
    </row>
    <row r="4696" spans="1:13" ht="15" customHeight="1">
      <c r="A4696" t="s">
        <v>51</v>
      </c>
      <c r="B4696">
        <f t="shared" si="292"/>
        <v>33.704048</v>
      </c>
      <c r="C4696">
        <f t="shared" si="293"/>
        <v>-117.84785100000001</v>
      </c>
      <c r="D4696">
        <f t="shared" si="294"/>
        <v>48</v>
      </c>
      <c r="E4696">
        <v>109.499</v>
      </c>
      <c r="F4696">
        <f t="shared" si="295"/>
        <v>-61.498999999999995</v>
      </c>
      <c r="G4696">
        <v>425.6</v>
      </c>
      <c r="H4696">
        <v>7.44</v>
      </c>
      <c r="I4696">
        <v>1.746</v>
      </c>
      <c r="J4696">
        <v>8</v>
      </c>
      <c r="K4696">
        <v>102</v>
      </c>
      <c r="L4696">
        <v>51</v>
      </c>
      <c r="M4696" s="1">
        <v>9000000000</v>
      </c>
    </row>
    <row r="4697" spans="1:13" ht="15" customHeight="1">
      <c r="A4697" t="s">
        <v>52</v>
      </c>
      <c r="B4697">
        <v>33.703310000000002</v>
      </c>
      <c r="C4697">
        <v>-117.84699000000001</v>
      </c>
      <c r="D4697" t="e">
        <f t="shared" si="294"/>
        <v>#N/A</v>
      </c>
      <c r="E4697">
        <v>0.5</v>
      </c>
      <c r="F4697" t="e">
        <f t="shared" si="295"/>
        <v>#N/A</v>
      </c>
      <c r="G4697">
        <v>0.35</v>
      </c>
      <c r="H4697">
        <v>1.4999999999999999E-2</v>
      </c>
      <c r="I4697">
        <v>4.2859999999999996</v>
      </c>
      <c r="J4697">
        <v>2</v>
      </c>
      <c r="K4697">
        <v>0</v>
      </c>
      <c r="L4697">
        <v>0</v>
      </c>
      <c r="M4697">
        <v>2.1999999999999999E-2</v>
      </c>
    </row>
    <row r="4698" spans="1:13" ht="15" customHeight="1">
      <c r="A4698" t="s">
        <v>52</v>
      </c>
      <c r="B4698">
        <v>33.703310000000002</v>
      </c>
      <c r="C4698">
        <v>-117.84699000000001</v>
      </c>
      <c r="D4698" t="e">
        <f t="shared" si="294"/>
        <v>#N/A</v>
      </c>
      <c r="E4698">
        <v>1.5</v>
      </c>
      <c r="F4698" t="e">
        <f t="shared" si="295"/>
        <v>#N/A</v>
      </c>
      <c r="G4698">
        <v>18.033000000000001</v>
      </c>
      <c r="H4698">
        <v>0.41799999999999998</v>
      </c>
      <c r="I4698">
        <v>2.3180000000000001</v>
      </c>
      <c r="J4698">
        <v>5</v>
      </c>
      <c r="K4698">
        <v>9</v>
      </c>
      <c r="L4698">
        <v>14</v>
      </c>
      <c r="M4698">
        <v>1.198</v>
      </c>
    </row>
    <row r="4699" spans="1:13" ht="15" customHeight="1">
      <c r="A4699" t="s">
        <v>52</v>
      </c>
      <c r="B4699">
        <v>33.703310000000002</v>
      </c>
      <c r="C4699">
        <v>-117.84699000000001</v>
      </c>
      <c r="D4699" t="e">
        <f t="shared" si="294"/>
        <v>#N/A</v>
      </c>
      <c r="E4699">
        <v>2.5</v>
      </c>
      <c r="F4699" t="e">
        <f t="shared" si="295"/>
        <v>#N/A</v>
      </c>
      <c r="G4699">
        <v>12.45</v>
      </c>
      <c r="H4699">
        <v>0.45700000000000002</v>
      </c>
      <c r="I4699">
        <v>3.653</v>
      </c>
      <c r="J4699">
        <v>4</v>
      </c>
      <c r="K4699">
        <v>8</v>
      </c>
      <c r="L4699">
        <v>12</v>
      </c>
      <c r="M4699">
        <v>0.82399999999999995</v>
      </c>
    </row>
    <row r="4700" spans="1:13" ht="15" customHeight="1">
      <c r="A4700" t="s">
        <v>52</v>
      </c>
      <c r="B4700">
        <v>33.703310000000002</v>
      </c>
      <c r="C4700">
        <v>-117.84699000000001</v>
      </c>
      <c r="D4700" t="e">
        <f t="shared" si="294"/>
        <v>#N/A</v>
      </c>
      <c r="E4700">
        <v>3.5</v>
      </c>
      <c r="F4700" t="e">
        <f t="shared" si="295"/>
        <v>#N/A</v>
      </c>
      <c r="G4700">
        <v>10.632999999999999</v>
      </c>
      <c r="H4700">
        <v>0.378</v>
      </c>
      <c r="I4700">
        <v>3.5409999999999999</v>
      </c>
      <c r="J4700">
        <v>3</v>
      </c>
      <c r="K4700">
        <v>10</v>
      </c>
      <c r="L4700">
        <v>15</v>
      </c>
      <c r="M4700">
        <v>0.69899999999999995</v>
      </c>
    </row>
    <row r="4701" spans="1:13" ht="15" customHeight="1">
      <c r="A4701" t="s">
        <v>52</v>
      </c>
      <c r="B4701">
        <v>33.703310000000002</v>
      </c>
      <c r="C4701">
        <v>-117.84699000000001</v>
      </c>
      <c r="D4701" t="e">
        <f t="shared" si="294"/>
        <v>#N/A</v>
      </c>
      <c r="E4701">
        <v>4.5</v>
      </c>
      <c r="F4701" t="e">
        <f t="shared" si="295"/>
        <v>#N/A</v>
      </c>
      <c r="G4701">
        <v>6.7</v>
      </c>
      <c r="H4701">
        <v>0.245</v>
      </c>
      <c r="I4701">
        <v>3.6659999999999999</v>
      </c>
      <c r="J4701">
        <v>3</v>
      </c>
      <c r="K4701">
        <v>6</v>
      </c>
      <c r="L4701">
        <v>9</v>
      </c>
      <c r="M4701">
        <v>0.42899999999999999</v>
      </c>
    </row>
    <row r="4702" spans="1:13" ht="15" customHeight="1">
      <c r="A4702" t="s">
        <v>52</v>
      </c>
      <c r="B4702">
        <v>33.703310000000002</v>
      </c>
      <c r="C4702">
        <v>-117.84699000000001</v>
      </c>
      <c r="D4702" t="e">
        <f t="shared" si="294"/>
        <v>#N/A</v>
      </c>
      <c r="E4702">
        <v>5.5</v>
      </c>
      <c r="F4702" t="e">
        <f t="shared" si="295"/>
        <v>#N/A</v>
      </c>
      <c r="G4702">
        <v>6.2830000000000004</v>
      </c>
      <c r="H4702">
        <v>0.21</v>
      </c>
      <c r="I4702">
        <v>3.3250000000000002</v>
      </c>
      <c r="J4702">
        <v>3</v>
      </c>
      <c r="K4702">
        <v>6</v>
      </c>
      <c r="L4702">
        <v>9</v>
      </c>
      <c r="M4702">
        <v>0.4</v>
      </c>
    </row>
    <row r="4703" spans="1:13" ht="15" customHeight="1">
      <c r="A4703" t="s">
        <v>52</v>
      </c>
      <c r="B4703">
        <v>33.703310000000002</v>
      </c>
      <c r="C4703">
        <v>-117.84699000000001</v>
      </c>
      <c r="D4703" t="e">
        <f t="shared" si="294"/>
        <v>#N/A</v>
      </c>
      <c r="E4703">
        <v>6.5</v>
      </c>
      <c r="F4703" t="e">
        <f t="shared" si="295"/>
        <v>#N/A</v>
      </c>
      <c r="G4703">
        <v>10.117000000000001</v>
      </c>
      <c r="H4703">
        <v>0.29699999999999999</v>
      </c>
      <c r="I4703">
        <v>2.8759999999999999</v>
      </c>
      <c r="J4703">
        <v>4</v>
      </c>
      <c r="K4703">
        <v>7</v>
      </c>
      <c r="L4703">
        <v>11</v>
      </c>
      <c r="M4703">
        <v>0.66300000000000003</v>
      </c>
    </row>
    <row r="4704" spans="1:13" ht="15" customHeight="1">
      <c r="A4704" t="s">
        <v>52</v>
      </c>
      <c r="B4704">
        <v>33.703310000000002</v>
      </c>
      <c r="C4704">
        <v>-117.84699000000001</v>
      </c>
      <c r="D4704" t="e">
        <f t="shared" si="294"/>
        <v>#N/A</v>
      </c>
      <c r="E4704">
        <v>7.5</v>
      </c>
      <c r="F4704" t="e">
        <f t="shared" si="295"/>
        <v>#N/A</v>
      </c>
      <c r="G4704">
        <v>12.532999999999999</v>
      </c>
      <c r="H4704">
        <v>0.50700000000000001</v>
      </c>
      <c r="I4704">
        <v>4</v>
      </c>
      <c r="J4704">
        <v>3</v>
      </c>
      <c r="K4704">
        <v>12</v>
      </c>
      <c r="L4704">
        <v>18</v>
      </c>
      <c r="M4704">
        <v>0.81499999999999995</v>
      </c>
    </row>
    <row r="4705" spans="1:13" ht="15" customHeight="1">
      <c r="A4705" t="s">
        <v>52</v>
      </c>
      <c r="B4705">
        <v>33.703310000000002</v>
      </c>
      <c r="C4705">
        <v>-117.84699000000001</v>
      </c>
      <c r="D4705" t="e">
        <f t="shared" si="294"/>
        <v>#N/A</v>
      </c>
      <c r="E4705">
        <v>8.5</v>
      </c>
      <c r="F4705" t="e">
        <f t="shared" si="295"/>
        <v>#N/A</v>
      </c>
      <c r="G4705">
        <v>9.4670000000000005</v>
      </c>
      <c r="H4705">
        <v>0.40300000000000002</v>
      </c>
      <c r="I4705">
        <v>4.2380000000000004</v>
      </c>
      <c r="J4705">
        <v>3</v>
      </c>
      <c r="K4705">
        <v>9</v>
      </c>
      <c r="L4705">
        <v>14</v>
      </c>
      <c r="M4705">
        <v>0.60099999999999998</v>
      </c>
    </row>
    <row r="4706" spans="1:13" ht="15" customHeight="1">
      <c r="A4706" t="s">
        <v>52</v>
      </c>
      <c r="B4706">
        <v>33.703310000000002</v>
      </c>
      <c r="C4706">
        <v>-117.84699000000001</v>
      </c>
      <c r="D4706" t="e">
        <f t="shared" si="294"/>
        <v>#N/A</v>
      </c>
      <c r="E4706">
        <v>9.5</v>
      </c>
      <c r="F4706" t="e">
        <f t="shared" si="295"/>
        <v>#N/A</v>
      </c>
      <c r="G4706">
        <v>8.0500000000000007</v>
      </c>
      <c r="H4706">
        <v>0.26200000000000001</v>
      </c>
      <c r="I4706">
        <v>3.198</v>
      </c>
      <c r="J4706">
        <v>3</v>
      </c>
      <c r="K4706">
        <v>8</v>
      </c>
      <c r="L4706">
        <v>12</v>
      </c>
      <c r="M4706">
        <v>0.50800000000000001</v>
      </c>
    </row>
    <row r="4707" spans="1:13" ht="15" customHeight="1">
      <c r="A4707" t="s">
        <v>52</v>
      </c>
      <c r="B4707">
        <v>33.703310000000002</v>
      </c>
      <c r="C4707">
        <v>-117.84699000000001</v>
      </c>
      <c r="D4707" t="e">
        <f t="shared" si="294"/>
        <v>#N/A</v>
      </c>
      <c r="E4707">
        <v>10.5</v>
      </c>
      <c r="F4707" t="e">
        <f t="shared" si="295"/>
        <v>#N/A</v>
      </c>
      <c r="G4707">
        <v>8.7859999999999996</v>
      </c>
      <c r="H4707">
        <v>0.32600000000000001</v>
      </c>
      <c r="I4707">
        <v>3.677</v>
      </c>
      <c r="J4707">
        <v>3</v>
      </c>
      <c r="K4707">
        <v>8</v>
      </c>
      <c r="L4707">
        <v>12</v>
      </c>
      <c r="M4707">
        <v>0.54900000000000004</v>
      </c>
    </row>
    <row r="4708" spans="1:13" ht="15" customHeight="1">
      <c r="A4708" t="s">
        <v>52</v>
      </c>
      <c r="B4708">
        <v>33.703310000000002</v>
      </c>
      <c r="C4708">
        <v>-117.84699000000001</v>
      </c>
      <c r="D4708" t="e">
        <f t="shared" si="294"/>
        <v>#N/A</v>
      </c>
      <c r="E4708">
        <v>11.5</v>
      </c>
      <c r="F4708" t="e">
        <f t="shared" si="295"/>
        <v>#N/A</v>
      </c>
      <c r="G4708">
        <v>8.6999999999999993</v>
      </c>
      <c r="H4708">
        <v>0.28999999999999998</v>
      </c>
      <c r="I4708">
        <v>3.3210000000000002</v>
      </c>
      <c r="J4708">
        <v>3</v>
      </c>
      <c r="K4708">
        <v>8</v>
      </c>
      <c r="L4708">
        <v>11</v>
      </c>
      <c r="M4708">
        <v>0.53700000000000003</v>
      </c>
    </row>
    <row r="4709" spans="1:13" ht="15" customHeight="1">
      <c r="A4709" t="s">
        <v>52</v>
      </c>
      <c r="B4709">
        <v>33.703310000000002</v>
      </c>
      <c r="C4709">
        <v>-117.84699000000001</v>
      </c>
      <c r="D4709" t="e">
        <f t="shared" si="294"/>
        <v>#N/A</v>
      </c>
      <c r="E4709">
        <v>12.5</v>
      </c>
      <c r="F4709" t="e">
        <f t="shared" si="295"/>
        <v>#N/A</v>
      </c>
      <c r="G4709">
        <v>9.7170000000000005</v>
      </c>
      <c r="H4709">
        <v>0.26500000000000001</v>
      </c>
      <c r="I4709">
        <v>2.7090000000000001</v>
      </c>
      <c r="J4709">
        <v>4</v>
      </c>
      <c r="K4709">
        <v>6</v>
      </c>
      <c r="L4709">
        <v>8</v>
      </c>
      <c r="M4709">
        <v>0.60299999999999998</v>
      </c>
    </row>
    <row r="4710" spans="1:13" ht="15" customHeight="1">
      <c r="A4710" t="s">
        <v>52</v>
      </c>
      <c r="B4710">
        <v>33.703310000000002</v>
      </c>
      <c r="C4710">
        <v>-117.84699000000001</v>
      </c>
      <c r="D4710" t="e">
        <f t="shared" si="294"/>
        <v>#N/A</v>
      </c>
      <c r="E4710">
        <v>13.5</v>
      </c>
      <c r="F4710" t="e">
        <f t="shared" si="295"/>
        <v>#N/A</v>
      </c>
      <c r="G4710">
        <v>8.8670000000000009</v>
      </c>
      <c r="H4710">
        <v>0.20200000000000001</v>
      </c>
      <c r="I4710">
        <v>2.2490000000000001</v>
      </c>
      <c r="J4710">
        <v>4</v>
      </c>
      <c r="K4710">
        <v>6</v>
      </c>
      <c r="L4710">
        <v>7</v>
      </c>
      <c r="M4710">
        <v>0.54500000000000004</v>
      </c>
    </row>
    <row r="4711" spans="1:13" ht="15" customHeight="1">
      <c r="A4711" t="s">
        <v>52</v>
      </c>
      <c r="B4711">
        <v>33.703310000000002</v>
      </c>
      <c r="C4711">
        <v>-117.84699000000001</v>
      </c>
      <c r="D4711" t="e">
        <f t="shared" si="294"/>
        <v>#N/A</v>
      </c>
      <c r="E4711">
        <v>14.5</v>
      </c>
      <c r="F4711" t="e">
        <f t="shared" si="295"/>
        <v>#N/A</v>
      </c>
      <c r="G4711">
        <v>13.55</v>
      </c>
      <c r="H4711">
        <v>0.35199999999999998</v>
      </c>
      <c r="I4711">
        <v>2.5920000000000001</v>
      </c>
      <c r="J4711">
        <v>5</v>
      </c>
      <c r="K4711">
        <v>6</v>
      </c>
      <c r="L4711">
        <v>7</v>
      </c>
      <c r="M4711">
        <v>0.84699999999999998</v>
      </c>
    </row>
    <row r="4712" spans="1:13" ht="15" customHeight="1">
      <c r="A4712" t="s">
        <v>52</v>
      </c>
      <c r="B4712">
        <v>33.703310000000002</v>
      </c>
      <c r="C4712">
        <v>-117.84699000000001</v>
      </c>
      <c r="D4712" t="e">
        <f t="shared" si="294"/>
        <v>#N/A</v>
      </c>
      <c r="E4712">
        <v>15.5</v>
      </c>
      <c r="F4712" t="e">
        <f t="shared" si="295"/>
        <v>#N/A</v>
      </c>
      <c r="G4712">
        <v>12.766999999999999</v>
      </c>
      <c r="H4712">
        <v>0.38500000000000001</v>
      </c>
      <c r="I4712">
        <v>3.016</v>
      </c>
      <c r="J4712">
        <v>4</v>
      </c>
      <c r="K4712">
        <v>8</v>
      </c>
      <c r="L4712">
        <v>9</v>
      </c>
      <c r="M4712">
        <v>0.79</v>
      </c>
    </row>
    <row r="4713" spans="1:13" ht="15" customHeight="1">
      <c r="A4713" t="s">
        <v>52</v>
      </c>
      <c r="B4713">
        <v>33.703310000000002</v>
      </c>
      <c r="C4713">
        <v>-117.84699000000001</v>
      </c>
      <c r="D4713" t="e">
        <f t="shared" si="294"/>
        <v>#N/A</v>
      </c>
      <c r="E4713">
        <v>16.5</v>
      </c>
      <c r="F4713" t="e">
        <f t="shared" si="295"/>
        <v>#N/A</v>
      </c>
      <c r="G4713">
        <v>14.782999999999999</v>
      </c>
      <c r="H4713">
        <v>0.54200000000000004</v>
      </c>
      <c r="I4713">
        <v>3.6850000000000001</v>
      </c>
      <c r="J4713">
        <v>4</v>
      </c>
      <c r="K4713">
        <v>9</v>
      </c>
      <c r="L4713">
        <v>9</v>
      </c>
      <c r="M4713">
        <v>0.91500000000000004</v>
      </c>
    </row>
    <row r="4714" spans="1:13" ht="15" customHeight="1">
      <c r="A4714" t="s">
        <v>52</v>
      </c>
      <c r="B4714">
        <v>33.703310000000002</v>
      </c>
      <c r="C4714">
        <v>-117.84699000000001</v>
      </c>
      <c r="D4714" t="e">
        <f t="shared" si="294"/>
        <v>#N/A</v>
      </c>
      <c r="E4714">
        <v>17.5</v>
      </c>
      <c r="F4714" t="e">
        <f t="shared" si="295"/>
        <v>#N/A</v>
      </c>
      <c r="G4714">
        <v>14.183</v>
      </c>
      <c r="H4714">
        <v>0.50700000000000001</v>
      </c>
      <c r="I4714">
        <v>3.585</v>
      </c>
      <c r="J4714">
        <v>4</v>
      </c>
      <c r="K4714">
        <v>9</v>
      </c>
      <c r="L4714">
        <v>9</v>
      </c>
      <c r="M4714">
        <v>0.873</v>
      </c>
    </row>
    <row r="4715" spans="1:13" ht="15" customHeight="1">
      <c r="A4715" t="s">
        <v>52</v>
      </c>
      <c r="B4715">
        <v>33.703310000000002</v>
      </c>
      <c r="C4715">
        <v>-117.84699000000001</v>
      </c>
      <c r="D4715" t="e">
        <f t="shared" si="294"/>
        <v>#N/A</v>
      </c>
      <c r="E4715">
        <v>18.5</v>
      </c>
      <c r="F4715" t="e">
        <f t="shared" si="295"/>
        <v>#N/A</v>
      </c>
      <c r="G4715">
        <v>30.632999999999999</v>
      </c>
      <c r="H4715">
        <v>1.2450000000000001</v>
      </c>
      <c r="I4715">
        <v>4.069</v>
      </c>
      <c r="J4715">
        <v>4</v>
      </c>
      <c r="K4715">
        <v>20</v>
      </c>
      <c r="L4715">
        <v>19</v>
      </c>
      <c r="M4715">
        <v>1.9670000000000001</v>
      </c>
    </row>
    <row r="4716" spans="1:13" ht="15" customHeight="1">
      <c r="A4716" t="s">
        <v>52</v>
      </c>
      <c r="B4716">
        <v>33.703310000000002</v>
      </c>
      <c r="C4716">
        <v>-117.84699000000001</v>
      </c>
      <c r="D4716" t="e">
        <f t="shared" si="294"/>
        <v>#N/A</v>
      </c>
      <c r="E4716">
        <v>19.5</v>
      </c>
      <c r="F4716" t="e">
        <f t="shared" si="295"/>
        <v>#N/A</v>
      </c>
      <c r="G4716">
        <v>42.183</v>
      </c>
      <c r="H4716">
        <v>1.68</v>
      </c>
      <c r="I4716">
        <v>3.9860000000000002</v>
      </c>
      <c r="J4716">
        <v>5</v>
      </c>
      <c r="K4716">
        <v>20</v>
      </c>
      <c r="L4716">
        <v>18</v>
      </c>
      <c r="M4716">
        <v>2.7330000000000001</v>
      </c>
    </row>
    <row r="4717" spans="1:13" ht="15" customHeight="1">
      <c r="A4717" t="s">
        <v>52</v>
      </c>
      <c r="B4717">
        <v>33.703310000000002</v>
      </c>
      <c r="C4717">
        <v>-117.84699000000001</v>
      </c>
      <c r="D4717" t="e">
        <f t="shared" si="294"/>
        <v>#N/A</v>
      </c>
      <c r="E4717">
        <v>20.5</v>
      </c>
      <c r="F4717" t="e">
        <f t="shared" si="295"/>
        <v>#N/A</v>
      </c>
      <c r="G4717">
        <v>30.585999999999999</v>
      </c>
      <c r="H4717">
        <v>1.046</v>
      </c>
      <c r="I4717">
        <v>3.419</v>
      </c>
      <c r="J4717">
        <v>5</v>
      </c>
      <c r="K4717">
        <v>15</v>
      </c>
      <c r="L4717">
        <v>13</v>
      </c>
      <c r="M4717">
        <v>1.9570000000000001</v>
      </c>
    </row>
    <row r="4718" spans="1:13" ht="15" customHeight="1">
      <c r="A4718" t="s">
        <v>52</v>
      </c>
      <c r="B4718">
        <v>33.703310000000002</v>
      </c>
      <c r="C4718">
        <v>-117.84699000000001</v>
      </c>
      <c r="D4718" t="e">
        <f t="shared" si="294"/>
        <v>#N/A</v>
      </c>
      <c r="E4718">
        <v>21.5</v>
      </c>
      <c r="F4718" t="e">
        <f t="shared" si="295"/>
        <v>#N/A</v>
      </c>
      <c r="G4718">
        <v>36.450000000000003</v>
      </c>
      <c r="H4718">
        <v>1.46</v>
      </c>
      <c r="I4718">
        <v>4.0049999999999999</v>
      </c>
      <c r="J4718">
        <v>4</v>
      </c>
      <c r="K4718">
        <v>23</v>
      </c>
      <c r="L4718">
        <v>19</v>
      </c>
      <c r="M4718">
        <v>2.3439999999999999</v>
      </c>
    </row>
    <row r="4719" spans="1:13" ht="15" customHeight="1">
      <c r="A4719" t="s">
        <v>52</v>
      </c>
      <c r="B4719">
        <v>33.703310000000002</v>
      </c>
      <c r="C4719">
        <v>-117.84699000000001</v>
      </c>
      <c r="D4719" t="e">
        <f t="shared" si="294"/>
        <v>#N/A</v>
      </c>
      <c r="E4719">
        <v>22.5</v>
      </c>
      <c r="F4719" t="e">
        <f t="shared" si="295"/>
        <v>#N/A</v>
      </c>
      <c r="G4719">
        <v>30.266999999999999</v>
      </c>
      <c r="H4719">
        <v>1.228</v>
      </c>
      <c r="I4719">
        <v>4.0670000000000002</v>
      </c>
      <c r="J4719">
        <v>4</v>
      </c>
      <c r="K4719">
        <v>19</v>
      </c>
      <c r="L4719">
        <v>15</v>
      </c>
      <c r="M4719">
        <v>1.923</v>
      </c>
    </row>
    <row r="4720" spans="1:13" ht="15" customHeight="1">
      <c r="A4720" t="s">
        <v>52</v>
      </c>
      <c r="B4720">
        <v>33.703310000000002</v>
      </c>
      <c r="C4720">
        <v>-117.84699000000001</v>
      </c>
      <c r="D4720" t="e">
        <f t="shared" si="294"/>
        <v>#N/A</v>
      </c>
      <c r="E4720">
        <v>23.5</v>
      </c>
      <c r="F4720" t="e">
        <f t="shared" si="295"/>
        <v>#N/A</v>
      </c>
      <c r="G4720">
        <v>36.883000000000003</v>
      </c>
      <c r="H4720">
        <v>1.4630000000000001</v>
      </c>
      <c r="I4720">
        <v>3.9689999999999999</v>
      </c>
      <c r="J4720">
        <v>5</v>
      </c>
      <c r="K4720">
        <v>18</v>
      </c>
      <c r="L4720">
        <v>14</v>
      </c>
      <c r="M4720">
        <v>2.3639999999999999</v>
      </c>
    </row>
    <row r="4721" spans="1:13" ht="15" customHeight="1">
      <c r="A4721" t="s">
        <v>52</v>
      </c>
      <c r="B4721">
        <v>33.703310000000002</v>
      </c>
      <c r="C4721">
        <v>-117.84699000000001</v>
      </c>
      <c r="D4721" t="e">
        <f t="shared" si="294"/>
        <v>#N/A</v>
      </c>
      <c r="E4721">
        <v>24.5</v>
      </c>
      <c r="F4721" t="e">
        <f t="shared" si="295"/>
        <v>#N/A</v>
      </c>
      <c r="G4721">
        <v>33.9</v>
      </c>
      <c r="H4721">
        <v>1.3879999999999999</v>
      </c>
      <c r="I4721">
        <v>4.1070000000000002</v>
      </c>
      <c r="J4721">
        <v>4</v>
      </c>
      <c r="K4721">
        <v>22</v>
      </c>
      <c r="L4721">
        <v>16</v>
      </c>
      <c r="M4721">
        <v>2.1549999999999998</v>
      </c>
    </row>
    <row r="4722" spans="1:13" ht="15" customHeight="1">
      <c r="A4722" t="s">
        <v>52</v>
      </c>
      <c r="B4722">
        <v>33.703310000000002</v>
      </c>
      <c r="C4722">
        <v>-117.84699000000001</v>
      </c>
      <c r="D4722" t="e">
        <f t="shared" si="294"/>
        <v>#N/A</v>
      </c>
      <c r="E4722">
        <v>25.5</v>
      </c>
      <c r="F4722" t="e">
        <f t="shared" si="295"/>
        <v>#N/A</v>
      </c>
      <c r="G4722">
        <v>34.85</v>
      </c>
      <c r="H4722">
        <v>1.5649999999999999</v>
      </c>
      <c r="I4722">
        <v>4.5010000000000003</v>
      </c>
      <c r="J4722">
        <v>4</v>
      </c>
      <c r="K4722">
        <v>22</v>
      </c>
      <c r="L4722">
        <v>16</v>
      </c>
      <c r="M4722">
        <v>2.2149999999999999</v>
      </c>
    </row>
    <row r="4723" spans="1:13" ht="15" customHeight="1">
      <c r="A4723" t="s">
        <v>52</v>
      </c>
      <c r="B4723">
        <v>33.703310000000002</v>
      </c>
      <c r="C4723">
        <v>-117.84699000000001</v>
      </c>
      <c r="D4723" t="e">
        <f t="shared" si="294"/>
        <v>#N/A</v>
      </c>
      <c r="E4723">
        <v>26.5</v>
      </c>
      <c r="F4723" t="e">
        <f t="shared" si="295"/>
        <v>#N/A</v>
      </c>
      <c r="G4723">
        <v>58.75</v>
      </c>
      <c r="H4723">
        <v>2.347</v>
      </c>
      <c r="I4723">
        <v>4.0010000000000003</v>
      </c>
      <c r="J4723">
        <v>5</v>
      </c>
      <c r="K4723">
        <v>28</v>
      </c>
      <c r="L4723">
        <v>20</v>
      </c>
      <c r="M4723">
        <v>3.8029999999999999</v>
      </c>
    </row>
    <row r="4724" spans="1:13" ht="15" customHeight="1">
      <c r="A4724" t="s">
        <v>52</v>
      </c>
      <c r="B4724">
        <v>33.703310000000002</v>
      </c>
      <c r="C4724">
        <v>-117.84699000000001</v>
      </c>
      <c r="D4724" t="e">
        <f t="shared" si="294"/>
        <v>#N/A</v>
      </c>
      <c r="E4724">
        <v>27.5</v>
      </c>
      <c r="F4724" t="e">
        <f t="shared" si="295"/>
        <v>#N/A</v>
      </c>
      <c r="G4724">
        <v>49.667000000000002</v>
      </c>
      <c r="H4724">
        <v>2.0129999999999999</v>
      </c>
      <c r="I4724">
        <v>4.0620000000000003</v>
      </c>
      <c r="J4724">
        <v>5</v>
      </c>
      <c r="K4724">
        <v>24</v>
      </c>
      <c r="L4724">
        <v>17</v>
      </c>
      <c r="M4724">
        <v>3.194</v>
      </c>
    </row>
    <row r="4725" spans="1:13" ht="15" customHeight="1">
      <c r="A4725" t="s">
        <v>52</v>
      </c>
      <c r="B4725">
        <v>33.703310000000002</v>
      </c>
      <c r="C4725">
        <v>-117.84699000000001</v>
      </c>
      <c r="D4725" t="e">
        <f t="shared" si="294"/>
        <v>#N/A</v>
      </c>
      <c r="E4725">
        <v>28.5</v>
      </c>
      <c r="F4725" t="e">
        <f t="shared" si="295"/>
        <v>#N/A</v>
      </c>
      <c r="G4725">
        <v>191.86699999999999</v>
      </c>
      <c r="H4725">
        <v>7.3920000000000003</v>
      </c>
      <c r="I4725">
        <v>3.855</v>
      </c>
      <c r="J4725">
        <v>12</v>
      </c>
      <c r="K4725">
        <v>92</v>
      </c>
      <c r="L4725">
        <v>64</v>
      </c>
      <c r="M4725" s="1">
        <v>9000000000</v>
      </c>
    </row>
    <row r="4726" spans="1:13" ht="15" customHeight="1">
      <c r="A4726" t="s">
        <v>52</v>
      </c>
      <c r="B4726">
        <v>33.703310000000002</v>
      </c>
      <c r="C4726">
        <v>-117.84699000000001</v>
      </c>
      <c r="D4726" t="e">
        <f t="shared" si="294"/>
        <v>#N/A</v>
      </c>
      <c r="E4726">
        <v>29.5</v>
      </c>
      <c r="F4726" t="e">
        <f t="shared" si="295"/>
        <v>#N/A</v>
      </c>
      <c r="G4726">
        <v>229.38300000000001</v>
      </c>
      <c r="H4726">
        <v>11.802</v>
      </c>
      <c r="I4726">
        <v>5.1479999999999997</v>
      </c>
      <c r="J4726">
        <v>11</v>
      </c>
      <c r="K4726">
        <v>220</v>
      </c>
      <c r="L4726">
        <v>149</v>
      </c>
      <c r="M4726" s="1">
        <v>9000000000</v>
      </c>
    </row>
    <row r="4727" spans="1:13" ht="15" customHeight="1">
      <c r="A4727" t="s">
        <v>52</v>
      </c>
      <c r="B4727">
        <v>33.703310000000002</v>
      </c>
      <c r="C4727">
        <v>-117.84699000000001</v>
      </c>
      <c r="D4727" t="e">
        <f t="shared" si="294"/>
        <v>#N/A</v>
      </c>
      <c r="E4727">
        <v>30.5</v>
      </c>
      <c r="F4727" t="e">
        <f t="shared" si="295"/>
        <v>#N/A</v>
      </c>
      <c r="G4727">
        <v>136.43299999999999</v>
      </c>
      <c r="H4727">
        <v>6.415</v>
      </c>
      <c r="I4727">
        <v>4.7069999999999999</v>
      </c>
      <c r="J4727">
        <v>11</v>
      </c>
      <c r="K4727">
        <v>131</v>
      </c>
      <c r="L4727">
        <v>87</v>
      </c>
      <c r="M4727" s="1">
        <v>9000000000</v>
      </c>
    </row>
    <row r="4728" spans="1:13" ht="15" customHeight="1">
      <c r="A4728" t="s">
        <v>52</v>
      </c>
      <c r="B4728">
        <v>33.703310000000002</v>
      </c>
      <c r="C4728">
        <v>-117.84699000000001</v>
      </c>
      <c r="D4728" t="e">
        <f t="shared" si="294"/>
        <v>#N/A</v>
      </c>
      <c r="E4728">
        <v>31.5</v>
      </c>
      <c r="F4728" t="e">
        <f t="shared" si="295"/>
        <v>#N/A</v>
      </c>
      <c r="G4728">
        <v>205.55699999999999</v>
      </c>
      <c r="H4728">
        <v>4.766</v>
      </c>
      <c r="I4728">
        <v>2.3199999999999998</v>
      </c>
      <c r="J4728">
        <v>7</v>
      </c>
      <c r="K4728">
        <v>66</v>
      </c>
      <c r="L4728">
        <v>43</v>
      </c>
      <c r="M4728" s="1">
        <v>9000000000</v>
      </c>
    </row>
    <row r="4729" spans="1:13" ht="15" customHeight="1">
      <c r="A4729" t="s">
        <v>52</v>
      </c>
      <c r="B4729">
        <v>33.703310000000002</v>
      </c>
      <c r="C4729">
        <v>-117.84699000000001</v>
      </c>
      <c r="D4729" t="e">
        <f t="shared" si="294"/>
        <v>#N/A</v>
      </c>
      <c r="E4729">
        <v>32.5</v>
      </c>
      <c r="F4729" t="e">
        <f t="shared" si="295"/>
        <v>#N/A</v>
      </c>
      <c r="G4729">
        <v>190.75</v>
      </c>
      <c r="H4729">
        <v>5.7370000000000001</v>
      </c>
      <c r="I4729">
        <v>3.0089999999999999</v>
      </c>
      <c r="J4729">
        <v>7</v>
      </c>
      <c r="K4729">
        <v>61</v>
      </c>
      <c r="L4729">
        <v>40</v>
      </c>
      <c r="M4729" s="1">
        <v>9000000000</v>
      </c>
    </row>
    <row r="4730" spans="1:13" ht="15" customHeight="1">
      <c r="A4730" t="s">
        <v>52</v>
      </c>
      <c r="B4730">
        <v>33.703310000000002</v>
      </c>
      <c r="C4730">
        <v>-117.84699000000001</v>
      </c>
      <c r="D4730" t="e">
        <f t="shared" si="294"/>
        <v>#N/A</v>
      </c>
      <c r="E4730">
        <v>33.5</v>
      </c>
      <c r="F4730" t="e">
        <f t="shared" si="295"/>
        <v>#N/A</v>
      </c>
      <c r="G4730">
        <v>191.1</v>
      </c>
      <c r="H4730">
        <v>3.0470000000000002</v>
      </c>
      <c r="I4730">
        <v>1.5960000000000001</v>
      </c>
      <c r="J4730">
        <v>8</v>
      </c>
      <c r="K4730">
        <v>46</v>
      </c>
      <c r="L4730">
        <v>29</v>
      </c>
      <c r="M4730" s="1">
        <v>9000000000</v>
      </c>
    </row>
    <row r="4731" spans="1:13" ht="15" customHeight="1">
      <c r="A4731" t="s">
        <v>52</v>
      </c>
      <c r="B4731">
        <v>33.703310000000002</v>
      </c>
      <c r="C4731">
        <v>-117.84699000000001</v>
      </c>
      <c r="D4731" t="e">
        <f t="shared" si="294"/>
        <v>#N/A</v>
      </c>
      <c r="E4731">
        <v>34.5</v>
      </c>
      <c r="F4731" t="e">
        <f t="shared" si="295"/>
        <v>#N/A</v>
      </c>
      <c r="G4731">
        <v>90.983000000000004</v>
      </c>
      <c r="H4731">
        <v>4.0819999999999999</v>
      </c>
      <c r="I4731">
        <v>4.492</v>
      </c>
      <c r="J4731">
        <v>11</v>
      </c>
      <c r="K4731">
        <v>87</v>
      </c>
      <c r="L4731">
        <v>55</v>
      </c>
      <c r="M4731" s="1">
        <v>9000000000</v>
      </c>
    </row>
    <row r="4732" spans="1:13" ht="15" customHeight="1">
      <c r="A4732" t="s">
        <v>52</v>
      </c>
      <c r="B4732">
        <v>33.703310000000002</v>
      </c>
      <c r="C4732">
        <v>-117.84699000000001</v>
      </c>
      <c r="D4732" t="e">
        <f t="shared" si="294"/>
        <v>#N/A</v>
      </c>
      <c r="E4732">
        <v>35.5</v>
      </c>
      <c r="F4732" t="e">
        <f t="shared" si="295"/>
        <v>#N/A</v>
      </c>
      <c r="G4732">
        <v>38.832999999999998</v>
      </c>
      <c r="H4732">
        <v>1.69</v>
      </c>
      <c r="I4732">
        <v>4.3650000000000002</v>
      </c>
      <c r="J4732">
        <v>4</v>
      </c>
      <c r="K4732">
        <v>25</v>
      </c>
      <c r="L4732">
        <v>16</v>
      </c>
      <c r="M4732">
        <v>2.4359999999999999</v>
      </c>
    </row>
    <row r="4733" spans="1:13" ht="15" customHeight="1">
      <c r="A4733" t="s">
        <v>52</v>
      </c>
      <c r="B4733">
        <v>33.703310000000002</v>
      </c>
      <c r="C4733">
        <v>-117.84699000000001</v>
      </c>
      <c r="D4733" t="e">
        <f t="shared" si="294"/>
        <v>#N/A</v>
      </c>
      <c r="E4733">
        <v>36.5</v>
      </c>
      <c r="F4733" t="e">
        <f t="shared" si="295"/>
        <v>#N/A</v>
      </c>
      <c r="G4733">
        <v>35.966999999999999</v>
      </c>
      <c r="H4733">
        <v>1.575</v>
      </c>
      <c r="I4733">
        <v>4.391</v>
      </c>
      <c r="J4733">
        <v>4</v>
      </c>
      <c r="K4733">
        <v>23</v>
      </c>
      <c r="L4733">
        <v>14</v>
      </c>
      <c r="M4733">
        <v>2.242</v>
      </c>
    </row>
    <row r="4734" spans="1:13" ht="15" customHeight="1">
      <c r="A4734" t="s">
        <v>52</v>
      </c>
      <c r="B4734">
        <v>33.703310000000002</v>
      </c>
      <c r="C4734">
        <v>-117.84699000000001</v>
      </c>
      <c r="D4734" t="e">
        <f t="shared" si="294"/>
        <v>#N/A</v>
      </c>
      <c r="E4734">
        <v>37.5</v>
      </c>
      <c r="F4734" t="e">
        <f t="shared" si="295"/>
        <v>#N/A</v>
      </c>
      <c r="G4734">
        <v>53.216999999999999</v>
      </c>
      <c r="H4734">
        <v>1.732</v>
      </c>
      <c r="I4734">
        <v>3.26</v>
      </c>
      <c r="J4734">
        <v>5</v>
      </c>
      <c r="K4734">
        <v>25</v>
      </c>
      <c r="L4734">
        <v>15</v>
      </c>
      <c r="M4734">
        <v>3.3879999999999999</v>
      </c>
    </row>
    <row r="4735" spans="1:13" ht="15" customHeight="1">
      <c r="A4735" t="s">
        <v>52</v>
      </c>
      <c r="B4735">
        <v>33.703310000000002</v>
      </c>
      <c r="C4735">
        <v>-117.84699000000001</v>
      </c>
      <c r="D4735" t="e">
        <f t="shared" si="294"/>
        <v>#N/A</v>
      </c>
      <c r="E4735">
        <v>38.5</v>
      </c>
      <c r="F4735" t="e">
        <f t="shared" si="295"/>
        <v>#N/A</v>
      </c>
      <c r="G4735">
        <v>86.433000000000007</v>
      </c>
      <c r="H4735">
        <v>3.0019999999999998</v>
      </c>
      <c r="I4735">
        <v>3.4780000000000002</v>
      </c>
      <c r="J4735">
        <v>6</v>
      </c>
      <c r="K4735">
        <v>33</v>
      </c>
      <c r="L4735">
        <v>20</v>
      </c>
      <c r="M4735">
        <v>5.5970000000000004</v>
      </c>
    </row>
    <row r="4736" spans="1:13" ht="15" customHeight="1">
      <c r="A4736" t="s">
        <v>52</v>
      </c>
      <c r="B4736">
        <v>33.703310000000002</v>
      </c>
      <c r="C4736">
        <v>-117.84699000000001</v>
      </c>
      <c r="D4736" t="e">
        <f t="shared" si="294"/>
        <v>#N/A</v>
      </c>
      <c r="E4736">
        <v>39.5</v>
      </c>
      <c r="F4736" t="e">
        <f t="shared" si="295"/>
        <v>#N/A</v>
      </c>
      <c r="G4736">
        <v>70.900000000000006</v>
      </c>
      <c r="H4736">
        <v>2.79</v>
      </c>
      <c r="I4736">
        <v>3.9409999999999998</v>
      </c>
      <c r="J4736">
        <v>5</v>
      </c>
      <c r="K4736">
        <v>34</v>
      </c>
      <c r="L4736">
        <v>20</v>
      </c>
      <c r="M4736">
        <v>4.5579999999999998</v>
      </c>
    </row>
    <row r="4737" spans="1:13" ht="15" customHeight="1">
      <c r="A4737" t="s">
        <v>52</v>
      </c>
      <c r="B4737">
        <v>33.703310000000002</v>
      </c>
      <c r="C4737">
        <v>-117.84699000000001</v>
      </c>
      <c r="D4737" t="e">
        <f t="shared" si="294"/>
        <v>#N/A</v>
      </c>
      <c r="E4737">
        <v>40.5</v>
      </c>
      <c r="F4737" t="e">
        <f t="shared" si="295"/>
        <v>#N/A</v>
      </c>
      <c r="G4737">
        <v>119.75</v>
      </c>
      <c r="H4737">
        <v>4.3369999999999997</v>
      </c>
      <c r="I4737">
        <v>3.625</v>
      </c>
      <c r="J4737">
        <v>6</v>
      </c>
      <c r="K4737">
        <v>46</v>
      </c>
      <c r="L4737">
        <v>27</v>
      </c>
      <c r="M4737">
        <v>7.8079999999999998</v>
      </c>
    </row>
    <row r="4738" spans="1:13" ht="15" customHeight="1">
      <c r="A4738" t="s">
        <v>52</v>
      </c>
      <c r="B4738">
        <v>33.703310000000002</v>
      </c>
      <c r="C4738">
        <v>-117.84699000000001</v>
      </c>
      <c r="D4738" t="e">
        <f t="shared" ref="D4738:D4801" si="296">VLOOKUP(A4738,Elevation,2,FALSE)</f>
        <v>#N/A</v>
      </c>
      <c r="E4738">
        <v>41.499000000000002</v>
      </c>
      <c r="F4738" t="e">
        <f t="shared" si="295"/>
        <v>#N/A</v>
      </c>
      <c r="G4738">
        <v>201.4</v>
      </c>
      <c r="H4738">
        <v>2.4969999999999999</v>
      </c>
      <c r="I4738">
        <v>1.24</v>
      </c>
      <c r="J4738">
        <v>9</v>
      </c>
      <c r="K4738">
        <v>39</v>
      </c>
      <c r="L4738">
        <v>23</v>
      </c>
      <c r="M4738" s="1">
        <v>9000000000</v>
      </c>
    </row>
    <row r="4739" spans="1:13" ht="15" customHeight="1">
      <c r="A4739" t="s">
        <v>52</v>
      </c>
      <c r="B4739">
        <v>33.703310000000002</v>
      </c>
      <c r="C4739">
        <v>-117.84699000000001</v>
      </c>
      <c r="D4739" t="e">
        <f t="shared" si="296"/>
        <v>#N/A</v>
      </c>
      <c r="E4739">
        <v>42.499000000000002</v>
      </c>
      <c r="F4739" t="e">
        <f t="shared" ref="F4739:F4802" si="297">D4739-E4739</f>
        <v>#N/A</v>
      </c>
      <c r="G4739">
        <v>120.883</v>
      </c>
      <c r="H4739">
        <v>2.97</v>
      </c>
      <c r="I4739">
        <v>2.46</v>
      </c>
      <c r="J4739">
        <v>7</v>
      </c>
      <c r="K4739">
        <v>39</v>
      </c>
      <c r="L4739">
        <v>22</v>
      </c>
      <c r="M4739" s="1">
        <v>9000000000</v>
      </c>
    </row>
    <row r="4740" spans="1:13" ht="15" customHeight="1">
      <c r="A4740" t="s">
        <v>52</v>
      </c>
      <c r="B4740">
        <v>33.703310000000002</v>
      </c>
      <c r="C4740">
        <v>-117.84699000000001</v>
      </c>
      <c r="D4740" t="e">
        <f t="shared" si="296"/>
        <v>#N/A</v>
      </c>
      <c r="E4740">
        <v>43.499000000000002</v>
      </c>
      <c r="F4740" t="e">
        <f t="shared" si="297"/>
        <v>#N/A</v>
      </c>
      <c r="G4740">
        <v>44.8</v>
      </c>
      <c r="H4740">
        <v>1.625</v>
      </c>
      <c r="I4740">
        <v>3.6389999999999998</v>
      </c>
      <c r="J4740">
        <v>5</v>
      </c>
      <c r="K4740">
        <v>21</v>
      </c>
      <c r="L4740">
        <v>12</v>
      </c>
      <c r="M4740">
        <v>2.798</v>
      </c>
    </row>
    <row r="4741" spans="1:13" ht="15" customHeight="1">
      <c r="A4741" t="s">
        <v>52</v>
      </c>
      <c r="B4741">
        <v>33.703310000000002</v>
      </c>
      <c r="C4741">
        <v>-117.84699000000001</v>
      </c>
      <c r="D4741" t="e">
        <f t="shared" si="296"/>
        <v>#N/A</v>
      </c>
      <c r="E4741">
        <v>44.499000000000002</v>
      </c>
      <c r="F4741" t="e">
        <f t="shared" si="297"/>
        <v>#N/A</v>
      </c>
      <c r="G4741">
        <v>21.5</v>
      </c>
      <c r="H4741">
        <v>0.79800000000000004</v>
      </c>
      <c r="I4741">
        <v>3.7309999999999999</v>
      </c>
      <c r="J4741">
        <v>4</v>
      </c>
      <c r="K4741">
        <v>14</v>
      </c>
      <c r="L4741">
        <v>8</v>
      </c>
      <c r="M4741">
        <v>1.244</v>
      </c>
    </row>
    <row r="4742" spans="1:13" ht="15" customHeight="1">
      <c r="A4742" t="s">
        <v>52</v>
      </c>
      <c r="B4742">
        <v>33.703310000000002</v>
      </c>
      <c r="C4742">
        <v>-117.84699000000001</v>
      </c>
      <c r="D4742" t="e">
        <f t="shared" si="296"/>
        <v>#N/A</v>
      </c>
      <c r="E4742">
        <v>45.499000000000002</v>
      </c>
      <c r="F4742" t="e">
        <f t="shared" si="297"/>
        <v>#N/A</v>
      </c>
      <c r="G4742">
        <v>20.266999999999999</v>
      </c>
      <c r="H4742">
        <v>0.71499999999999997</v>
      </c>
      <c r="I4742">
        <v>3.5449999999999999</v>
      </c>
      <c r="J4742">
        <v>4</v>
      </c>
      <c r="K4742">
        <v>13</v>
      </c>
      <c r="L4742">
        <v>7</v>
      </c>
      <c r="M4742">
        <v>1.1579999999999999</v>
      </c>
    </row>
    <row r="4743" spans="1:13" ht="15" customHeight="1">
      <c r="A4743" t="s">
        <v>52</v>
      </c>
      <c r="B4743">
        <v>33.703310000000002</v>
      </c>
      <c r="C4743">
        <v>-117.84699000000001</v>
      </c>
      <c r="D4743" t="e">
        <f t="shared" si="296"/>
        <v>#N/A</v>
      </c>
      <c r="E4743">
        <v>46.499000000000002</v>
      </c>
      <c r="F4743" t="e">
        <f t="shared" si="297"/>
        <v>#N/A</v>
      </c>
      <c r="G4743">
        <v>21.216999999999999</v>
      </c>
      <c r="H4743">
        <v>0.74199999999999999</v>
      </c>
      <c r="I4743">
        <v>3.512</v>
      </c>
      <c r="J4743">
        <v>5</v>
      </c>
      <c r="K4743">
        <v>10</v>
      </c>
      <c r="L4743">
        <v>5</v>
      </c>
      <c r="M4743">
        <v>1.2170000000000001</v>
      </c>
    </row>
    <row r="4744" spans="1:13" ht="15" customHeight="1">
      <c r="A4744" t="s">
        <v>52</v>
      </c>
      <c r="B4744">
        <v>33.703310000000002</v>
      </c>
      <c r="C4744">
        <v>-117.84699000000001</v>
      </c>
      <c r="D4744" t="e">
        <f t="shared" si="296"/>
        <v>#N/A</v>
      </c>
      <c r="E4744">
        <v>47.499000000000002</v>
      </c>
      <c r="F4744" t="e">
        <f t="shared" si="297"/>
        <v>#N/A</v>
      </c>
      <c r="G4744">
        <v>76.917000000000002</v>
      </c>
      <c r="H4744">
        <v>2.202</v>
      </c>
      <c r="I4744">
        <v>2.8660000000000001</v>
      </c>
      <c r="J4744">
        <v>6</v>
      </c>
      <c r="K4744">
        <v>29</v>
      </c>
      <c r="L4744">
        <v>16</v>
      </c>
      <c r="M4744">
        <v>4.9260000000000002</v>
      </c>
    </row>
    <row r="4745" spans="1:13" ht="15" customHeight="1">
      <c r="A4745" t="s">
        <v>52</v>
      </c>
      <c r="B4745">
        <v>33.703310000000002</v>
      </c>
      <c r="C4745">
        <v>-117.84699000000001</v>
      </c>
      <c r="D4745" t="e">
        <f t="shared" si="296"/>
        <v>#N/A</v>
      </c>
      <c r="E4745">
        <v>48.499000000000002</v>
      </c>
      <c r="F4745" t="e">
        <f t="shared" si="297"/>
        <v>#N/A</v>
      </c>
      <c r="G4745">
        <v>318.58300000000003</v>
      </c>
      <c r="H4745">
        <v>2.4470000000000001</v>
      </c>
      <c r="I4745">
        <v>0.76800000000000002</v>
      </c>
      <c r="J4745">
        <v>9</v>
      </c>
      <c r="K4745">
        <v>61</v>
      </c>
      <c r="L4745">
        <v>33</v>
      </c>
      <c r="M4745" s="1">
        <v>9000000000</v>
      </c>
    </row>
    <row r="4746" spans="1:13" ht="15" customHeight="1">
      <c r="A4746" t="s">
        <v>52</v>
      </c>
      <c r="B4746">
        <v>33.703310000000002</v>
      </c>
      <c r="C4746">
        <v>-117.84699000000001</v>
      </c>
      <c r="D4746" t="e">
        <f t="shared" si="296"/>
        <v>#N/A</v>
      </c>
      <c r="E4746">
        <v>49.499000000000002</v>
      </c>
      <c r="F4746" t="e">
        <f t="shared" si="297"/>
        <v>#N/A</v>
      </c>
      <c r="G4746">
        <v>319.10000000000002</v>
      </c>
      <c r="H4746">
        <v>2.78</v>
      </c>
      <c r="I4746">
        <v>0.871</v>
      </c>
      <c r="J4746">
        <v>9</v>
      </c>
      <c r="K4746">
        <v>61</v>
      </c>
      <c r="L4746">
        <v>32</v>
      </c>
      <c r="M4746" s="1">
        <v>9000000000</v>
      </c>
    </row>
    <row r="4747" spans="1:13" ht="15" customHeight="1">
      <c r="A4747" t="s">
        <v>52</v>
      </c>
      <c r="B4747">
        <v>33.703310000000002</v>
      </c>
      <c r="C4747">
        <v>-117.84699000000001</v>
      </c>
      <c r="D4747" t="e">
        <f t="shared" si="296"/>
        <v>#N/A</v>
      </c>
      <c r="E4747">
        <v>50.499000000000002</v>
      </c>
      <c r="F4747" t="e">
        <f t="shared" si="297"/>
        <v>#N/A</v>
      </c>
      <c r="G4747">
        <v>211.46700000000001</v>
      </c>
      <c r="H4747">
        <v>5.83</v>
      </c>
      <c r="I4747">
        <v>2.7589999999999999</v>
      </c>
      <c r="J4747">
        <v>7</v>
      </c>
      <c r="K4747">
        <v>67</v>
      </c>
      <c r="L4747">
        <v>35</v>
      </c>
      <c r="M4747" s="1">
        <v>9000000000</v>
      </c>
    </row>
    <row r="4748" spans="1:13" ht="15" customHeight="1">
      <c r="A4748" t="s">
        <v>52</v>
      </c>
      <c r="B4748">
        <v>33.703310000000002</v>
      </c>
      <c r="C4748">
        <v>-117.84699000000001</v>
      </c>
      <c r="D4748" t="e">
        <f t="shared" si="296"/>
        <v>#N/A</v>
      </c>
      <c r="E4748">
        <v>51.499000000000002</v>
      </c>
      <c r="F4748" t="e">
        <f t="shared" si="297"/>
        <v>#N/A</v>
      </c>
      <c r="G4748">
        <v>240.93299999999999</v>
      </c>
      <c r="H4748">
        <v>2.58</v>
      </c>
      <c r="I4748">
        <v>1.0720000000000001</v>
      </c>
      <c r="J4748">
        <v>9</v>
      </c>
      <c r="K4748">
        <v>46</v>
      </c>
      <c r="L4748">
        <v>24</v>
      </c>
      <c r="M4748" s="1">
        <v>9000000000</v>
      </c>
    </row>
    <row r="4749" spans="1:13" ht="15" customHeight="1">
      <c r="A4749" t="s">
        <v>52</v>
      </c>
      <c r="B4749">
        <v>33.703310000000002</v>
      </c>
      <c r="C4749">
        <v>-117.84699000000001</v>
      </c>
      <c r="D4749" t="e">
        <f t="shared" si="296"/>
        <v>#N/A</v>
      </c>
      <c r="E4749">
        <v>52.499000000000002</v>
      </c>
      <c r="F4749" t="e">
        <f t="shared" si="297"/>
        <v>#N/A</v>
      </c>
      <c r="G4749">
        <v>242.571</v>
      </c>
      <c r="H4749">
        <v>1.5369999999999999</v>
      </c>
      <c r="I4749">
        <v>0.63400000000000001</v>
      </c>
      <c r="J4749">
        <v>9</v>
      </c>
      <c r="K4749">
        <v>46</v>
      </c>
      <c r="L4749">
        <v>24</v>
      </c>
      <c r="M4749" s="1">
        <v>9000000000</v>
      </c>
    </row>
    <row r="4750" spans="1:13" ht="15" customHeight="1">
      <c r="A4750" t="s">
        <v>52</v>
      </c>
      <c r="B4750">
        <v>33.703310000000002</v>
      </c>
      <c r="C4750">
        <v>-117.84699000000001</v>
      </c>
      <c r="D4750" t="e">
        <f t="shared" si="296"/>
        <v>#N/A</v>
      </c>
      <c r="E4750">
        <v>53.499000000000002</v>
      </c>
      <c r="F4750" t="e">
        <f t="shared" si="297"/>
        <v>#N/A</v>
      </c>
      <c r="G4750">
        <v>243.517</v>
      </c>
      <c r="H4750">
        <v>1.972</v>
      </c>
      <c r="I4750">
        <v>0.81</v>
      </c>
      <c r="J4750">
        <v>9</v>
      </c>
      <c r="K4750">
        <v>47</v>
      </c>
      <c r="L4750">
        <v>24</v>
      </c>
      <c r="M4750" s="1">
        <v>9000000000</v>
      </c>
    </row>
    <row r="4751" spans="1:13" ht="15" customHeight="1">
      <c r="A4751" t="s">
        <v>52</v>
      </c>
      <c r="B4751">
        <v>33.703310000000002</v>
      </c>
      <c r="C4751">
        <v>-117.84699000000001</v>
      </c>
      <c r="D4751" t="e">
        <f t="shared" si="296"/>
        <v>#N/A</v>
      </c>
      <c r="E4751">
        <v>54.499000000000002</v>
      </c>
      <c r="F4751" t="e">
        <f t="shared" si="297"/>
        <v>#N/A</v>
      </c>
      <c r="G4751">
        <v>253.38300000000001</v>
      </c>
      <c r="H4751">
        <v>2.8370000000000002</v>
      </c>
      <c r="I4751">
        <v>1.1200000000000001</v>
      </c>
      <c r="J4751">
        <v>9</v>
      </c>
      <c r="K4751">
        <v>49</v>
      </c>
      <c r="L4751">
        <v>25</v>
      </c>
      <c r="M4751" s="1">
        <v>9000000000</v>
      </c>
    </row>
    <row r="4752" spans="1:13" ht="15" customHeight="1">
      <c r="A4752" t="s">
        <v>52</v>
      </c>
      <c r="B4752">
        <v>33.703310000000002</v>
      </c>
      <c r="C4752">
        <v>-117.84699000000001</v>
      </c>
      <c r="D4752" t="e">
        <f t="shared" si="296"/>
        <v>#N/A</v>
      </c>
      <c r="E4752">
        <v>55.499000000000002</v>
      </c>
      <c r="F4752" t="e">
        <f t="shared" si="297"/>
        <v>#N/A</v>
      </c>
      <c r="G4752">
        <v>131.35</v>
      </c>
      <c r="H4752">
        <v>2.3620000000000001</v>
      </c>
      <c r="I4752">
        <v>1.8</v>
      </c>
      <c r="J4752">
        <v>7</v>
      </c>
      <c r="K4752">
        <v>42</v>
      </c>
      <c r="L4752">
        <v>21</v>
      </c>
      <c r="M4752" s="1">
        <v>9000000000</v>
      </c>
    </row>
    <row r="4753" spans="1:13" ht="15" customHeight="1">
      <c r="A4753" t="s">
        <v>52</v>
      </c>
      <c r="B4753">
        <v>33.703310000000002</v>
      </c>
      <c r="C4753">
        <v>-117.84699000000001</v>
      </c>
      <c r="D4753" t="e">
        <f t="shared" si="296"/>
        <v>#N/A</v>
      </c>
      <c r="E4753">
        <v>56.499000000000002</v>
      </c>
      <c r="F4753" t="e">
        <f t="shared" si="297"/>
        <v>#N/A</v>
      </c>
      <c r="G4753">
        <v>37.216999999999999</v>
      </c>
      <c r="H4753">
        <v>1.518</v>
      </c>
      <c r="I4753">
        <v>4.0960000000000001</v>
      </c>
      <c r="J4753">
        <v>4</v>
      </c>
      <c r="K4753">
        <v>24</v>
      </c>
      <c r="L4753">
        <v>12</v>
      </c>
      <c r="M4753">
        <v>2.2389999999999999</v>
      </c>
    </row>
    <row r="4754" spans="1:13" ht="15" customHeight="1">
      <c r="A4754" t="s">
        <v>52</v>
      </c>
      <c r="B4754">
        <v>33.703310000000002</v>
      </c>
      <c r="C4754">
        <v>-117.84699000000001</v>
      </c>
      <c r="D4754" t="e">
        <f t="shared" si="296"/>
        <v>#N/A</v>
      </c>
      <c r="E4754">
        <v>57.499000000000002</v>
      </c>
      <c r="F4754" t="e">
        <f t="shared" si="297"/>
        <v>#N/A</v>
      </c>
      <c r="G4754">
        <v>103.783</v>
      </c>
      <c r="H4754">
        <v>4.9619999999999997</v>
      </c>
      <c r="I4754">
        <v>4.7859999999999996</v>
      </c>
      <c r="J4754">
        <v>11</v>
      </c>
      <c r="K4754">
        <v>99</v>
      </c>
      <c r="L4754">
        <v>50</v>
      </c>
      <c r="M4754" s="1">
        <v>9000000000</v>
      </c>
    </row>
    <row r="4755" spans="1:13" ht="15" customHeight="1">
      <c r="A4755" t="s">
        <v>52</v>
      </c>
      <c r="B4755">
        <v>33.703310000000002</v>
      </c>
      <c r="C4755">
        <v>-117.84699000000001</v>
      </c>
      <c r="D4755" t="e">
        <f t="shared" si="296"/>
        <v>#N/A</v>
      </c>
      <c r="E4755">
        <v>58.499000000000002</v>
      </c>
      <c r="F4755" t="e">
        <f t="shared" si="297"/>
        <v>#N/A</v>
      </c>
      <c r="G4755">
        <v>117.25</v>
      </c>
      <c r="H4755">
        <v>3.8820000000000001</v>
      </c>
      <c r="I4755">
        <v>3.3140000000000001</v>
      </c>
      <c r="J4755">
        <v>6</v>
      </c>
      <c r="K4755">
        <v>45</v>
      </c>
      <c r="L4755">
        <v>23</v>
      </c>
      <c r="M4755">
        <v>7.5670000000000002</v>
      </c>
    </row>
    <row r="4756" spans="1:13" ht="15" customHeight="1">
      <c r="A4756" t="s">
        <v>52</v>
      </c>
      <c r="B4756">
        <v>33.703310000000002</v>
      </c>
      <c r="C4756">
        <v>-117.84699000000001</v>
      </c>
      <c r="D4756" t="e">
        <f t="shared" si="296"/>
        <v>#N/A</v>
      </c>
      <c r="E4756">
        <v>59.499000000000002</v>
      </c>
      <c r="F4756" t="e">
        <f t="shared" si="297"/>
        <v>#N/A</v>
      </c>
      <c r="G4756">
        <v>49.582999999999998</v>
      </c>
      <c r="H4756">
        <v>2.87</v>
      </c>
      <c r="I4756">
        <v>5.806</v>
      </c>
      <c r="J4756">
        <v>3</v>
      </c>
      <c r="K4756">
        <v>47</v>
      </c>
      <c r="L4756">
        <v>24</v>
      </c>
      <c r="M4756">
        <v>3.0510000000000002</v>
      </c>
    </row>
    <row r="4757" spans="1:13" ht="15" customHeight="1">
      <c r="A4757" t="s">
        <v>52</v>
      </c>
      <c r="B4757">
        <v>33.703310000000002</v>
      </c>
      <c r="C4757">
        <v>-117.84699000000001</v>
      </c>
      <c r="D4757" t="e">
        <f t="shared" si="296"/>
        <v>#N/A</v>
      </c>
      <c r="E4757">
        <v>60.499000000000002</v>
      </c>
      <c r="F4757" t="e">
        <f t="shared" si="297"/>
        <v>#N/A</v>
      </c>
      <c r="G4757">
        <v>102.4</v>
      </c>
      <c r="H4757">
        <v>2.88</v>
      </c>
      <c r="I4757">
        <v>2.8170000000000002</v>
      </c>
      <c r="J4757">
        <v>6</v>
      </c>
      <c r="K4757">
        <v>39</v>
      </c>
      <c r="L4757">
        <v>20</v>
      </c>
      <c r="M4757">
        <v>6.5670000000000002</v>
      </c>
    </row>
    <row r="4758" spans="1:13" ht="15" customHeight="1">
      <c r="A4758" t="s">
        <v>52</v>
      </c>
      <c r="B4758">
        <v>33.703310000000002</v>
      </c>
      <c r="C4758">
        <v>-117.84699000000001</v>
      </c>
      <c r="D4758" t="e">
        <f t="shared" si="296"/>
        <v>#N/A</v>
      </c>
      <c r="E4758">
        <v>61.499000000000002</v>
      </c>
      <c r="F4758" t="e">
        <f t="shared" si="297"/>
        <v>#N/A</v>
      </c>
      <c r="G4758">
        <v>120.3</v>
      </c>
      <c r="H4758">
        <v>2.4729999999999999</v>
      </c>
      <c r="I4758">
        <v>2.0590000000000002</v>
      </c>
      <c r="J4758">
        <v>7</v>
      </c>
      <c r="K4758">
        <v>38</v>
      </c>
      <c r="L4758">
        <v>19</v>
      </c>
      <c r="M4758" s="1">
        <v>9000000000</v>
      </c>
    </row>
    <row r="4759" spans="1:13" ht="15" customHeight="1">
      <c r="A4759" t="s">
        <v>52</v>
      </c>
      <c r="B4759">
        <v>33.703310000000002</v>
      </c>
      <c r="C4759">
        <v>-117.84699000000001</v>
      </c>
      <c r="D4759" t="e">
        <f t="shared" si="296"/>
        <v>#N/A</v>
      </c>
      <c r="E4759">
        <v>62.499000000000002</v>
      </c>
      <c r="F4759" t="e">
        <f t="shared" si="297"/>
        <v>#N/A</v>
      </c>
      <c r="G4759">
        <v>27.071000000000002</v>
      </c>
      <c r="H4759">
        <v>0.871</v>
      </c>
      <c r="I4759">
        <v>3.2360000000000002</v>
      </c>
      <c r="J4759">
        <v>5</v>
      </c>
      <c r="K4759">
        <v>13</v>
      </c>
      <c r="L4759">
        <v>7</v>
      </c>
      <c r="M4759">
        <v>1.538</v>
      </c>
    </row>
    <row r="4760" spans="1:13" ht="15" customHeight="1">
      <c r="A4760" t="s">
        <v>52</v>
      </c>
      <c r="B4760">
        <v>33.703310000000002</v>
      </c>
      <c r="C4760">
        <v>-117.84699000000001</v>
      </c>
      <c r="D4760" t="e">
        <f t="shared" si="296"/>
        <v>#N/A</v>
      </c>
      <c r="E4760">
        <v>63.499000000000002</v>
      </c>
      <c r="F4760" t="e">
        <f t="shared" si="297"/>
        <v>#N/A</v>
      </c>
      <c r="G4760">
        <v>25.667000000000002</v>
      </c>
      <c r="H4760">
        <v>0.82199999999999995</v>
      </c>
      <c r="I4760">
        <v>3.218</v>
      </c>
      <c r="J4760">
        <v>5</v>
      </c>
      <c r="K4760">
        <v>12</v>
      </c>
      <c r="L4760">
        <v>6</v>
      </c>
      <c r="M4760">
        <v>1.4410000000000001</v>
      </c>
    </row>
    <row r="4761" spans="1:13" ht="15" customHeight="1">
      <c r="A4761" t="s">
        <v>52</v>
      </c>
      <c r="B4761">
        <v>33.703310000000002</v>
      </c>
      <c r="C4761">
        <v>-117.84699000000001</v>
      </c>
      <c r="D4761" t="e">
        <f t="shared" si="296"/>
        <v>#N/A</v>
      </c>
      <c r="E4761">
        <v>64.498999999999995</v>
      </c>
      <c r="F4761" t="e">
        <f t="shared" si="297"/>
        <v>#N/A</v>
      </c>
      <c r="G4761">
        <v>39.517000000000003</v>
      </c>
      <c r="H4761">
        <v>1.4219999999999999</v>
      </c>
      <c r="I4761">
        <v>3.61</v>
      </c>
      <c r="J4761">
        <v>5</v>
      </c>
      <c r="K4761">
        <v>19</v>
      </c>
      <c r="L4761">
        <v>10</v>
      </c>
      <c r="M4761">
        <v>2.36</v>
      </c>
    </row>
    <row r="4762" spans="1:13" ht="15" customHeight="1">
      <c r="A4762" t="s">
        <v>52</v>
      </c>
      <c r="B4762">
        <v>33.703310000000002</v>
      </c>
      <c r="C4762">
        <v>-117.84699000000001</v>
      </c>
      <c r="D4762" t="e">
        <f t="shared" si="296"/>
        <v>#N/A</v>
      </c>
      <c r="E4762">
        <v>65.498999999999995</v>
      </c>
      <c r="F4762" t="e">
        <f t="shared" si="297"/>
        <v>#N/A</v>
      </c>
      <c r="G4762">
        <v>25.417000000000002</v>
      </c>
      <c r="H4762">
        <v>0.9</v>
      </c>
      <c r="I4762">
        <v>3.56</v>
      </c>
      <c r="J4762">
        <v>5</v>
      </c>
      <c r="K4762">
        <v>12</v>
      </c>
      <c r="L4762">
        <v>6</v>
      </c>
      <c r="M4762">
        <v>1.4159999999999999</v>
      </c>
    </row>
    <row r="4763" spans="1:13" ht="15" customHeight="1">
      <c r="A4763" t="s">
        <v>52</v>
      </c>
      <c r="B4763">
        <v>33.703310000000002</v>
      </c>
      <c r="C4763">
        <v>-117.84699000000001</v>
      </c>
      <c r="D4763" t="e">
        <f t="shared" si="296"/>
        <v>#N/A</v>
      </c>
      <c r="E4763">
        <v>66.498999999999995</v>
      </c>
      <c r="F4763" t="e">
        <f t="shared" si="297"/>
        <v>#N/A</v>
      </c>
      <c r="G4763">
        <v>26.45</v>
      </c>
      <c r="H4763">
        <v>0.82</v>
      </c>
      <c r="I4763">
        <v>3.1139999999999999</v>
      </c>
      <c r="J4763">
        <v>5</v>
      </c>
      <c r="K4763">
        <v>13</v>
      </c>
      <c r="L4763">
        <v>7</v>
      </c>
      <c r="M4763">
        <v>1.482</v>
      </c>
    </row>
    <row r="4764" spans="1:13" ht="15" customHeight="1">
      <c r="A4764" t="s">
        <v>52</v>
      </c>
      <c r="B4764">
        <v>33.703310000000002</v>
      </c>
      <c r="C4764">
        <v>-117.84699000000001</v>
      </c>
      <c r="D4764" t="e">
        <f t="shared" si="296"/>
        <v>#N/A</v>
      </c>
      <c r="E4764">
        <v>67.498999999999995</v>
      </c>
      <c r="F4764" t="e">
        <f t="shared" si="297"/>
        <v>#N/A</v>
      </c>
      <c r="G4764">
        <v>34.366999999999997</v>
      </c>
      <c r="H4764">
        <v>1.1919999999999999</v>
      </c>
      <c r="I4764">
        <v>3.4790000000000001</v>
      </c>
      <c r="J4764">
        <v>5</v>
      </c>
      <c r="K4764">
        <v>16</v>
      </c>
      <c r="L4764">
        <v>8</v>
      </c>
      <c r="M4764">
        <v>2.0049999999999999</v>
      </c>
    </row>
    <row r="4765" spans="1:13" ht="15" customHeight="1">
      <c r="A4765" t="s">
        <v>52</v>
      </c>
      <c r="B4765">
        <v>33.703310000000002</v>
      </c>
      <c r="C4765">
        <v>-117.84699000000001</v>
      </c>
      <c r="D4765" t="e">
        <f t="shared" si="296"/>
        <v>#N/A</v>
      </c>
      <c r="E4765">
        <v>68.498999999999995</v>
      </c>
      <c r="F4765" t="e">
        <f t="shared" si="297"/>
        <v>#N/A</v>
      </c>
      <c r="G4765">
        <v>36.082999999999998</v>
      </c>
      <c r="H4765">
        <v>1.4630000000000001</v>
      </c>
      <c r="I4765">
        <v>4.0670000000000002</v>
      </c>
      <c r="J4765">
        <v>4</v>
      </c>
      <c r="K4765">
        <v>23</v>
      </c>
      <c r="L4765">
        <v>12</v>
      </c>
      <c r="M4765">
        <v>2.117</v>
      </c>
    </row>
    <row r="4766" spans="1:13" ht="15" customHeight="1">
      <c r="A4766" t="s">
        <v>52</v>
      </c>
      <c r="B4766">
        <v>33.703310000000002</v>
      </c>
      <c r="C4766">
        <v>-117.84699000000001</v>
      </c>
      <c r="D4766" t="e">
        <f t="shared" si="296"/>
        <v>#N/A</v>
      </c>
      <c r="E4766">
        <v>69.498999999999995</v>
      </c>
      <c r="F4766" t="e">
        <f t="shared" si="297"/>
        <v>#N/A</v>
      </c>
      <c r="G4766">
        <v>66.867000000000004</v>
      </c>
      <c r="H4766">
        <v>2.923</v>
      </c>
      <c r="I4766">
        <v>4.38</v>
      </c>
      <c r="J4766">
        <v>5</v>
      </c>
      <c r="K4766">
        <v>32</v>
      </c>
      <c r="L4766">
        <v>16</v>
      </c>
      <c r="M4766">
        <v>4.1639999999999997</v>
      </c>
    </row>
    <row r="4767" spans="1:13" ht="15" customHeight="1">
      <c r="A4767" t="s">
        <v>52</v>
      </c>
      <c r="B4767">
        <v>33.703310000000002</v>
      </c>
      <c r="C4767">
        <v>-117.84699000000001</v>
      </c>
      <c r="D4767" t="e">
        <f t="shared" si="296"/>
        <v>#N/A</v>
      </c>
      <c r="E4767">
        <v>70.498999999999995</v>
      </c>
      <c r="F4767" t="e">
        <f t="shared" si="297"/>
        <v>#N/A</v>
      </c>
      <c r="G4767">
        <v>51.982999999999997</v>
      </c>
      <c r="H4767">
        <v>1.9450000000000001</v>
      </c>
      <c r="I4767">
        <v>3.75</v>
      </c>
      <c r="J4767">
        <v>5</v>
      </c>
      <c r="K4767">
        <v>25</v>
      </c>
      <c r="L4767">
        <v>13</v>
      </c>
      <c r="M4767">
        <v>3.1669999999999998</v>
      </c>
    </row>
    <row r="4768" spans="1:13" ht="15" customHeight="1">
      <c r="A4768" t="s">
        <v>52</v>
      </c>
      <c r="B4768">
        <v>33.703310000000002</v>
      </c>
      <c r="C4768">
        <v>-117.84699000000001</v>
      </c>
      <c r="D4768" t="e">
        <f t="shared" si="296"/>
        <v>#N/A</v>
      </c>
      <c r="E4768">
        <v>71.498999999999995</v>
      </c>
      <c r="F4768" t="e">
        <f t="shared" si="297"/>
        <v>#N/A</v>
      </c>
      <c r="G4768">
        <v>53.167000000000002</v>
      </c>
      <c r="H4768">
        <v>2.78</v>
      </c>
      <c r="I4768">
        <v>5.24</v>
      </c>
      <c r="J4768">
        <v>3</v>
      </c>
      <c r="K4768">
        <v>51</v>
      </c>
      <c r="L4768">
        <v>26</v>
      </c>
      <c r="M4768">
        <v>3.242</v>
      </c>
    </row>
    <row r="4769" spans="1:13" ht="15" customHeight="1">
      <c r="A4769" t="s">
        <v>52</v>
      </c>
      <c r="B4769">
        <v>33.703310000000002</v>
      </c>
      <c r="C4769">
        <v>-117.84699000000001</v>
      </c>
      <c r="D4769" t="e">
        <f t="shared" si="296"/>
        <v>#N/A</v>
      </c>
      <c r="E4769">
        <v>72.498999999999995</v>
      </c>
      <c r="F4769" t="e">
        <f t="shared" si="297"/>
        <v>#N/A</v>
      </c>
      <c r="G4769">
        <v>85.442999999999998</v>
      </c>
      <c r="H4769">
        <v>3.7109999999999999</v>
      </c>
      <c r="I4769">
        <v>4.3490000000000002</v>
      </c>
      <c r="J4769">
        <v>5</v>
      </c>
      <c r="K4769">
        <v>41</v>
      </c>
      <c r="L4769">
        <v>21</v>
      </c>
      <c r="M4769">
        <v>5.391</v>
      </c>
    </row>
    <row r="4770" spans="1:13" ht="15" customHeight="1">
      <c r="A4770" t="s">
        <v>52</v>
      </c>
      <c r="B4770">
        <v>33.703310000000002</v>
      </c>
      <c r="C4770">
        <v>-117.84699000000001</v>
      </c>
      <c r="D4770" t="e">
        <f t="shared" si="296"/>
        <v>#N/A</v>
      </c>
      <c r="E4770">
        <v>73.498999999999995</v>
      </c>
      <c r="F4770" t="e">
        <f t="shared" si="297"/>
        <v>#N/A</v>
      </c>
      <c r="G4770">
        <v>26.966999999999999</v>
      </c>
      <c r="H4770">
        <v>1.1419999999999999</v>
      </c>
      <c r="I4770">
        <v>4.2519999999999998</v>
      </c>
      <c r="J4770">
        <v>4</v>
      </c>
      <c r="K4770">
        <v>17</v>
      </c>
      <c r="L4770">
        <v>9</v>
      </c>
      <c r="M4770">
        <v>1.4870000000000001</v>
      </c>
    </row>
    <row r="4771" spans="1:13" ht="15" customHeight="1">
      <c r="A4771" t="s">
        <v>52</v>
      </c>
      <c r="B4771">
        <v>33.703310000000002</v>
      </c>
      <c r="C4771">
        <v>-117.84699000000001</v>
      </c>
      <c r="D4771" t="e">
        <f t="shared" si="296"/>
        <v>#N/A</v>
      </c>
      <c r="E4771">
        <v>74.498999999999995</v>
      </c>
      <c r="F4771" t="e">
        <f t="shared" si="297"/>
        <v>#N/A</v>
      </c>
      <c r="G4771">
        <v>30.783000000000001</v>
      </c>
      <c r="H4771">
        <v>0.79</v>
      </c>
      <c r="I4771">
        <v>2.5760000000000001</v>
      </c>
      <c r="J4771">
        <v>6</v>
      </c>
      <c r="K4771">
        <v>12</v>
      </c>
      <c r="L4771">
        <v>6</v>
      </c>
      <c r="M4771">
        <v>1.7370000000000001</v>
      </c>
    </row>
    <row r="4772" spans="1:13" ht="15" customHeight="1">
      <c r="A4772" t="s">
        <v>52</v>
      </c>
      <c r="B4772">
        <v>33.703310000000002</v>
      </c>
      <c r="C4772">
        <v>-117.84699000000001</v>
      </c>
      <c r="D4772" t="e">
        <f t="shared" si="296"/>
        <v>#N/A</v>
      </c>
      <c r="E4772">
        <v>75.498999999999995</v>
      </c>
      <c r="F4772" t="e">
        <f t="shared" si="297"/>
        <v>#N/A</v>
      </c>
      <c r="G4772">
        <v>33.9</v>
      </c>
      <c r="H4772">
        <v>1.1830000000000001</v>
      </c>
      <c r="I4772">
        <v>3.504</v>
      </c>
      <c r="J4772">
        <v>5</v>
      </c>
      <c r="K4772">
        <v>16</v>
      </c>
      <c r="L4772">
        <v>8</v>
      </c>
      <c r="M4772">
        <v>1.94</v>
      </c>
    </row>
    <row r="4773" spans="1:13" ht="15" customHeight="1">
      <c r="A4773" t="s">
        <v>52</v>
      </c>
      <c r="B4773">
        <v>33.703310000000002</v>
      </c>
      <c r="C4773">
        <v>-117.84699000000001</v>
      </c>
      <c r="D4773" t="e">
        <f t="shared" si="296"/>
        <v>#N/A</v>
      </c>
      <c r="E4773">
        <v>76.498999999999995</v>
      </c>
      <c r="F4773" t="e">
        <f t="shared" si="297"/>
        <v>#N/A</v>
      </c>
      <c r="G4773">
        <v>30.95</v>
      </c>
      <c r="H4773">
        <v>1.222</v>
      </c>
      <c r="I4773">
        <v>3.9620000000000002</v>
      </c>
      <c r="J4773">
        <v>4</v>
      </c>
      <c r="K4773">
        <v>20</v>
      </c>
      <c r="L4773">
        <v>10</v>
      </c>
      <c r="M4773">
        <v>1.74</v>
      </c>
    </row>
    <row r="4774" spans="1:13" ht="15" customHeight="1">
      <c r="A4774" t="s">
        <v>52</v>
      </c>
      <c r="B4774">
        <v>33.703310000000002</v>
      </c>
      <c r="C4774">
        <v>-117.84699000000001</v>
      </c>
      <c r="D4774" t="e">
        <f t="shared" si="296"/>
        <v>#N/A</v>
      </c>
      <c r="E4774">
        <v>77.498999999999995</v>
      </c>
      <c r="F4774" t="e">
        <f t="shared" si="297"/>
        <v>#N/A</v>
      </c>
      <c r="G4774">
        <v>31.016999999999999</v>
      </c>
      <c r="H4774">
        <v>1.19</v>
      </c>
      <c r="I4774">
        <v>3.8490000000000002</v>
      </c>
      <c r="J4774">
        <v>5</v>
      </c>
      <c r="K4774">
        <v>15</v>
      </c>
      <c r="L4774">
        <v>8</v>
      </c>
      <c r="M4774">
        <v>1.7410000000000001</v>
      </c>
    </row>
    <row r="4775" spans="1:13" ht="15" customHeight="1">
      <c r="A4775" t="s">
        <v>52</v>
      </c>
      <c r="B4775">
        <v>33.703310000000002</v>
      </c>
      <c r="C4775">
        <v>-117.84699000000001</v>
      </c>
      <c r="D4775" t="e">
        <f t="shared" si="296"/>
        <v>#N/A</v>
      </c>
      <c r="E4775">
        <v>78.498999999999995</v>
      </c>
      <c r="F4775" t="e">
        <f t="shared" si="297"/>
        <v>#N/A</v>
      </c>
      <c r="G4775">
        <v>44.133000000000003</v>
      </c>
      <c r="H4775">
        <v>1.7769999999999999</v>
      </c>
      <c r="I4775">
        <v>4.0350000000000001</v>
      </c>
      <c r="J4775">
        <v>5</v>
      </c>
      <c r="K4775">
        <v>21</v>
      </c>
      <c r="L4775">
        <v>11</v>
      </c>
      <c r="M4775">
        <v>2.6120000000000001</v>
      </c>
    </row>
    <row r="4776" spans="1:13" ht="15" customHeight="1">
      <c r="A4776" t="s">
        <v>52</v>
      </c>
      <c r="B4776">
        <v>33.703310000000002</v>
      </c>
      <c r="C4776">
        <v>-117.84699000000001</v>
      </c>
      <c r="D4776" t="e">
        <f t="shared" si="296"/>
        <v>#N/A</v>
      </c>
      <c r="E4776">
        <v>79.498999999999995</v>
      </c>
      <c r="F4776" t="e">
        <f t="shared" si="297"/>
        <v>#N/A</v>
      </c>
      <c r="G4776">
        <v>94.617000000000004</v>
      </c>
      <c r="H4776">
        <v>4.883</v>
      </c>
      <c r="I4776">
        <v>5.1669999999999998</v>
      </c>
      <c r="J4776">
        <v>11</v>
      </c>
      <c r="K4776">
        <v>91</v>
      </c>
      <c r="L4776">
        <v>46</v>
      </c>
      <c r="M4776" s="1">
        <v>9000000000</v>
      </c>
    </row>
    <row r="4777" spans="1:13" ht="15" customHeight="1">
      <c r="A4777" t="s">
        <v>52</v>
      </c>
      <c r="B4777">
        <v>33.703310000000002</v>
      </c>
      <c r="C4777">
        <v>-117.84699000000001</v>
      </c>
      <c r="D4777" t="e">
        <f t="shared" si="296"/>
        <v>#N/A</v>
      </c>
      <c r="E4777">
        <v>80.498999999999995</v>
      </c>
      <c r="F4777" t="e">
        <f t="shared" si="297"/>
        <v>#N/A</v>
      </c>
      <c r="G4777">
        <v>51.567</v>
      </c>
      <c r="H4777">
        <v>2.8769999999999998</v>
      </c>
      <c r="I4777">
        <v>5.5890000000000004</v>
      </c>
      <c r="J4777">
        <v>3</v>
      </c>
      <c r="K4777">
        <v>49</v>
      </c>
      <c r="L4777">
        <v>25</v>
      </c>
      <c r="M4777">
        <v>3.0990000000000002</v>
      </c>
    </row>
    <row r="4778" spans="1:13" ht="15" customHeight="1">
      <c r="A4778" t="s">
        <v>52</v>
      </c>
      <c r="B4778">
        <v>33.703310000000002</v>
      </c>
      <c r="C4778">
        <v>-117.84699000000001</v>
      </c>
      <c r="D4778" t="e">
        <f t="shared" si="296"/>
        <v>#N/A</v>
      </c>
      <c r="E4778">
        <v>81.498999999999995</v>
      </c>
      <c r="F4778" t="e">
        <f t="shared" si="297"/>
        <v>#N/A</v>
      </c>
      <c r="G4778">
        <v>28.35</v>
      </c>
      <c r="H4778">
        <v>1.1619999999999999</v>
      </c>
      <c r="I4778">
        <v>4.1150000000000002</v>
      </c>
      <c r="J4778">
        <v>4</v>
      </c>
      <c r="K4778">
        <v>18</v>
      </c>
      <c r="L4778">
        <v>9</v>
      </c>
      <c r="M4778">
        <v>1.546</v>
      </c>
    </row>
    <row r="4779" spans="1:13" ht="15" customHeight="1">
      <c r="A4779" t="s">
        <v>52</v>
      </c>
      <c r="B4779">
        <v>33.703310000000002</v>
      </c>
      <c r="C4779">
        <v>-117.84699000000001</v>
      </c>
      <c r="D4779" t="e">
        <f t="shared" si="296"/>
        <v>#N/A</v>
      </c>
      <c r="E4779">
        <v>82.498999999999995</v>
      </c>
      <c r="F4779" t="e">
        <f t="shared" si="297"/>
        <v>#N/A</v>
      </c>
      <c r="G4779">
        <v>24.85</v>
      </c>
      <c r="H4779">
        <v>0.77800000000000002</v>
      </c>
      <c r="I4779">
        <v>3.145</v>
      </c>
      <c r="J4779">
        <v>5</v>
      </c>
      <c r="K4779">
        <v>12</v>
      </c>
      <c r="L4779">
        <v>6</v>
      </c>
      <c r="M4779">
        <v>1.3089999999999999</v>
      </c>
    </row>
    <row r="4780" spans="1:13" ht="15" customHeight="1">
      <c r="A4780" t="s">
        <v>52</v>
      </c>
      <c r="B4780">
        <v>33.703310000000002</v>
      </c>
      <c r="C4780">
        <v>-117.84699000000001</v>
      </c>
      <c r="D4780" t="e">
        <f t="shared" si="296"/>
        <v>#N/A</v>
      </c>
      <c r="E4780">
        <v>83.498999999999995</v>
      </c>
      <c r="F4780" t="e">
        <f t="shared" si="297"/>
        <v>#N/A</v>
      </c>
      <c r="G4780">
        <v>43.329000000000001</v>
      </c>
      <c r="H4780">
        <v>1.704</v>
      </c>
      <c r="I4780">
        <v>3.9420000000000002</v>
      </c>
      <c r="J4780">
        <v>5</v>
      </c>
      <c r="K4780">
        <v>21</v>
      </c>
      <c r="L4780">
        <v>11</v>
      </c>
      <c r="M4780">
        <v>2.5369999999999999</v>
      </c>
    </row>
    <row r="4781" spans="1:13" ht="15" customHeight="1">
      <c r="A4781" t="s">
        <v>52</v>
      </c>
      <c r="B4781">
        <v>33.703310000000002</v>
      </c>
      <c r="C4781">
        <v>-117.84699000000001</v>
      </c>
      <c r="D4781" t="e">
        <f t="shared" si="296"/>
        <v>#N/A</v>
      </c>
      <c r="E4781">
        <v>84.498999999999995</v>
      </c>
      <c r="F4781" t="e">
        <f t="shared" si="297"/>
        <v>#N/A</v>
      </c>
      <c r="G4781">
        <v>21.516999999999999</v>
      </c>
      <c r="H4781">
        <v>0.91300000000000003</v>
      </c>
      <c r="I4781">
        <v>4.2649999999999997</v>
      </c>
      <c r="J4781">
        <v>4</v>
      </c>
      <c r="K4781">
        <v>14</v>
      </c>
      <c r="L4781">
        <v>7</v>
      </c>
      <c r="M4781">
        <v>1.079</v>
      </c>
    </row>
    <row r="4782" spans="1:13" ht="15" customHeight="1">
      <c r="A4782" t="s">
        <v>52</v>
      </c>
      <c r="B4782">
        <v>33.703310000000002</v>
      </c>
      <c r="C4782">
        <v>-117.84699000000001</v>
      </c>
      <c r="D4782" t="e">
        <f t="shared" si="296"/>
        <v>#N/A</v>
      </c>
      <c r="E4782">
        <v>85.498999999999995</v>
      </c>
      <c r="F4782" t="e">
        <f t="shared" si="297"/>
        <v>#N/A</v>
      </c>
      <c r="G4782">
        <v>31.65</v>
      </c>
      <c r="H4782">
        <v>1.32</v>
      </c>
      <c r="I4782">
        <v>4.1769999999999996</v>
      </c>
      <c r="J4782">
        <v>4</v>
      </c>
      <c r="K4782">
        <v>20</v>
      </c>
      <c r="L4782">
        <v>10</v>
      </c>
      <c r="M4782">
        <v>1.7529999999999999</v>
      </c>
    </row>
    <row r="4783" spans="1:13" ht="15" customHeight="1">
      <c r="A4783" t="s">
        <v>52</v>
      </c>
      <c r="B4783">
        <v>33.703310000000002</v>
      </c>
      <c r="C4783">
        <v>-117.84699000000001</v>
      </c>
      <c r="D4783" t="e">
        <f t="shared" si="296"/>
        <v>#N/A</v>
      </c>
      <c r="E4783">
        <v>86.498999999999995</v>
      </c>
      <c r="F4783" t="e">
        <f t="shared" si="297"/>
        <v>#N/A</v>
      </c>
      <c r="G4783">
        <v>88.3</v>
      </c>
      <c r="H4783">
        <v>3.6970000000000001</v>
      </c>
      <c r="I4783">
        <v>4.1900000000000004</v>
      </c>
      <c r="J4783">
        <v>5</v>
      </c>
      <c r="K4783">
        <v>42</v>
      </c>
      <c r="L4783">
        <v>21</v>
      </c>
      <c r="M4783">
        <v>5.524</v>
      </c>
    </row>
    <row r="4784" spans="1:13" ht="15" customHeight="1">
      <c r="A4784" t="s">
        <v>52</v>
      </c>
      <c r="B4784">
        <v>33.703310000000002</v>
      </c>
      <c r="C4784">
        <v>-117.84699000000001</v>
      </c>
      <c r="D4784" t="e">
        <f t="shared" si="296"/>
        <v>#N/A</v>
      </c>
      <c r="E4784">
        <v>87.498999999999995</v>
      </c>
      <c r="F4784" t="e">
        <f t="shared" si="297"/>
        <v>#N/A</v>
      </c>
      <c r="G4784">
        <v>208.11699999999999</v>
      </c>
      <c r="H4784">
        <v>3.125</v>
      </c>
      <c r="I4784">
        <v>1.502</v>
      </c>
      <c r="J4784">
        <v>8</v>
      </c>
      <c r="K4784">
        <v>50</v>
      </c>
      <c r="L4784">
        <v>25</v>
      </c>
      <c r="M4784" s="1">
        <v>9000000000</v>
      </c>
    </row>
    <row r="4785" spans="1:13" ht="15" customHeight="1">
      <c r="A4785" t="s">
        <v>52</v>
      </c>
      <c r="B4785">
        <v>33.703310000000002</v>
      </c>
      <c r="C4785">
        <v>-117.84699000000001</v>
      </c>
      <c r="D4785" t="e">
        <f t="shared" si="296"/>
        <v>#N/A</v>
      </c>
      <c r="E4785">
        <v>88.498999999999995</v>
      </c>
      <c r="F4785" t="e">
        <f t="shared" si="297"/>
        <v>#N/A</v>
      </c>
      <c r="G4785">
        <v>273.64999999999998</v>
      </c>
      <c r="H4785">
        <v>3.403</v>
      </c>
      <c r="I4785">
        <v>1.2430000000000001</v>
      </c>
      <c r="J4785">
        <v>9</v>
      </c>
      <c r="K4785">
        <v>52</v>
      </c>
      <c r="L4785">
        <v>26</v>
      </c>
      <c r="M4785" s="1">
        <v>9000000000</v>
      </c>
    </row>
    <row r="4786" spans="1:13" ht="15" customHeight="1">
      <c r="A4786" t="s">
        <v>52</v>
      </c>
      <c r="B4786">
        <v>33.703310000000002</v>
      </c>
      <c r="C4786">
        <v>-117.84699000000001</v>
      </c>
      <c r="D4786" t="e">
        <f t="shared" si="296"/>
        <v>#N/A</v>
      </c>
      <c r="E4786">
        <v>89.498999999999995</v>
      </c>
      <c r="F4786" t="e">
        <f t="shared" si="297"/>
        <v>#N/A</v>
      </c>
      <c r="G4786">
        <v>123.05</v>
      </c>
      <c r="H4786">
        <v>4.1349999999999998</v>
      </c>
      <c r="I4786">
        <v>3.3610000000000002</v>
      </c>
      <c r="J4786">
        <v>6</v>
      </c>
      <c r="K4786">
        <v>47</v>
      </c>
      <c r="L4786">
        <v>24</v>
      </c>
      <c r="M4786">
        <v>7.8310000000000004</v>
      </c>
    </row>
    <row r="4787" spans="1:13" ht="15" customHeight="1">
      <c r="A4787" t="s">
        <v>52</v>
      </c>
      <c r="B4787">
        <v>33.703310000000002</v>
      </c>
      <c r="C4787">
        <v>-117.84699000000001</v>
      </c>
      <c r="D4787" t="e">
        <f t="shared" si="296"/>
        <v>#N/A</v>
      </c>
      <c r="E4787">
        <v>90.498999999999995</v>
      </c>
      <c r="F4787" t="e">
        <f t="shared" si="297"/>
        <v>#N/A</v>
      </c>
      <c r="G4787">
        <v>162.03299999999999</v>
      </c>
      <c r="H4787">
        <v>3.0649999999999999</v>
      </c>
      <c r="I4787">
        <v>1.8919999999999999</v>
      </c>
      <c r="J4787">
        <v>7</v>
      </c>
      <c r="K4787">
        <v>52</v>
      </c>
      <c r="L4787">
        <v>26</v>
      </c>
      <c r="M4787" s="1">
        <v>9000000000</v>
      </c>
    </row>
    <row r="4788" spans="1:13" ht="15" customHeight="1">
      <c r="A4788" t="s">
        <v>52</v>
      </c>
      <c r="B4788">
        <v>33.703310000000002</v>
      </c>
      <c r="C4788">
        <v>-117.84699000000001</v>
      </c>
      <c r="D4788" t="e">
        <f t="shared" si="296"/>
        <v>#N/A</v>
      </c>
      <c r="E4788">
        <v>91.498999999999995</v>
      </c>
      <c r="F4788" t="e">
        <f t="shared" si="297"/>
        <v>#N/A</v>
      </c>
      <c r="G4788">
        <v>33.482999999999997</v>
      </c>
      <c r="H4788">
        <v>1.048</v>
      </c>
      <c r="I4788">
        <v>3.137</v>
      </c>
      <c r="J4788">
        <v>5</v>
      </c>
      <c r="K4788">
        <v>16</v>
      </c>
      <c r="L4788">
        <v>8</v>
      </c>
      <c r="M4788">
        <v>1.85</v>
      </c>
    </row>
    <row r="4789" spans="1:13" ht="15" customHeight="1">
      <c r="A4789" t="s">
        <v>52</v>
      </c>
      <c r="B4789">
        <v>33.703310000000002</v>
      </c>
      <c r="C4789">
        <v>-117.84699000000001</v>
      </c>
      <c r="D4789" t="e">
        <f t="shared" si="296"/>
        <v>#N/A</v>
      </c>
      <c r="E4789">
        <v>92.498999999999995</v>
      </c>
      <c r="F4789" t="e">
        <f t="shared" si="297"/>
        <v>#N/A</v>
      </c>
      <c r="G4789">
        <v>57.133000000000003</v>
      </c>
      <c r="H4789">
        <v>3.085</v>
      </c>
      <c r="I4789">
        <v>5.4039999999999999</v>
      </c>
      <c r="J4789">
        <v>3</v>
      </c>
      <c r="K4789">
        <v>55</v>
      </c>
      <c r="L4789">
        <v>28</v>
      </c>
      <c r="M4789">
        <v>3.423</v>
      </c>
    </row>
    <row r="4790" spans="1:13" ht="15" customHeight="1">
      <c r="A4790" t="s">
        <v>52</v>
      </c>
      <c r="B4790">
        <v>33.703310000000002</v>
      </c>
      <c r="C4790">
        <v>-117.84699000000001</v>
      </c>
      <c r="D4790" t="e">
        <f t="shared" si="296"/>
        <v>#N/A</v>
      </c>
      <c r="E4790">
        <v>93.498999999999995</v>
      </c>
      <c r="F4790" t="e">
        <f t="shared" si="297"/>
        <v>#N/A</v>
      </c>
      <c r="G4790">
        <v>111.857</v>
      </c>
      <c r="H4790">
        <v>5.274</v>
      </c>
      <c r="I4790">
        <v>4.7190000000000003</v>
      </c>
      <c r="J4790">
        <v>11</v>
      </c>
      <c r="K4790">
        <v>107</v>
      </c>
      <c r="L4790">
        <v>54</v>
      </c>
      <c r="M4790" s="1">
        <v>9000000000</v>
      </c>
    </row>
    <row r="4791" spans="1:13" ht="15" customHeight="1">
      <c r="A4791" t="s">
        <v>52</v>
      </c>
      <c r="B4791">
        <v>33.703310000000002</v>
      </c>
      <c r="C4791">
        <v>-117.84699000000001</v>
      </c>
      <c r="D4791" t="e">
        <f t="shared" si="296"/>
        <v>#N/A</v>
      </c>
      <c r="E4791">
        <v>94.498999999999995</v>
      </c>
      <c r="F4791" t="e">
        <f t="shared" si="297"/>
        <v>#N/A</v>
      </c>
      <c r="G4791">
        <v>319.267</v>
      </c>
      <c r="H4791">
        <v>6.8979999999999997</v>
      </c>
      <c r="I4791">
        <v>2.161</v>
      </c>
      <c r="J4791">
        <v>8</v>
      </c>
      <c r="K4791">
        <v>76</v>
      </c>
      <c r="L4791">
        <v>38</v>
      </c>
      <c r="M4791" s="1">
        <v>9000000000</v>
      </c>
    </row>
    <row r="4792" spans="1:13" ht="15" customHeight="1">
      <c r="A4792" t="s">
        <v>52</v>
      </c>
      <c r="B4792">
        <v>33.703310000000002</v>
      </c>
      <c r="C4792">
        <v>-117.84699000000001</v>
      </c>
      <c r="D4792" t="e">
        <f t="shared" si="296"/>
        <v>#N/A</v>
      </c>
      <c r="E4792">
        <v>95.498999999999995</v>
      </c>
      <c r="F4792" t="e">
        <f t="shared" si="297"/>
        <v>#N/A</v>
      </c>
      <c r="G4792">
        <v>216.333</v>
      </c>
      <c r="H4792">
        <v>5.69</v>
      </c>
      <c r="I4792">
        <v>2.6320000000000001</v>
      </c>
      <c r="J4792">
        <v>7</v>
      </c>
      <c r="K4792">
        <v>69</v>
      </c>
      <c r="L4792">
        <v>35</v>
      </c>
      <c r="M4792" s="1">
        <v>9000000000</v>
      </c>
    </row>
    <row r="4793" spans="1:13" ht="15" customHeight="1">
      <c r="A4793" t="s">
        <v>52</v>
      </c>
      <c r="B4793">
        <v>33.703310000000002</v>
      </c>
      <c r="C4793">
        <v>-117.84699000000001</v>
      </c>
      <c r="D4793" t="e">
        <f t="shared" si="296"/>
        <v>#N/A</v>
      </c>
      <c r="E4793">
        <v>96.498999999999995</v>
      </c>
      <c r="F4793" t="e">
        <f t="shared" si="297"/>
        <v>#N/A</v>
      </c>
      <c r="G4793">
        <v>268.517</v>
      </c>
      <c r="H4793">
        <v>5.7919999999999998</v>
      </c>
      <c r="I4793">
        <v>2.1579999999999999</v>
      </c>
      <c r="J4793">
        <v>8</v>
      </c>
      <c r="K4793">
        <v>64</v>
      </c>
      <c r="L4793">
        <v>32</v>
      </c>
      <c r="M4793" s="1">
        <v>9000000000</v>
      </c>
    </row>
    <row r="4794" spans="1:13" ht="15" customHeight="1">
      <c r="A4794" t="s">
        <v>52</v>
      </c>
      <c r="B4794">
        <v>33.703310000000002</v>
      </c>
      <c r="C4794">
        <v>-117.84699000000001</v>
      </c>
      <c r="D4794" t="e">
        <f t="shared" si="296"/>
        <v>#N/A</v>
      </c>
      <c r="E4794">
        <v>97.498999999999995</v>
      </c>
      <c r="F4794" t="e">
        <f t="shared" si="297"/>
        <v>#N/A</v>
      </c>
      <c r="G4794">
        <v>373.1</v>
      </c>
      <c r="H4794">
        <v>6.9130000000000003</v>
      </c>
      <c r="I4794">
        <v>1.8540000000000001</v>
      </c>
      <c r="J4794">
        <v>8</v>
      </c>
      <c r="K4794">
        <v>89</v>
      </c>
      <c r="L4794">
        <v>45</v>
      </c>
      <c r="M4794" s="1">
        <v>9000000000</v>
      </c>
    </row>
    <row r="4795" spans="1:13" ht="15" customHeight="1">
      <c r="A4795" t="s">
        <v>52</v>
      </c>
      <c r="B4795">
        <v>33.703310000000002</v>
      </c>
      <c r="C4795">
        <v>-117.84699000000001</v>
      </c>
      <c r="D4795" t="e">
        <f t="shared" si="296"/>
        <v>#N/A</v>
      </c>
      <c r="E4795">
        <v>98.498999999999995</v>
      </c>
      <c r="F4795" t="e">
        <f t="shared" si="297"/>
        <v>#N/A</v>
      </c>
      <c r="G4795">
        <v>251.15</v>
      </c>
      <c r="H4795">
        <v>4.9850000000000003</v>
      </c>
      <c r="I4795">
        <v>1.986</v>
      </c>
      <c r="J4795">
        <v>8</v>
      </c>
      <c r="K4795">
        <v>60</v>
      </c>
      <c r="L4795">
        <v>30</v>
      </c>
      <c r="M4795" s="1">
        <v>9000000000</v>
      </c>
    </row>
    <row r="4796" spans="1:13" ht="15" customHeight="1">
      <c r="A4796" t="s">
        <v>52</v>
      </c>
      <c r="B4796">
        <v>33.703310000000002</v>
      </c>
      <c r="C4796">
        <v>-117.84699000000001</v>
      </c>
      <c r="D4796" t="e">
        <f t="shared" si="296"/>
        <v>#N/A</v>
      </c>
      <c r="E4796">
        <v>99.498999999999995</v>
      </c>
      <c r="F4796" t="e">
        <f t="shared" si="297"/>
        <v>#N/A</v>
      </c>
      <c r="G4796">
        <v>311.18299999999999</v>
      </c>
      <c r="H4796">
        <v>4.9930000000000003</v>
      </c>
      <c r="I4796">
        <v>1.605</v>
      </c>
      <c r="J4796">
        <v>8</v>
      </c>
      <c r="K4796">
        <v>74</v>
      </c>
      <c r="L4796">
        <v>37</v>
      </c>
      <c r="M4796" s="1">
        <v>9000000000</v>
      </c>
    </row>
    <row r="4797" spans="1:13" ht="15" customHeight="1">
      <c r="A4797" t="s">
        <v>52</v>
      </c>
      <c r="B4797">
        <v>33.703310000000002</v>
      </c>
      <c r="C4797">
        <v>-117.84699000000001</v>
      </c>
      <c r="D4797" t="e">
        <f t="shared" si="296"/>
        <v>#N/A</v>
      </c>
      <c r="E4797">
        <v>100.499</v>
      </c>
      <c r="F4797" t="e">
        <f t="shared" si="297"/>
        <v>#N/A</v>
      </c>
      <c r="G4797">
        <v>395.017</v>
      </c>
      <c r="H4797">
        <v>5.9569999999999999</v>
      </c>
      <c r="I4797">
        <v>1.508</v>
      </c>
      <c r="J4797">
        <v>9</v>
      </c>
      <c r="K4797">
        <v>76</v>
      </c>
      <c r="L4797">
        <v>38</v>
      </c>
      <c r="M4797" s="1">
        <v>9000000000</v>
      </c>
    </row>
    <row r="4798" spans="1:13" ht="15" customHeight="1">
      <c r="A4798" t="s">
        <v>52</v>
      </c>
      <c r="B4798">
        <v>33.703310000000002</v>
      </c>
      <c r="C4798">
        <v>-117.84699000000001</v>
      </c>
      <c r="D4798" t="e">
        <f t="shared" si="296"/>
        <v>#N/A</v>
      </c>
      <c r="E4798">
        <v>101.499</v>
      </c>
      <c r="F4798" t="e">
        <f t="shared" si="297"/>
        <v>#N/A</v>
      </c>
      <c r="G4798">
        <v>259.39999999999998</v>
      </c>
      <c r="H4798">
        <v>7.1470000000000002</v>
      </c>
      <c r="I4798">
        <v>2.7559999999999998</v>
      </c>
      <c r="J4798">
        <v>7</v>
      </c>
      <c r="K4798">
        <v>83</v>
      </c>
      <c r="L4798">
        <v>42</v>
      </c>
      <c r="M4798" s="1">
        <v>9000000000</v>
      </c>
    </row>
    <row r="4799" spans="1:13" ht="15" customHeight="1">
      <c r="A4799" t="s">
        <v>52</v>
      </c>
      <c r="B4799">
        <v>33.703310000000002</v>
      </c>
      <c r="C4799">
        <v>-117.84699000000001</v>
      </c>
      <c r="D4799" t="e">
        <f t="shared" si="296"/>
        <v>#N/A</v>
      </c>
      <c r="E4799">
        <v>102.499</v>
      </c>
      <c r="F4799" t="e">
        <f t="shared" si="297"/>
        <v>#N/A</v>
      </c>
      <c r="G4799">
        <v>246.517</v>
      </c>
      <c r="H4799">
        <v>7.81</v>
      </c>
      <c r="I4799">
        <v>3.17</v>
      </c>
      <c r="J4799">
        <v>12</v>
      </c>
      <c r="K4799">
        <v>118</v>
      </c>
      <c r="L4799">
        <v>59</v>
      </c>
      <c r="M4799" s="1">
        <v>9000000000</v>
      </c>
    </row>
    <row r="4800" spans="1:13" ht="15" customHeight="1">
      <c r="A4800" t="s">
        <v>52</v>
      </c>
      <c r="B4800">
        <v>33.703310000000002</v>
      </c>
      <c r="C4800">
        <v>-117.84699000000001</v>
      </c>
      <c r="D4800" t="e">
        <f t="shared" si="296"/>
        <v>#N/A</v>
      </c>
      <c r="E4800">
        <v>103.499</v>
      </c>
      <c r="F4800" t="e">
        <f t="shared" si="297"/>
        <v>#N/A</v>
      </c>
      <c r="G4800">
        <v>171.78299999999999</v>
      </c>
      <c r="H4800">
        <v>7.1349999999999998</v>
      </c>
      <c r="I4800">
        <v>4.157</v>
      </c>
      <c r="J4800">
        <v>11</v>
      </c>
      <c r="K4800">
        <v>164</v>
      </c>
      <c r="L4800">
        <v>82</v>
      </c>
      <c r="M4800" s="1">
        <v>9000000000</v>
      </c>
    </row>
    <row r="4801" spans="1:13" ht="15" customHeight="1">
      <c r="A4801" t="s">
        <v>52</v>
      </c>
      <c r="B4801">
        <v>33.703310000000002</v>
      </c>
      <c r="C4801">
        <v>-117.84699000000001</v>
      </c>
      <c r="D4801" t="e">
        <f t="shared" si="296"/>
        <v>#N/A</v>
      </c>
      <c r="E4801">
        <v>104.499</v>
      </c>
      <c r="F4801" t="e">
        <f t="shared" si="297"/>
        <v>#N/A</v>
      </c>
      <c r="G4801">
        <v>187.55699999999999</v>
      </c>
      <c r="H4801">
        <v>6.5209999999999999</v>
      </c>
      <c r="I4801">
        <v>3.48</v>
      </c>
      <c r="J4801">
        <v>12</v>
      </c>
      <c r="K4801">
        <v>90</v>
      </c>
      <c r="L4801">
        <v>45</v>
      </c>
      <c r="M4801" s="1">
        <v>9000000000</v>
      </c>
    </row>
    <row r="4802" spans="1:13" ht="15" customHeight="1">
      <c r="A4802" t="s">
        <v>52</v>
      </c>
      <c r="B4802">
        <v>33.703310000000002</v>
      </c>
      <c r="C4802">
        <v>-117.84699000000001</v>
      </c>
      <c r="D4802" t="e">
        <f t="shared" ref="D4802:D4865" si="298">VLOOKUP(A4802,Elevation,2,FALSE)</f>
        <v>#N/A</v>
      </c>
      <c r="E4802">
        <v>105.499</v>
      </c>
      <c r="F4802" t="e">
        <f t="shared" si="297"/>
        <v>#N/A</v>
      </c>
      <c r="G4802">
        <v>351.31700000000001</v>
      </c>
      <c r="H4802">
        <v>9.2319999999999993</v>
      </c>
      <c r="I4802">
        <v>2.629</v>
      </c>
      <c r="J4802">
        <v>12</v>
      </c>
      <c r="K4802">
        <v>168</v>
      </c>
      <c r="L4802">
        <v>84</v>
      </c>
      <c r="M4802" s="1">
        <v>9000000000</v>
      </c>
    </row>
    <row r="4803" spans="1:13" ht="15" customHeight="1">
      <c r="A4803" t="s">
        <v>52</v>
      </c>
      <c r="B4803">
        <v>33.703310000000002</v>
      </c>
      <c r="C4803">
        <v>-117.84699000000001</v>
      </c>
      <c r="D4803" t="e">
        <f t="shared" si="298"/>
        <v>#N/A</v>
      </c>
      <c r="E4803">
        <v>106.499</v>
      </c>
      <c r="F4803" t="e">
        <f t="shared" ref="F4803:F4866" si="299">D4803-E4803</f>
        <v>#N/A</v>
      </c>
      <c r="G4803">
        <v>262.06700000000001</v>
      </c>
      <c r="H4803">
        <v>9.1649999999999991</v>
      </c>
      <c r="I4803">
        <v>3.4990000000000001</v>
      </c>
      <c r="J4803">
        <v>12</v>
      </c>
      <c r="K4803">
        <v>125</v>
      </c>
      <c r="L4803">
        <v>63</v>
      </c>
      <c r="M4803" s="1">
        <v>9000000000</v>
      </c>
    </row>
    <row r="4804" spans="1:13" ht="15" customHeight="1">
      <c r="A4804" t="s">
        <v>52</v>
      </c>
      <c r="B4804">
        <v>33.703310000000002</v>
      </c>
      <c r="C4804">
        <v>-117.84699000000001</v>
      </c>
      <c r="D4804" t="e">
        <f t="shared" si="298"/>
        <v>#N/A</v>
      </c>
      <c r="E4804">
        <v>107.499</v>
      </c>
      <c r="F4804" t="e">
        <f t="shared" si="299"/>
        <v>#N/A</v>
      </c>
      <c r="G4804">
        <v>109.5</v>
      </c>
      <c r="H4804">
        <v>4.3620000000000001</v>
      </c>
      <c r="I4804">
        <v>3.9889999999999999</v>
      </c>
      <c r="J4804">
        <v>5</v>
      </c>
      <c r="K4804">
        <v>52</v>
      </c>
      <c r="L4804">
        <v>26</v>
      </c>
      <c r="M4804">
        <v>6.843</v>
      </c>
    </row>
    <row r="4805" spans="1:13" ht="15" customHeight="1">
      <c r="A4805" t="s">
        <v>52</v>
      </c>
      <c r="B4805">
        <v>33.703310000000002</v>
      </c>
      <c r="C4805">
        <v>-117.84699000000001</v>
      </c>
      <c r="D4805" t="e">
        <f t="shared" si="298"/>
        <v>#N/A</v>
      </c>
      <c r="E4805">
        <v>108.499</v>
      </c>
      <c r="F4805" t="e">
        <f t="shared" si="299"/>
        <v>#N/A</v>
      </c>
      <c r="G4805">
        <v>61.95</v>
      </c>
      <c r="H4805">
        <v>2.052</v>
      </c>
      <c r="I4805">
        <v>3.3220000000000001</v>
      </c>
      <c r="J4805">
        <v>6</v>
      </c>
      <c r="K4805">
        <v>24</v>
      </c>
      <c r="L4805">
        <v>12</v>
      </c>
      <c r="M4805">
        <v>3.6669999999999998</v>
      </c>
    </row>
    <row r="4806" spans="1:13" ht="15" customHeight="1">
      <c r="A4806" t="s">
        <v>52</v>
      </c>
      <c r="B4806">
        <v>33.703310000000002</v>
      </c>
      <c r="C4806">
        <v>-117.84699000000001</v>
      </c>
      <c r="D4806" t="e">
        <f t="shared" si="298"/>
        <v>#N/A</v>
      </c>
      <c r="E4806">
        <v>109.499</v>
      </c>
      <c r="F4806" t="e">
        <f t="shared" si="299"/>
        <v>#N/A</v>
      </c>
      <c r="G4806">
        <v>31.082999999999998</v>
      </c>
      <c r="H4806">
        <v>0.98499999999999999</v>
      </c>
      <c r="I4806">
        <v>3.1859999999999999</v>
      </c>
      <c r="J4806">
        <v>5</v>
      </c>
      <c r="K4806">
        <v>15</v>
      </c>
      <c r="L4806">
        <v>8</v>
      </c>
      <c r="M4806">
        <v>1.6060000000000001</v>
      </c>
    </row>
    <row r="4807" spans="1:13" ht="15" customHeight="1">
      <c r="A4807" t="s">
        <v>52</v>
      </c>
      <c r="B4807">
        <v>33.703310000000002</v>
      </c>
      <c r="C4807">
        <v>-117.84699000000001</v>
      </c>
      <c r="D4807" t="e">
        <f t="shared" si="298"/>
        <v>#N/A</v>
      </c>
      <c r="E4807">
        <v>110.499</v>
      </c>
      <c r="F4807" t="e">
        <f t="shared" si="299"/>
        <v>#N/A</v>
      </c>
      <c r="G4807">
        <v>34.133000000000003</v>
      </c>
      <c r="H4807">
        <v>1.135</v>
      </c>
      <c r="I4807">
        <v>3.34</v>
      </c>
      <c r="J4807">
        <v>5</v>
      </c>
      <c r="K4807">
        <v>16</v>
      </c>
      <c r="L4807">
        <v>8</v>
      </c>
      <c r="M4807">
        <v>1.806</v>
      </c>
    </row>
    <row r="4808" spans="1:13" ht="15" customHeight="1">
      <c r="A4808" t="s">
        <v>52</v>
      </c>
      <c r="B4808">
        <v>33.703310000000002</v>
      </c>
      <c r="C4808">
        <v>-117.84699000000001</v>
      </c>
      <c r="D4808" t="e">
        <f t="shared" si="298"/>
        <v>#N/A</v>
      </c>
      <c r="E4808">
        <v>111.499</v>
      </c>
      <c r="F4808" t="e">
        <f t="shared" si="299"/>
        <v>#N/A</v>
      </c>
      <c r="G4808">
        <v>39.75</v>
      </c>
      <c r="H4808">
        <v>1.4</v>
      </c>
      <c r="I4808">
        <v>3.5339999999999998</v>
      </c>
      <c r="J4808">
        <v>5</v>
      </c>
      <c r="K4808">
        <v>19</v>
      </c>
      <c r="L4808">
        <v>10</v>
      </c>
      <c r="M4808">
        <v>2.1779999999999999</v>
      </c>
    </row>
    <row r="4809" spans="1:13" ht="15" customHeight="1">
      <c r="A4809" t="s">
        <v>52</v>
      </c>
      <c r="B4809">
        <v>33.703310000000002</v>
      </c>
      <c r="C4809">
        <v>-117.84699000000001</v>
      </c>
      <c r="D4809" t="e">
        <f t="shared" si="298"/>
        <v>#N/A</v>
      </c>
      <c r="E4809">
        <v>112.499</v>
      </c>
      <c r="F4809" t="e">
        <f t="shared" si="299"/>
        <v>#N/A</v>
      </c>
      <c r="G4809">
        <v>60.332999999999998</v>
      </c>
      <c r="H4809">
        <v>2.3980000000000001</v>
      </c>
      <c r="I4809">
        <v>3.984</v>
      </c>
      <c r="J4809">
        <v>5</v>
      </c>
      <c r="K4809">
        <v>29</v>
      </c>
      <c r="L4809">
        <v>15</v>
      </c>
      <c r="M4809">
        <v>3.5459999999999998</v>
      </c>
    </row>
    <row r="4810" spans="1:13" ht="15" customHeight="1">
      <c r="A4810" t="s">
        <v>52</v>
      </c>
      <c r="B4810">
        <v>33.703310000000002</v>
      </c>
      <c r="C4810">
        <v>-117.84699000000001</v>
      </c>
      <c r="D4810" t="e">
        <f t="shared" si="298"/>
        <v>#N/A</v>
      </c>
      <c r="E4810">
        <v>113.499</v>
      </c>
      <c r="F4810" t="e">
        <f t="shared" si="299"/>
        <v>#N/A</v>
      </c>
      <c r="G4810">
        <v>167.18299999999999</v>
      </c>
      <c r="H4810">
        <v>4.3570000000000002</v>
      </c>
      <c r="I4810">
        <v>2.6080000000000001</v>
      </c>
      <c r="J4810">
        <v>7</v>
      </c>
      <c r="K4810">
        <v>53</v>
      </c>
      <c r="L4810">
        <v>27</v>
      </c>
      <c r="M4810" s="1">
        <v>9000000000</v>
      </c>
    </row>
    <row r="4811" spans="1:13" ht="15" customHeight="1">
      <c r="A4811" t="s">
        <v>52</v>
      </c>
      <c r="B4811">
        <v>33.703310000000002</v>
      </c>
      <c r="C4811">
        <v>-117.84699000000001</v>
      </c>
      <c r="D4811" t="e">
        <f t="shared" si="298"/>
        <v>#N/A</v>
      </c>
      <c r="E4811">
        <v>114.499</v>
      </c>
      <c r="F4811" t="e">
        <f t="shared" si="299"/>
        <v>#N/A</v>
      </c>
      <c r="G4811">
        <v>50.713999999999999</v>
      </c>
      <c r="H4811">
        <v>1.84</v>
      </c>
      <c r="I4811">
        <v>3.6349999999999998</v>
      </c>
      <c r="J4811">
        <v>5</v>
      </c>
      <c r="K4811">
        <v>24</v>
      </c>
      <c r="L4811">
        <v>12</v>
      </c>
      <c r="M4811">
        <v>2.899</v>
      </c>
    </row>
    <row r="4812" spans="1:13" ht="15" customHeight="1">
      <c r="A4812" t="s">
        <v>52</v>
      </c>
      <c r="B4812">
        <v>33.703310000000002</v>
      </c>
      <c r="C4812">
        <v>-117.84699000000001</v>
      </c>
      <c r="D4812" t="e">
        <f t="shared" si="298"/>
        <v>#N/A</v>
      </c>
      <c r="E4812">
        <v>115.499</v>
      </c>
      <c r="F4812" t="e">
        <f t="shared" si="299"/>
        <v>#N/A</v>
      </c>
      <c r="G4812">
        <v>56.683</v>
      </c>
      <c r="H4812">
        <v>2.09</v>
      </c>
      <c r="I4812">
        <v>3.694</v>
      </c>
      <c r="J4812">
        <v>5</v>
      </c>
      <c r="K4812">
        <v>27</v>
      </c>
      <c r="L4812">
        <v>14</v>
      </c>
      <c r="M4812">
        <v>3.2919999999999998</v>
      </c>
    </row>
    <row r="4813" spans="1:13" ht="15" customHeight="1">
      <c r="A4813" t="s">
        <v>52</v>
      </c>
      <c r="B4813">
        <v>33.703310000000002</v>
      </c>
      <c r="C4813">
        <v>-117.84699000000001</v>
      </c>
      <c r="D4813" t="e">
        <f t="shared" si="298"/>
        <v>#N/A</v>
      </c>
      <c r="E4813">
        <v>116.499</v>
      </c>
      <c r="F4813" t="e">
        <f t="shared" si="299"/>
        <v>#N/A</v>
      </c>
      <c r="G4813">
        <v>37.082999999999998</v>
      </c>
      <c r="H4813">
        <v>1.2829999999999999</v>
      </c>
      <c r="I4813">
        <v>3.468</v>
      </c>
      <c r="J4813">
        <v>5</v>
      </c>
      <c r="K4813">
        <v>18</v>
      </c>
      <c r="L4813">
        <v>9</v>
      </c>
      <c r="M4813">
        <v>1.9830000000000001</v>
      </c>
    </row>
    <row r="4814" spans="1:13" ht="15" customHeight="1">
      <c r="A4814" t="s">
        <v>52</v>
      </c>
      <c r="B4814">
        <v>33.703310000000002</v>
      </c>
      <c r="C4814">
        <v>-117.84699000000001</v>
      </c>
      <c r="D4814" t="e">
        <f t="shared" si="298"/>
        <v>#N/A</v>
      </c>
      <c r="E4814">
        <v>117.498</v>
      </c>
      <c r="F4814" t="e">
        <f t="shared" si="299"/>
        <v>#N/A</v>
      </c>
      <c r="G4814">
        <v>39.65</v>
      </c>
      <c r="H4814">
        <v>1.1850000000000001</v>
      </c>
      <c r="I4814">
        <v>2.996</v>
      </c>
      <c r="J4814">
        <v>6</v>
      </c>
      <c r="K4814">
        <v>15</v>
      </c>
      <c r="L4814">
        <v>8</v>
      </c>
      <c r="M4814">
        <v>2.149</v>
      </c>
    </row>
    <row r="4815" spans="1:13" ht="15" customHeight="1">
      <c r="A4815" t="s">
        <v>52</v>
      </c>
      <c r="B4815">
        <v>33.703310000000002</v>
      </c>
      <c r="C4815">
        <v>-117.84699000000001</v>
      </c>
      <c r="D4815" t="e">
        <f t="shared" si="298"/>
        <v>#N/A</v>
      </c>
      <c r="E4815">
        <v>118.498</v>
      </c>
      <c r="F4815" t="e">
        <f t="shared" si="299"/>
        <v>#N/A</v>
      </c>
      <c r="G4815">
        <v>35.433</v>
      </c>
      <c r="H4815">
        <v>1.24</v>
      </c>
      <c r="I4815">
        <v>3.508</v>
      </c>
      <c r="J4815">
        <v>5</v>
      </c>
      <c r="K4815">
        <v>17</v>
      </c>
      <c r="L4815">
        <v>9</v>
      </c>
      <c r="M4815">
        <v>1.8640000000000001</v>
      </c>
    </row>
    <row r="4816" spans="1:13" ht="15" customHeight="1">
      <c r="A4816" t="s">
        <v>52</v>
      </c>
      <c r="B4816">
        <v>33.703310000000002</v>
      </c>
      <c r="C4816">
        <v>-117.84699000000001</v>
      </c>
      <c r="D4816" t="e">
        <f t="shared" si="298"/>
        <v>#N/A</v>
      </c>
      <c r="E4816">
        <v>119.498</v>
      </c>
      <c r="F4816" t="e">
        <f t="shared" si="299"/>
        <v>#N/A</v>
      </c>
      <c r="G4816">
        <v>37.433</v>
      </c>
      <c r="H4816">
        <v>1.3520000000000001</v>
      </c>
      <c r="I4816">
        <v>3.6160000000000001</v>
      </c>
      <c r="J4816">
        <v>5</v>
      </c>
      <c r="K4816">
        <v>18</v>
      </c>
      <c r="L4816">
        <v>9</v>
      </c>
      <c r="M4816">
        <v>1.996</v>
      </c>
    </row>
    <row r="4817" spans="1:13" ht="15" customHeight="1">
      <c r="A4817" t="s">
        <v>52</v>
      </c>
      <c r="B4817">
        <v>33.703310000000002</v>
      </c>
      <c r="C4817">
        <v>-117.84699000000001</v>
      </c>
      <c r="D4817" t="e">
        <f t="shared" si="298"/>
        <v>#N/A</v>
      </c>
      <c r="E4817">
        <v>120.498</v>
      </c>
      <c r="F4817" t="e">
        <f t="shared" si="299"/>
        <v>#N/A</v>
      </c>
      <c r="G4817">
        <v>36.700000000000003</v>
      </c>
      <c r="H4817">
        <v>1.18</v>
      </c>
      <c r="I4817">
        <v>3.2210000000000001</v>
      </c>
      <c r="J4817">
        <v>5</v>
      </c>
      <c r="K4817">
        <v>18</v>
      </c>
      <c r="L4817">
        <v>9</v>
      </c>
      <c r="M4817">
        <v>1.9419999999999999</v>
      </c>
    </row>
    <row r="4818" spans="1:13" ht="15" customHeight="1">
      <c r="A4818" t="s">
        <v>52</v>
      </c>
      <c r="B4818">
        <v>33.703310000000002</v>
      </c>
      <c r="C4818">
        <v>-117.84699000000001</v>
      </c>
      <c r="D4818" t="e">
        <f t="shared" si="298"/>
        <v>#N/A</v>
      </c>
      <c r="E4818">
        <v>121.498</v>
      </c>
      <c r="F4818" t="e">
        <f t="shared" si="299"/>
        <v>#N/A</v>
      </c>
      <c r="G4818">
        <v>48.95</v>
      </c>
      <c r="H4818">
        <v>1.448</v>
      </c>
      <c r="I4818">
        <v>2.9620000000000002</v>
      </c>
      <c r="J4818">
        <v>6</v>
      </c>
      <c r="K4818">
        <v>19</v>
      </c>
      <c r="L4818">
        <v>10</v>
      </c>
      <c r="M4818">
        <v>2.7549999999999999</v>
      </c>
    </row>
    <row r="4819" spans="1:13" ht="15" customHeight="1">
      <c r="A4819" t="s">
        <v>52</v>
      </c>
      <c r="B4819">
        <v>33.703310000000002</v>
      </c>
      <c r="C4819">
        <v>-117.84699000000001</v>
      </c>
      <c r="D4819" t="e">
        <f t="shared" si="298"/>
        <v>#N/A</v>
      </c>
      <c r="E4819">
        <v>122.498</v>
      </c>
      <c r="F4819" t="e">
        <f t="shared" si="299"/>
        <v>#N/A</v>
      </c>
      <c r="G4819">
        <v>46.832999999999998</v>
      </c>
      <c r="H4819">
        <v>1.655</v>
      </c>
      <c r="I4819">
        <v>3.5390000000000001</v>
      </c>
      <c r="J4819">
        <v>5</v>
      </c>
      <c r="K4819">
        <v>22</v>
      </c>
      <c r="L4819">
        <v>11</v>
      </c>
      <c r="M4819">
        <v>2.609</v>
      </c>
    </row>
    <row r="4820" spans="1:13" ht="15" customHeight="1">
      <c r="A4820" t="s">
        <v>52</v>
      </c>
      <c r="B4820">
        <v>33.703310000000002</v>
      </c>
      <c r="C4820">
        <v>-117.84699000000001</v>
      </c>
      <c r="D4820" t="e">
        <f t="shared" si="298"/>
        <v>#N/A</v>
      </c>
      <c r="E4820">
        <v>123.498</v>
      </c>
      <c r="F4820" t="e">
        <f t="shared" si="299"/>
        <v>#N/A</v>
      </c>
      <c r="G4820">
        <v>41.05</v>
      </c>
      <c r="H4820">
        <v>1.81</v>
      </c>
      <c r="I4820">
        <v>4.42</v>
      </c>
      <c r="J4820">
        <v>4</v>
      </c>
      <c r="K4820">
        <v>26</v>
      </c>
      <c r="L4820">
        <v>13</v>
      </c>
      <c r="M4820">
        <v>2.2170000000000001</v>
      </c>
    </row>
    <row r="4821" spans="1:13" ht="15" customHeight="1">
      <c r="A4821" t="s">
        <v>52</v>
      </c>
      <c r="B4821">
        <v>33.703310000000002</v>
      </c>
      <c r="C4821">
        <v>-117.84699000000001</v>
      </c>
      <c r="D4821" t="e">
        <f t="shared" si="298"/>
        <v>#N/A</v>
      </c>
      <c r="E4821">
        <v>124.498</v>
      </c>
      <c r="F4821" t="e">
        <f t="shared" si="299"/>
        <v>#N/A</v>
      </c>
      <c r="G4821">
        <v>36.417000000000002</v>
      </c>
      <c r="H4821">
        <v>1.377</v>
      </c>
      <c r="I4821">
        <v>3.7839999999999998</v>
      </c>
      <c r="J4821">
        <v>5</v>
      </c>
      <c r="K4821">
        <v>17</v>
      </c>
      <c r="L4821">
        <v>9</v>
      </c>
      <c r="M4821">
        <v>1.9079999999999999</v>
      </c>
    </row>
    <row r="4822" spans="1:13" ht="15" customHeight="1">
      <c r="A4822" t="s">
        <v>52</v>
      </c>
      <c r="B4822">
        <v>33.703310000000002</v>
      </c>
      <c r="C4822">
        <v>-117.84699000000001</v>
      </c>
      <c r="D4822" t="e">
        <f t="shared" si="298"/>
        <v>#N/A</v>
      </c>
      <c r="E4822">
        <v>125.498</v>
      </c>
      <c r="F4822" t="e">
        <f t="shared" si="299"/>
        <v>#N/A</v>
      </c>
      <c r="G4822">
        <v>39.514000000000003</v>
      </c>
      <c r="H4822">
        <v>1.2869999999999999</v>
      </c>
      <c r="I4822">
        <v>3.26</v>
      </c>
      <c r="J4822">
        <v>5</v>
      </c>
      <c r="K4822">
        <v>19</v>
      </c>
      <c r="L4822">
        <v>10</v>
      </c>
      <c r="M4822">
        <v>2.1110000000000002</v>
      </c>
    </row>
    <row r="4823" spans="1:13" ht="15" customHeight="1">
      <c r="A4823" t="s">
        <v>52</v>
      </c>
      <c r="B4823">
        <v>33.703310000000002</v>
      </c>
      <c r="C4823">
        <v>-117.84699000000001</v>
      </c>
      <c r="D4823" t="e">
        <f t="shared" si="298"/>
        <v>#N/A</v>
      </c>
      <c r="E4823">
        <v>126.498</v>
      </c>
      <c r="F4823" t="e">
        <f t="shared" si="299"/>
        <v>#N/A</v>
      </c>
      <c r="G4823">
        <v>37.35</v>
      </c>
      <c r="H4823">
        <v>1.103</v>
      </c>
      <c r="I4823">
        <v>2.9590000000000001</v>
      </c>
      <c r="J4823">
        <v>6</v>
      </c>
      <c r="K4823">
        <v>14</v>
      </c>
      <c r="L4823">
        <v>7</v>
      </c>
      <c r="M4823">
        <v>1.96</v>
      </c>
    </row>
    <row r="4824" spans="1:13" ht="15" customHeight="1">
      <c r="A4824" t="s">
        <v>52</v>
      </c>
      <c r="B4824">
        <v>33.703310000000002</v>
      </c>
      <c r="C4824">
        <v>-117.84699000000001</v>
      </c>
      <c r="D4824" t="e">
        <f t="shared" si="298"/>
        <v>#N/A</v>
      </c>
      <c r="E4824">
        <v>127.498</v>
      </c>
      <c r="F4824" t="e">
        <f t="shared" si="299"/>
        <v>#N/A</v>
      </c>
      <c r="G4824">
        <v>39.200000000000003</v>
      </c>
      <c r="H4824">
        <v>1.2430000000000001</v>
      </c>
      <c r="I4824">
        <v>3.177</v>
      </c>
      <c r="J4824">
        <v>5</v>
      </c>
      <c r="K4824">
        <v>19</v>
      </c>
      <c r="L4824">
        <v>10</v>
      </c>
      <c r="M4824">
        <v>2.0790000000000002</v>
      </c>
    </row>
    <row r="4825" spans="1:13" ht="15" customHeight="1">
      <c r="A4825" t="s">
        <v>52</v>
      </c>
      <c r="B4825">
        <v>33.703310000000002</v>
      </c>
      <c r="C4825">
        <v>-117.84699000000001</v>
      </c>
      <c r="D4825" t="e">
        <f t="shared" si="298"/>
        <v>#N/A</v>
      </c>
      <c r="E4825">
        <v>128.49799999999999</v>
      </c>
      <c r="F4825" t="e">
        <f t="shared" si="299"/>
        <v>#N/A</v>
      </c>
      <c r="G4825">
        <v>40.383000000000003</v>
      </c>
      <c r="H4825">
        <v>1.58</v>
      </c>
      <c r="I4825">
        <v>3.9140000000000001</v>
      </c>
      <c r="J4825">
        <v>5</v>
      </c>
      <c r="K4825">
        <v>19</v>
      </c>
      <c r="L4825">
        <v>10</v>
      </c>
      <c r="M4825">
        <v>2.157</v>
      </c>
    </row>
    <row r="4826" spans="1:13" ht="15" customHeight="1">
      <c r="A4826" t="s">
        <v>52</v>
      </c>
      <c r="B4826">
        <v>33.703310000000002</v>
      </c>
      <c r="C4826">
        <v>-117.84699000000001</v>
      </c>
      <c r="D4826" t="e">
        <f t="shared" si="298"/>
        <v>#N/A</v>
      </c>
      <c r="E4826">
        <v>129.49799999999999</v>
      </c>
      <c r="F4826" t="e">
        <f t="shared" si="299"/>
        <v>#N/A</v>
      </c>
      <c r="G4826">
        <v>41.783000000000001</v>
      </c>
      <c r="H4826">
        <v>1.6579999999999999</v>
      </c>
      <c r="I4826">
        <v>3.9740000000000002</v>
      </c>
      <c r="J4826">
        <v>5</v>
      </c>
      <c r="K4826">
        <v>20</v>
      </c>
      <c r="L4826">
        <v>10</v>
      </c>
      <c r="M4826">
        <v>2.2440000000000002</v>
      </c>
    </row>
    <row r="4827" spans="1:13" ht="15" customHeight="1">
      <c r="A4827" t="s">
        <v>52</v>
      </c>
      <c r="B4827">
        <v>33.703310000000002</v>
      </c>
      <c r="C4827">
        <v>-117.84699000000001</v>
      </c>
      <c r="D4827" t="e">
        <f t="shared" si="298"/>
        <v>#N/A</v>
      </c>
      <c r="E4827">
        <v>130.49799999999999</v>
      </c>
      <c r="F4827" t="e">
        <f t="shared" si="299"/>
        <v>#N/A</v>
      </c>
      <c r="G4827">
        <v>45.1</v>
      </c>
      <c r="H4827">
        <v>0</v>
      </c>
      <c r="I4827">
        <v>0</v>
      </c>
      <c r="J4827">
        <v>8</v>
      </c>
      <c r="K4827" s="1">
        <v>9000000000</v>
      </c>
      <c r="L4827" s="1">
        <v>9000000000</v>
      </c>
      <c r="M4827" s="1">
        <v>9000000000</v>
      </c>
    </row>
    <row r="4828" spans="1:13" ht="15" customHeight="1">
      <c r="A4828" t="s">
        <v>53</v>
      </c>
      <c r="B4828">
        <f t="shared" ref="B4828:B4865" si="300">VLOOKUP(A4828,XYdata,3,FALSE)</f>
        <v>33.703409999999998</v>
      </c>
      <c r="C4828">
        <f t="shared" ref="C4828:C4865" si="301">VLOOKUP(A4828,XYdata,2,FALSE)</f>
        <v>-117.845176</v>
      </c>
      <c r="D4828">
        <f t="shared" si="298"/>
        <v>48</v>
      </c>
      <c r="E4828">
        <v>0.5</v>
      </c>
      <c r="F4828">
        <f t="shared" si="299"/>
        <v>47.5</v>
      </c>
      <c r="G4828">
        <v>0.71699999999999997</v>
      </c>
      <c r="H4828">
        <v>1.7000000000000001E-2</v>
      </c>
      <c r="I4828">
        <v>2.3260000000000001</v>
      </c>
      <c r="J4828">
        <v>1</v>
      </c>
      <c r="K4828">
        <v>0</v>
      </c>
      <c r="L4828">
        <v>0</v>
      </c>
      <c r="M4828">
        <v>4.5999999999999999E-2</v>
      </c>
    </row>
    <row r="4829" spans="1:13" ht="15" customHeight="1">
      <c r="A4829" t="s">
        <v>53</v>
      </c>
      <c r="B4829">
        <f t="shared" si="300"/>
        <v>33.703409999999998</v>
      </c>
      <c r="C4829">
        <f t="shared" si="301"/>
        <v>-117.845176</v>
      </c>
      <c r="D4829">
        <f t="shared" si="298"/>
        <v>48</v>
      </c>
      <c r="E4829">
        <v>1.5</v>
      </c>
      <c r="F4829">
        <f t="shared" si="299"/>
        <v>46.5</v>
      </c>
      <c r="G4829">
        <v>26.016999999999999</v>
      </c>
      <c r="H4829">
        <v>0.82699999999999996</v>
      </c>
      <c r="I4829">
        <v>3.173</v>
      </c>
      <c r="J4829">
        <v>5</v>
      </c>
      <c r="K4829">
        <v>12</v>
      </c>
      <c r="L4829">
        <v>18</v>
      </c>
      <c r="M4829">
        <v>1.7310000000000001</v>
      </c>
    </row>
    <row r="4830" spans="1:13" ht="15" customHeight="1">
      <c r="A4830" t="s">
        <v>53</v>
      </c>
      <c r="B4830">
        <f t="shared" si="300"/>
        <v>33.703409999999998</v>
      </c>
      <c r="C4830">
        <f t="shared" si="301"/>
        <v>-117.845176</v>
      </c>
      <c r="D4830">
        <f t="shared" si="298"/>
        <v>48</v>
      </c>
      <c r="E4830">
        <v>2.5</v>
      </c>
      <c r="F4830">
        <f t="shared" si="299"/>
        <v>45.5</v>
      </c>
      <c r="G4830">
        <v>16.8</v>
      </c>
      <c r="H4830">
        <v>0.67500000000000004</v>
      </c>
      <c r="I4830">
        <v>3.99</v>
      </c>
      <c r="J4830">
        <v>4</v>
      </c>
      <c r="K4830">
        <v>11</v>
      </c>
      <c r="L4830">
        <v>17</v>
      </c>
      <c r="M4830">
        <v>1.1180000000000001</v>
      </c>
    </row>
    <row r="4831" spans="1:13" ht="15" customHeight="1">
      <c r="A4831" t="s">
        <v>53</v>
      </c>
      <c r="B4831">
        <f t="shared" si="300"/>
        <v>33.703409999999998</v>
      </c>
      <c r="C4831">
        <f t="shared" si="301"/>
        <v>-117.845176</v>
      </c>
      <c r="D4831">
        <f t="shared" si="298"/>
        <v>48</v>
      </c>
      <c r="E4831">
        <v>3.5</v>
      </c>
      <c r="F4831">
        <f t="shared" si="299"/>
        <v>44.5</v>
      </c>
      <c r="G4831">
        <v>7.4</v>
      </c>
      <c r="H4831">
        <v>0.28799999999999998</v>
      </c>
      <c r="I4831">
        <v>3.9049999999999998</v>
      </c>
      <c r="J4831">
        <v>3</v>
      </c>
      <c r="K4831">
        <v>7</v>
      </c>
      <c r="L4831">
        <v>11</v>
      </c>
      <c r="M4831">
        <v>0.47899999999999998</v>
      </c>
    </row>
    <row r="4832" spans="1:13" ht="15" customHeight="1">
      <c r="A4832" t="s">
        <v>53</v>
      </c>
      <c r="B4832">
        <f t="shared" si="300"/>
        <v>33.703409999999998</v>
      </c>
      <c r="C4832">
        <f t="shared" si="301"/>
        <v>-117.845176</v>
      </c>
      <c r="D4832">
        <f t="shared" si="298"/>
        <v>48</v>
      </c>
      <c r="E4832">
        <v>4.5</v>
      </c>
      <c r="F4832">
        <f t="shared" si="299"/>
        <v>43.5</v>
      </c>
      <c r="G4832">
        <v>9.2829999999999995</v>
      </c>
      <c r="H4832">
        <v>0.39800000000000002</v>
      </c>
      <c r="I4832">
        <v>4.2990000000000004</v>
      </c>
      <c r="J4832">
        <v>3</v>
      </c>
      <c r="K4832">
        <v>9</v>
      </c>
      <c r="L4832">
        <v>14</v>
      </c>
      <c r="M4832">
        <v>0.6</v>
      </c>
    </row>
    <row r="4833" spans="1:13" ht="15" customHeight="1">
      <c r="A4833" t="s">
        <v>53</v>
      </c>
      <c r="B4833">
        <f t="shared" si="300"/>
        <v>33.703409999999998</v>
      </c>
      <c r="C4833">
        <f t="shared" si="301"/>
        <v>-117.845176</v>
      </c>
      <c r="D4833">
        <f t="shared" si="298"/>
        <v>48</v>
      </c>
      <c r="E4833">
        <v>5.5</v>
      </c>
      <c r="F4833">
        <f t="shared" si="299"/>
        <v>42.5</v>
      </c>
      <c r="G4833">
        <v>8.6</v>
      </c>
      <c r="H4833">
        <v>0.36</v>
      </c>
      <c r="I4833">
        <v>4.194</v>
      </c>
      <c r="J4833">
        <v>3</v>
      </c>
      <c r="K4833">
        <v>8</v>
      </c>
      <c r="L4833">
        <v>12</v>
      </c>
      <c r="M4833">
        <v>0.55100000000000005</v>
      </c>
    </row>
    <row r="4834" spans="1:13" ht="15" customHeight="1">
      <c r="A4834" t="s">
        <v>53</v>
      </c>
      <c r="B4834">
        <f t="shared" si="300"/>
        <v>33.703409999999998</v>
      </c>
      <c r="C4834">
        <f t="shared" si="301"/>
        <v>-117.845176</v>
      </c>
      <c r="D4834">
        <f t="shared" si="298"/>
        <v>48</v>
      </c>
      <c r="E4834">
        <v>6.5</v>
      </c>
      <c r="F4834">
        <f t="shared" si="299"/>
        <v>41.5</v>
      </c>
      <c r="G4834">
        <v>7.75</v>
      </c>
      <c r="H4834">
        <v>0.26700000000000002</v>
      </c>
      <c r="I4834">
        <v>3.448</v>
      </c>
      <c r="J4834">
        <v>3</v>
      </c>
      <c r="K4834">
        <v>7</v>
      </c>
      <c r="L4834">
        <v>11</v>
      </c>
      <c r="M4834">
        <v>0.49</v>
      </c>
    </row>
    <row r="4835" spans="1:13" ht="15" customHeight="1">
      <c r="A4835" t="s">
        <v>53</v>
      </c>
      <c r="B4835">
        <f t="shared" si="300"/>
        <v>33.703409999999998</v>
      </c>
      <c r="C4835">
        <f t="shared" si="301"/>
        <v>-117.845176</v>
      </c>
      <c r="D4835">
        <f t="shared" si="298"/>
        <v>48</v>
      </c>
      <c r="E4835">
        <v>7.5</v>
      </c>
      <c r="F4835">
        <f t="shared" si="299"/>
        <v>40.5</v>
      </c>
      <c r="G4835">
        <v>6.9669999999999996</v>
      </c>
      <c r="H4835">
        <v>0.128</v>
      </c>
      <c r="I4835">
        <v>1.847</v>
      </c>
      <c r="J4835">
        <v>4</v>
      </c>
      <c r="K4835">
        <v>4</v>
      </c>
      <c r="L4835">
        <v>6</v>
      </c>
      <c r="M4835">
        <v>0.434</v>
      </c>
    </row>
    <row r="4836" spans="1:13" ht="15" customHeight="1">
      <c r="A4836" t="s">
        <v>53</v>
      </c>
      <c r="B4836">
        <f t="shared" si="300"/>
        <v>33.703409999999998</v>
      </c>
      <c r="C4836">
        <f t="shared" si="301"/>
        <v>-117.845176</v>
      </c>
      <c r="D4836">
        <f t="shared" si="298"/>
        <v>48</v>
      </c>
      <c r="E4836">
        <v>8.5</v>
      </c>
      <c r="F4836">
        <f t="shared" si="299"/>
        <v>39.5</v>
      </c>
      <c r="G4836">
        <v>5.3170000000000002</v>
      </c>
      <c r="H4836">
        <v>8.7999999999999995E-2</v>
      </c>
      <c r="I4836">
        <v>1.661</v>
      </c>
      <c r="J4836">
        <v>1</v>
      </c>
      <c r="K4836">
        <v>3</v>
      </c>
      <c r="L4836">
        <v>5</v>
      </c>
      <c r="M4836">
        <v>0.32100000000000001</v>
      </c>
    </row>
    <row r="4837" spans="1:13" ht="15" customHeight="1">
      <c r="A4837" t="s">
        <v>53</v>
      </c>
      <c r="B4837">
        <f t="shared" si="300"/>
        <v>33.703409999999998</v>
      </c>
      <c r="C4837">
        <f t="shared" si="301"/>
        <v>-117.845176</v>
      </c>
      <c r="D4837">
        <f t="shared" si="298"/>
        <v>48</v>
      </c>
      <c r="E4837">
        <v>9.5</v>
      </c>
      <c r="F4837">
        <f t="shared" si="299"/>
        <v>38.5</v>
      </c>
      <c r="G4837">
        <v>8.9</v>
      </c>
      <c r="H4837">
        <v>0.192</v>
      </c>
      <c r="I4837">
        <v>2.1379999999999999</v>
      </c>
      <c r="J4837">
        <v>5</v>
      </c>
      <c r="K4837">
        <v>4</v>
      </c>
      <c r="L4837">
        <v>6</v>
      </c>
      <c r="M4837">
        <v>0.56100000000000005</v>
      </c>
    </row>
    <row r="4838" spans="1:13" ht="15" customHeight="1">
      <c r="A4838" t="s">
        <v>53</v>
      </c>
      <c r="B4838">
        <f t="shared" si="300"/>
        <v>33.703409999999998</v>
      </c>
      <c r="C4838">
        <f t="shared" si="301"/>
        <v>-117.845176</v>
      </c>
      <c r="D4838">
        <f t="shared" si="298"/>
        <v>48</v>
      </c>
      <c r="E4838">
        <v>10.5</v>
      </c>
      <c r="F4838">
        <f t="shared" si="299"/>
        <v>37.5</v>
      </c>
      <c r="G4838">
        <v>9.1430000000000007</v>
      </c>
      <c r="H4838">
        <v>0.20899999999999999</v>
      </c>
      <c r="I4838">
        <v>2.25</v>
      </c>
      <c r="J4838">
        <v>4</v>
      </c>
      <c r="K4838">
        <v>6</v>
      </c>
      <c r="L4838">
        <v>9</v>
      </c>
      <c r="M4838">
        <v>0.57699999999999996</v>
      </c>
    </row>
    <row r="4839" spans="1:13" ht="15" customHeight="1">
      <c r="A4839" t="s">
        <v>53</v>
      </c>
      <c r="B4839">
        <f t="shared" si="300"/>
        <v>33.703409999999998</v>
      </c>
      <c r="C4839">
        <f t="shared" si="301"/>
        <v>-117.845176</v>
      </c>
      <c r="D4839">
        <f t="shared" si="298"/>
        <v>48</v>
      </c>
      <c r="E4839">
        <v>11.5</v>
      </c>
      <c r="F4839">
        <f t="shared" si="299"/>
        <v>36.5</v>
      </c>
      <c r="G4839">
        <v>14.266999999999999</v>
      </c>
      <c r="H4839">
        <v>0.39700000000000002</v>
      </c>
      <c r="I4839">
        <v>2.7549999999999999</v>
      </c>
      <c r="J4839">
        <v>5</v>
      </c>
      <c r="K4839">
        <v>7</v>
      </c>
      <c r="L4839">
        <v>9</v>
      </c>
      <c r="M4839">
        <v>0.91500000000000004</v>
      </c>
    </row>
    <row r="4840" spans="1:13" ht="15" customHeight="1">
      <c r="A4840" t="s">
        <v>53</v>
      </c>
      <c r="B4840">
        <f t="shared" si="300"/>
        <v>33.703409999999998</v>
      </c>
      <c r="C4840">
        <f t="shared" si="301"/>
        <v>-117.845176</v>
      </c>
      <c r="D4840">
        <f t="shared" si="298"/>
        <v>48</v>
      </c>
      <c r="E4840">
        <v>12.5</v>
      </c>
      <c r="F4840">
        <f t="shared" si="299"/>
        <v>35.5</v>
      </c>
      <c r="G4840">
        <v>14.766999999999999</v>
      </c>
      <c r="H4840">
        <v>0.45700000000000002</v>
      </c>
      <c r="I4840">
        <v>3.0649999999999999</v>
      </c>
      <c r="J4840">
        <v>5</v>
      </c>
      <c r="K4840">
        <v>7</v>
      </c>
      <c r="L4840">
        <v>9</v>
      </c>
      <c r="M4840">
        <v>0.94399999999999995</v>
      </c>
    </row>
    <row r="4841" spans="1:13" ht="15" customHeight="1">
      <c r="A4841" t="s">
        <v>53</v>
      </c>
      <c r="B4841">
        <f t="shared" si="300"/>
        <v>33.703409999999998</v>
      </c>
      <c r="C4841">
        <f t="shared" si="301"/>
        <v>-117.845176</v>
      </c>
      <c r="D4841">
        <f t="shared" si="298"/>
        <v>48</v>
      </c>
      <c r="E4841">
        <v>13.5</v>
      </c>
      <c r="F4841">
        <f t="shared" si="299"/>
        <v>34.5</v>
      </c>
      <c r="G4841">
        <v>10.782999999999999</v>
      </c>
      <c r="H4841">
        <v>0.375</v>
      </c>
      <c r="I4841">
        <v>3.44</v>
      </c>
      <c r="J4841">
        <v>4</v>
      </c>
      <c r="K4841">
        <v>7</v>
      </c>
      <c r="L4841">
        <v>8</v>
      </c>
      <c r="M4841">
        <v>0.67300000000000004</v>
      </c>
    </row>
    <row r="4842" spans="1:13" ht="15" customHeight="1">
      <c r="A4842" t="s">
        <v>53</v>
      </c>
      <c r="B4842">
        <f t="shared" si="300"/>
        <v>33.703409999999998</v>
      </c>
      <c r="C4842">
        <f t="shared" si="301"/>
        <v>-117.845176</v>
      </c>
      <c r="D4842">
        <f t="shared" si="298"/>
        <v>48</v>
      </c>
      <c r="E4842">
        <v>14.5</v>
      </c>
      <c r="F4842">
        <f t="shared" si="299"/>
        <v>33.5</v>
      </c>
      <c r="G4842">
        <v>7.75</v>
      </c>
      <c r="H4842">
        <v>0.245</v>
      </c>
      <c r="I4842">
        <v>3.1480000000000001</v>
      </c>
      <c r="J4842">
        <v>3</v>
      </c>
      <c r="K4842">
        <v>7</v>
      </c>
      <c r="L4842">
        <v>8</v>
      </c>
      <c r="M4842">
        <v>0.46200000000000002</v>
      </c>
    </row>
    <row r="4843" spans="1:13" ht="15" customHeight="1">
      <c r="A4843" t="s">
        <v>53</v>
      </c>
      <c r="B4843">
        <f t="shared" si="300"/>
        <v>33.703409999999998</v>
      </c>
      <c r="C4843">
        <f t="shared" si="301"/>
        <v>-117.845176</v>
      </c>
      <c r="D4843">
        <f t="shared" si="298"/>
        <v>48</v>
      </c>
      <c r="E4843">
        <v>15.5</v>
      </c>
      <c r="F4843">
        <f t="shared" si="299"/>
        <v>32.5</v>
      </c>
      <c r="G4843">
        <v>10.367000000000001</v>
      </c>
      <c r="H4843">
        <v>0.39700000000000002</v>
      </c>
      <c r="I4843">
        <v>3.8639999999999999</v>
      </c>
      <c r="J4843">
        <v>3</v>
      </c>
      <c r="K4843">
        <v>10</v>
      </c>
      <c r="L4843">
        <v>11</v>
      </c>
      <c r="M4843">
        <v>0.623</v>
      </c>
    </row>
    <row r="4844" spans="1:13" ht="15" customHeight="1">
      <c r="A4844" t="s">
        <v>53</v>
      </c>
      <c r="B4844">
        <f t="shared" si="300"/>
        <v>33.703409999999998</v>
      </c>
      <c r="C4844">
        <f t="shared" si="301"/>
        <v>-117.845176</v>
      </c>
      <c r="D4844">
        <f t="shared" si="298"/>
        <v>48</v>
      </c>
      <c r="E4844">
        <v>16.5</v>
      </c>
      <c r="F4844">
        <f t="shared" si="299"/>
        <v>31.5</v>
      </c>
      <c r="G4844">
        <v>8.5830000000000002</v>
      </c>
      <c r="H4844">
        <v>0.34300000000000003</v>
      </c>
      <c r="I4844">
        <v>4.0549999999999997</v>
      </c>
      <c r="J4844">
        <v>3</v>
      </c>
      <c r="K4844">
        <v>8</v>
      </c>
      <c r="L4844">
        <v>8</v>
      </c>
      <c r="M4844">
        <v>0.499</v>
      </c>
    </row>
    <row r="4845" spans="1:13" ht="15" customHeight="1">
      <c r="A4845" t="s">
        <v>53</v>
      </c>
      <c r="B4845">
        <f t="shared" si="300"/>
        <v>33.703409999999998</v>
      </c>
      <c r="C4845">
        <f t="shared" si="301"/>
        <v>-117.845176</v>
      </c>
      <c r="D4845">
        <f t="shared" si="298"/>
        <v>48</v>
      </c>
      <c r="E4845">
        <v>17.5</v>
      </c>
      <c r="F4845">
        <f t="shared" si="299"/>
        <v>30.5</v>
      </c>
      <c r="G4845">
        <v>9.4830000000000005</v>
      </c>
      <c r="H4845">
        <v>0.377</v>
      </c>
      <c r="I4845">
        <v>4.0140000000000002</v>
      </c>
      <c r="J4845">
        <v>3</v>
      </c>
      <c r="K4845">
        <v>9</v>
      </c>
      <c r="L4845">
        <v>9</v>
      </c>
      <c r="M4845">
        <v>0.55600000000000005</v>
      </c>
    </row>
    <row r="4846" spans="1:13" ht="15" customHeight="1">
      <c r="A4846" t="s">
        <v>53</v>
      </c>
      <c r="B4846">
        <f t="shared" si="300"/>
        <v>33.703409999999998</v>
      </c>
      <c r="C4846">
        <f t="shared" si="301"/>
        <v>-117.845176</v>
      </c>
      <c r="D4846">
        <f t="shared" si="298"/>
        <v>48</v>
      </c>
      <c r="E4846">
        <v>18.5</v>
      </c>
      <c r="F4846">
        <f t="shared" si="299"/>
        <v>29.5</v>
      </c>
      <c r="G4846">
        <v>8.6999999999999993</v>
      </c>
      <c r="H4846">
        <v>0.26700000000000002</v>
      </c>
      <c r="I4846">
        <v>3.101</v>
      </c>
      <c r="J4846">
        <v>4</v>
      </c>
      <c r="K4846">
        <v>5</v>
      </c>
      <c r="L4846">
        <v>5</v>
      </c>
      <c r="M4846">
        <v>0.5</v>
      </c>
    </row>
    <row r="4847" spans="1:13" ht="15" customHeight="1">
      <c r="A4847" t="s">
        <v>53</v>
      </c>
      <c r="B4847">
        <f t="shared" si="300"/>
        <v>33.703409999999998</v>
      </c>
      <c r="C4847">
        <f t="shared" si="301"/>
        <v>-117.845176</v>
      </c>
      <c r="D4847">
        <f t="shared" si="298"/>
        <v>48</v>
      </c>
      <c r="E4847">
        <v>19.5</v>
      </c>
      <c r="F4847">
        <f t="shared" si="299"/>
        <v>28.5</v>
      </c>
      <c r="G4847">
        <v>8.1329999999999991</v>
      </c>
      <c r="H4847">
        <v>0.28299999999999997</v>
      </c>
      <c r="I4847">
        <v>3.5339999999999998</v>
      </c>
      <c r="J4847">
        <v>3</v>
      </c>
      <c r="K4847">
        <v>8</v>
      </c>
      <c r="L4847">
        <v>7</v>
      </c>
      <c r="M4847">
        <v>0.45700000000000002</v>
      </c>
    </row>
    <row r="4848" spans="1:13" ht="15" customHeight="1">
      <c r="A4848" t="s">
        <v>53</v>
      </c>
      <c r="B4848">
        <f t="shared" si="300"/>
        <v>33.703409999999998</v>
      </c>
      <c r="C4848">
        <f t="shared" si="301"/>
        <v>-117.845176</v>
      </c>
      <c r="D4848">
        <f t="shared" si="298"/>
        <v>48</v>
      </c>
      <c r="E4848">
        <v>20.5</v>
      </c>
      <c r="F4848">
        <f t="shared" si="299"/>
        <v>27.5</v>
      </c>
      <c r="G4848">
        <v>20.542999999999999</v>
      </c>
      <c r="H4848">
        <v>0.64300000000000002</v>
      </c>
      <c r="I4848">
        <v>3.14</v>
      </c>
      <c r="J4848">
        <v>5</v>
      </c>
      <c r="K4848">
        <v>10</v>
      </c>
      <c r="L4848">
        <v>9</v>
      </c>
      <c r="M4848">
        <v>1.284</v>
      </c>
    </row>
    <row r="4849" spans="1:13" ht="15" customHeight="1">
      <c r="A4849" t="s">
        <v>53</v>
      </c>
      <c r="B4849">
        <f t="shared" si="300"/>
        <v>33.703409999999998</v>
      </c>
      <c r="C4849">
        <f t="shared" si="301"/>
        <v>-117.845176</v>
      </c>
      <c r="D4849">
        <f t="shared" si="298"/>
        <v>48</v>
      </c>
      <c r="E4849">
        <v>21.5</v>
      </c>
      <c r="F4849">
        <f t="shared" si="299"/>
        <v>26.5</v>
      </c>
      <c r="G4849">
        <v>29.167000000000002</v>
      </c>
      <c r="H4849">
        <v>1.385</v>
      </c>
      <c r="I4849">
        <v>4.7649999999999997</v>
      </c>
      <c r="J4849">
        <v>3</v>
      </c>
      <c r="K4849">
        <v>28</v>
      </c>
      <c r="L4849">
        <v>23</v>
      </c>
      <c r="M4849">
        <v>1.853</v>
      </c>
    </row>
    <row r="4850" spans="1:13" ht="15" customHeight="1">
      <c r="A4850" t="s">
        <v>53</v>
      </c>
      <c r="B4850">
        <f t="shared" si="300"/>
        <v>33.703409999999998</v>
      </c>
      <c r="C4850">
        <f t="shared" si="301"/>
        <v>-117.845176</v>
      </c>
      <c r="D4850">
        <f t="shared" si="298"/>
        <v>48</v>
      </c>
      <c r="E4850">
        <v>22.5</v>
      </c>
      <c r="F4850">
        <f t="shared" si="299"/>
        <v>25.5</v>
      </c>
      <c r="G4850">
        <v>33.1</v>
      </c>
      <c r="H4850">
        <v>1.38</v>
      </c>
      <c r="I4850">
        <v>4.18</v>
      </c>
      <c r="J4850">
        <v>4</v>
      </c>
      <c r="K4850">
        <v>21</v>
      </c>
      <c r="L4850">
        <v>17</v>
      </c>
      <c r="M4850">
        <v>2.1120000000000001</v>
      </c>
    </row>
    <row r="4851" spans="1:13" ht="15" customHeight="1">
      <c r="A4851" t="s">
        <v>53</v>
      </c>
      <c r="B4851">
        <f t="shared" si="300"/>
        <v>33.703409999999998</v>
      </c>
      <c r="C4851">
        <f t="shared" si="301"/>
        <v>-117.845176</v>
      </c>
      <c r="D4851">
        <f t="shared" si="298"/>
        <v>48</v>
      </c>
      <c r="E4851">
        <v>23.5</v>
      </c>
      <c r="F4851">
        <f t="shared" si="299"/>
        <v>24.5</v>
      </c>
      <c r="G4851">
        <v>40.633000000000003</v>
      </c>
      <c r="H4851">
        <v>1.4279999999999999</v>
      </c>
      <c r="I4851">
        <v>3.52</v>
      </c>
      <c r="J4851">
        <v>5</v>
      </c>
      <c r="K4851">
        <v>19</v>
      </c>
      <c r="L4851">
        <v>15</v>
      </c>
      <c r="M4851">
        <v>2.6120000000000001</v>
      </c>
    </row>
    <row r="4852" spans="1:13" ht="15" customHeight="1">
      <c r="A4852" t="s">
        <v>53</v>
      </c>
      <c r="B4852">
        <f t="shared" si="300"/>
        <v>33.703409999999998</v>
      </c>
      <c r="C4852">
        <f t="shared" si="301"/>
        <v>-117.845176</v>
      </c>
      <c r="D4852">
        <f t="shared" si="298"/>
        <v>48</v>
      </c>
      <c r="E4852">
        <v>24.5</v>
      </c>
      <c r="F4852">
        <f t="shared" si="299"/>
        <v>23.5</v>
      </c>
      <c r="G4852">
        <v>28.766999999999999</v>
      </c>
      <c r="H4852">
        <v>0.997</v>
      </c>
      <c r="I4852">
        <v>3.4729999999999999</v>
      </c>
      <c r="J4852">
        <v>5</v>
      </c>
      <c r="K4852">
        <v>14</v>
      </c>
      <c r="L4852">
        <v>10</v>
      </c>
      <c r="M4852">
        <v>1.8160000000000001</v>
      </c>
    </row>
    <row r="4853" spans="1:13" ht="15" customHeight="1">
      <c r="A4853" t="s">
        <v>53</v>
      </c>
      <c r="B4853">
        <f t="shared" si="300"/>
        <v>33.703409999999998</v>
      </c>
      <c r="C4853">
        <f t="shared" si="301"/>
        <v>-117.845176</v>
      </c>
      <c r="D4853">
        <f t="shared" si="298"/>
        <v>48</v>
      </c>
      <c r="E4853">
        <v>25.5</v>
      </c>
      <c r="F4853">
        <f t="shared" si="299"/>
        <v>22.5</v>
      </c>
      <c r="G4853">
        <v>33.633000000000003</v>
      </c>
      <c r="H4853">
        <v>1.2669999999999999</v>
      </c>
      <c r="I4853">
        <v>3.7749999999999999</v>
      </c>
      <c r="J4853">
        <v>5</v>
      </c>
      <c r="K4853">
        <v>16</v>
      </c>
      <c r="L4853">
        <v>12</v>
      </c>
      <c r="M4853">
        <v>2.1349999999999998</v>
      </c>
    </row>
    <row r="4854" spans="1:13" ht="15" customHeight="1">
      <c r="A4854" t="s">
        <v>53</v>
      </c>
      <c r="B4854">
        <f t="shared" si="300"/>
        <v>33.703409999999998</v>
      </c>
      <c r="C4854">
        <f t="shared" si="301"/>
        <v>-117.845176</v>
      </c>
      <c r="D4854">
        <f t="shared" si="298"/>
        <v>48</v>
      </c>
      <c r="E4854">
        <v>26.5</v>
      </c>
      <c r="F4854">
        <f t="shared" si="299"/>
        <v>21.5</v>
      </c>
      <c r="G4854">
        <v>78.566999999999993</v>
      </c>
      <c r="H4854">
        <v>3.0550000000000002</v>
      </c>
      <c r="I4854">
        <v>3.8919999999999999</v>
      </c>
      <c r="J4854">
        <v>5</v>
      </c>
      <c r="K4854">
        <v>38</v>
      </c>
      <c r="L4854">
        <v>27</v>
      </c>
      <c r="M4854">
        <v>5.1269999999999998</v>
      </c>
    </row>
    <row r="4855" spans="1:13" ht="15" customHeight="1">
      <c r="A4855" t="s">
        <v>53</v>
      </c>
      <c r="B4855">
        <f t="shared" si="300"/>
        <v>33.703409999999998</v>
      </c>
      <c r="C4855">
        <f t="shared" si="301"/>
        <v>-117.845176</v>
      </c>
      <c r="D4855">
        <f t="shared" si="298"/>
        <v>48</v>
      </c>
      <c r="E4855">
        <v>27.5</v>
      </c>
      <c r="F4855">
        <f t="shared" si="299"/>
        <v>20.5</v>
      </c>
      <c r="G4855">
        <v>104.55</v>
      </c>
      <c r="H4855">
        <v>3.9950000000000001</v>
      </c>
      <c r="I4855">
        <v>3.8250000000000002</v>
      </c>
      <c r="J4855">
        <v>5</v>
      </c>
      <c r="K4855">
        <v>50</v>
      </c>
      <c r="L4855">
        <v>35</v>
      </c>
      <c r="M4855">
        <v>6.8520000000000003</v>
      </c>
    </row>
    <row r="4856" spans="1:13" ht="15" customHeight="1">
      <c r="A4856" t="s">
        <v>53</v>
      </c>
      <c r="B4856">
        <f t="shared" si="300"/>
        <v>33.703409999999998</v>
      </c>
      <c r="C4856">
        <f t="shared" si="301"/>
        <v>-117.845176</v>
      </c>
      <c r="D4856">
        <f t="shared" si="298"/>
        <v>48</v>
      </c>
      <c r="E4856">
        <v>28.5</v>
      </c>
      <c r="F4856">
        <f t="shared" si="299"/>
        <v>19.5</v>
      </c>
      <c r="G4856">
        <v>84.382999999999996</v>
      </c>
      <c r="H4856">
        <v>3.69</v>
      </c>
      <c r="I4856">
        <v>4.3810000000000002</v>
      </c>
      <c r="J4856">
        <v>5</v>
      </c>
      <c r="K4856">
        <v>40</v>
      </c>
      <c r="L4856">
        <v>28</v>
      </c>
      <c r="M4856">
        <v>5.5010000000000003</v>
      </c>
    </row>
    <row r="4857" spans="1:13" ht="15" customHeight="1">
      <c r="A4857" t="s">
        <v>53</v>
      </c>
      <c r="B4857">
        <f t="shared" si="300"/>
        <v>33.703409999999998</v>
      </c>
      <c r="C4857">
        <f t="shared" si="301"/>
        <v>-117.845176</v>
      </c>
      <c r="D4857">
        <f t="shared" si="298"/>
        <v>48</v>
      </c>
      <c r="E4857">
        <v>29.5</v>
      </c>
      <c r="F4857">
        <f t="shared" si="299"/>
        <v>18.5</v>
      </c>
      <c r="G4857">
        <v>96.65</v>
      </c>
      <c r="H4857">
        <v>3.1080000000000001</v>
      </c>
      <c r="I4857">
        <v>3.222</v>
      </c>
      <c r="J4857">
        <v>6</v>
      </c>
      <c r="K4857">
        <v>37</v>
      </c>
      <c r="L4857">
        <v>25</v>
      </c>
      <c r="M4857">
        <v>6.3140000000000001</v>
      </c>
    </row>
    <row r="4858" spans="1:13" ht="15" customHeight="1">
      <c r="A4858" t="s">
        <v>53</v>
      </c>
      <c r="B4858">
        <f t="shared" si="300"/>
        <v>33.703409999999998</v>
      </c>
      <c r="C4858">
        <f t="shared" si="301"/>
        <v>-117.845176</v>
      </c>
      <c r="D4858">
        <f t="shared" si="298"/>
        <v>48</v>
      </c>
      <c r="E4858">
        <v>30.5</v>
      </c>
      <c r="F4858">
        <f t="shared" si="299"/>
        <v>17.5</v>
      </c>
      <c r="G4858">
        <v>80.783000000000001</v>
      </c>
      <c r="H4858">
        <v>3.04</v>
      </c>
      <c r="I4858">
        <v>3.77</v>
      </c>
      <c r="J4858">
        <v>5</v>
      </c>
      <c r="K4858">
        <v>39</v>
      </c>
      <c r="L4858">
        <v>26</v>
      </c>
      <c r="M4858">
        <v>5.2530000000000001</v>
      </c>
    </row>
    <row r="4859" spans="1:13" ht="15" customHeight="1">
      <c r="A4859" t="s">
        <v>53</v>
      </c>
      <c r="B4859">
        <f t="shared" si="300"/>
        <v>33.703409999999998</v>
      </c>
      <c r="C4859">
        <f t="shared" si="301"/>
        <v>-117.845176</v>
      </c>
      <c r="D4859">
        <f t="shared" si="298"/>
        <v>48</v>
      </c>
      <c r="E4859">
        <v>31.5</v>
      </c>
      <c r="F4859">
        <f t="shared" si="299"/>
        <v>16.5</v>
      </c>
      <c r="G4859">
        <v>161.143</v>
      </c>
      <c r="H4859">
        <v>1.421</v>
      </c>
      <c r="I4859">
        <v>0.88300000000000001</v>
      </c>
      <c r="J4859">
        <v>9</v>
      </c>
      <c r="K4859">
        <v>31</v>
      </c>
      <c r="L4859">
        <v>21</v>
      </c>
      <c r="M4859" s="1">
        <v>9000000000</v>
      </c>
    </row>
    <row r="4860" spans="1:13" ht="15" customHeight="1">
      <c r="A4860" t="s">
        <v>53</v>
      </c>
      <c r="B4860">
        <f t="shared" si="300"/>
        <v>33.703409999999998</v>
      </c>
      <c r="C4860">
        <f t="shared" si="301"/>
        <v>-117.845176</v>
      </c>
      <c r="D4860">
        <f t="shared" si="298"/>
        <v>48</v>
      </c>
      <c r="E4860">
        <v>32.5</v>
      </c>
      <c r="F4860">
        <f t="shared" si="299"/>
        <v>15.5</v>
      </c>
      <c r="G4860">
        <v>118.883</v>
      </c>
      <c r="H4860">
        <v>1.3420000000000001</v>
      </c>
      <c r="I4860">
        <v>1.1279999999999999</v>
      </c>
      <c r="J4860">
        <v>8</v>
      </c>
      <c r="K4860">
        <v>28</v>
      </c>
      <c r="L4860">
        <v>18</v>
      </c>
      <c r="M4860" s="1">
        <v>9000000000</v>
      </c>
    </row>
    <row r="4861" spans="1:13" ht="15" customHeight="1">
      <c r="A4861" t="s">
        <v>53</v>
      </c>
      <c r="B4861">
        <f t="shared" si="300"/>
        <v>33.703409999999998</v>
      </c>
      <c r="C4861">
        <f t="shared" si="301"/>
        <v>-117.845176</v>
      </c>
      <c r="D4861">
        <f t="shared" si="298"/>
        <v>48</v>
      </c>
      <c r="E4861">
        <v>33.5</v>
      </c>
      <c r="F4861">
        <f t="shared" si="299"/>
        <v>14.5</v>
      </c>
      <c r="G4861">
        <v>213.46700000000001</v>
      </c>
      <c r="H4861">
        <v>2.1320000000000001</v>
      </c>
      <c r="I4861">
        <v>0.999</v>
      </c>
      <c r="J4861">
        <v>9</v>
      </c>
      <c r="K4861">
        <v>41</v>
      </c>
      <c r="L4861">
        <v>26</v>
      </c>
      <c r="M4861" s="1">
        <v>9000000000</v>
      </c>
    </row>
    <row r="4862" spans="1:13" ht="15" customHeight="1">
      <c r="A4862" t="s">
        <v>53</v>
      </c>
      <c r="B4862">
        <f t="shared" si="300"/>
        <v>33.703409999999998</v>
      </c>
      <c r="C4862">
        <f t="shared" si="301"/>
        <v>-117.845176</v>
      </c>
      <c r="D4862">
        <f t="shared" si="298"/>
        <v>48</v>
      </c>
      <c r="E4862">
        <v>34.5</v>
      </c>
      <c r="F4862">
        <f t="shared" si="299"/>
        <v>13.5</v>
      </c>
      <c r="G4862">
        <v>254.46700000000001</v>
      </c>
      <c r="H4862">
        <v>2.3820000000000001</v>
      </c>
      <c r="I4862">
        <v>0.93600000000000005</v>
      </c>
      <c r="J4862">
        <v>9</v>
      </c>
      <c r="K4862">
        <v>49</v>
      </c>
      <c r="L4862">
        <v>31</v>
      </c>
      <c r="M4862" s="1">
        <v>9000000000</v>
      </c>
    </row>
    <row r="4863" spans="1:13" ht="15" customHeight="1">
      <c r="A4863" t="s">
        <v>53</v>
      </c>
      <c r="B4863">
        <f t="shared" si="300"/>
        <v>33.703409999999998</v>
      </c>
      <c r="C4863">
        <f t="shared" si="301"/>
        <v>-117.845176</v>
      </c>
      <c r="D4863">
        <f t="shared" si="298"/>
        <v>48</v>
      </c>
      <c r="E4863">
        <v>35.5</v>
      </c>
      <c r="F4863">
        <f t="shared" si="299"/>
        <v>12.5</v>
      </c>
      <c r="G4863">
        <v>159.71700000000001</v>
      </c>
      <c r="H4863">
        <v>2.157</v>
      </c>
      <c r="I4863">
        <v>1.349</v>
      </c>
      <c r="J4863">
        <v>8</v>
      </c>
      <c r="K4863">
        <v>38</v>
      </c>
      <c r="L4863">
        <v>24</v>
      </c>
      <c r="M4863" s="1">
        <v>9000000000</v>
      </c>
    </row>
    <row r="4864" spans="1:13" ht="15" customHeight="1">
      <c r="A4864" t="s">
        <v>53</v>
      </c>
      <c r="B4864">
        <f t="shared" si="300"/>
        <v>33.703409999999998</v>
      </c>
      <c r="C4864">
        <f t="shared" si="301"/>
        <v>-117.845176</v>
      </c>
      <c r="D4864">
        <f t="shared" si="298"/>
        <v>48</v>
      </c>
      <c r="E4864">
        <v>36.5</v>
      </c>
      <c r="F4864">
        <f t="shared" si="299"/>
        <v>11.5</v>
      </c>
      <c r="G4864">
        <v>22.082999999999998</v>
      </c>
      <c r="H4864">
        <v>0.55700000000000005</v>
      </c>
      <c r="I4864">
        <v>2.4500000000000002</v>
      </c>
      <c r="J4864">
        <v>6</v>
      </c>
      <c r="K4864">
        <v>9</v>
      </c>
      <c r="L4864">
        <v>6</v>
      </c>
      <c r="M4864">
        <v>1.367</v>
      </c>
    </row>
    <row r="4865" spans="1:13" ht="15" customHeight="1">
      <c r="A4865" t="s">
        <v>53</v>
      </c>
      <c r="B4865">
        <f t="shared" si="300"/>
        <v>33.703409999999998</v>
      </c>
      <c r="C4865">
        <f t="shared" si="301"/>
        <v>-117.845176</v>
      </c>
      <c r="D4865">
        <f t="shared" si="298"/>
        <v>48</v>
      </c>
      <c r="E4865">
        <v>37.5</v>
      </c>
      <c r="F4865">
        <f t="shared" si="299"/>
        <v>10.5</v>
      </c>
      <c r="G4865">
        <v>87.216999999999999</v>
      </c>
      <c r="H4865">
        <v>1.915</v>
      </c>
      <c r="I4865">
        <v>2.1819999999999999</v>
      </c>
      <c r="J4865">
        <v>7</v>
      </c>
      <c r="K4865">
        <v>28</v>
      </c>
      <c r="L4865">
        <v>17</v>
      </c>
      <c r="M4865" s="1">
        <v>9000000000</v>
      </c>
    </row>
    <row r="4866" spans="1:13" ht="15" customHeight="1">
      <c r="A4866" t="s">
        <v>53</v>
      </c>
      <c r="B4866">
        <f t="shared" ref="B4866:B4929" si="302">VLOOKUP(A4866,XYdata,3,FALSE)</f>
        <v>33.703409999999998</v>
      </c>
      <c r="C4866">
        <f t="shared" ref="C4866:C4929" si="303">VLOOKUP(A4866,XYdata,2,FALSE)</f>
        <v>-117.845176</v>
      </c>
      <c r="D4866">
        <f t="shared" ref="D4866:D4929" si="304">VLOOKUP(A4866,Elevation,2,FALSE)</f>
        <v>48</v>
      </c>
      <c r="E4866">
        <v>38.5</v>
      </c>
      <c r="F4866">
        <f t="shared" si="299"/>
        <v>9.5</v>
      </c>
      <c r="G4866">
        <v>143.06700000000001</v>
      </c>
      <c r="H4866">
        <v>2.7149999999999999</v>
      </c>
      <c r="I4866">
        <v>1.9</v>
      </c>
      <c r="J4866">
        <v>7</v>
      </c>
      <c r="K4866">
        <v>46</v>
      </c>
      <c r="L4866">
        <v>28</v>
      </c>
      <c r="M4866" s="1">
        <v>9000000000</v>
      </c>
    </row>
    <row r="4867" spans="1:13" ht="15" customHeight="1">
      <c r="A4867" t="s">
        <v>53</v>
      </c>
      <c r="B4867">
        <f t="shared" si="302"/>
        <v>33.703409999999998</v>
      </c>
      <c r="C4867">
        <f t="shared" si="303"/>
        <v>-117.845176</v>
      </c>
      <c r="D4867">
        <f t="shared" si="304"/>
        <v>48</v>
      </c>
      <c r="E4867">
        <v>39.5</v>
      </c>
      <c r="F4867">
        <f t="shared" ref="F4867:F4930" si="305">D4867-E4867</f>
        <v>8.5</v>
      </c>
      <c r="G4867">
        <v>27.266999999999999</v>
      </c>
      <c r="H4867">
        <v>0.97699999999999998</v>
      </c>
      <c r="I4867">
        <v>3.6059999999999999</v>
      </c>
      <c r="J4867">
        <v>5</v>
      </c>
      <c r="K4867">
        <v>13</v>
      </c>
      <c r="L4867">
        <v>8</v>
      </c>
      <c r="M4867">
        <v>1.6459999999999999</v>
      </c>
    </row>
    <row r="4868" spans="1:13" ht="15" customHeight="1">
      <c r="A4868" t="s">
        <v>53</v>
      </c>
      <c r="B4868">
        <f t="shared" si="302"/>
        <v>33.703409999999998</v>
      </c>
      <c r="C4868">
        <f t="shared" si="303"/>
        <v>-117.845176</v>
      </c>
      <c r="D4868">
        <f t="shared" si="304"/>
        <v>48</v>
      </c>
      <c r="E4868">
        <v>40.5</v>
      </c>
      <c r="F4868">
        <f t="shared" si="305"/>
        <v>7.5</v>
      </c>
      <c r="G4868">
        <v>54.267000000000003</v>
      </c>
      <c r="H4868">
        <v>2.3180000000000001</v>
      </c>
      <c r="I4868">
        <v>4.2880000000000003</v>
      </c>
      <c r="J4868">
        <v>5</v>
      </c>
      <c r="K4868">
        <v>26</v>
      </c>
      <c r="L4868">
        <v>15</v>
      </c>
      <c r="M4868">
        <v>3.44</v>
      </c>
    </row>
    <row r="4869" spans="1:13" ht="15" customHeight="1">
      <c r="A4869" t="s">
        <v>53</v>
      </c>
      <c r="B4869">
        <f t="shared" si="302"/>
        <v>33.703409999999998</v>
      </c>
      <c r="C4869">
        <f t="shared" si="303"/>
        <v>-117.845176</v>
      </c>
      <c r="D4869">
        <f t="shared" si="304"/>
        <v>48</v>
      </c>
      <c r="E4869">
        <v>41.499000000000002</v>
      </c>
      <c r="F4869">
        <f t="shared" si="305"/>
        <v>6.5009999999999977</v>
      </c>
      <c r="G4869">
        <v>43.113999999999997</v>
      </c>
      <c r="H4869">
        <v>1.8089999999999999</v>
      </c>
      <c r="I4869">
        <v>4.2140000000000004</v>
      </c>
      <c r="J4869">
        <v>4</v>
      </c>
      <c r="K4869">
        <v>27</v>
      </c>
      <c r="L4869">
        <v>16</v>
      </c>
      <c r="M4869">
        <v>2.6930000000000001</v>
      </c>
    </row>
    <row r="4870" spans="1:13" ht="15" customHeight="1">
      <c r="A4870" t="s">
        <v>53</v>
      </c>
      <c r="B4870">
        <f t="shared" si="302"/>
        <v>33.703409999999998</v>
      </c>
      <c r="C4870">
        <f t="shared" si="303"/>
        <v>-117.845176</v>
      </c>
      <c r="D4870">
        <f t="shared" si="304"/>
        <v>48</v>
      </c>
      <c r="E4870">
        <v>42.499000000000002</v>
      </c>
      <c r="F4870">
        <f t="shared" si="305"/>
        <v>5.5009999999999977</v>
      </c>
      <c r="G4870">
        <v>25.132999999999999</v>
      </c>
      <c r="H4870">
        <v>0.82499999999999996</v>
      </c>
      <c r="I4870">
        <v>3.3090000000000002</v>
      </c>
      <c r="J4870">
        <v>5</v>
      </c>
      <c r="K4870">
        <v>12</v>
      </c>
      <c r="L4870">
        <v>7</v>
      </c>
      <c r="M4870">
        <v>1.49</v>
      </c>
    </row>
    <row r="4871" spans="1:13" ht="15" customHeight="1">
      <c r="A4871" t="s">
        <v>53</v>
      </c>
      <c r="B4871">
        <f t="shared" si="302"/>
        <v>33.703409999999998</v>
      </c>
      <c r="C4871">
        <f t="shared" si="303"/>
        <v>-117.845176</v>
      </c>
      <c r="D4871">
        <f t="shared" si="304"/>
        <v>48</v>
      </c>
      <c r="E4871">
        <v>43.499000000000002</v>
      </c>
      <c r="F4871">
        <f t="shared" si="305"/>
        <v>4.5009999999999977</v>
      </c>
      <c r="G4871">
        <v>19.966999999999999</v>
      </c>
      <c r="H4871">
        <v>0.57799999999999996</v>
      </c>
      <c r="I4871">
        <v>2.923</v>
      </c>
      <c r="J4871">
        <v>5</v>
      </c>
      <c r="K4871">
        <v>9</v>
      </c>
      <c r="L4871">
        <v>5</v>
      </c>
      <c r="M4871">
        <v>1.1419999999999999</v>
      </c>
    </row>
    <row r="4872" spans="1:13" ht="15" customHeight="1">
      <c r="A4872" t="s">
        <v>53</v>
      </c>
      <c r="B4872">
        <f t="shared" si="302"/>
        <v>33.703409999999998</v>
      </c>
      <c r="C4872">
        <f t="shared" si="303"/>
        <v>-117.845176</v>
      </c>
      <c r="D4872">
        <f t="shared" si="304"/>
        <v>48</v>
      </c>
      <c r="E4872">
        <v>44.499000000000002</v>
      </c>
      <c r="F4872">
        <f t="shared" si="305"/>
        <v>3.5009999999999977</v>
      </c>
      <c r="G4872">
        <v>23.766999999999999</v>
      </c>
      <c r="H4872">
        <v>0.85299999999999998</v>
      </c>
      <c r="I4872">
        <v>3.6179999999999999</v>
      </c>
      <c r="J4872">
        <v>4</v>
      </c>
      <c r="K4872">
        <v>15</v>
      </c>
      <c r="L4872">
        <v>8</v>
      </c>
      <c r="M4872">
        <v>1.3919999999999999</v>
      </c>
    </row>
    <row r="4873" spans="1:13" ht="15" customHeight="1">
      <c r="A4873" t="s">
        <v>53</v>
      </c>
      <c r="B4873">
        <f t="shared" si="302"/>
        <v>33.703409999999998</v>
      </c>
      <c r="C4873">
        <f t="shared" si="303"/>
        <v>-117.845176</v>
      </c>
      <c r="D4873">
        <f t="shared" si="304"/>
        <v>48</v>
      </c>
      <c r="E4873">
        <v>45.499000000000002</v>
      </c>
      <c r="F4873">
        <f t="shared" si="305"/>
        <v>2.5009999999999977</v>
      </c>
      <c r="G4873">
        <v>76.183000000000007</v>
      </c>
      <c r="H4873">
        <v>2.6819999999999999</v>
      </c>
      <c r="I4873">
        <v>3.5289999999999999</v>
      </c>
      <c r="J4873">
        <v>5</v>
      </c>
      <c r="K4873">
        <v>36</v>
      </c>
      <c r="L4873">
        <v>20</v>
      </c>
      <c r="M4873">
        <v>4.8819999999999997</v>
      </c>
    </row>
    <row r="4874" spans="1:13" ht="15" customHeight="1">
      <c r="A4874" t="s">
        <v>53</v>
      </c>
      <c r="B4874">
        <f t="shared" si="302"/>
        <v>33.703409999999998</v>
      </c>
      <c r="C4874">
        <f t="shared" si="303"/>
        <v>-117.845176</v>
      </c>
      <c r="D4874">
        <f t="shared" si="304"/>
        <v>48</v>
      </c>
      <c r="E4874">
        <v>46.499000000000002</v>
      </c>
      <c r="F4874">
        <f t="shared" si="305"/>
        <v>1.5009999999999977</v>
      </c>
      <c r="G4874">
        <v>265.483</v>
      </c>
      <c r="H4874">
        <v>2.077</v>
      </c>
      <c r="I4874">
        <v>0.78300000000000003</v>
      </c>
      <c r="J4874">
        <v>9</v>
      </c>
      <c r="K4874">
        <v>51</v>
      </c>
      <c r="L4874">
        <v>28</v>
      </c>
      <c r="M4874" s="1">
        <v>9000000000</v>
      </c>
    </row>
    <row r="4875" spans="1:13" ht="15" customHeight="1">
      <c r="A4875" t="s">
        <v>53</v>
      </c>
      <c r="B4875">
        <f t="shared" si="302"/>
        <v>33.703409999999998</v>
      </c>
      <c r="C4875">
        <f t="shared" si="303"/>
        <v>-117.845176</v>
      </c>
      <c r="D4875">
        <f t="shared" si="304"/>
        <v>48</v>
      </c>
      <c r="E4875">
        <v>47.499000000000002</v>
      </c>
      <c r="F4875">
        <f t="shared" si="305"/>
        <v>0.50099999999999767</v>
      </c>
      <c r="G4875">
        <v>294.233</v>
      </c>
      <c r="H4875">
        <v>1.5880000000000001</v>
      </c>
      <c r="I4875">
        <v>0.54</v>
      </c>
      <c r="J4875">
        <v>10</v>
      </c>
      <c r="K4875">
        <v>47</v>
      </c>
      <c r="L4875">
        <v>26</v>
      </c>
      <c r="M4875" s="1">
        <v>9000000000</v>
      </c>
    </row>
    <row r="4876" spans="1:13" ht="15" customHeight="1">
      <c r="A4876" t="s">
        <v>53</v>
      </c>
      <c r="B4876">
        <f t="shared" si="302"/>
        <v>33.703409999999998</v>
      </c>
      <c r="C4876">
        <f t="shared" si="303"/>
        <v>-117.845176</v>
      </c>
      <c r="D4876">
        <f t="shared" si="304"/>
        <v>48</v>
      </c>
      <c r="E4876">
        <v>48.499000000000002</v>
      </c>
      <c r="F4876">
        <f t="shared" si="305"/>
        <v>-0.49900000000000233</v>
      </c>
      <c r="G4876">
        <v>340.65</v>
      </c>
      <c r="H4876">
        <v>1.4119999999999999</v>
      </c>
      <c r="I4876">
        <v>0.41499999999999998</v>
      </c>
      <c r="J4876">
        <v>10</v>
      </c>
      <c r="K4876">
        <v>54</v>
      </c>
      <c r="L4876">
        <v>29</v>
      </c>
      <c r="M4876" s="1">
        <v>9000000000</v>
      </c>
    </row>
    <row r="4877" spans="1:13" ht="15" customHeight="1">
      <c r="A4877" t="s">
        <v>53</v>
      </c>
      <c r="B4877">
        <f t="shared" si="302"/>
        <v>33.703409999999998</v>
      </c>
      <c r="C4877">
        <f t="shared" si="303"/>
        <v>-117.845176</v>
      </c>
      <c r="D4877">
        <f t="shared" si="304"/>
        <v>48</v>
      </c>
      <c r="E4877">
        <v>49.499000000000002</v>
      </c>
      <c r="F4877">
        <f t="shared" si="305"/>
        <v>-1.4990000000000023</v>
      </c>
      <c r="G4877">
        <v>267</v>
      </c>
      <c r="H4877">
        <v>1.647</v>
      </c>
      <c r="I4877">
        <v>0.61699999999999999</v>
      </c>
      <c r="J4877">
        <v>9</v>
      </c>
      <c r="K4877">
        <v>51</v>
      </c>
      <c r="L4877">
        <v>27</v>
      </c>
      <c r="M4877" s="1">
        <v>9000000000</v>
      </c>
    </row>
    <row r="4878" spans="1:13" ht="15" customHeight="1">
      <c r="A4878" t="s">
        <v>53</v>
      </c>
      <c r="B4878">
        <f t="shared" si="302"/>
        <v>33.703409999999998</v>
      </c>
      <c r="C4878">
        <f t="shared" si="303"/>
        <v>-117.845176</v>
      </c>
      <c r="D4878">
        <f t="shared" si="304"/>
        <v>48</v>
      </c>
      <c r="E4878">
        <v>50.499000000000002</v>
      </c>
      <c r="F4878">
        <f t="shared" si="305"/>
        <v>-2.4990000000000023</v>
      </c>
      <c r="G4878">
        <v>301.767</v>
      </c>
      <c r="H4878">
        <v>1.3720000000000001</v>
      </c>
      <c r="I4878">
        <v>0.45500000000000002</v>
      </c>
      <c r="J4878">
        <v>10</v>
      </c>
      <c r="K4878">
        <v>48</v>
      </c>
      <c r="L4878">
        <v>25</v>
      </c>
      <c r="M4878" s="1">
        <v>9000000000</v>
      </c>
    </row>
    <row r="4879" spans="1:13" ht="15" customHeight="1">
      <c r="A4879" t="s">
        <v>53</v>
      </c>
      <c r="B4879">
        <f t="shared" si="302"/>
        <v>33.703409999999998</v>
      </c>
      <c r="C4879">
        <f t="shared" si="303"/>
        <v>-117.845176</v>
      </c>
      <c r="D4879">
        <f t="shared" si="304"/>
        <v>48</v>
      </c>
      <c r="E4879">
        <v>51.499000000000002</v>
      </c>
      <c r="F4879">
        <f t="shared" si="305"/>
        <v>-3.4990000000000023</v>
      </c>
      <c r="G4879">
        <v>302.14999999999998</v>
      </c>
      <c r="H4879">
        <v>1.7230000000000001</v>
      </c>
      <c r="I4879">
        <v>0.57099999999999995</v>
      </c>
      <c r="J4879">
        <v>10</v>
      </c>
      <c r="K4879">
        <v>48</v>
      </c>
      <c r="L4879">
        <v>25</v>
      </c>
      <c r="M4879" s="1">
        <v>9000000000</v>
      </c>
    </row>
    <row r="4880" spans="1:13" ht="15" customHeight="1">
      <c r="A4880" t="s">
        <v>53</v>
      </c>
      <c r="B4880">
        <f t="shared" si="302"/>
        <v>33.703409999999998</v>
      </c>
      <c r="C4880">
        <f t="shared" si="303"/>
        <v>-117.845176</v>
      </c>
      <c r="D4880">
        <f t="shared" si="304"/>
        <v>48</v>
      </c>
      <c r="E4880">
        <v>52.499000000000002</v>
      </c>
      <c r="F4880">
        <f t="shared" si="305"/>
        <v>-4.4990000000000023</v>
      </c>
      <c r="G4880">
        <v>282.07100000000003</v>
      </c>
      <c r="H4880">
        <v>1.7729999999999999</v>
      </c>
      <c r="I4880">
        <v>0.629</v>
      </c>
      <c r="J4880">
        <v>9</v>
      </c>
      <c r="K4880">
        <v>54</v>
      </c>
      <c r="L4880">
        <v>28</v>
      </c>
      <c r="M4880" s="1">
        <v>9000000000</v>
      </c>
    </row>
    <row r="4881" spans="1:13" ht="15" customHeight="1">
      <c r="A4881" t="s">
        <v>53</v>
      </c>
      <c r="B4881">
        <f t="shared" si="302"/>
        <v>33.703409999999998</v>
      </c>
      <c r="C4881">
        <f t="shared" si="303"/>
        <v>-117.845176</v>
      </c>
      <c r="D4881">
        <f t="shared" si="304"/>
        <v>48</v>
      </c>
      <c r="E4881">
        <v>53.499000000000002</v>
      </c>
      <c r="F4881">
        <f t="shared" si="305"/>
        <v>-5.4990000000000023</v>
      </c>
      <c r="G4881">
        <v>252.8</v>
      </c>
      <c r="H4881">
        <v>2.0369999999999999</v>
      </c>
      <c r="I4881">
        <v>0.80600000000000005</v>
      </c>
      <c r="J4881">
        <v>9</v>
      </c>
      <c r="K4881">
        <v>48</v>
      </c>
      <c r="L4881">
        <v>25</v>
      </c>
      <c r="M4881" s="1">
        <v>9000000000</v>
      </c>
    </row>
    <row r="4882" spans="1:13" ht="15" customHeight="1">
      <c r="A4882" t="s">
        <v>53</v>
      </c>
      <c r="B4882">
        <f t="shared" si="302"/>
        <v>33.703409999999998</v>
      </c>
      <c r="C4882">
        <f t="shared" si="303"/>
        <v>-117.845176</v>
      </c>
      <c r="D4882">
        <f t="shared" si="304"/>
        <v>48</v>
      </c>
      <c r="E4882">
        <v>54.499000000000002</v>
      </c>
      <c r="F4882">
        <f t="shared" si="305"/>
        <v>-6.4990000000000023</v>
      </c>
      <c r="G4882">
        <v>123.9</v>
      </c>
      <c r="H4882">
        <v>1.875</v>
      </c>
      <c r="I4882">
        <v>1.516</v>
      </c>
      <c r="J4882">
        <v>8</v>
      </c>
      <c r="K4882">
        <v>30</v>
      </c>
      <c r="L4882">
        <v>15</v>
      </c>
      <c r="M4882" s="1">
        <v>9000000000</v>
      </c>
    </row>
    <row r="4883" spans="1:13" ht="15" customHeight="1">
      <c r="A4883" t="s">
        <v>53</v>
      </c>
      <c r="B4883">
        <f t="shared" si="302"/>
        <v>33.703409999999998</v>
      </c>
      <c r="C4883">
        <f t="shared" si="303"/>
        <v>-117.845176</v>
      </c>
      <c r="D4883">
        <f t="shared" si="304"/>
        <v>48</v>
      </c>
      <c r="E4883">
        <v>55.499000000000002</v>
      </c>
      <c r="F4883">
        <f t="shared" si="305"/>
        <v>-7.4990000000000023</v>
      </c>
      <c r="G4883">
        <v>21.1</v>
      </c>
      <c r="H4883">
        <v>0.4</v>
      </c>
      <c r="I4883">
        <v>1.911</v>
      </c>
      <c r="J4883">
        <v>6</v>
      </c>
      <c r="K4883">
        <v>8</v>
      </c>
      <c r="L4883">
        <v>4</v>
      </c>
      <c r="M4883">
        <v>1.1679999999999999</v>
      </c>
    </row>
    <row r="4884" spans="1:13" ht="15" customHeight="1">
      <c r="A4884" t="s">
        <v>53</v>
      </c>
      <c r="B4884">
        <f t="shared" si="302"/>
        <v>33.703409999999998</v>
      </c>
      <c r="C4884">
        <f t="shared" si="303"/>
        <v>-117.845176</v>
      </c>
      <c r="D4884">
        <f t="shared" si="304"/>
        <v>48</v>
      </c>
      <c r="E4884">
        <v>56.499000000000002</v>
      </c>
      <c r="F4884">
        <f t="shared" si="305"/>
        <v>-8.4990000000000023</v>
      </c>
      <c r="G4884">
        <v>29.45</v>
      </c>
      <c r="H4884">
        <v>0.747</v>
      </c>
      <c r="I4884">
        <v>2.548</v>
      </c>
      <c r="J4884">
        <v>6</v>
      </c>
      <c r="K4884">
        <v>11</v>
      </c>
      <c r="L4884">
        <v>6</v>
      </c>
      <c r="M4884">
        <v>1.722</v>
      </c>
    </row>
    <row r="4885" spans="1:13" ht="15" customHeight="1">
      <c r="A4885" t="s">
        <v>53</v>
      </c>
      <c r="B4885">
        <f t="shared" si="302"/>
        <v>33.703409999999998</v>
      </c>
      <c r="C4885">
        <f t="shared" si="303"/>
        <v>-117.845176</v>
      </c>
      <c r="D4885">
        <f t="shared" si="304"/>
        <v>48</v>
      </c>
      <c r="E4885">
        <v>57.499000000000002</v>
      </c>
      <c r="F4885">
        <f t="shared" si="305"/>
        <v>-9.4990000000000023</v>
      </c>
      <c r="G4885">
        <v>59.982999999999997</v>
      </c>
      <c r="H4885">
        <v>2.2370000000000001</v>
      </c>
      <c r="I4885">
        <v>3.7370000000000001</v>
      </c>
      <c r="J4885">
        <v>5</v>
      </c>
      <c r="K4885">
        <v>29</v>
      </c>
      <c r="L4885">
        <v>15</v>
      </c>
      <c r="M4885">
        <v>3.754</v>
      </c>
    </row>
    <row r="4886" spans="1:13" ht="15" customHeight="1">
      <c r="A4886" t="s">
        <v>53</v>
      </c>
      <c r="B4886">
        <f t="shared" si="302"/>
        <v>33.703409999999998</v>
      </c>
      <c r="C4886">
        <f t="shared" si="303"/>
        <v>-117.845176</v>
      </c>
      <c r="D4886">
        <f t="shared" si="304"/>
        <v>48</v>
      </c>
      <c r="E4886">
        <v>58.499000000000002</v>
      </c>
      <c r="F4886">
        <f t="shared" si="305"/>
        <v>-10.499000000000002</v>
      </c>
      <c r="G4886">
        <v>41.283000000000001</v>
      </c>
      <c r="H4886">
        <v>1.768</v>
      </c>
      <c r="I4886">
        <v>4.3010000000000002</v>
      </c>
      <c r="J4886">
        <v>4</v>
      </c>
      <c r="K4886">
        <v>26</v>
      </c>
      <c r="L4886">
        <v>13</v>
      </c>
      <c r="M4886">
        <v>2.5009999999999999</v>
      </c>
    </row>
    <row r="4887" spans="1:13" ht="15" customHeight="1">
      <c r="A4887" t="s">
        <v>53</v>
      </c>
      <c r="B4887">
        <f t="shared" si="302"/>
        <v>33.703409999999998</v>
      </c>
      <c r="C4887">
        <f t="shared" si="303"/>
        <v>-117.845176</v>
      </c>
      <c r="D4887">
        <f t="shared" si="304"/>
        <v>48</v>
      </c>
      <c r="E4887">
        <v>59.499000000000002</v>
      </c>
      <c r="F4887">
        <f t="shared" si="305"/>
        <v>-11.499000000000002</v>
      </c>
      <c r="G4887">
        <v>135.5</v>
      </c>
      <c r="H4887">
        <v>1.845</v>
      </c>
      <c r="I4887">
        <v>1.363</v>
      </c>
      <c r="J4887">
        <v>8</v>
      </c>
      <c r="K4887">
        <v>32</v>
      </c>
      <c r="L4887">
        <v>16</v>
      </c>
      <c r="M4887" s="1">
        <v>9000000000</v>
      </c>
    </row>
    <row r="4888" spans="1:13" ht="15" customHeight="1">
      <c r="A4888" t="s">
        <v>53</v>
      </c>
      <c r="B4888">
        <f t="shared" si="302"/>
        <v>33.703409999999998</v>
      </c>
      <c r="C4888">
        <f t="shared" si="303"/>
        <v>-117.845176</v>
      </c>
      <c r="D4888">
        <f t="shared" si="304"/>
        <v>48</v>
      </c>
      <c r="E4888">
        <v>60.499000000000002</v>
      </c>
      <c r="F4888">
        <f t="shared" si="305"/>
        <v>-12.499000000000002</v>
      </c>
      <c r="G4888">
        <v>189.25</v>
      </c>
      <c r="H4888">
        <v>1.7869999999999999</v>
      </c>
      <c r="I4888">
        <v>0.94499999999999995</v>
      </c>
      <c r="J4888">
        <v>9</v>
      </c>
      <c r="K4888">
        <v>36</v>
      </c>
      <c r="L4888">
        <v>18</v>
      </c>
      <c r="M4888" s="1">
        <v>9000000000</v>
      </c>
    </row>
    <row r="4889" spans="1:13" ht="15" customHeight="1">
      <c r="A4889" t="s">
        <v>53</v>
      </c>
      <c r="B4889">
        <f t="shared" si="302"/>
        <v>33.703409999999998</v>
      </c>
      <c r="C4889">
        <f t="shared" si="303"/>
        <v>-117.845176</v>
      </c>
      <c r="D4889">
        <f t="shared" si="304"/>
        <v>48</v>
      </c>
      <c r="E4889">
        <v>61.499000000000002</v>
      </c>
      <c r="F4889">
        <f t="shared" si="305"/>
        <v>-13.499000000000002</v>
      </c>
      <c r="G4889">
        <v>178.517</v>
      </c>
      <c r="H4889">
        <v>1.147</v>
      </c>
      <c r="I4889">
        <v>0.64300000000000002</v>
      </c>
      <c r="J4889">
        <v>9</v>
      </c>
      <c r="K4889">
        <v>34</v>
      </c>
      <c r="L4889">
        <v>17</v>
      </c>
      <c r="M4889" s="1">
        <v>9000000000</v>
      </c>
    </row>
    <row r="4890" spans="1:13" ht="15" customHeight="1">
      <c r="A4890" t="s">
        <v>53</v>
      </c>
      <c r="B4890">
        <f t="shared" si="302"/>
        <v>33.703409999999998</v>
      </c>
      <c r="C4890">
        <f t="shared" si="303"/>
        <v>-117.845176</v>
      </c>
      <c r="D4890">
        <f t="shared" si="304"/>
        <v>48</v>
      </c>
      <c r="E4890">
        <v>62.499000000000002</v>
      </c>
      <c r="F4890">
        <f t="shared" si="305"/>
        <v>-14.499000000000002</v>
      </c>
      <c r="G4890">
        <v>28.186</v>
      </c>
      <c r="H4890">
        <v>0.84299999999999997</v>
      </c>
      <c r="I4890">
        <v>3.004</v>
      </c>
      <c r="J4890">
        <v>5</v>
      </c>
      <c r="K4890">
        <v>13</v>
      </c>
      <c r="L4890">
        <v>7</v>
      </c>
      <c r="M4890">
        <v>1.6140000000000001</v>
      </c>
    </row>
    <row r="4891" spans="1:13" ht="15" customHeight="1">
      <c r="A4891" t="s">
        <v>53</v>
      </c>
      <c r="B4891">
        <f t="shared" si="302"/>
        <v>33.703409999999998</v>
      </c>
      <c r="C4891">
        <f t="shared" si="303"/>
        <v>-117.845176</v>
      </c>
      <c r="D4891">
        <f t="shared" si="304"/>
        <v>48</v>
      </c>
      <c r="E4891">
        <v>63.499000000000002</v>
      </c>
      <c r="F4891">
        <f t="shared" si="305"/>
        <v>-15.499000000000002</v>
      </c>
      <c r="G4891">
        <v>22.067</v>
      </c>
      <c r="H4891">
        <v>0.49199999999999999</v>
      </c>
      <c r="I4891">
        <v>2.2400000000000002</v>
      </c>
      <c r="J4891">
        <v>6</v>
      </c>
      <c r="K4891">
        <v>8</v>
      </c>
      <c r="L4891">
        <v>4</v>
      </c>
      <c r="M4891">
        <v>1.2030000000000001</v>
      </c>
    </row>
    <row r="4892" spans="1:13" ht="15" customHeight="1">
      <c r="A4892" t="s">
        <v>53</v>
      </c>
      <c r="B4892">
        <f t="shared" si="302"/>
        <v>33.703409999999998</v>
      </c>
      <c r="C4892">
        <f t="shared" si="303"/>
        <v>-117.845176</v>
      </c>
      <c r="D4892">
        <f t="shared" si="304"/>
        <v>48</v>
      </c>
      <c r="E4892">
        <v>64.498999999999995</v>
      </c>
      <c r="F4892">
        <f t="shared" si="305"/>
        <v>-16.498999999999995</v>
      </c>
      <c r="G4892">
        <v>18.233000000000001</v>
      </c>
      <c r="H4892">
        <v>0.59199999999999997</v>
      </c>
      <c r="I4892">
        <v>3.2629999999999999</v>
      </c>
      <c r="J4892">
        <v>5</v>
      </c>
      <c r="K4892">
        <v>9</v>
      </c>
      <c r="L4892">
        <v>5</v>
      </c>
      <c r="M4892">
        <v>0.94399999999999995</v>
      </c>
    </row>
    <row r="4893" spans="1:13" ht="15" customHeight="1">
      <c r="A4893" t="s">
        <v>53</v>
      </c>
      <c r="B4893">
        <f t="shared" si="302"/>
        <v>33.703409999999998</v>
      </c>
      <c r="C4893">
        <f t="shared" si="303"/>
        <v>-117.845176</v>
      </c>
      <c r="D4893">
        <f t="shared" si="304"/>
        <v>48</v>
      </c>
      <c r="E4893">
        <v>65.498999999999995</v>
      </c>
      <c r="F4893">
        <f t="shared" si="305"/>
        <v>-17.498999999999995</v>
      </c>
      <c r="G4893">
        <v>17.649999999999999</v>
      </c>
      <c r="H4893">
        <v>0.39800000000000002</v>
      </c>
      <c r="I4893">
        <v>2.27</v>
      </c>
      <c r="J4893">
        <v>5</v>
      </c>
      <c r="K4893">
        <v>8</v>
      </c>
      <c r="L4893">
        <v>4</v>
      </c>
      <c r="M4893">
        <v>0.90100000000000002</v>
      </c>
    </row>
    <row r="4894" spans="1:13" ht="15" customHeight="1">
      <c r="A4894" t="s">
        <v>53</v>
      </c>
      <c r="B4894">
        <f t="shared" si="302"/>
        <v>33.703409999999998</v>
      </c>
      <c r="C4894">
        <f t="shared" si="303"/>
        <v>-117.845176</v>
      </c>
      <c r="D4894">
        <f t="shared" si="304"/>
        <v>48</v>
      </c>
      <c r="E4894">
        <v>66.498999999999995</v>
      </c>
      <c r="F4894">
        <f t="shared" si="305"/>
        <v>-18.498999999999995</v>
      </c>
      <c r="G4894">
        <v>19.716999999999999</v>
      </c>
      <c r="H4894">
        <v>0.54200000000000004</v>
      </c>
      <c r="I4894">
        <v>2.7610000000000001</v>
      </c>
      <c r="J4894">
        <v>5</v>
      </c>
      <c r="K4894">
        <v>9</v>
      </c>
      <c r="L4894">
        <v>5</v>
      </c>
      <c r="M4894">
        <v>1.0349999999999999</v>
      </c>
    </row>
    <row r="4895" spans="1:13" ht="15" customHeight="1">
      <c r="A4895" t="s">
        <v>53</v>
      </c>
      <c r="B4895">
        <f t="shared" si="302"/>
        <v>33.703409999999998</v>
      </c>
      <c r="C4895">
        <f t="shared" si="303"/>
        <v>-117.845176</v>
      </c>
      <c r="D4895">
        <f t="shared" si="304"/>
        <v>48</v>
      </c>
      <c r="E4895">
        <v>67.498999999999995</v>
      </c>
      <c r="F4895">
        <f t="shared" si="305"/>
        <v>-19.498999999999995</v>
      </c>
      <c r="G4895">
        <v>20.6</v>
      </c>
      <c r="H4895">
        <v>0.66800000000000004</v>
      </c>
      <c r="I4895">
        <v>3.258</v>
      </c>
      <c r="J4895">
        <v>5</v>
      </c>
      <c r="K4895">
        <v>10</v>
      </c>
      <c r="L4895">
        <v>5</v>
      </c>
      <c r="M4895">
        <v>1.091</v>
      </c>
    </row>
    <row r="4896" spans="1:13" ht="15" customHeight="1">
      <c r="A4896" t="s">
        <v>53</v>
      </c>
      <c r="B4896">
        <f t="shared" si="302"/>
        <v>33.703409999999998</v>
      </c>
      <c r="C4896">
        <f t="shared" si="303"/>
        <v>-117.845176</v>
      </c>
      <c r="D4896">
        <f t="shared" si="304"/>
        <v>48</v>
      </c>
      <c r="E4896">
        <v>68.498999999999995</v>
      </c>
      <c r="F4896">
        <f t="shared" si="305"/>
        <v>-20.498999999999995</v>
      </c>
      <c r="G4896">
        <v>20.05</v>
      </c>
      <c r="H4896">
        <v>0.57699999999999996</v>
      </c>
      <c r="I4896">
        <v>2.8879999999999999</v>
      </c>
      <c r="J4896">
        <v>5</v>
      </c>
      <c r="K4896">
        <v>10</v>
      </c>
      <c r="L4896">
        <v>5</v>
      </c>
      <c r="M4896">
        <v>1.0509999999999999</v>
      </c>
    </row>
    <row r="4897" spans="1:13" ht="15" customHeight="1">
      <c r="A4897" t="s">
        <v>53</v>
      </c>
      <c r="B4897">
        <f t="shared" si="302"/>
        <v>33.703409999999998</v>
      </c>
      <c r="C4897">
        <f t="shared" si="303"/>
        <v>-117.845176</v>
      </c>
      <c r="D4897">
        <f t="shared" si="304"/>
        <v>48</v>
      </c>
      <c r="E4897">
        <v>69.498999999999995</v>
      </c>
      <c r="F4897">
        <f t="shared" si="305"/>
        <v>-21.498999999999995</v>
      </c>
      <c r="G4897">
        <v>25.917000000000002</v>
      </c>
      <c r="H4897">
        <v>0.77</v>
      </c>
      <c r="I4897">
        <v>2.9769999999999999</v>
      </c>
      <c r="J4897">
        <v>5</v>
      </c>
      <c r="K4897">
        <v>12</v>
      </c>
      <c r="L4897">
        <v>6</v>
      </c>
      <c r="M4897">
        <v>1.44</v>
      </c>
    </row>
    <row r="4898" spans="1:13" ht="15" customHeight="1">
      <c r="A4898" t="s">
        <v>53</v>
      </c>
      <c r="B4898">
        <f t="shared" si="302"/>
        <v>33.703409999999998</v>
      </c>
      <c r="C4898">
        <f t="shared" si="303"/>
        <v>-117.845176</v>
      </c>
      <c r="D4898">
        <f t="shared" si="304"/>
        <v>48</v>
      </c>
      <c r="E4898">
        <v>70.498999999999995</v>
      </c>
      <c r="F4898">
        <f t="shared" si="305"/>
        <v>-22.498999999999995</v>
      </c>
      <c r="G4898">
        <v>20.7</v>
      </c>
      <c r="H4898">
        <v>0.66700000000000004</v>
      </c>
      <c r="I4898">
        <v>3.2210000000000001</v>
      </c>
      <c r="J4898">
        <v>5</v>
      </c>
      <c r="K4898">
        <v>10</v>
      </c>
      <c r="L4898">
        <v>5</v>
      </c>
      <c r="M4898">
        <v>1.091</v>
      </c>
    </row>
    <row r="4899" spans="1:13" ht="15" customHeight="1">
      <c r="A4899" t="s">
        <v>53</v>
      </c>
      <c r="B4899">
        <f t="shared" si="302"/>
        <v>33.703409999999998</v>
      </c>
      <c r="C4899">
        <f t="shared" si="303"/>
        <v>-117.845176</v>
      </c>
      <c r="D4899">
        <f t="shared" si="304"/>
        <v>48</v>
      </c>
      <c r="E4899">
        <v>71.498999999999995</v>
      </c>
      <c r="F4899">
        <f t="shared" si="305"/>
        <v>-23.498999999999995</v>
      </c>
      <c r="G4899">
        <v>19.2</v>
      </c>
      <c r="H4899">
        <v>0.71</v>
      </c>
      <c r="I4899">
        <v>3.6949999999999998</v>
      </c>
      <c r="J4899">
        <v>4</v>
      </c>
      <c r="K4899">
        <v>12</v>
      </c>
      <c r="L4899">
        <v>6</v>
      </c>
      <c r="M4899">
        <v>0.98799999999999999</v>
      </c>
    </row>
    <row r="4900" spans="1:13" ht="15" customHeight="1">
      <c r="A4900" t="s">
        <v>53</v>
      </c>
      <c r="B4900">
        <f t="shared" si="302"/>
        <v>33.703409999999998</v>
      </c>
      <c r="C4900">
        <f t="shared" si="303"/>
        <v>-117.845176</v>
      </c>
      <c r="D4900">
        <f t="shared" si="304"/>
        <v>48</v>
      </c>
      <c r="E4900">
        <v>72.498999999999995</v>
      </c>
      <c r="F4900">
        <f t="shared" si="305"/>
        <v>-24.498999999999995</v>
      </c>
      <c r="G4900">
        <v>26.257000000000001</v>
      </c>
      <c r="H4900">
        <v>0.69399999999999995</v>
      </c>
      <c r="I4900">
        <v>2.6440000000000001</v>
      </c>
      <c r="J4900">
        <v>6</v>
      </c>
      <c r="K4900">
        <v>10</v>
      </c>
      <c r="L4900">
        <v>5</v>
      </c>
      <c r="M4900">
        <v>1.454</v>
      </c>
    </row>
    <row r="4901" spans="1:13" ht="15" customHeight="1">
      <c r="A4901" t="s">
        <v>53</v>
      </c>
      <c r="B4901">
        <f t="shared" si="302"/>
        <v>33.703409999999998</v>
      </c>
      <c r="C4901">
        <f t="shared" si="303"/>
        <v>-117.845176</v>
      </c>
      <c r="D4901">
        <f t="shared" si="304"/>
        <v>48</v>
      </c>
      <c r="E4901">
        <v>73.498999999999995</v>
      </c>
      <c r="F4901">
        <f t="shared" si="305"/>
        <v>-25.498999999999995</v>
      </c>
      <c r="G4901">
        <v>26.832999999999998</v>
      </c>
      <c r="H4901">
        <v>0.872</v>
      </c>
      <c r="I4901">
        <v>3.2610000000000001</v>
      </c>
      <c r="J4901">
        <v>5</v>
      </c>
      <c r="K4901">
        <v>13</v>
      </c>
      <c r="L4901">
        <v>7</v>
      </c>
      <c r="M4901">
        <v>1.4810000000000001</v>
      </c>
    </row>
    <row r="4902" spans="1:13" ht="15" customHeight="1">
      <c r="A4902" t="s">
        <v>53</v>
      </c>
      <c r="B4902">
        <f t="shared" si="302"/>
        <v>33.703409999999998</v>
      </c>
      <c r="C4902">
        <f t="shared" si="303"/>
        <v>-117.845176</v>
      </c>
      <c r="D4902">
        <f t="shared" si="304"/>
        <v>48</v>
      </c>
      <c r="E4902">
        <v>74.498999999999995</v>
      </c>
      <c r="F4902">
        <f t="shared" si="305"/>
        <v>-26.498999999999995</v>
      </c>
      <c r="G4902">
        <v>28.55</v>
      </c>
      <c r="H4902">
        <v>1.1100000000000001</v>
      </c>
      <c r="I4902">
        <v>3.8969999999999998</v>
      </c>
      <c r="J4902">
        <v>4</v>
      </c>
      <c r="K4902">
        <v>18</v>
      </c>
      <c r="L4902">
        <v>9</v>
      </c>
      <c r="M4902">
        <v>1.5940000000000001</v>
      </c>
    </row>
    <row r="4903" spans="1:13" ht="15" customHeight="1">
      <c r="A4903" t="s">
        <v>53</v>
      </c>
      <c r="B4903">
        <f t="shared" si="302"/>
        <v>33.703409999999998</v>
      </c>
      <c r="C4903">
        <f t="shared" si="303"/>
        <v>-117.845176</v>
      </c>
      <c r="D4903">
        <f t="shared" si="304"/>
        <v>48</v>
      </c>
      <c r="E4903">
        <v>75.498999999999995</v>
      </c>
      <c r="F4903">
        <f t="shared" si="305"/>
        <v>-27.498999999999995</v>
      </c>
      <c r="G4903">
        <v>37.966999999999999</v>
      </c>
      <c r="H4903">
        <v>1.3480000000000001</v>
      </c>
      <c r="I4903">
        <v>3.5539999999999998</v>
      </c>
      <c r="J4903">
        <v>5</v>
      </c>
      <c r="K4903">
        <v>18</v>
      </c>
      <c r="L4903">
        <v>9</v>
      </c>
      <c r="M4903">
        <v>2.2200000000000002</v>
      </c>
    </row>
    <row r="4904" spans="1:13" ht="15" customHeight="1">
      <c r="A4904" t="s">
        <v>53</v>
      </c>
      <c r="B4904">
        <f t="shared" si="302"/>
        <v>33.703409999999998</v>
      </c>
      <c r="C4904">
        <f t="shared" si="303"/>
        <v>-117.845176</v>
      </c>
      <c r="D4904">
        <f t="shared" si="304"/>
        <v>48</v>
      </c>
      <c r="E4904">
        <v>76.498999999999995</v>
      </c>
      <c r="F4904">
        <f t="shared" si="305"/>
        <v>-28.498999999999995</v>
      </c>
      <c r="G4904">
        <v>43.317</v>
      </c>
      <c r="H4904">
        <v>1.242</v>
      </c>
      <c r="I4904">
        <v>2.87</v>
      </c>
      <c r="J4904">
        <v>6</v>
      </c>
      <c r="K4904">
        <v>17</v>
      </c>
      <c r="L4904">
        <v>9</v>
      </c>
      <c r="M4904">
        <v>2.5710000000000002</v>
      </c>
    </row>
    <row r="4905" spans="1:13" ht="15" customHeight="1">
      <c r="A4905" t="s">
        <v>53</v>
      </c>
      <c r="B4905">
        <f t="shared" si="302"/>
        <v>33.703409999999998</v>
      </c>
      <c r="C4905">
        <f t="shared" si="303"/>
        <v>-117.845176</v>
      </c>
      <c r="D4905">
        <f t="shared" si="304"/>
        <v>48</v>
      </c>
      <c r="E4905">
        <v>77.498999999999995</v>
      </c>
      <c r="F4905">
        <f t="shared" si="305"/>
        <v>-29.498999999999995</v>
      </c>
      <c r="G4905">
        <v>39.299999999999997</v>
      </c>
      <c r="H4905">
        <v>1.028</v>
      </c>
      <c r="I4905">
        <v>2.6190000000000002</v>
      </c>
      <c r="J4905">
        <v>6</v>
      </c>
      <c r="K4905">
        <v>15</v>
      </c>
      <c r="L4905">
        <v>8</v>
      </c>
      <c r="M4905">
        <v>2.2999999999999998</v>
      </c>
    </row>
    <row r="4906" spans="1:13" ht="15" customHeight="1">
      <c r="A4906" t="s">
        <v>53</v>
      </c>
      <c r="B4906">
        <f t="shared" si="302"/>
        <v>33.703409999999998</v>
      </c>
      <c r="C4906">
        <f t="shared" si="303"/>
        <v>-117.845176</v>
      </c>
      <c r="D4906">
        <f t="shared" si="304"/>
        <v>48</v>
      </c>
      <c r="E4906">
        <v>78.498999999999995</v>
      </c>
      <c r="F4906">
        <f t="shared" si="305"/>
        <v>-30.498999999999995</v>
      </c>
      <c r="G4906">
        <v>39.517000000000003</v>
      </c>
      <c r="H4906">
        <v>0.998</v>
      </c>
      <c r="I4906">
        <v>2.5259999999999998</v>
      </c>
      <c r="J4906">
        <v>6</v>
      </c>
      <c r="K4906">
        <v>15</v>
      </c>
      <c r="L4906">
        <v>8</v>
      </c>
      <c r="M4906">
        <v>2.3130000000000002</v>
      </c>
    </row>
    <row r="4907" spans="1:13" ht="15" customHeight="1">
      <c r="A4907" t="s">
        <v>53</v>
      </c>
      <c r="B4907">
        <f t="shared" si="302"/>
        <v>33.703409999999998</v>
      </c>
      <c r="C4907">
        <f t="shared" si="303"/>
        <v>-117.845176</v>
      </c>
      <c r="D4907">
        <f t="shared" si="304"/>
        <v>48</v>
      </c>
      <c r="E4907">
        <v>79.498999999999995</v>
      </c>
      <c r="F4907">
        <f t="shared" si="305"/>
        <v>-31.498999999999995</v>
      </c>
      <c r="G4907">
        <v>36.917000000000002</v>
      </c>
      <c r="H4907">
        <v>1.1419999999999999</v>
      </c>
      <c r="I4907">
        <v>3.093</v>
      </c>
      <c r="J4907">
        <v>5</v>
      </c>
      <c r="K4907">
        <v>18</v>
      </c>
      <c r="L4907">
        <v>9</v>
      </c>
      <c r="M4907">
        <v>2.1349999999999998</v>
      </c>
    </row>
    <row r="4908" spans="1:13" ht="15" customHeight="1">
      <c r="A4908" t="s">
        <v>53</v>
      </c>
      <c r="B4908">
        <f t="shared" si="302"/>
        <v>33.703409999999998</v>
      </c>
      <c r="C4908">
        <f t="shared" si="303"/>
        <v>-117.845176</v>
      </c>
      <c r="D4908">
        <f t="shared" si="304"/>
        <v>48</v>
      </c>
      <c r="E4908">
        <v>80.498999999999995</v>
      </c>
      <c r="F4908">
        <f t="shared" si="305"/>
        <v>-32.498999999999995</v>
      </c>
      <c r="G4908">
        <v>32.267000000000003</v>
      </c>
      <c r="H4908">
        <v>0.89200000000000002</v>
      </c>
      <c r="I4908">
        <v>2.7629999999999999</v>
      </c>
      <c r="J4908">
        <v>6</v>
      </c>
      <c r="K4908">
        <v>12</v>
      </c>
      <c r="L4908">
        <v>6</v>
      </c>
      <c r="M4908">
        <v>1.821</v>
      </c>
    </row>
    <row r="4909" spans="1:13" ht="15" customHeight="1">
      <c r="A4909" t="s">
        <v>53</v>
      </c>
      <c r="B4909">
        <f t="shared" si="302"/>
        <v>33.703409999999998</v>
      </c>
      <c r="C4909">
        <f t="shared" si="303"/>
        <v>-117.845176</v>
      </c>
      <c r="D4909">
        <f t="shared" si="304"/>
        <v>48</v>
      </c>
      <c r="E4909">
        <v>81.498999999999995</v>
      </c>
      <c r="F4909">
        <f t="shared" si="305"/>
        <v>-33.498999999999995</v>
      </c>
      <c r="G4909">
        <v>35.883000000000003</v>
      </c>
      <c r="H4909">
        <v>1.117</v>
      </c>
      <c r="I4909">
        <v>3.1080000000000001</v>
      </c>
      <c r="J4909">
        <v>5</v>
      </c>
      <c r="K4909">
        <v>17</v>
      </c>
      <c r="L4909">
        <v>9</v>
      </c>
      <c r="M4909">
        <v>2.0609999999999999</v>
      </c>
    </row>
    <row r="4910" spans="1:13" ht="15" customHeight="1">
      <c r="A4910" t="s">
        <v>53</v>
      </c>
      <c r="B4910">
        <f t="shared" si="302"/>
        <v>33.703409999999998</v>
      </c>
      <c r="C4910">
        <f t="shared" si="303"/>
        <v>-117.845176</v>
      </c>
      <c r="D4910">
        <f t="shared" si="304"/>
        <v>48</v>
      </c>
      <c r="E4910">
        <v>82.498999999999995</v>
      </c>
      <c r="F4910">
        <f t="shared" si="305"/>
        <v>-34.498999999999995</v>
      </c>
      <c r="G4910">
        <v>220.46700000000001</v>
      </c>
      <c r="H4910">
        <v>3.105</v>
      </c>
      <c r="I4910">
        <v>1.409</v>
      </c>
      <c r="J4910">
        <v>8</v>
      </c>
      <c r="K4910">
        <v>53</v>
      </c>
      <c r="L4910">
        <v>27</v>
      </c>
      <c r="M4910" s="1">
        <v>9000000000</v>
      </c>
    </row>
    <row r="4911" spans="1:13" ht="15" customHeight="1">
      <c r="A4911" t="s">
        <v>53</v>
      </c>
      <c r="B4911">
        <f t="shared" si="302"/>
        <v>33.703409999999998</v>
      </c>
      <c r="C4911">
        <f t="shared" si="303"/>
        <v>-117.845176</v>
      </c>
      <c r="D4911">
        <f t="shared" si="304"/>
        <v>48</v>
      </c>
      <c r="E4911">
        <v>83.498999999999995</v>
      </c>
      <c r="F4911">
        <f t="shared" si="305"/>
        <v>-35.498999999999995</v>
      </c>
      <c r="G4911">
        <v>120.629</v>
      </c>
      <c r="H4911">
        <v>2.8359999999999999</v>
      </c>
      <c r="I4911">
        <v>2.3519999999999999</v>
      </c>
      <c r="J4911">
        <v>7</v>
      </c>
      <c r="K4911">
        <v>38</v>
      </c>
      <c r="L4911">
        <v>19</v>
      </c>
      <c r="M4911" s="1">
        <v>9000000000</v>
      </c>
    </row>
    <row r="4912" spans="1:13" ht="15" customHeight="1">
      <c r="A4912" t="s">
        <v>53</v>
      </c>
      <c r="B4912">
        <f t="shared" si="302"/>
        <v>33.703409999999998</v>
      </c>
      <c r="C4912">
        <f t="shared" si="303"/>
        <v>-117.845176</v>
      </c>
      <c r="D4912">
        <f t="shared" si="304"/>
        <v>48</v>
      </c>
      <c r="E4912">
        <v>84.498999999999995</v>
      </c>
      <c r="F4912">
        <f t="shared" si="305"/>
        <v>-36.498999999999995</v>
      </c>
      <c r="G4912">
        <v>27.317</v>
      </c>
      <c r="H4912">
        <v>0.84799999999999998</v>
      </c>
      <c r="I4912">
        <v>3.1040000000000001</v>
      </c>
      <c r="J4912">
        <v>5</v>
      </c>
      <c r="K4912">
        <v>13</v>
      </c>
      <c r="L4912">
        <v>7</v>
      </c>
      <c r="M4912">
        <v>1.476</v>
      </c>
    </row>
    <row r="4913" spans="1:13" ht="15" customHeight="1">
      <c r="A4913" t="s">
        <v>53</v>
      </c>
      <c r="B4913">
        <f t="shared" si="302"/>
        <v>33.703409999999998</v>
      </c>
      <c r="C4913">
        <f t="shared" si="303"/>
        <v>-117.845176</v>
      </c>
      <c r="D4913">
        <f t="shared" si="304"/>
        <v>48</v>
      </c>
      <c r="E4913">
        <v>85.498999999999995</v>
      </c>
      <c r="F4913">
        <f t="shared" si="305"/>
        <v>-37.498999999999995</v>
      </c>
      <c r="G4913">
        <v>85.283000000000001</v>
      </c>
      <c r="H4913">
        <v>3.4969999999999999</v>
      </c>
      <c r="I4913">
        <v>4.1020000000000003</v>
      </c>
      <c r="J4913">
        <v>5</v>
      </c>
      <c r="K4913">
        <v>41</v>
      </c>
      <c r="L4913">
        <v>21</v>
      </c>
      <c r="M4913">
        <v>5.3319999999999999</v>
      </c>
    </row>
    <row r="4914" spans="1:13" ht="15" customHeight="1">
      <c r="A4914" t="s">
        <v>53</v>
      </c>
      <c r="B4914">
        <f t="shared" si="302"/>
        <v>33.703409999999998</v>
      </c>
      <c r="C4914">
        <f t="shared" si="303"/>
        <v>-117.845176</v>
      </c>
      <c r="D4914">
        <f t="shared" si="304"/>
        <v>48</v>
      </c>
      <c r="E4914">
        <v>86.498999999999995</v>
      </c>
      <c r="F4914">
        <f t="shared" si="305"/>
        <v>-38.498999999999995</v>
      </c>
      <c r="G4914">
        <v>155.9</v>
      </c>
      <c r="H4914">
        <v>5.032</v>
      </c>
      <c r="I4914">
        <v>3.23</v>
      </c>
      <c r="J4914">
        <v>6</v>
      </c>
      <c r="K4914">
        <v>60</v>
      </c>
      <c r="L4914">
        <v>30</v>
      </c>
      <c r="M4914">
        <v>10.032</v>
      </c>
    </row>
    <row r="4915" spans="1:13" ht="15" customHeight="1">
      <c r="A4915" t="s">
        <v>53</v>
      </c>
      <c r="B4915">
        <f t="shared" si="302"/>
        <v>33.703409999999998</v>
      </c>
      <c r="C4915">
        <f t="shared" si="303"/>
        <v>-117.845176</v>
      </c>
      <c r="D4915">
        <f t="shared" si="304"/>
        <v>48</v>
      </c>
      <c r="E4915">
        <v>87.498999999999995</v>
      </c>
      <c r="F4915">
        <f t="shared" si="305"/>
        <v>-39.498999999999995</v>
      </c>
      <c r="G4915">
        <v>173.28299999999999</v>
      </c>
      <c r="H4915">
        <v>4.9480000000000004</v>
      </c>
      <c r="I4915">
        <v>2.859</v>
      </c>
      <c r="J4915">
        <v>7</v>
      </c>
      <c r="K4915">
        <v>55</v>
      </c>
      <c r="L4915">
        <v>28</v>
      </c>
      <c r="M4915" s="1">
        <v>9000000000</v>
      </c>
    </row>
    <row r="4916" spans="1:13" ht="15" customHeight="1">
      <c r="A4916" t="s">
        <v>53</v>
      </c>
      <c r="B4916">
        <f t="shared" si="302"/>
        <v>33.703409999999998</v>
      </c>
      <c r="C4916">
        <f t="shared" si="303"/>
        <v>-117.845176</v>
      </c>
      <c r="D4916">
        <f t="shared" si="304"/>
        <v>48</v>
      </c>
      <c r="E4916">
        <v>88.498999999999995</v>
      </c>
      <c r="F4916">
        <f t="shared" si="305"/>
        <v>-40.498999999999995</v>
      </c>
      <c r="G4916">
        <v>150</v>
      </c>
      <c r="H4916">
        <v>4.7370000000000001</v>
      </c>
      <c r="I4916">
        <v>3.161</v>
      </c>
      <c r="J4916">
        <v>6</v>
      </c>
      <c r="K4916">
        <v>57</v>
      </c>
      <c r="L4916">
        <v>29</v>
      </c>
      <c r="M4916">
        <v>9.6259999999999994</v>
      </c>
    </row>
    <row r="4917" spans="1:13" ht="15" customHeight="1">
      <c r="A4917" t="s">
        <v>53</v>
      </c>
      <c r="B4917">
        <f t="shared" si="302"/>
        <v>33.703409999999998</v>
      </c>
      <c r="C4917">
        <f t="shared" si="303"/>
        <v>-117.845176</v>
      </c>
      <c r="D4917">
        <f t="shared" si="304"/>
        <v>48</v>
      </c>
      <c r="E4917">
        <v>89.498999999999995</v>
      </c>
      <c r="F4917">
        <f t="shared" si="305"/>
        <v>-41.498999999999995</v>
      </c>
      <c r="G4917">
        <v>123.717</v>
      </c>
      <c r="H4917">
        <v>4.1269999999999998</v>
      </c>
      <c r="I4917">
        <v>3.3410000000000002</v>
      </c>
      <c r="J4917">
        <v>6</v>
      </c>
      <c r="K4917">
        <v>47</v>
      </c>
      <c r="L4917">
        <v>24</v>
      </c>
      <c r="M4917">
        <v>7.867</v>
      </c>
    </row>
    <row r="4918" spans="1:13" ht="15" customHeight="1">
      <c r="A4918" t="s">
        <v>53</v>
      </c>
      <c r="B4918">
        <f t="shared" si="302"/>
        <v>33.703409999999998</v>
      </c>
      <c r="C4918">
        <f t="shared" si="303"/>
        <v>-117.845176</v>
      </c>
      <c r="D4918">
        <f t="shared" si="304"/>
        <v>48</v>
      </c>
      <c r="E4918">
        <v>90.498999999999995</v>
      </c>
      <c r="F4918">
        <f t="shared" si="305"/>
        <v>-42.498999999999995</v>
      </c>
      <c r="G4918">
        <v>108.117</v>
      </c>
      <c r="H4918">
        <v>3.4769999999999999</v>
      </c>
      <c r="I4918">
        <v>3.2210000000000001</v>
      </c>
      <c r="J4918">
        <v>6</v>
      </c>
      <c r="K4918">
        <v>41</v>
      </c>
      <c r="L4918">
        <v>21</v>
      </c>
      <c r="M4918">
        <v>6.8250000000000002</v>
      </c>
    </row>
    <row r="4919" spans="1:13" ht="15" customHeight="1">
      <c r="A4919" t="s">
        <v>53</v>
      </c>
      <c r="B4919">
        <f t="shared" si="302"/>
        <v>33.703409999999998</v>
      </c>
      <c r="C4919">
        <f t="shared" si="303"/>
        <v>-117.845176</v>
      </c>
      <c r="D4919">
        <f t="shared" si="304"/>
        <v>48</v>
      </c>
      <c r="E4919">
        <v>91.498999999999995</v>
      </c>
      <c r="F4919">
        <f t="shared" si="305"/>
        <v>-43.498999999999995</v>
      </c>
      <c r="G4919">
        <v>96.05</v>
      </c>
      <c r="H4919">
        <v>5.0919999999999996</v>
      </c>
      <c r="I4919">
        <v>5.3120000000000003</v>
      </c>
      <c r="J4919">
        <v>11</v>
      </c>
      <c r="K4919">
        <v>92</v>
      </c>
      <c r="L4919">
        <v>46</v>
      </c>
      <c r="M4919" s="1">
        <v>9000000000</v>
      </c>
    </row>
    <row r="4920" spans="1:13" ht="15" customHeight="1">
      <c r="A4920" t="s">
        <v>53</v>
      </c>
      <c r="B4920">
        <f t="shared" si="302"/>
        <v>33.703409999999998</v>
      </c>
      <c r="C4920">
        <f t="shared" si="303"/>
        <v>-117.845176</v>
      </c>
      <c r="D4920">
        <f t="shared" si="304"/>
        <v>48</v>
      </c>
      <c r="E4920">
        <v>92.498999999999995</v>
      </c>
      <c r="F4920">
        <f t="shared" si="305"/>
        <v>-44.498999999999995</v>
      </c>
      <c r="G4920">
        <v>237.61699999999999</v>
      </c>
      <c r="H4920">
        <v>3.79</v>
      </c>
      <c r="I4920">
        <v>1.5960000000000001</v>
      </c>
      <c r="J4920">
        <v>8</v>
      </c>
      <c r="K4920">
        <v>57</v>
      </c>
      <c r="L4920">
        <v>29</v>
      </c>
      <c r="M4920" s="1">
        <v>9000000000</v>
      </c>
    </row>
    <row r="4921" spans="1:13" ht="15" customHeight="1">
      <c r="A4921" t="s">
        <v>53</v>
      </c>
      <c r="B4921">
        <f t="shared" si="302"/>
        <v>33.703409999999998</v>
      </c>
      <c r="C4921">
        <f t="shared" si="303"/>
        <v>-117.845176</v>
      </c>
      <c r="D4921">
        <f t="shared" si="304"/>
        <v>48</v>
      </c>
      <c r="E4921">
        <v>93.498999999999995</v>
      </c>
      <c r="F4921">
        <f t="shared" si="305"/>
        <v>-45.498999999999995</v>
      </c>
      <c r="G4921">
        <v>369.51400000000001</v>
      </c>
      <c r="H4921">
        <v>4.2290000000000001</v>
      </c>
      <c r="I4921">
        <v>1.145</v>
      </c>
      <c r="J4921">
        <v>9</v>
      </c>
      <c r="K4921">
        <v>71</v>
      </c>
      <c r="L4921">
        <v>36</v>
      </c>
      <c r="M4921" s="1">
        <v>9000000000</v>
      </c>
    </row>
    <row r="4922" spans="1:13" ht="15" customHeight="1">
      <c r="A4922" t="s">
        <v>53</v>
      </c>
      <c r="B4922">
        <f t="shared" si="302"/>
        <v>33.703409999999998</v>
      </c>
      <c r="C4922">
        <f t="shared" si="303"/>
        <v>-117.845176</v>
      </c>
      <c r="D4922">
        <f t="shared" si="304"/>
        <v>48</v>
      </c>
      <c r="E4922">
        <v>94.498999999999995</v>
      </c>
      <c r="F4922">
        <f t="shared" si="305"/>
        <v>-46.498999999999995</v>
      </c>
      <c r="G4922">
        <v>371.517</v>
      </c>
      <c r="H4922">
        <v>4.585</v>
      </c>
      <c r="I4922">
        <v>1.2350000000000001</v>
      </c>
      <c r="J4922">
        <v>9</v>
      </c>
      <c r="K4922">
        <v>71</v>
      </c>
      <c r="L4922">
        <v>36</v>
      </c>
      <c r="M4922" s="1">
        <v>9000000000</v>
      </c>
    </row>
    <row r="4923" spans="1:13" ht="15" customHeight="1">
      <c r="A4923" t="s">
        <v>53</v>
      </c>
      <c r="B4923">
        <f t="shared" si="302"/>
        <v>33.703409999999998</v>
      </c>
      <c r="C4923">
        <f t="shared" si="303"/>
        <v>-117.845176</v>
      </c>
      <c r="D4923">
        <f t="shared" si="304"/>
        <v>48</v>
      </c>
      <c r="E4923">
        <v>95.498999999999995</v>
      </c>
      <c r="F4923">
        <f t="shared" si="305"/>
        <v>-47.498999999999995</v>
      </c>
      <c r="G4923">
        <v>363.7</v>
      </c>
      <c r="H4923">
        <v>0</v>
      </c>
      <c r="I4923">
        <v>0</v>
      </c>
      <c r="J4923">
        <v>10</v>
      </c>
      <c r="K4923" s="1">
        <v>9000000000</v>
      </c>
      <c r="L4923" s="1">
        <v>9000000000</v>
      </c>
      <c r="M4923" s="1">
        <v>9000000000</v>
      </c>
    </row>
    <row r="4924" spans="1:13" ht="15" customHeight="1">
      <c r="A4924" t="s">
        <v>54</v>
      </c>
      <c r="B4924">
        <f t="shared" si="302"/>
        <v>33.701095000000002</v>
      </c>
      <c r="C4924">
        <f t="shared" si="303"/>
        <v>-117.847463</v>
      </c>
      <c r="D4924">
        <f t="shared" si="304"/>
        <v>43</v>
      </c>
      <c r="E4924">
        <v>0.5</v>
      </c>
      <c r="F4924">
        <f t="shared" si="305"/>
        <v>42.5</v>
      </c>
      <c r="G4924">
        <v>8.0169999999999995</v>
      </c>
      <c r="H4924">
        <v>0.46300000000000002</v>
      </c>
      <c r="I4924">
        <v>5.78</v>
      </c>
      <c r="J4924">
        <v>3</v>
      </c>
      <c r="K4924">
        <v>8</v>
      </c>
      <c r="L4924">
        <v>12</v>
      </c>
      <c r="M4924">
        <v>0.53200000000000003</v>
      </c>
    </row>
    <row r="4925" spans="1:13" ht="15" customHeight="1">
      <c r="A4925" t="s">
        <v>54</v>
      </c>
      <c r="B4925">
        <f t="shared" si="302"/>
        <v>33.701095000000002</v>
      </c>
      <c r="C4925">
        <f t="shared" si="303"/>
        <v>-117.847463</v>
      </c>
      <c r="D4925">
        <f t="shared" si="304"/>
        <v>43</v>
      </c>
      <c r="E4925">
        <v>1.5</v>
      </c>
      <c r="F4925">
        <f t="shared" si="305"/>
        <v>41.5</v>
      </c>
      <c r="G4925">
        <v>74.533000000000001</v>
      </c>
      <c r="H4925">
        <v>2.1070000000000002</v>
      </c>
      <c r="I4925">
        <v>2.8260000000000001</v>
      </c>
      <c r="J4925">
        <v>6</v>
      </c>
      <c r="K4925">
        <v>29</v>
      </c>
      <c r="L4925">
        <v>44</v>
      </c>
      <c r="M4925">
        <v>4.9630000000000001</v>
      </c>
    </row>
    <row r="4926" spans="1:13" ht="15" customHeight="1">
      <c r="A4926" t="s">
        <v>54</v>
      </c>
      <c r="B4926">
        <f t="shared" si="302"/>
        <v>33.701095000000002</v>
      </c>
      <c r="C4926">
        <f t="shared" si="303"/>
        <v>-117.847463</v>
      </c>
      <c r="D4926">
        <f t="shared" si="304"/>
        <v>43</v>
      </c>
      <c r="E4926">
        <v>2.5</v>
      </c>
      <c r="F4926">
        <f t="shared" si="305"/>
        <v>40.5</v>
      </c>
      <c r="G4926">
        <v>17.582999999999998</v>
      </c>
      <c r="H4926">
        <v>0.88300000000000001</v>
      </c>
      <c r="I4926">
        <v>5.0279999999999996</v>
      </c>
      <c r="J4926">
        <v>3</v>
      </c>
      <c r="K4926">
        <v>17</v>
      </c>
      <c r="L4926">
        <v>26</v>
      </c>
      <c r="M4926">
        <v>1.161</v>
      </c>
    </row>
    <row r="4927" spans="1:13" ht="15" customHeight="1">
      <c r="A4927" t="s">
        <v>54</v>
      </c>
      <c r="B4927">
        <f t="shared" si="302"/>
        <v>33.701095000000002</v>
      </c>
      <c r="C4927">
        <f t="shared" si="303"/>
        <v>-117.847463</v>
      </c>
      <c r="D4927">
        <f t="shared" si="304"/>
        <v>43</v>
      </c>
      <c r="E4927">
        <v>3.5</v>
      </c>
      <c r="F4927">
        <f t="shared" si="305"/>
        <v>39.5</v>
      </c>
      <c r="G4927">
        <v>19.55</v>
      </c>
      <c r="H4927">
        <v>1.0269999999999999</v>
      </c>
      <c r="I4927">
        <v>5.2560000000000002</v>
      </c>
      <c r="J4927">
        <v>3</v>
      </c>
      <c r="K4927">
        <v>19</v>
      </c>
      <c r="L4927">
        <v>29</v>
      </c>
      <c r="M4927">
        <v>1.288</v>
      </c>
    </row>
    <row r="4928" spans="1:13" ht="15" customHeight="1">
      <c r="A4928" t="s">
        <v>54</v>
      </c>
      <c r="B4928">
        <f t="shared" si="302"/>
        <v>33.701095000000002</v>
      </c>
      <c r="C4928">
        <f t="shared" si="303"/>
        <v>-117.847463</v>
      </c>
      <c r="D4928">
        <f t="shared" si="304"/>
        <v>43</v>
      </c>
      <c r="E4928">
        <v>4.5</v>
      </c>
      <c r="F4928">
        <f t="shared" si="305"/>
        <v>38.5</v>
      </c>
      <c r="G4928">
        <v>10.867000000000001</v>
      </c>
      <c r="H4928">
        <v>0.628</v>
      </c>
      <c r="I4928">
        <v>5.782</v>
      </c>
      <c r="J4928">
        <v>3</v>
      </c>
      <c r="K4928">
        <v>10</v>
      </c>
      <c r="L4928">
        <v>15</v>
      </c>
      <c r="M4928">
        <v>0.70599999999999996</v>
      </c>
    </row>
    <row r="4929" spans="1:13" ht="15" customHeight="1">
      <c r="A4929" t="s">
        <v>54</v>
      </c>
      <c r="B4929">
        <f t="shared" si="302"/>
        <v>33.701095000000002</v>
      </c>
      <c r="C4929">
        <f t="shared" si="303"/>
        <v>-117.847463</v>
      </c>
      <c r="D4929">
        <f t="shared" si="304"/>
        <v>43</v>
      </c>
      <c r="E4929">
        <v>5.5</v>
      </c>
      <c r="F4929">
        <f t="shared" si="305"/>
        <v>37.5</v>
      </c>
      <c r="G4929">
        <v>11.6</v>
      </c>
      <c r="H4929">
        <v>0.55700000000000005</v>
      </c>
      <c r="I4929">
        <v>4.7919999999999998</v>
      </c>
      <c r="J4929">
        <v>3</v>
      </c>
      <c r="K4929">
        <v>11</v>
      </c>
      <c r="L4929">
        <v>17</v>
      </c>
      <c r="M4929">
        <v>0.752</v>
      </c>
    </row>
    <row r="4930" spans="1:13" ht="15" customHeight="1">
      <c r="A4930" t="s">
        <v>54</v>
      </c>
      <c r="B4930">
        <f t="shared" ref="B4930:B4993" si="306">VLOOKUP(A4930,XYdata,3,FALSE)</f>
        <v>33.701095000000002</v>
      </c>
      <c r="C4930">
        <f t="shared" ref="C4930:C4993" si="307">VLOOKUP(A4930,XYdata,2,FALSE)</f>
        <v>-117.847463</v>
      </c>
      <c r="D4930">
        <f t="shared" ref="D4930:D4993" si="308">VLOOKUP(A4930,Elevation,2,FALSE)</f>
        <v>43</v>
      </c>
      <c r="E4930">
        <v>6.5</v>
      </c>
      <c r="F4930">
        <f t="shared" si="305"/>
        <v>36.5</v>
      </c>
      <c r="G4930">
        <v>10.483000000000001</v>
      </c>
      <c r="H4930">
        <v>0.54</v>
      </c>
      <c r="I4930">
        <v>5.1429999999999998</v>
      </c>
      <c r="J4930">
        <v>3</v>
      </c>
      <c r="K4930">
        <v>10</v>
      </c>
      <c r="L4930">
        <v>15</v>
      </c>
      <c r="M4930">
        <v>0.67300000000000004</v>
      </c>
    </row>
    <row r="4931" spans="1:13" ht="15" customHeight="1">
      <c r="A4931" t="s">
        <v>54</v>
      </c>
      <c r="B4931">
        <f t="shared" si="306"/>
        <v>33.701095000000002</v>
      </c>
      <c r="C4931">
        <f t="shared" si="307"/>
        <v>-117.847463</v>
      </c>
      <c r="D4931">
        <f t="shared" si="308"/>
        <v>43</v>
      </c>
      <c r="E4931">
        <v>7.5</v>
      </c>
      <c r="F4931">
        <f t="shared" ref="F4931:F4994" si="309">D4931-E4931</f>
        <v>35.5</v>
      </c>
      <c r="G4931">
        <v>9.0169999999999995</v>
      </c>
      <c r="H4931">
        <v>0.35</v>
      </c>
      <c r="I4931">
        <v>3.875</v>
      </c>
      <c r="J4931">
        <v>3</v>
      </c>
      <c r="K4931">
        <v>9</v>
      </c>
      <c r="L4931">
        <v>14</v>
      </c>
      <c r="M4931">
        <v>0.57099999999999995</v>
      </c>
    </row>
    <row r="4932" spans="1:13" ht="15" customHeight="1">
      <c r="A4932" t="s">
        <v>54</v>
      </c>
      <c r="B4932">
        <f t="shared" si="306"/>
        <v>33.701095000000002</v>
      </c>
      <c r="C4932">
        <f t="shared" si="307"/>
        <v>-117.847463</v>
      </c>
      <c r="D4932">
        <f t="shared" si="308"/>
        <v>43</v>
      </c>
      <c r="E4932">
        <v>8.5</v>
      </c>
      <c r="F4932">
        <f t="shared" si="309"/>
        <v>34.5</v>
      </c>
      <c r="G4932">
        <v>11.516999999999999</v>
      </c>
      <c r="H4932">
        <v>0.42699999999999999</v>
      </c>
      <c r="I4932">
        <v>3.694</v>
      </c>
      <c r="J4932">
        <v>3</v>
      </c>
      <c r="K4932">
        <v>11</v>
      </c>
      <c r="L4932">
        <v>17</v>
      </c>
      <c r="M4932">
        <v>0.73499999999999999</v>
      </c>
    </row>
    <row r="4933" spans="1:13" ht="15" customHeight="1">
      <c r="A4933" t="s">
        <v>54</v>
      </c>
      <c r="B4933">
        <f t="shared" si="306"/>
        <v>33.701095000000002</v>
      </c>
      <c r="C4933">
        <f t="shared" si="307"/>
        <v>-117.847463</v>
      </c>
      <c r="D4933">
        <f t="shared" si="308"/>
        <v>43</v>
      </c>
      <c r="E4933">
        <v>9.5</v>
      </c>
      <c r="F4933">
        <f t="shared" si="309"/>
        <v>33.5</v>
      </c>
      <c r="G4933">
        <v>8.5670000000000002</v>
      </c>
      <c r="H4933">
        <v>0.30199999999999999</v>
      </c>
      <c r="I4933">
        <v>3.508</v>
      </c>
      <c r="J4933">
        <v>3</v>
      </c>
      <c r="K4933">
        <v>8</v>
      </c>
      <c r="L4933">
        <v>12</v>
      </c>
      <c r="M4933">
        <v>0.53400000000000003</v>
      </c>
    </row>
    <row r="4934" spans="1:13" ht="15" customHeight="1">
      <c r="A4934" t="s">
        <v>54</v>
      </c>
      <c r="B4934">
        <f t="shared" si="306"/>
        <v>33.701095000000002</v>
      </c>
      <c r="C4934">
        <f t="shared" si="307"/>
        <v>-117.847463</v>
      </c>
      <c r="D4934">
        <f t="shared" si="308"/>
        <v>43</v>
      </c>
      <c r="E4934">
        <v>10.5</v>
      </c>
      <c r="F4934">
        <f t="shared" si="309"/>
        <v>32.5</v>
      </c>
      <c r="G4934">
        <v>8.3000000000000007</v>
      </c>
      <c r="H4934">
        <v>0.32600000000000001</v>
      </c>
      <c r="I4934">
        <v>3.8969999999999998</v>
      </c>
      <c r="J4934">
        <v>3</v>
      </c>
      <c r="K4934">
        <v>8</v>
      </c>
      <c r="L4934">
        <v>11</v>
      </c>
      <c r="M4934">
        <v>0.51400000000000001</v>
      </c>
    </row>
    <row r="4935" spans="1:13" ht="15" customHeight="1">
      <c r="A4935" t="s">
        <v>54</v>
      </c>
      <c r="B4935">
        <f t="shared" si="306"/>
        <v>33.701095000000002</v>
      </c>
      <c r="C4935">
        <f t="shared" si="307"/>
        <v>-117.847463</v>
      </c>
      <c r="D4935">
        <f t="shared" si="308"/>
        <v>43</v>
      </c>
      <c r="E4935">
        <v>11.5</v>
      </c>
      <c r="F4935">
        <f t="shared" si="309"/>
        <v>31.5</v>
      </c>
      <c r="G4935">
        <v>9.5</v>
      </c>
      <c r="H4935">
        <v>0.37</v>
      </c>
      <c r="I4935">
        <v>3.8679999999999999</v>
      </c>
      <c r="J4935">
        <v>3</v>
      </c>
      <c r="K4935">
        <v>9</v>
      </c>
      <c r="L4935">
        <v>12</v>
      </c>
      <c r="M4935">
        <v>0.59099999999999997</v>
      </c>
    </row>
    <row r="4936" spans="1:13" ht="15" customHeight="1">
      <c r="A4936" t="s">
        <v>54</v>
      </c>
      <c r="B4936">
        <f t="shared" si="306"/>
        <v>33.701095000000002</v>
      </c>
      <c r="C4936">
        <f t="shared" si="307"/>
        <v>-117.847463</v>
      </c>
      <c r="D4936">
        <f t="shared" si="308"/>
        <v>43</v>
      </c>
      <c r="E4936">
        <v>12.5</v>
      </c>
      <c r="F4936">
        <f t="shared" si="309"/>
        <v>30.5</v>
      </c>
      <c r="G4936">
        <v>5.367</v>
      </c>
      <c r="H4936">
        <v>0.24</v>
      </c>
      <c r="I4936">
        <v>4.4039999999999999</v>
      </c>
      <c r="J4936">
        <v>3</v>
      </c>
      <c r="K4936">
        <v>5</v>
      </c>
      <c r="L4936">
        <v>6</v>
      </c>
      <c r="M4936">
        <v>0.312</v>
      </c>
    </row>
    <row r="4937" spans="1:13" ht="15" customHeight="1">
      <c r="A4937" t="s">
        <v>54</v>
      </c>
      <c r="B4937">
        <f t="shared" si="306"/>
        <v>33.701095000000002</v>
      </c>
      <c r="C4937">
        <f t="shared" si="307"/>
        <v>-117.847463</v>
      </c>
      <c r="D4937">
        <f t="shared" si="308"/>
        <v>43</v>
      </c>
      <c r="E4937">
        <v>13.5</v>
      </c>
      <c r="F4937">
        <f t="shared" si="309"/>
        <v>29.5</v>
      </c>
      <c r="G4937">
        <v>5.7</v>
      </c>
      <c r="H4937">
        <v>0.17199999999999999</v>
      </c>
      <c r="I4937">
        <v>2.9769999999999999</v>
      </c>
      <c r="J4937">
        <v>3</v>
      </c>
      <c r="K4937">
        <v>6</v>
      </c>
      <c r="L4937">
        <v>7</v>
      </c>
      <c r="M4937">
        <v>0.32900000000000001</v>
      </c>
    </row>
    <row r="4938" spans="1:13" ht="15" customHeight="1">
      <c r="A4938" t="s">
        <v>54</v>
      </c>
      <c r="B4938">
        <f t="shared" si="306"/>
        <v>33.701095000000002</v>
      </c>
      <c r="C4938">
        <f t="shared" si="307"/>
        <v>-117.847463</v>
      </c>
      <c r="D4938">
        <f t="shared" si="308"/>
        <v>43</v>
      </c>
      <c r="E4938">
        <v>14.5</v>
      </c>
      <c r="F4938">
        <f t="shared" si="309"/>
        <v>28.5</v>
      </c>
      <c r="G4938">
        <v>9.4</v>
      </c>
      <c r="H4938">
        <v>0.25</v>
      </c>
      <c r="I4938">
        <v>2.6360000000000001</v>
      </c>
      <c r="J4938">
        <v>4</v>
      </c>
      <c r="K4938">
        <v>6</v>
      </c>
      <c r="L4938">
        <v>7</v>
      </c>
      <c r="M4938">
        <v>0.57299999999999995</v>
      </c>
    </row>
    <row r="4939" spans="1:13" ht="15" customHeight="1">
      <c r="A4939" t="s">
        <v>54</v>
      </c>
      <c r="B4939">
        <f t="shared" si="306"/>
        <v>33.701095000000002</v>
      </c>
      <c r="C4939">
        <f t="shared" si="307"/>
        <v>-117.847463</v>
      </c>
      <c r="D4939">
        <f t="shared" si="308"/>
        <v>43</v>
      </c>
      <c r="E4939">
        <v>15.5</v>
      </c>
      <c r="F4939">
        <f t="shared" si="309"/>
        <v>27.5</v>
      </c>
      <c r="G4939">
        <v>16.033000000000001</v>
      </c>
      <c r="H4939">
        <v>0.70499999999999996</v>
      </c>
      <c r="I4939">
        <v>4.383</v>
      </c>
      <c r="J4939">
        <v>3</v>
      </c>
      <c r="K4939">
        <v>15</v>
      </c>
      <c r="L4939">
        <v>16</v>
      </c>
      <c r="M4939">
        <v>1.0089999999999999</v>
      </c>
    </row>
    <row r="4940" spans="1:13" ht="15" customHeight="1">
      <c r="A4940" t="s">
        <v>54</v>
      </c>
      <c r="B4940">
        <f t="shared" si="306"/>
        <v>33.701095000000002</v>
      </c>
      <c r="C4940">
        <f t="shared" si="307"/>
        <v>-117.847463</v>
      </c>
      <c r="D4940">
        <f t="shared" si="308"/>
        <v>43</v>
      </c>
      <c r="E4940">
        <v>16.5</v>
      </c>
      <c r="F4940">
        <f t="shared" si="309"/>
        <v>26.5</v>
      </c>
      <c r="G4940">
        <v>17.850000000000001</v>
      </c>
      <c r="H4940">
        <v>1.04</v>
      </c>
      <c r="I4940">
        <v>5.7990000000000004</v>
      </c>
      <c r="J4940">
        <v>3</v>
      </c>
      <c r="K4940">
        <v>17</v>
      </c>
      <c r="L4940">
        <v>17</v>
      </c>
      <c r="M4940">
        <v>1.1279999999999999</v>
      </c>
    </row>
    <row r="4941" spans="1:13" ht="15" customHeight="1">
      <c r="A4941" t="s">
        <v>54</v>
      </c>
      <c r="B4941">
        <f t="shared" si="306"/>
        <v>33.701095000000002</v>
      </c>
      <c r="C4941">
        <f t="shared" si="307"/>
        <v>-117.847463</v>
      </c>
      <c r="D4941">
        <f t="shared" si="308"/>
        <v>43</v>
      </c>
      <c r="E4941">
        <v>17.5</v>
      </c>
      <c r="F4941">
        <f t="shared" si="309"/>
        <v>25.5</v>
      </c>
      <c r="G4941">
        <v>21.533000000000001</v>
      </c>
      <c r="H4941">
        <v>1.103</v>
      </c>
      <c r="I4941">
        <v>5.1120000000000001</v>
      </c>
      <c r="J4941">
        <v>3</v>
      </c>
      <c r="K4941">
        <v>21</v>
      </c>
      <c r="L4941">
        <v>20</v>
      </c>
      <c r="M4941">
        <v>1.367</v>
      </c>
    </row>
    <row r="4942" spans="1:13" ht="15" customHeight="1">
      <c r="A4942" t="s">
        <v>54</v>
      </c>
      <c r="B4942">
        <f t="shared" si="306"/>
        <v>33.701095000000002</v>
      </c>
      <c r="C4942">
        <f t="shared" si="307"/>
        <v>-117.847463</v>
      </c>
      <c r="D4942">
        <f t="shared" si="308"/>
        <v>43</v>
      </c>
      <c r="E4942">
        <v>18.5</v>
      </c>
      <c r="F4942">
        <f t="shared" si="309"/>
        <v>24.5</v>
      </c>
      <c r="G4942">
        <v>28.65</v>
      </c>
      <c r="H4942">
        <v>0.96499999999999997</v>
      </c>
      <c r="I4942">
        <v>3.3660000000000001</v>
      </c>
      <c r="J4942">
        <v>5</v>
      </c>
      <c r="K4942">
        <v>14</v>
      </c>
      <c r="L4942">
        <v>13</v>
      </c>
      <c r="M4942">
        <v>1.835</v>
      </c>
    </row>
    <row r="4943" spans="1:13" ht="15" customHeight="1">
      <c r="A4943" t="s">
        <v>54</v>
      </c>
      <c r="B4943">
        <f t="shared" si="306"/>
        <v>33.701095000000002</v>
      </c>
      <c r="C4943">
        <f t="shared" si="307"/>
        <v>-117.847463</v>
      </c>
      <c r="D4943">
        <f t="shared" si="308"/>
        <v>43</v>
      </c>
      <c r="E4943">
        <v>19.5</v>
      </c>
      <c r="F4943">
        <f t="shared" si="309"/>
        <v>23.5</v>
      </c>
      <c r="G4943">
        <v>36.866999999999997</v>
      </c>
      <c r="H4943">
        <v>1.758</v>
      </c>
      <c r="I4943">
        <v>4.7649999999999997</v>
      </c>
      <c r="J4943">
        <v>4</v>
      </c>
      <c r="K4943">
        <v>24</v>
      </c>
      <c r="L4943">
        <v>21</v>
      </c>
      <c r="M4943">
        <v>2.38</v>
      </c>
    </row>
    <row r="4944" spans="1:13" ht="15" customHeight="1">
      <c r="A4944" t="s">
        <v>54</v>
      </c>
      <c r="B4944">
        <f t="shared" si="306"/>
        <v>33.701095000000002</v>
      </c>
      <c r="C4944">
        <f t="shared" si="307"/>
        <v>-117.847463</v>
      </c>
      <c r="D4944">
        <f t="shared" si="308"/>
        <v>43</v>
      </c>
      <c r="E4944">
        <v>20.5</v>
      </c>
      <c r="F4944">
        <f t="shared" si="309"/>
        <v>22.5</v>
      </c>
      <c r="G4944">
        <v>54.8</v>
      </c>
      <c r="H4944">
        <v>2.339</v>
      </c>
      <c r="I4944">
        <v>4.2629999999999999</v>
      </c>
      <c r="J4944">
        <v>5</v>
      </c>
      <c r="K4944">
        <v>26</v>
      </c>
      <c r="L4944">
        <v>22</v>
      </c>
      <c r="M4944">
        <v>3.573</v>
      </c>
    </row>
    <row r="4945" spans="1:13" ht="15" customHeight="1">
      <c r="A4945" t="s">
        <v>54</v>
      </c>
      <c r="B4945">
        <f t="shared" si="306"/>
        <v>33.701095000000002</v>
      </c>
      <c r="C4945">
        <f t="shared" si="307"/>
        <v>-117.847463</v>
      </c>
      <c r="D4945">
        <f t="shared" si="308"/>
        <v>43</v>
      </c>
      <c r="E4945">
        <v>21.5</v>
      </c>
      <c r="F4945">
        <f t="shared" si="309"/>
        <v>21.5</v>
      </c>
      <c r="G4945">
        <v>45.767000000000003</v>
      </c>
      <c r="H4945">
        <v>2.0129999999999999</v>
      </c>
      <c r="I4945">
        <v>4.3929999999999998</v>
      </c>
      <c r="J4945">
        <v>4</v>
      </c>
      <c r="K4945">
        <v>29</v>
      </c>
      <c r="L4945">
        <v>23</v>
      </c>
      <c r="M4945">
        <v>2.9670000000000001</v>
      </c>
    </row>
    <row r="4946" spans="1:13" ht="15" customHeight="1">
      <c r="A4946" t="s">
        <v>54</v>
      </c>
      <c r="B4946">
        <f t="shared" si="306"/>
        <v>33.701095000000002</v>
      </c>
      <c r="C4946">
        <f t="shared" si="307"/>
        <v>-117.847463</v>
      </c>
      <c r="D4946">
        <f t="shared" si="308"/>
        <v>43</v>
      </c>
      <c r="E4946">
        <v>22.5</v>
      </c>
      <c r="F4946">
        <f t="shared" si="309"/>
        <v>20.5</v>
      </c>
      <c r="G4946">
        <v>30.733000000000001</v>
      </c>
      <c r="H4946">
        <v>1.208</v>
      </c>
      <c r="I4946">
        <v>3.9209999999999998</v>
      </c>
      <c r="J4946">
        <v>4</v>
      </c>
      <c r="K4946">
        <v>20</v>
      </c>
      <c r="L4946">
        <v>16</v>
      </c>
      <c r="M4946">
        <v>1.962</v>
      </c>
    </row>
    <row r="4947" spans="1:13" ht="15" customHeight="1">
      <c r="A4947" t="s">
        <v>54</v>
      </c>
      <c r="B4947">
        <f t="shared" si="306"/>
        <v>33.701095000000002</v>
      </c>
      <c r="C4947">
        <f t="shared" si="307"/>
        <v>-117.847463</v>
      </c>
      <c r="D4947">
        <f t="shared" si="308"/>
        <v>43</v>
      </c>
      <c r="E4947">
        <v>23.5</v>
      </c>
      <c r="F4947">
        <f t="shared" si="309"/>
        <v>19.5</v>
      </c>
      <c r="G4947">
        <v>26.433</v>
      </c>
      <c r="H4947">
        <v>0.85</v>
      </c>
      <c r="I4947">
        <v>3.2080000000000002</v>
      </c>
      <c r="J4947">
        <v>5</v>
      </c>
      <c r="K4947">
        <v>13</v>
      </c>
      <c r="L4947">
        <v>10</v>
      </c>
      <c r="M4947">
        <v>1.67</v>
      </c>
    </row>
    <row r="4948" spans="1:13" ht="15" customHeight="1">
      <c r="A4948" t="s">
        <v>54</v>
      </c>
      <c r="B4948">
        <f t="shared" si="306"/>
        <v>33.701095000000002</v>
      </c>
      <c r="C4948">
        <f t="shared" si="307"/>
        <v>-117.847463</v>
      </c>
      <c r="D4948">
        <f t="shared" si="308"/>
        <v>43</v>
      </c>
      <c r="E4948">
        <v>24.5</v>
      </c>
      <c r="F4948">
        <f t="shared" si="309"/>
        <v>18.5</v>
      </c>
      <c r="G4948">
        <v>22.582999999999998</v>
      </c>
      <c r="H4948">
        <v>0.81699999999999995</v>
      </c>
      <c r="I4948">
        <v>3.6059999999999999</v>
      </c>
      <c r="J4948">
        <v>4</v>
      </c>
      <c r="K4948">
        <v>14</v>
      </c>
      <c r="L4948">
        <v>10</v>
      </c>
      <c r="M4948">
        <v>1.409</v>
      </c>
    </row>
    <row r="4949" spans="1:13" ht="15" customHeight="1">
      <c r="A4949" t="s">
        <v>54</v>
      </c>
      <c r="B4949">
        <f t="shared" si="306"/>
        <v>33.701095000000002</v>
      </c>
      <c r="C4949">
        <f t="shared" si="307"/>
        <v>-117.847463</v>
      </c>
      <c r="D4949">
        <f t="shared" si="308"/>
        <v>43</v>
      </c>
      <c r="E4949">
        <v>25.5</v>
      </c>
      <c r="F4949">
        <f t="shared" si="309"/>
        <v>17.5</v>
      </c>
      <c r="G4949">
        <v>79.05</v>
      </c>
      <c r="H4949">
        <v>3.105</v>
      </c>
      <c r="I4949">
        <v>3.9279999999999999</v>
      </c>
      <c r="J4949">
        <v>5</v>
      </c>
      <c r="K4949">
        <v>38</v>
      </c>
      <c r="L4949">
        <v>27</v>
      </c>
      <c r="M4949">
        <v>5.165</v>
      </c>
    </row>
    <row r="4950" spans="1:13" ht="15" customHeight="1">
      <c r="A4950" t="s">
        <v>54</v>
      </c>
      <c r="B4950">
        <f t="shared" si="306"/>
        <v>33.701095000000002</v>
      </c>
      <c r="C4950">
        <f t="shared" si="307"/>
        <v>-117.847463</v>
      </c>
      <c r="D4950">
        <f t="shared" si="308"/>
        <v>43</v>
      </c>
      <c r="E4950">
        <v>26.5</v>
      </c>
      <c r="F4950">
        <f t="shared" si="309"/>
        <v>16.5</v>
      </c>
      <c r="G4950">
        <v>49.45</v>
      </c>
      <c r="H4950">
        <v>2.2570000000000001</v>
      </c>
      <c r="I4950">
        <v>4.5789999999999997</v>
      </c>
      <c r="J4950">
        <v>4</v>
      </c>
      <c r="K4950">
        <v>31</v>
      </c>
      <c r="L4950">
        <v>22</v>
      </c>
      <c r="M4950">
        <v>3.1760000000000002</v>
      </c>
    </row>
    <row r="4951" spans="1:13" ht="15" customHeight="1">
      <c r="A4951" t="s">
        <v>54</v>
      </c>
      <c r="B4951">
        <f t="shared" si="306"/>
        <v>33.701095000000002</v>
      </c>
      <c r="C4951">
        <f t="shared" si="307"/>
        <v>-117.847463</v>
      </c>
      <c r="D4951">
        <f t="shared" si="308"/>
        <v>43</v>
      </c>
      <c r="E4951">
        <v>27.5</v>
      </c>
      <c r="F4951">
        <f t="shared" si="309"/>
        <v>15.5</v>
      </c>
      <c r="G4951">
        <v>60.183</v>
      </c>
      <c r="H4951">
        <v>2.7370000000000001</v>
      </c>
      <c r="I4951">
        <v>4.5609999999999999</v>
      </c>
      <c r="J4951">
        <v>4</v>
      </c>
      <c r="K4951">
        <v>38</v>
      </c>
      <c r="L4951">
        <v>26</v>
      </c>
      <c r="M4951">
        <v>3.887</v>
      </c>
    </row>
    <row r="4952" spans="1:13" ht="15" customHeight="1">
      <c r="A4952" t="s">
        <v>54</v>
      </c>
      <c r="B4952">
        <f t="shared" si="306"/>
        <v>33.701095000000002</v>
      </c>
      <c r="C4952">
        <f t="shared" si="307"/>
        <v>-117.847463</v>
      </c>
      <c r="D4952">
        <f t="shared" si="308"/>
        <v>43</v>
      </c>
      <c r="E4952">
        <v>28.5</v>
      </c>
      <c r="F4952">
        <f t="shared" si="309"/>
        <v>14.5</v>
      </c>
      <c r="G4952">
        <v>33.267000000000003</v>
      </c>
      <c r="H4952">
        <v>1.6120000000000001</v>
      </c>
      <c r="I4952">
        <v>4.8739999999999997</v>
      </c>
      <c r="J4952">
        <v>3</v>
      </c>
      <c r="K4952">
        <v>32</v>
      </c>
      <c r="L4952">
        <v>22</v>
      </c>
      <c r="M4952">
        <v>2.0870000000000002</v>
      </c>
    </row>
    <row r="4953" spans="1:13" ht="15" customHeight="1">
      <c r="A4953" t="s">
        <v>54</v>
      </c>
      <c r="B4953">
        <f t="shared" si="306"/>
        <v>33.701095000000002</v>
      </c>
      <c r="C4953">
        <f t="shared" si="307"/>
        <v>-117.847463</v>
      </c>
      <c r="D4953">
        <f t="shared" si="308"/>
        <v>43</v>
      </c>
      <c r="E4953">
        <v>29.5</v>
      </c>
      <c r="F4953">
        <f t="shared" si="309"/>
        <v>13.5</v>
      </c>
      <c r="G4953">
        <v>33.533000000000001</v>
      </c>
      <c r="H4953">
        <v>1.708</v>
      </c>
      <c r="I4953">
        <v>5.1219999999999999</v>
      </c>
      <c r="J4953">
        <v>3</v>
      </c>
      <c r="K4953">
        <v>32</v>
      </c>
      <c r="L4953">
        <v>21</v>
      </c>
      <c r="M4953">
        <v>2.1019999999999999</v>
      </c>
    </row>
    <row r="4954" spans="1:13" ht="15" customHeight="1">
      <c r="A4954" t="s">
        <v>54</v>
      </c>
      <c r="B4954">
        <f t="shared" si="306"/>
        <v>33.701095000000002</v>
      </c>
      <c r="C4954">
        <f t="shared" si="307"/>
        <v>-117.847463</v>
      </c>
      <c r="D4954">
        <f t="shared" si="308"/>
        <v>43</v>
      </c>
      <c r="E4954">
        <v>30.5</v>
      </c>
      <c r="F4954">
        <f t="shared" si="309"/>
        <v>12.5</v>
      </c>
      <c r="G4954">
        <v>44.317</v>
      </c>
      <c r="H4954">
        <v>1.92</v>
      </c>
      <c r="I4954">
        <v>4.3490000000000002</v>
      </c>
      <c r="J4954">
        <v>4</v>
      </c>
      <c r="K4954">
        <v>28</v>
      </c>
      <c r="L4954">
        <v>18</v>
      </c>
      <c r="M4954">
        <v>2.8180000000000001</v>
      </c>
    </row>
    <row r="4955" spans="1:13" ht="15" customHeight="1">
      <c r="A4955" t="s">
        <v>54</v>
      </c>
      <c r="B4955">
        <f t="shared" si="306"/>
        <v>33.701095000000002</v>
      </c>
      <c r="C4955">
        <f t="shared" si="307"/>
        <v>-117.847463</v>
      </c>
      <c r="D4955">
        <f t="shared" si="308"/>
        <v>43</v>
      </c>
      <c r="E4955">
        <v>31.5</v>
      </c>
      <c r="F4955">
        <f t="shared" si="309"/>
        <v>11.5</v>
      </c>
      <c r="G4955">
        <v>56.628999999999998</v>
      </c>
      <c r="H4955">
        <v>1.9810000000000001</v>
      </c>
      <c r="I4955">
        <v>3.5110000000000001</v>
      </c>
      <c r="J4955">
        <v>5</v>
      </c>
      <c r="K4955">
        <v>27</v>
      </c>
      <c r="L4955">
        <v>18</v>
      </c>
      <c r="M4955">
        <v>3.633</v>
      </c>
    </row>
    <row r="4956" spans="1:13" ht="15" customHeight="1">
      <c r="A4956" t="s">
        <v>54</v>
      </c>
      <c r="B4956">
        <f t="shared" si="306"/>
        <v>33.701095000000002</v>
      </c>
      <c r="C4956">
        <f t="shared" si="307"/>
        <v>-117.847463</v>
      </c>
      <c r="D4956">
        <f t="shared" si="308"/>
        <v>43</v>
      </c>
      <c r="E4956">
        <v>32.5</v>
      </c>
      <c r="F4956">
        <f t="shared" si="309"/>
        <v>10.5</v>
      </c>
      <c r="G4956">
        <v>31.65</v>
      </c>
      <c r="H4956">
        <v>1.84</v>
      </c>
      <c r="I4956">
        <v>5.8440000000000003</v>
      </c>
      <c r="J4956">
        <v>3</v>
      </c>
      <c r="K4956">
        <v>30</v>
      </c>
      <c r="L4956">
        <v>19</v>
      </c>
      <c r="M4956">
        <v>1.9650000000000001</v>
      </c>
    </row>
    <row r="4957" spans="1:13" ht="15" customHeight="1">
      <c r="A4957" t="s">
        <v>54</v>
      </c>
      <c r="B4957">
        <f t="shared" si="306"/>
        <v>33.701095000000002</v>
      </c>
      <c r="C4957">
        <f t="shared" si="307"/>
        <v>-117.847463</v>
      </c>
      <c r="D4957">
        <f t="shared" si="308"/>
        <v>43</v>
      </c>
      <c r="E4957">
        <v>33.5</v>
      </c>
      <c r="F4957">
        <f t="shared" si="309"/>
        <v>9.5</v>
      </c>
      <c r="G4957">
        <v>22.417000000000002</v>
      </c>
      <c r="H4957">
        <v>1.1000000000000001</v>
      </c>
      <c r="I4957">
        <v>4.9359999999999999</v>
      </c>
      <c r="J4957">
        <v>3</v>
      </c>
      <c r="K4957">
        <v>21</v>
      </c>
      <c r="L4957">
        <v>13</v>
      </c>
      <c r="M4957">
        <v>1.347</v>
      </c>
    </row>
    <row r="4958" spans="1:13" ht="15" customHeight="1">
      <c r="A4958" t="s">
        <v>54</v>
      </c>
      <c r="B4958">
        <f t="shared" si="306"/>
        <v>33.701095000000002</v>
      </c>
      <c r="C4958">
        <f t="shared" si="307"/>
        <v>-117.847463</v>
      </c>
      <c r="D4958">
        <f t="shared" si="308"/>
        <v>43</v>
      </c>
      <c r="E4958">
        <v>34.5</v>
      </c>
      <c r="F4958">
        <f t="shared" si="309"/>
        <v>8.5</v>
      </c>
      <c r="G4958">
        <v>30.2</v>
      </c>
      <c r="H4958">
        <v>1.5149999999999999</v>
      </c>
      <c r="I4958">
        <v>5.0389999999999997</v>
      </c>
      <c r="J4958">
        <v>3</v>
      </c>
      <c r="K4958">
        <v>29</v>
      </c>
      <c r="L4958">
        <v>18</v>
      </c>
      <c r="M4958">
        <v>1.8620000000000001</v>
      </c>
    </row>
    <row r="4959" spans="1:13" ht="15" customHeight="1">
      <c r="A4959" t="s">
        <v>54</v>
      </c>
      <c r="B4959">
        <f t="shared" si="306"/>
        <v>33.701095000000002</v>
      </c>
      <c r="C4959">
        <f t="shared" si="307"/>
        <v>-117.847463</v>
      </c>
      <c r="D4959">
        <f t="shared" si="308"/>
        <v>43</v>
      </c>
      <c r="E4959">
        <v>35.5</v>
      </c>
      <c r="F4959">
        <f t="shared" si="309"/>
        <v>7.5</v>
      </c>
      <c r="G4959">
        <v>127.417</v>
      </c>
      <c r="H4959">
        <v>2.2519999999999998</v>
      </c>
      <c r="I4959">
        <v>1.77</v>
      </c>
      <c r="J4959">
        <v>7</v>
      </c>
      <c r="K4959">
        <v>41</v>
      </c>
      <c r="L4959">
        <v>25</v>
      </c>
      <c r="M4959" s="1">
        <v>9000000000</v>
      </c>
    </row>
    <row r="4960" spans="1:13" ht="15" customHeight="1">
      <c r="A4960" t="s">
        <v>54</v>
      </c>
      <c r="B4960">
        <f t="shared" si="306"/>
        <v>33.701095000000002</v>
      </c>
      <c r="C4960">
        <f t="shared" si="307"/>
        <v>-117.847463</v>
      </c>
      <c r="D4960">
        <f t="shared" si="308"/>
        <v>43</v>
      </c>
      <c r="E4960">
        <v>36.5</v>
      </c>
      <c r="F4960">
        <f t="shared" si="309"/>
        <v>6.5</v>
      </c>
      <c r="G4960">
        <v>137.5</v>
      </c>
      <c r="H4960">
        <v>2.1269999999999998</v>
      </c>
      <c r="I4960">
        <v>1.5489999999999999</v>
      </c>
      <c r="J4960">
        <v>8</v>
      </c>
      <c r="K4960">
        <v>33</v>
      </c>
      <c r="L4960">
        <v>20</v>
      </c>
      <c r="M4960" s="1">
        <v>9000000000</v>
      </c>
    </row>
    <row r="4961" spans="1:13" ht="15" customHeight="1">
      <c r="A4961" t="s">
        <v>54</v>
      </c>
      <c r="B4961">
        <f t="shared" si="306"/>
        <v>33.701095000000002</v>
      </c>
      <c r="C4961">
        <f t="shared" si="307"/>
        <v>-117.847463</v>
      </c>
      <c r="D4961">
        <f t="shared" si="308"/>
        <v>43</v>
      </c>
      <c r="E4961">
        <v>37.5</v>
      </c>
      <c r="F4961">
        <f t="shared" si="309"/>
        <v>5.5</v>
      </c>
      <c r="G4961">
        <v>76.082999999999998</v>
      </c>
      <c r="H4961">
        <v>3.0979999999999999</v>
      </c>
      <c r="I4961">
        <v>4.0810000000000004</v>
      </c>
      <c r="J4961">
        <v>5</v>
      </c>
      <c r="K4961">
        <v>36</v>
      </c>
      <c r="L4961">
        <v>22</v>
      </c>
      <c r="M4961">
        <v>4.9059999999999997</v>
      </c>
    </row>
    <row r="4962" spans="1:13" ht="15" customHeight="1">
      <c r="A4962" t="s">
        <v>54</v>
      </c>
      <c r="B4962">
        <f t="shared" si="306"/>
        <v>33.701095000000002</v>
      </c>
      <c r="C4962">
        <f t="shared" si="307"/>
        <v>-117.847463</v>
      </c>
      <c r="D4962">
        <f t="shared" si="308"/>
        <v>43</v>
      </c>
      <c r="E4962">
        <v>38.5</v>
      </c>
      <c r="F4962">
        <f t="shared" si="309"/>
        <v>4.5</v>
      </c>
      <c r="G4962">
        <v>155.88300000000001</v>
      </c>
      <c r="H4962">
        <v>3.34</v>
      </c>
      <c r="I4962">
        <v>2.145</v>
      </c>
      <c r="J4962">
        <v>7</v>
      </c>
      <c r="K4962">
        <v>50</v>
      </c>
      <c r="L4962">
        <v>30</v>
      </c>
      <c r="M4962" s="1">
        <v>9000000000</v>
      </c>
    </row>
    <row r="4963" spans="1:13" ht="15" customHeight="1">
      <c r="A4963" t="s">
        <v>54</v>
      </c>
      <c r="B4963">
        <f t="shared" si="306"/>
        <v>33.701095000000002</v>
      </c>
      <c r="C4963">
        <f t="shared" si="307"/>
        <v>-117.847463</v>
      </c>
      <c r="D4963">
        <f t="shared" si="308"/>
        <v>43</v>
      </c>
      <c r="E4963">
        <v>39.5</v>
      </c>
      <c r="F4963">
        <f t="shared" si="309"/>
        <v>3.5</v>
      </c>
      <c r="G4963">
        <v>201.8</v>
      </c>
      <c r="H4963">
        <v>2.407</v>
      </c>
      <c r="I4963">
        <v>1.194</v>
      </c>
      <c r="J4963">
        <v>9</v>
      </c>
      <c r="K4963">
        <v>39</v>
      </c>
      <c r="L4963">
        <v>23</v>
      </c>
      <c r="M4963" s="1">
        <v>9000000000</v>
      </c>
    </row>
    <row r="4964" spans="1:13" ht="15" customHeight="1">
      <c r="A4964" t="s">
        <v>54</v>
      </c>
      <c r="B4964">
        <f t="shared" si="306"/>
        <v>33.701095000000002</v>
      </c>
      <c r="C4964">
        <f t="shared" si="307"/>
        <v>-117.847463</v>
      </c>
      <c r="D4964">
        <f t="shared" si="308"/>
        <v>43</v>
      </c>
      <c r="E4964">
        <v>40.5</v>
      </c>
      <c r="F4964">
        <f t="shared" si="309"/>
        <v>2.5</v>
      </c>
      <c r="G4964">
        <v>226.55</v>
      </c>
      <c r="H4964">
        <v>2.8319999999999999</v>
      </c>
      <c r="I4964">
        <v>1.25</v>
      </c>
      <c r="J4964">
        <v>9</v>
      </c>
      <c r="K4964">
        <v>43</v>
      </c>
      <c r="L4964">
        <v>25</v>
      </c>
      <c r="M4964" s="1">
        <v>9000000000</v>
      </c>
    </row>
    <row r="4965" spans="1:13" ht="15" customHeight="1">
      <c r="A4965" t="s">
        <v>54</v>
      </c>
      <c r="B4965">
        <f t="shared" si="306"/>
        <v>33.701095000000002</v>
      </c>
      <c r="C4965">
        <f t="shared" si="307"/>
        <v>-117.847463</v>
      </c>
      <c r="D4965">
        <f t="shared" si="308"/>
        <v>43</v>
      </c>
      <c r="E4965">
        <v>41.499000000000002</v>
      </c>
      <c r="F4965">
        <f t="shared" si="309"/>
        <v>1.5009999999999977</v>
      </c>
      <c r="G4965">
        <v>267.94299999999998</v>
      </c>
      <c r="H4965">
        <v>2.907</v>
      </c>
      <c r="I4965">
        <v>1.085</v>
      </c>
      <c r="J4965">
        <v>9</v>
      </c>
      <c r="K4965">
        <v>51</v>
      </c>
      <c r="L4965">
        <v>29</v>
      </c>
      <c r="M4965" s="1">
        <v>9000000000</v>
      </c>
    </row>
    <row r="4966" spans="1:13" ht="15" customHeight="1">
      <c r="A4966" t="s">
        <v>54</v>
      </c>
      <c r="B4966">
        <f t="shared" si="306"/>
        <v>33.701095000000002</v>
      </c>
      <c r="C4966">
        <f t="shared" si="307"/>
        <v>-117.847463</v>
      </c>
      <c r="D4966">
        <f t="shared" si="308"/>
        <v>43</v>
      </c>
      <c r="E4966">
        <v>42.499000000000002</v>
      </c>
      <c r="F4966">
        <f t="shared" si="309"/>
        <v>0.50099999999999767</v>
      </c>
      <c r="G4966">
        <v>269.78300000000002</v>
      </c>
      <c r="H4966">
        <v>3.4169999999999998</v>
      </c>
      <c r="I4966">
        <v>1.266</v>
      </c>
      <c r="J4966">
        <v>9</v>
      </c>
      <c r="K4966">
        <v>52</v>
      </c>
      <c r="L4966">
        <v>30</v>
      </c>
      <c r="M4966" s="1">
        <v>9000000000</v>
      </c>
    </row>
    <row r="4967" spans="1:13" ht="15" customHeight="1">
      <c r="A4967" t="s">
        <v>54</v>
      </c>
      <c r="B4967">
        <f t="shared" si="306"/>
        <v>33.701095000000002</v>
      </c>
      <c r="C4967">
        <f t="shared" si="307"/>
        <v>-117.847463</v>
      </c>
      <c r="D4967">
        <f t="shared" si="308"/>
        <v>43</v>
      </c>
      <c r="E4967">
        <v>43.499000000000002</v>
      </c>
      <c r="F4967">
        <f t="shared" si="309"/>
        <v>-0.49900000000000233</v>
      </c>
      <c r="G4967">
        <v>277.767</v>
      </c>
      <c r="H4967">
        <v>4.3330000000000002</v>
      </c>
      <c r="I4967">
        <v>1.5589999999999999</v>
      </c>
      <c r="J4967">
        <v>8</v>
      </c>
      <c r="K4967">
        <v>67</v>
      </c>
      <c r="L4967">
        <v>38</v>
      </c>
      <c r="M4967" s="1">
        <v>9000000000</v>
      </c>
    </row>
    <row r="4968" spans="1:13" ht="15" customHeight="1">
      <c r="A4968" t="s">
        <v>54</v>
      </c>
      <c r="B4968">
        <f t="shared" si="306"/>
        <v>33.701095000000002</v>
      </c>
      <c r="C4968">
        <f t="shared" si="307"/>
        <v>-117.847463</v>
      </c>
      <c r="D4968">
        <f t="shared" si="308"/>
        <v>43</v>
      </c>
      <c r="E4968">
        <v>44.499000000000002</v>
      </c>
      <c r="F4968">
        <f t="shared" si="309"/>
        <v>-1.4990000000000023</v>
      </c>
      <c r="G4968">
        <v>272.85000000000002</v>
      </c>
      <c r="H4968">
        <v>3.7669999999999999</v>
      </c>
      <c r="I4968">
        <v>1.38</v>
      </c>
      <c r="J4968">
        <v>9</v>
      </c>
      <c r="K4968">
        <v>52</v>
      </c>
      <c r="L4968">
        <v>29</v>
      </c>
      <c r="M4968" s="1">
        <v>9000000000</v>
      </c>
    </row>
    <row r="4969" spans="1:13" ht="15" customHeight="1">
      <c r="A4969" t="s">
        <v>54</v>
      </c>
      <c r="B4969">
        <f t="shared" si="306"/>
        <v>33.701095000000002</v>
      </c>
      <c r="C4969">
        <f t="shared" si="307"/>
        <v>-117.847463</v>
      </c>
      <c r="D4969">
        <f t="shared" si="308"/>
        <v>43</v>
      </c>
      <c r="E4969">
        <v>45.499000000000002</v>
      </c>
      <c r="F4969">
        <f t="shared" si="309"/>
        <v>-2.4990000000000023</v>
      </c>
      <c r="G4969">
        <v>289.46699999999998</v>
      </c>
      <c r="H4969">
        <v>4.17</v>
      </c>
      <c r="I4969">
        <v>1.44</v>
      </c>
      <c r="J4969">
        <v>8</v>
      </c>
      <c r="K4969">
        <v>69</v>
      </c>
      <c r="L4969">
        <v>38</v>
      </c>
      <c r="M4969" s="1">
        <v>9000000000</v>
      </c>
    </row>
    <row r="4970" spans="1:13" ht="15" customHeight="1">
      <c r="A4970" t="s">
        <v>54</v>
      </c>
      <c r="B4970">
        <f t="shared" si="306"/>
        <v>33.701095000000002</v>
      </c>
      <c r="C4970">
        <f t="shared" si="307"/>
        <v>-117.847463</v>
      </c>
      <c r="D4970">
        <f t="shared" si="308"/>
        <v>43</v>
      </c>
      <c r="E4970">
        <v>46.499000000000002</v>
      </c>
      <c r="F4970">
        <f t="shared" si="309"/>
        <v>-3.4990000000000023</v>
      </c>
      <c r="G4970">
        <v>279.78300000000002</v>
      </c>
      <c r="H4970">
        <v>4.05</v>
      </c>
      <c r="I4970">
        <v>1.4470000000000001</v>
      </c>
      <c r="J4970">
        <v>8</v>
      </c>
      <c r="K4970">
        <v>67</v>
      </c>
      <c r="L4970">
        <v>36</v>
      </c>
      <c r="M4970" s="1">
        <v>9000000000</v>
      </c>
    </row>
    <row r="4971" spans="1:13" ht="15" customHeight="1">
      <c r="A4971" t="s">
        <v>54</v>
      </c>
      <c r="B4971">
        <f t="shared" si="306"/>
        <v>33.701095000000002</v>
      </c>
      <c r="C4971">
        <f t="shared" si="307"/>
        <v>-117.847463</v>
      </c>
      <c r="D4971">
        <f t="shared" si="308"/>
        <v>43</v>
      </c>
      <c r="E4971">
        <v>47.499000000000002</v>
      </c>
      <c r="F4971">
        <f t="shared" si="309"/>
        <v>-4.4990000000000023</v>
      </c>
      <c r="G4971">
        <v>215.55</v>
      </c>
      <c r="H4971">
        <v>2.84</v>
      </c>
      <c r="I4971">
        <v>1.3160000000000001</v>
      </c>
      <c r="J4971">
        <v>8</v>
      </c>
      <c r="K4971">
        <v>52</v>
      </c>
      <c r="L4971">
        <v>28</v>
      </c>
      <c r="M4971" s="1">
        <v>9000000000</v>
      </c>
    </row>
    <row r="4972" spans="1:13" ht="15" customHeight="1">
      <c r="A4972" t="s">
        <v>54</v>
      </c>
      <c r="B4972">
        <f t="shared" si="306"/>
        <v>33.701095000000002</v>
      </c>
      <c r="C4972">
        <f t="shared" si="307"/>
        <v>-117.847463</v>
      </c>
      <c r="D4972">
        <f t="shared" si="308"/>
        <v>43</v>
      </c>
      <c r="E4972">
        <v>48.499000000000002</v>
      </c>
      <c r="F4972">
        <f t="shared" si="309"/>
        <v>-5.4990000000000023</v>
      </c>
      <c r="G4972">
        <v>128.583</v>
      </c>
      <c r="H4972">
        <v>2.343</v>
      </c>
      <c r="I4972">
        <v>1.821</v>
      </c>
      <c r="J4972">
        <v>7</v>
      </c>
      <c r="K4972">
        <v>41</v>
      </c>
      <c r="L4972">
        <v>22</v>
      </c>
      <c r="M4972" s="1">
        <v>9000000000</v>
      </c>
    </row>
    <row r="4973" spans="1:13" ht="15" customHeight="1">
      <c r="A4973" t="s">
        <v>54</v>
      </c>
      <c r="B4973">
        <f t="shared" si="306"/>
        <v>33.701095000000002</v>
      </c>
      <c r="C4973">
        <f t="shared" si="307"/>
        <v>-117.847463</v>
      </c>
      <c r="D4973">
        <f t="shared" si="308"/>
        <v>43</v>
      </c>
      <c r="E4973">
        <v>49.499000000000002</v>
      </c>
      <c r="F4973">
        <f t="shared" si="309"/>
        <v>-6.4990000000000023</v>
      </c>
      <c r="G4973">
        <v>73.216999999999999</v>
      </c>
      <c r="H4973">
        <v>1.8320000000000001</v>
      </c>
      <c r="I4973">
        <v>2.5070000000000001</v>
      </c>
      <c r="J4973">
        <v>6</v>
      </c>
      <c r="K4973">
        <v>28</v>
      </c>
      <c r="L4973">
        <v>15</v>
      </c>
      <c r="M4973">
        <v>4.6669999999999998</v>
      </c>
    </row>
    <row r="4974" spans="1:13" ht="15" customHeight="1">
      <c r="A4974" t="s">
        <v>54</v>
      </c>
      <c r="B4974">
        <f t="shared" si="306"/>
        <v>33.701095000000002</v>
      </c>
      <c r="C4974">
        <f t="shared" si="307"/>
        <v>-117.847463</v>
      </c>
      <c r="D4974">
        <f t="shared" si="308"/>
        <v>43</v>
      </c>
      <c r="E4974">
        <v>50.499000000000002</v>
      </c>
      <c r="F4974">
        <f t="shared" si="309"/>
        <v>-7.4990000000000023</v>
      </c>
      <c r="G4974">
        <v>117.583</v>
      </c>
      <c r="H4974">
        <v>2.83</v>
      </c>
      <c r="I4974">
        <v>2.41</v>
      </c>
      <c r="J4974">
        <v>7</v>
      </c>
      <c r="K4974">
        <v>37</v>
      </c>
      <c r="L4974">
        <v>19</v>
      </c>
      <c r="M4974" s="1">
        <v>9000000000</v>
      </c>
    </row>
    <row r="4975" spans="1:13" ht="15" customHeight="1">
      <c r="A4975" t="s">
        <v>54</v>
      </c>
      <c r="B4975">
        <f t="shared" si="306"/>
        <v>33.701095000000002</v>
      </c>
      <c r="C4975">
        <f t="shared" si="307"/>
        <v>-117.847463</v>
      </c>
      <c r="D4975">
        <f t="shared" si="308"/>
        <v>43</v>
      </c>
      <c r="E4975">
        <v>51.499000000000002</v>
      </c>
      <c r="F4975">
        <f t="shared" si="309"/>
        <v>-8.4990000000000023</v>
      </c>
      <c r="G4975">
        <v>84.582999999999998</v>
      </c>
      <c r="H4975">
        <v>3.512</v>
      </c>
      <c r="I4975">
        <v>4.1619999999999999</v>
      </c>
      <c r="J4975">
        <v>5</v>
      </c>
      <c r="K4975">
        <v>40</v>
      </c>
      <c r="L4975">
        <v>21</v>
      </c>
      <c r="M4975">
        <v>5.4130000000000003</v>
      </c>
    </row>
    <row r="4976" spans="1:13" ht="15" customHeight="1">
      <c r="A4976" t="s">
        <v>54</v>
      </c>
      <c r="B4976">
        <f t="shared" si="306"/>
        <v>33.701095000000002</v>
      </c>
      <c r="C4976">
        <f t="shared" si="307"/>
        <v>-117.847463</v>
      </c>
      <c r="D4976">
        <f t="shared" si="308"/>
        <v>43</v>
      </c>
      <c r="E4976">
        <v>52.499000000000002</v>
      </c>
      <c r="F4976">
        <f t="shared" si="309"/>
        <v>-9.4990000000000023</v>
      </c>
      <c r="G4976">
        <v>142.44300000000001</v>
      </c>
      <c r="H4976">
        <v>3.371</v>
      </c>
      <c r="I4976">
        <v>2.37</v>
      </c>
      <c r="J4976">
        <v>7</v>
      </c>
      <c r="K4976">
        <v>45</v>
      </c>
      <c r="L4976">
        <v>23</v>
      </c>
      <c r="M4976" s="1">
        <v>9000000000</v>
      </c>
    </row>
    <row r="4977" spans="1:13" ht="15" customHeight="1">
      <c r="A4977" t="s">
        <v>54</v>
      </c>
      <c r="B4977">
        <f t="shared" si="306"/>
        <v>33.701095000000002</v>
      </c>
      <c r="C4977">
        <f t="shared" si="307"/>
        <v>-117.847463</v>
      </c>
      <c r="D4977">
        <f t="shared" si="308"/>
        <v>43</v>
      </c>
      <c r="E4977">
        <v>53.499000000000002</v>
      </c>
      <c r="F4977">
        <f t="shared" si="309"/>
        <v>-10.499000000000002</v>
      </c>
      <c r="G4977">
        <v>178.767</v>
      </c>
      <c r="H4977">
        <v>3.64</v>
      </c>
      <c r="I4977">
        <v>2.0379999999999998</v>
      </c>
      <c r="J4977">
        <v>7</v>
      </c>
      <c r="K4977">
        <v>57</v>
      </c>
      <c r="L4977">
        <v>29</v>
      </c>
      <c r="M4977" s="1">
        <v>9000000000</v>
      </c>
    </row>
    <row r="4978" spans="1:13" ht="15" customHeight="1">
      <c r="A4978" t="s">
        <v>54</v>
      </c>
      <c r="B4978">
        <f t="shared" si="306"/>
        <v>33.701095000000002</v>
      </c>
      <c r="C4978">
        <f t="shared" si="307"/>
        <v>-117.847463</v>
      </c>
      <c r="D4978">
        <f t="shared" si="308"/>
        <v>43</v>
      </c>
      <c r="E4978">
        <v>54.499000000000002</v>
      </c>
      <c r="F4978">
        <f t="shared" si="309"/>
        <v>-11.499000000000002</v>
      </c>
      <c r="G4978">
        <v>85.283000000000001</v>
      </c>
      <c r="H4978">
        <v>3.0129999999999999</v>
      </c>
      <c r="I4978">
        <v>3.5419999999999998</v>
      </c>
      <c r="J4978">
        <v>6</v>
      </c>
      <c r="K4978">
        <v>33</v>
      </c>
      <c r="L4978">
        <v>17</v>
      </c>
      <c r="M4978">
        <v>5.4470000000000001</v>
      </c>
    </row>
    <row r="4979" spans="1:13" ht="15" customHeight="1">
      <c r="A4979" t="s">
        <v>54</v>
      </c>
      <c r="B4979">
        <f t="shared" si="306"/>
        <v>33.701095000000002</v>
      </c>
      <c r="C4979">
        <f t="shared" si="307"/>
        <v>-117.847463</v>
      </c>
      <c r="D4979">
        <f t="shared" si="308"/>
        <v>43</v>
      </c>
      <c r="E4979">
        <v>55.499000000000002</v>
      </c>
      <c r="F4979">
        <f t="shared" si="309"/>
        <v>-12.499000000000002</v>
      </c>
      <c r="G4979">
        <v>27.95</v>
      </c>
      <c r="H4979">
        <v>0.99299999999999999</v>
      </c>
      <c r="I4979">
        <v>3.58</v>
      </c>
      <c r="J4979">
        <v>5</v>
      </c>
      <c r="K4979">
        <v>13</v>
      </c>
      <c r="L4979">
        <v>7</v>
      </c>
      <c r="M4979">
        <v>1.621</v>
      </c>
    </row>
    <row r="4980" spans="1:13" ht="15" customHeight="1">
      <c r="A4980" t="s">
        <v>54</v>
      </c>
      <c r="B4980">
        <f t="shared" si="306"/>
        <v>33.701095000000002</v>
      </c>
      <c r="C4980">
        <f t="shared" si="307"/>
        <v>-117.847463</v>
      </c>
      <c r="D4980">
        <f t="shared" si="308"/>
        <v>43</v>
      </c>
      <c r="E4980">
        <v>56.499000000000002</v>
      </c>
      <c r="F4980">
        <f t="shared" si="309"/>
        <v>-13.499000000000002</v>
      </c>
      <c r="G4980">
        <v>30.617000000000001</v>
      </c>
      <c r="H4980">
        <v>1.1830000000000001</v>
      </c>
      <c r="I4980">
        <v>3.89</v>
      </c>
      <c r="J4980">
        <v>4</v>
      </c>
      <c r="K4980">
        <v>19</v>
      </c>
      <c r="L4980">
        <v>10</v>
      </c>
      <c r="M4980">
        <v>1.7949999999999999</v>
      </c>
    </row>
    <row r="4981" spans="1:13" ht="15" customHeight="1">
      <c r="A4981" t="s">
        <v>54</v>
      </c>
      <c r="B4981">
        <f t="shared" si="306"/>
        <v>33.701095000000002</v>
      </c>
      <c r="C4981">
        <f t="shared" si="307"/>
        <v>-117.847463</v>
      </c>
      <c r="D4981">
        <f t="shared" si="308"/>
        <v>43</v>
      </c>
      <c r="E4981">
        <v>57.499000000000002</v>
      </c>
      <c r="F4981">
        <f t="shared" si="309"/>
        <v>-14.499000000000002</v>
      </c>
      <c r="G4981">
        <v>74.332999999999998</v>
      </c>
      <c r="H4981">
        <v>2.6429999999999998</v>
      </c>
      <c r="I4981">
        <v>3.5659999999999998</v>
      </c>
      <c r="J4981">
        <v>5</v>
      </c>
      <c r="K4981">
        <v>36</v>
      </c>
      <c r="L4981">
        <v>18</v>
      </c>
      <c r="M4981">
        <v>4.7050000000000001</v>
      </c>
    </row>
    <row r="4982" spans="1:13" ht="15" customHeight="1">
      <c r="A4982" t="s">
        <v>54</v>
      </c>
      <c r="B4982">
        <f t="shared" si="306"/>
        <v>33.701095000000002</v>
      </c>
      <c r="C4982">
        <f t="shared" si="307"/>
        <v>-117.847463</v>
      </c>
      <c r="D4982">
        <f t="shared" si="308"/>
        <v>43</v>
      </c>
      <c r="E4982">
        <v>58.499000000000002</v>
      </c>
      <c r="F4982">
        <f t="shared" si="309"/>
        <v>-15.499000000000002</v>
      </c>
      <c r="G4982">
        <v>165.56700000000001</v>
      </c>
      <c r="H4982">
        <v>3.4449999999999998</v>
      </c>
      <c r="I4982">
        <v>2.0830000000000002</v>
      </c>
      <c r="J4982">
        <v>7</v>
      </c>
      <c r="K4982">
        <v>53</v>
      </c>
      <c r="L4982">
        <v>27</v>
      </c>
      <c r="M4982" s="1">
        <v>9000000000</v>
      </c>
    </row>
    <row r="4983" spans="1:13" ht="15" customHeight="1">
      <c r="A4983" t="s">
        <v>54</v>
      </c>
      <c r="B4983">
        <f t="shared" si="306"/>
        <v>33.701095000000002</v>
      </c>
      <c r="C4983">
        <f t="shared" si="307"/>
        <v>-117.847463</v>
      </c>
      <c r="D4983">
        <f t="shared" si="308"/>
        <v>43</v>
      </c>
      <c r="E4983">
        <v>59.499000000000002</v>
      </c>
      <c r="F4983">
        <f t="shared" si="309"/>
        <v>-16.499000000000002</v>
      </c>
      <c r="G4983">
        <v>38.716999999999999</v>
      </c>
      <c r="H4983">
        <v>1.585</v>
      </c>
      <c r="I4983">
        <v>4.1120000000000001</v>
      </c>
      <c r="J4983">
        <v>4</v>
      </c>
      <c r="K4983">
        <v>25</v>
      </c>
      <c r="L4983">
        <v>13</v>
      </c>
      <c r="M4983">
        <v>2.3239999999999998</v>
      </c>
    </row>
    <row r="4984" spans="1:13" ht="15" customHeight="1">
      <c r="A4984" t="s">
        <v>54</v>
      </c>
      <c r="B4984">
        <f t="shared" si="306"/>
        <v>33.701095000000002</v>
      </c>
      <c r="C4984">
        <f t="shared" si="307"/>
        <v>-117.847463</v>
      </c>
      <c r="D4984">
        <f t="shared" si="308"/>
        <v>43</v>
      </c>
      <c r="E4984">
        <v>60.499000000000002</v>
      </c>
      <c r="F4984">
        <f t="shared" si="309"/>
        <v>-17.499000000000002</v>
      </c>
      <c r="G4984">
        <v>59.283000000000001</v>
      </c>
      <c r="H4984">
        <v>2.3780000000000001</v>
      </c>
      <c r="I4984">
        <v>4.0250000000000004</v>
      </c>
      <c r="J4984">
        <v>5</v>
      </c>
      <c r="K4984">
        <v>28</v>
      </c>
      <c r="L4984">
        <v>14</v>
      </c>
      <c r="M4984">
        <v>3.6890000000000001</v>
      </c>
    </row>
    <row r="4985" spans="1:13" ht="15" customHeight="1">
      <c r="A4985" t="s">
        <v>54</v>
      </c>
      <c r="B4985">
        <f t="shared" si="306"/>
        <v>33.701095000000002</v>
      </c>
      <c r="C4985">
        <f t="shared" si="307"/>
        <v>-117.847463</v>
      </c>
      <c r="D4985">
        <f t="shared" si="308"/>
        <v>43</v>
      </c>
      <c r="E4985">
        <v>61.499000000000002</v>
      </c>
      <c r="F4985">
        <f t="shared" si="309"/>
        <v>-18.499000000000002</v>
      </c>
      <c r="G4985">
        <v>29.167000000000002</v>
      </c>
      <c r="H4985">
        <v>0.91200000000000003</v>
      </c>
      <c r="I4985">
        <v>3.1419999999999999</v>
      </c>
      <c r="J4985">
        <v>5</v>
      </c>
      <c r="K4985">
        <v>14</v>
      </c>
      <c r="L4985">
        <v>7</v>
      </c>
      <c r="M4985">
        <v>1.681</v>
      </c>
    </row>
    <row r="4986" spans="1:13" ht="15" customHeight="1">
      <c r="A4986" t="s">
        <v>54</v>
      </c>
      <c r="B4986">
        <f t="shared" si="306"/>
        <v>33.701095000000002</v>
      </c>
      <c r="C4986">
        <f t="shared" si="307"/>
        <v>-117.847463</v>
      </c>
      <c r="D4986">
        <f t="shared" si="308"/>
        <v>43</v>
      </c>
      <c r="E4986">
        <v>62.499000000000002</v>
      </c>
      <c r="F4986">
        <f t="shared" si="309"/>
        <v>-19.499000000000002</v>
      </c>
      <c r="G4986">
        <v>28.114000000000001</v>
      </c>
      <c r="H4986">
        <v>0.84</v>
      </c>
      <c r="I4986">
        <v>3.0059999999999998</v>
      </c>
      <c r="J4986">
        <v>5</v>
      </c>
      <c r="K4986">
        <v>13</v>
      </c>
      <c r="L4986">
        <v>7</v>
      </c>
      <c r="M4986">
        <v>1.605</v>
      </c>
    </row>
    <row r="4987" spans="1:13" ht="15" customHeight="1">
      <c r="A4987" t="s">
        <v>54</v>
      </c>
      <c r="B4987">
        <f t="shared" si="306"/>
        <v>33.701095000000002</v>
      </c>
      <c r="C4987">
        <f t="shared" si="307"/>
        <v>-117.847463</v>
      </c>
      <c r="D4987">
        <f t="shared" si="308"/>
        <v>43</v>
      </c>
      <c r="E4987">
        <v>63.499000000000002</v>
      </c>
      <c r="F4987">
        <f t="shared" si="309"/>
        <v>-20.499000000000002</v>
      </c>
      <c r="G4987">
        <v>31.5</v>
      </c>
      <c r="H4987">
        <v>0.97499999999999998</v>
      </c>
      <c r="I4987">
        <v>3.1120000000000001</v>
      </c>
      <c r="J4987">
        <v>5</v>
      </c>
      <c r="K4987">
        <v>15</v>
      </c>
      <c r="L4987">
        <v>8</v>
      </c>
      <c r="M4987">
        <v>1.827</v>
      </c>
    </row>
    <row r="4988" spans="1:13" ht="15" customHeight="1">
      <c r="A4988" t="s">
        <v>54</v>
      </c>
      <c r="B4988">
        <f t="shared" si="306"/>
        <v>33.701095000000002</v>
      </c>
      <c r="C4988">
        <f t="shared" si="307"/>
        <v>-117.847463</v>
      </c>
      <c r="D4988">
        <f t="shared" si="308"/>
        <v>43</v>
      </c>
      <c r="E4988">
        <v>64.498999999999995</v>
      </c>
      <c r="F4988">
        <f t="shared" si="309"/>
        <v>-21.498999999999995</v>
      </c>
      <c r="G4988">
        <v>37.832999999999998</v>
      </c>
      <c r="H4988">
        <v>1.3879999999999999</v>
      </c>
      <c r="I4988">
        <v>3.6840000000000002</v>
      </c>
      <c r="J4988">
        <v>5</v>
      </c>
      <c r="K4988">
        <v>18</v>
      </c>
      <c r="L4988">
        <v>9</v>
      </c>
      <c r="M4988">
        <v>2.246</v>
      </c>
    </row>
    <row r="4989" spans="1:13" ht="15" customHeight="1">
      <c r="A4989" t="s">
        <v>54</v>
      </c>
      <c r="B4989">
        <f t="shared" si="306"/>
        <v>33.701095000000002</v>
      </c>
      <c r="C4989">
        <f t="shared" si="307"/>
        <v>-117.847463</v>
      </c>
      <c r="D4989">
        <f t="shared" si="308"/>
        <v>43</v>
      </c>
      <c r="E4989">
        <v>65.498999999999995</v>
      </c>
      <c r="F4989">
        <f t="shared" si="309"/>
        <v>-22.498999999999995</v>
      </c>
      <c r="G4989">
        <v>28.466999999999999</v>
      </c>
      <c r="H4989">
        <v>0.77200000000000002</v>
      </c>
      <c r="I4989">
        <v>2.7250000000000001</v>
      </c>
      <c r="J4989">
        <v>6</v>
      </c>
      <c r="K4989">
        <v>11</v>
      </c>
      <c r="L4989">
        <v>6</v>
      </c>
      <c r="M4989">
        <v>1.617</v>
      </c>
    </row>
    <row r="4990" spans="1:13" ht="15" customHeight="1">
      <c r="A4990" t="s">
        <v>54</v>
      </c>
      <c r="B4990">
        <f t="shared" si="306"/>
        <v>33.701095000000002</v>
      </c>
      <c r="C4990">
        <f t="shared" si="307"/>
        <v>-117.847463</v>
      </c>
      <c r="D4990">
        <f t="shared" si="308"/>
        <v>43</v>
      </c>
      <c r="E4990">
        <v>66.498999999999995</v>
      </c>
      <c r="F4990">
        <f t="shared" si="309"/>
        <v>-23.498999999999995</v>
      </c>
      <c r="G4990">
        <v>33.433</v>
      </c>
      <c r="H4990">
        <v>1.0649999999999999</v>
      </c>
      <c r="I4990">
        <v>3.198</v>
      </c>
      <c r="J4990">
        <v>5</v>
      </c>
      <c r="K4990">
        <v>16</v>
      </c>
      <c r="L4990">
        <v>8</v>
      </c>
      <c r="M4990">
        <v>1.9450000000000001</v>
      </c>
    </row>
    <row r="4991" spans="1:13" ht="15" customHeight="1">
      <c r="A4991" t="s">
        <v>54</v>
      </c>
      <c r="B4991">
        <f t="shared" si="306"/>
        <v>33.701095000000002</v>
      </c>
      <c r="C4991">
        <f t="shared" si="307"/>
        <v>-117.847463</v>
      </c>
      <c r="D4991">
        <f t="shared" si="308"/>
        <v>43</v>
      </c>
      <c r="E4991">
        <v>67.498999999999995</v>
      </c>
      <c r="F4991">
        <f t="shared" si="309"/>
        <v>-24.498999999999995</v>
      </c>
      <c r="G4991">
        <v>29.8</v>
      </c>
      <c r="H4991">
        <v>0.98</v>
      </c>
      <c r="I4991">
        <v>3.3029999999999999</v>
      </c>
      <c r="J4991">
        <v>5</v>
      </c>
      <c r="K4991">
        <v>14</v>
      </c>
      <c r="L4991">
        <v>7</v>
      </c>
      <c r="M4991">
        <v>1.6990000000000001</v>
      </c>
    </row>
    <row r="4992" spans="1:13" ht="15" customHeight="1">
      <c r="A4992" t="s">
        <v>54</v>
      </c>
      <c r="B4992">
        <f t="shared" si="306"/>
        <v>33.701095000000002</v>
      </c>
      <c r="C4992">
        <f t="shared" si="307"/>
        <v>-117.847463</v>
      </c>
      <c r="D4992">
        <f t="shared" si="308"/>
        <v>43</v>
      </c>
      <c r="E4992">
        <v>68.498999999999995</v>
      </c>
      <c r="F4992">
        <f t="shared" si="309"/>
        <v>-25.498999999999995</v>
      </c>
      <c r="G4992">
        <v>34.716999999999999</v>
      </c>
      <c r="H4992">
        <v>1.258</v>
      </c>
      <c r="I4992">
        <v>3.637</v>
      </c>
      <c r="J4992">
        <v>5</v>
      </c>
      <c r="K4992">
        <v>17</v>
      </c>
      <c r="L4992">
        <v>9</v>
      </c>
      <c r="M4992">
        <v>2.024</v>
      </c>
    </row>
    <row r="4993" spans="1:13" ht="15" customHeight="1">
      <c r="A4993" t="s">
        <v>54</v>
      </c>
      <c r="B4993">
        <f t="shared" si="306"/>
        <v>33.701095000000002</v>
      </c>
      <c r="C4993">
        <f t="shared" si="307"/>
        <v>-117.847463</v>
      </c>
      <c r="D4993">
        <f t="shared" si="308"/>
        <v>43</v>
      </c>
      <c r="E4993">
        <v>69.498999999999995</v>
      </c>
      <c r="F4993">
        <f t="shared" si="309"/>
        <v>-26.498999999999995</v>
      </c>
      <c r="G4993">
        <v>32.982999999999997</v>
      </c>
      <c r="H4993">
        <v>0.92800000000000005</v>
      </c>
      <c r="I4993">
        <v>2.8260000000000001</v>
      </c>
      <c r="J4993">
        <v>6</v>
      </c>
      <c r="K4993">
        <v>13</v>
      </c>
      <c r="L4993">
        <v>7</v>
      </c>
      <c r="M4993">
        <v>1.903</v>
      </c>
    </row>
    <row r="4994" spans="1:13" ht="15" customHeight="1">
      <c r="A4994" t="s">
        <v>54</v>
      </c>
      <c r="B4994">
        <f t="shared" ref="B4994:B5057" si="310">VLOOKUP(A4994,XYdata,3,FALSE)</f>
        <v>33.701095000000002</v>
      </c>
      <c r="C4994">
        <f t="shared" ref="C4994:C5057" si="311">VLOOKUP(A4994,XYdata,2,FALSE)</f>
        <v>-117.847463</v>
      </c>
      <c r="D4994">
        <f t="shared" ref="D4994:D5057" si="312">VLOOKUP(A4994,Elevation,2,FALSE)</f>
        <v>43</v>
      </c>
      <c r="E4994">
        <v>70.498999999999995</v>
      </c>
      <c r="F4994">
        <f t="shared" si="309"/>
        <v>-27.498999999999995</v>
      </c>
      <c r="G4994">
        <v>36.383000000000003</v>
      </c>
      <c r="H4994">
        <v>1.143</v>
      </c>
      <c r="I4994">
        <v>3.1509999999999998</v>
      </c>
      <c r="J4994">
        <v>5</v>
      </c>
      <c r="K4994">
        <v>17</v>
      </c>
      <c r="L4994">
        <v>9</v>
      </c>
      <c r="M4994">
        <v>2.1280000000000001</v>
      </c>
    </row>
    <row r="4995" spans="1:13" ht="15" customHeight="1">
      <c r="A4995" t="s">
        <v>54</v>
      </c>
      <c r="B4995">
        <f t="shared" si="310"/>
        <v>33.701095000000002</v>
      </c>
      <c r="C4995">
        <f t="shared" si="311"/>
        <v>-117.847463</v>
      </c>
      <c r="D4995">
        <f t="shared" si="312"/>
        <v>43</v>
      </c>
      <c r="E4995">
        <v>71.498999999999995</v>
      </c>
      <c r="F4995">
        <f t="shared" ref="F4995:F5058" si="313">D4995-E4995</f>
        <v>-28.498999999999995</v>
      </c>
      <c r="G4995">
        <v>50.4</v>
      </c>
      <c r="H4995">
        <v>1.66</v>
      </c>
      <c r="I4995">
        <v>3.3010000000000002</v>
      </c>
      <c r="J4995">
        <v>5</v>
      </c>
      <c r="K4995">
        <v>24</v>
      </c>
      <c r="L4995">
        <v>12</v>
      </c>
      <c r="M4995">
        <v>3.0569999999999999</v>
      </c>
    </row>
    <row r="4996" spans="1:13" ht="15" customHeight="1">
      <c r="A4996" t="s">
        <v>54</v>
      </c>
      <c r="B4996">
        <f t="shared" si="310"/>
        <v>33.701095000000002</v>
      </c>
      <c r="C4996">
        <f t="shared" si="311"/>
        <v>-117.847463</v>
      </c>
      <c r="D4996">
        <f t="shared" si="312"/>
        <v>43</v>
      </c>
      <c r="E4996">
        <v>72.498999999999995</v>
      </c>
      <c r="F4996">
        <f t="shared" si="313"/>
        <v>-29.498999999999995</v>
      </c>
      <c r="G4996">
        <v>35.613999999999997</v>
      </c>
      <c r="H4996">
        <v>1.36</v>
      </c>
      <c r="I4996">
        <v>3.8290000000000002</v>
      </c>
      <c r="J4996">
        <v>5</v>
      </c>
      <c r="K4996">
        <v>17</v>
      </c>
      <c r="L4996">
        <v>9</v>
      </c>
      <c r="M4996">
        <v>2.0680000000000001</v>
      </c>
    </row>
    <row r="4997" spans="1:13" ht="15" customHeight="1">
      <c r="A4997" t="s">
        <v>54</v>
      </c>
      <c r="B4997">
        <f t="shared" si="310"/>
        <v>33.701095000000002</v>
      </c>
      <c r="C4997">
        <f t="shared" si="311"/>
        <v>-117.847463</v>
      </c>
      <c r="D4997">
        <f t="shared" si="312"/>
        <v>43</v>
      </c>
      <c r="E4997">
        <v>73.498999999999995</v>
      </c>
      <c r="F4997">
        <f t="shared" si="313"/>
        <v>-30.498999999999995</v>
      </c>
      <c r="G4997">
        <v>31.4</v>
      </c>
      <c r="H4997">
        <v>1.22</v>
      </c>
      <c r="I4997">
        <v>3.8980000000000001</v>
      </c>
      <c r="J4997">
        <v>4</v>
      </c>
      <c r="K4997">
        <v>20</v>
      </c>
      <c r="L4997">
        <v>10</v>
      </c>
      <c r="M4997">
        <v>1.7829999999999999</v>
      </c>
    </row>
    <row r="4998" spans="1:13" ht="15" customHeight="1">
      <c r="A4998" t="s">
        <v>54</v>
      </c>
      <c r="B4998">
        <f t="shared" si="310"/>
        <v>33.701095000000002</v>
      </c>
      <c r="C4998">
        <f t="shared" si="311"/>
        <v>-117.847463</v>
      </c>
      <c r="D4998">
        <f t="shared" si="312"/>
        <v>43</v>
      </c>
      <c r="E4998">
        <v>74.498999999999995</v>
      </c>
      <c r="F4998">
        <f t="shared" si="313"/>
        <v>-31.498999999999995</v>
      </c>
      <c r="G4998">
        <v>31.867000000000001</v>
      </c>
      <c r="H4998">
        <v>1.095</v>
      </c>
      <c r="I4998">
        <v>3.4449999999999998</v>
      </c>
      <c r="J4998">
        <v>5</v>
      </c>
      <c r="K4998">
        <v>15</v>
      </c>
      <c r="L4998">
        <v>8</v>
      </c>
      <c r="M4998">
        <v>1.8109999999999999</v>
      </c>
    </row>
    <row r="4999" spans="1:13" ht="15" customHeight="1">
      <c r="A4999" t="s">
        <v>54</v>
      </c>
      <c r="B4999">
        <f t="shared" si="310"/>
        <v>33.701095000000002</v>
      </c>
      <c r="C4999">
        <f t="shared" si="311"/>
        <v>-117.847463</v>
      </c>
      <c r="D4999">
        <f t="shared" si="312"/>
        <v>43</v>
      </c>
      <c r="E4999">
        <v>75.498999999999995</v>
      </c>
      <c r="F4999">
        <f t="shared" si="313"/>
        <v>-32.498999999999995</v>
      </c>
      <c r="G4999">
        <v>99.3</v>
      </c>
      <c r="H4999">
        <v>2.2869999999999999</v>
      </c>
      <c r="I4999">
        <v>2.3050000000000002</v>
      </c>
      <c r="J4999">
        <v>7</v>
      </c>
      <c r="K4999">
        <v>32</v>
      </c>
      <c r="L4999">
        <v>16</v>
      </c>
      <c r="M4999" s="1">
        <v>9000000000</v>
      </c>
    </row>
    <row r="5000" spans="1:13" ht="15" customHeight="1">
      <c r="A5000" t="s">
        <v>54</v>
      </c>
      <c r="B5000">
        <f t="shared" si="310"/>
        <v>33.701095000000002</v>
      </c>
      <c r="C5000">
        <f t="shared" si="311"/>
        <v>-117.847463</v>
      </c>
      <c r="D5000">
        <f t="shared" si="312"/>
        <v>43</v>
      </c>
      <c r="E5000">
        <v>76.498999999999995</v>
      </c>
      <c r="F5000">
        <f t="shared" si="313"/>
        <v>-33.498999999999995</v>
      </c>
      <c r="G5000">
        <v>94.316999999999993</v>
      </c>
      <c r="H5000">
        <v>2.6819999999999999</v>
      </c>
      <c r="I5000">
        <v>2.8460000000000001</v>
      </c>
      <c r="J5000">
        <v>6</v>
      </c>
      <c r="K5000">
        <v>36</v>
      </c>
      <c r="L5000">
        <v>18</v>
      </c>
      <c r="M5000">
        <v>5.9649999999999999</v>
      </c>
    </row>
    <row r="5001" spans="1:13" ht="15" customHeight="1">
      <c r="A5001" t="s">
        <v>54</v>
      </c>
      <c r="B5001">
        <f t="shared" si="310"/>
        <v>33.701095000000002</v>
      </c>
      <c r="C5001">
        <f t="shared" si="311"/>
        <v>-117.847463</v>
      </c>
      <c r="D5001">
        <f t="shared" si="312"/>
        <v>43</v>
      </c>
      <c r="E5001">
        <v>77.498999999999995</v>
      </c>
      <c r="F5001">
        <f t="shared" si="313"/>
        <v>-34.498999999999995</v>
      </c>
      <c r="G5001">
        <v>62.25</v>
      </c>
      <c r="H5001">
        <v>2.3820000000000001</v>
      </c>
      <c r="I5001">
        <v>3.827</v>
      </c>
      <c r="J5001">
        <v>5</v>
      </c>
      <c r="K5001">
        <v>30</v>
      </c>
      <c r="L5001">
        <v>15</v>
      </c>
      <c r="M5001">
        <v>3.8290000000000002</v>
      </c>
    </row>
    <row r="5002" spans="1:13" ht="15" customHeight="1">
      <c r="A5002" t="s">
        <v>54</v>
      </c>
      <c r="B5002">
        <f t="shared" si="310"/>
        <v>33.701095000000002</v>
      </c>
      <c r="C5002">
        <f t="shared" si="311"/>
        <v>-117.847463</v>
      </c>
      <c r="D5002">
        <f t="shared" si="312"/>
        <v>43</v>
      </c>
      <c r="E5002">
        <v>78.498999999999995</v>
      </c>
      <c r="F5002">
        <f t="shared" si="313"/>
        <v>-35.498999999999995</v>
      </c>
      <c r="G5002">
        <v>32.883000000000003</v>
      </c>
      <c r="H5002">
        <v>1.17</v>
      </c>
      <c r="I5002">
        <v>3.56</v>
      </c>
      <c r="J5002">
        <v>5</v>
      </c>
      <c r="K5002">
        <v>16</v>
      </c>
      <c r="L5002">
        <v>8</v>
      </c>
      <c r="M5002">
        <v>1.867</v>
      </c>
    </row>
    <row r="5003" spans="1:13" ht="15" customHeight="1">
      <c r="A5003" t="s">
        <v>54</v>
      </c>
      <c r="B5003">
        <f t="shared" si="310"/>
        <v>33.701095000000002</v>
      </c>
      <c r="C5003">
        <f t="shared" si="311"/>
        <v>-117.847463</v>
      </c>
      <c r="D5003">
        <f t="shared" si="312"/>
        <v>43</v>
      </c>
      <c r="E5003">
        <v>79.498999999999995</v>
      </c>
      <c r="F5003">
        <f t="shared" si="313"/>
        <v>-36.498999999999995</v>
      </c>
      <c r="G5003">
        <v>30.283000000000001</v>
      </c>
      <c r="H5003">
        <v>0.91300000000000003</v>
      </c>
      <c r="I5003">
        <v>3.0139999999999998</v>
      </c>
      <c r="J5003">
        <v>5</v>
      </c>
      <c r="K5003">
        <v>15</v>
      </c>
      <c r="L5003">
        <v>8</v>
      </c>
      <c r="M5003">
        <v>1.6910000000000001</v>
      </c>
    </row>
    <row r="5004" spans="1:13" ht="15" customHeight="1">
      <c r="A5004" t="s">
        <v>54</v>
      </c>
      <c r="B5004">
        <f t="shared" si="310"/>
        <v>33.701095000000002</v>
      </c>
      <c r="C5004">
        <f t="shared" si="311"/>
        <v>-117.847463</v>
      </c>
      <c r="D5004">
        <f t="shared" si="312"/>
        <v>43</v>
      </c>
      <c r="E5004">
        <v>80.498999999999995</v>
      </c>
      <c r="F5004">
        <f t="shared" si="313"/>
        <v>-37.498999999999995</v>
      </c>
      <c r="G5004">
        <v>41.35</v>
      </c>
      <c r="H5004">
        <v>1.76</v>
      </c>
      <c r="I5004">
        <v>4.2549999999999999</v>
      </c>
      <c r="J5004">
        <v>4</v>
      </c>
      <c r="K5004">
        <v>26</v>
      </c>
      <c r="L5004">
        <v>13</v>
      </c>
      <c r="M5004">
        <v>2.4249999999999998</v>
      </c>
    </row>
    <row r="5005" spans="1:13" ht="15" customHeight="1">
      <c r="A5005" t="s">
        <v>54</v>
      </c>
      <c r="B5005">
        <f t="shared" si="310"/>
        <v>33.701095000000002</v>
      </c>
      <c r="C5005">
        <f t="shared" si="311"/>
        <v>-117.847463</v>
      </c>
      <c r="D5005">
        <f t="shared" si="312"/>
        <v>43</v>
      </c>
      <c r="E5005">
        <v>81.498999999999995</v>
      </c>
      <c r="F5005">
        <f t="shared" si="313"/>
        <v>-38.498999999999995</v>
      </c>
      <c r="G5005">
        <v>34.299999999999997</v>
      </c>
      <c r="H5005">
        <v>1.5980000000000001</v>
      </c>
      <c r="I5005">
        <v>4.6529999999999996</v>
      </c>
      <c r="J5005">
        <v>4</v>
      </c>
      <c r="K5005">
        <v>22</v>
      </c>
      <c r="L5005">
        <v>11</v>
      </c>
      <c r="M5005">
        <v>1.9530000000000001</v>
      </c>
    </row>
    <row r="5006" spans="1:13" ht="15" customHeight="1">
      <c r="A5006" t="s">
        <v>54</v>
      </c>
      <c r="B5006">
        <f t="shared" si="310"/>
        <v>33.701095000000002</v>
      </c>
      <c r="C5006">
        <f t="shared" si="311"/>
        <v>-117.847463</v>
      </c>
      <c r="D5006">
        <f t="shared" si="312"/>
        <v>43</v>
      </c>
      <c r="E5006">
        <v>82.498999999999995</v>
      </c>
      <c r="F5006">
        <f t="shared" si="313"/>
        <v>-39.498999999999995</v>
      </c>
      <c r="G5006">
        <v>68.382999999999996</v>
      </c>
      <c r="H5006">
        <v>3.65</v>
      </c>
      <c r="I5006">
        <v>5.3310000000000004</v>
      </c>
      <c r="J5006">
        <v>11</v>
      </c>
      <c r="K5006">
        <v>66</v>
      </c>
      <c r="L5006">
        <v>33</v>
      </c>
      <c r="M5006" s="1">
        <v>9000000000</v>
      </c>
    </row>
    <row r="5007" spans="1:13" ht="15" customHeight="1">
      <c r="A5007" t="s">
        <v>54</v>
      </c>
      <c r="B5007">
        <f t="shared" si="310"/>
        <v>33.701095000000002</v>
      </c>
      <c r="C5007">
        <f t="shared" si="311"/>
        <v>-117.847463</v>
      </c>
      <c r="D5007">
        <f t="shared" si="312"/>
        <v>43</v>
      </c>
      <c r="E5007">
        <v>83.498999999999995</v>
      </c>
      <c r="F5007">
        <f t="shared" si="313"/>
        <v>-40.498999999999995</v>
      </c>
      <c r="G5007">
        <v>302.5</v>
      </c>
      <c r="H5007">
        <v>7.4660000000000002</v>
      </c>
      <c r="I5007">
        <v>2.4689999999999999</v>
      </c>
      <c r="J5007">
        <v>7</v>
      </c>
      <c r="K5007">
        <v>97</v>
      </c>
      <c r="L5007">
        <v>49</v>
      </c>
      <c r="M5007" s="1">
        <v>9000000000</v>
      </c>
    </row>
    <row r="5008" spans="1:13" ht="15" customHeight="1">
      <c r="A5008" t="s">
        <v>54</v>
      </c>
      <c r="B5008">
        <f t="shared" si="310"/>
        <v>33.701095000000002</v>
      </c>
      <c r="C5008">
        <f t="shared" si="311"/>
        <v>-117.847463</v>
      </c>
      <c r="D5008">
        <f t="shared" si="312"/>
        <v>43</v>
      </c>
      <c r="E5008">
        <v>84.498999999999995</v>
      </c>
      <c r="F5008">
        <f t="shared" si="313"/>
        <v>-41.498999999999995</v>
      </c>
      <c r="G5008">
        <v>165.56700000000001</v>
      </c>
      <c r="H5008">
        <v>4.3479999999999999</v>
      </c>
      <c r="I5008">
        <v>2.629</v>
      </c>
      <c r="J5008">
        <v>7</v>
      </c>
      <c r="K5008">
        <v>53</v>
      </c>
      <c r="L5008">
        <v>27</v>
      </c>
      <c r="M5008" s="1">
        <v>9000000000</v>
      </c>
    </row>
    <row r="5009" spans="1:13" ht="15" customHeight="1">
      <c r="A5009" t="s">
        <v>54</v>
      </c>
      <c r="B5009">
        <f t="shared" si="310"/>
        <v>33.701095000000002</v>
      </c>
      <c r="C5009">
        <f t="shared" si="311"/>
        <v>-117.847463</v>
      </c>
      <c r="D5009">
        <f t="shared" si="312"/>
        <v>43</v>
      </c>
      <c r="E5009">
        <v>85.498999999999995</v>
      </c>
      <c r="F5009">
        <f t="shared" si="313"/>
        <v>-42.498999999999995</v>
      </c>
      <c r="G5009">
        <v>41.732999999999997</v>
      </c>
      <c r="H5009">
        <v>1.59</v>
      </c>
      <c r="I5009">
        <v>3.8250000000000002</v>
      </c>
      <c r="J5009">
        <v>5</v>
      </c>
      <c r="K5009">
        <v>20</v>
      </c>
      <c r="L5009">
        <v>10</v>
      </c>
      <c r="M5009">
        <v>2.4169999999999998</v>
      </c>
    </row>
    <row r="5010" spans="1:13" ht="15" customHeight="1">
      <c r="A5010" t="s">
        <v>54</v>
      </c>
      <c r="B5010">
        <f t="shared" si="310"/>
        <v>33.701095000000002</v>
      </c>
      <c r="C5010">
        <f t="shared" si="311"/>
        <v>-117.847463</v>
      </c>
      <c r="D5010">
        <f t="shared" si="312"/>
        <v>43</v>
      </c>
      <c r="E5010">
        <v>86.498999999999995</v>
      </c>
      <c r="F5010">
        <f t="shared" si="313"/>
        <v>-43.498999999999995</v>
      </c>
      <c r="G5010">
        <v>80.599999999999994</v>
      </c>
      <c r="H5010">
        <v>3.1150000000000002</v>
      </c>
      <c r="I5010">
        <v>3.8740000000000001</v>
      </c>
      <c r="J5010">
        <v>5</v>
      </c>
      <c r="K5010">
        <v>39</v>
      </c>
      <c r="L5010">
        <v>20</v>
      </c>
      <c r="M5010">
        <v>5.0030000000000001</v>
      </c>
    </row>
    <row r="5011" spans="1:13" ht="15" customHeight="1">
      <c r="A5011" t="s">
        <v>54</v>
      </c>
      <c r="B5011">
        <f t="shared" si="310"/>
        <v>33.701095000000002</v>
      </c>
      <c r="C5011">
        <f t="shared" si="311"/>
        <v>-117.847463</v>
      </c>
      <c r="D5011">
        <f t="shared" si="312"/>
        <v>43</v>
      </c>
      <c r="E5011">
        <v>87.498999999999995</v>
      </c>
      <c r="F5011">
        <f t="shared" si="313"/>
        <v>-44.498999999999995</v>
      </c>
      <c r="G5011">
        <v>61.417000000000002</v>
      </c>
      <c r="H5011">
        <v>2.117</v>
      </c>
      <c r="I5011">
        <v>3.456</v>
      </c>
      <c r="J5011">
        <v>5</v>
      </c>
      <c r="K5011">
        <v>29</v>
      </c>
      <c r="L5011">
        <v>15</v>
      </c>
      <c r="M5011">
        <v>3.7210000000000001</v>
      </c>
    </row>
    <row r="5012" spans="1:13" ht="15" customHeight="1">
      <c r="A5012" t="s">
        <v>54</v>
      </c>
      <c r="B5012">
        <f t="shared" si="310"/>
        <v>33.701095000000002</v>
      </c>
      <c r="C5012">
        <f t="shared" si="311"/>
        <v>-117.847463</v>
      </c>
      <c r="D5012">
        <f t="shared" si="312"/>
        <v>43</v>
      </c>
      <c r="E5012">
        <v>88.498999999999995</v>
      </c>
      <c r="F5012">
        <f t="shared" si="313"/>
        <v>-45.498999999999995</v>
      </c>
      <c r="G5012">
        <v>33.6</v>
      </c>
      <c r="H5012">
        <v>1.1279999999999999</v>
      </c>
      <c r="I5012">
        <v>3.37</v>
      </c>
      <c r="J5012">
        <v>5</v>
      </c>
      <c r="K5012">
        <v>16</v>
      </c>
      <c r="L5012">
        <v>8</v>
      </c>
      <c r="M5012">
        <v>1.8660000000000001</v>
      </c>
    </row>
    <row r="5013" spans="1:13" ht="15" customHeight="1">
      <c r="A5013" t="s">
        <v>54</v>
      </c>
      <c r="B5013">
        <f t="shared" si="310"/>
        <v>33.701095000000002</v>
      </c>
      <c r="C5013">
        <f t="shared" si="311"/>
        <v>-117.847463</v>
      </c>
      <c r="D5013">
        <f t="shared" si="312"/>
        <v>43</v>
      </c>
      <c r="E5013">
        <v>89.498999999999995</v>
      </c>
      <c r="F5013">
        <f t="shared" si="313"/>
        <v>-46.498999999999995</v>
      </c>
      <c r="G5013">
        <v>69.516999999999996</v>
      </c>
      <c r="H5013">
        <v>3.0219999999999998</v>
      </c>
      <c r="I5013">
        <v>4.3540000000000001</v>
      </c>
      <c r="J5013">
        <v>5</v>
      </c>
      <c r="K5013">
        <v>33</v>
      </c>
      <c r="L5013">
        <v>17</v>
      </c>
      <c r="M5013">
        <v>4.2560000000000002</v>
      </c>
    </row>
    <row r="5014" spans="1:13" ht="15" customHeight="1">
      <c r="A5014" t="s">
        <v>54</v>
      </c>
      <c r="B5014">
        <f t="shared" si="310"/>
        <v>33.701095000000002</v>
      </c>
      <c r="C5014">
        <f t="shared" si="311"/>
        <v>-117.847463</v>
      </c>
      <c r="D5014">
        <f t="shared" si="312"/>
        <v>43</v>
      </c>
      <c r="E5014">
        <v>90.498999999999995</v>
      </c>
      <c r="F5014">
        <f t="shared" si="313"/>
        <v>-47.498999999999995</v>
      </c>
      <c r="G5014">
        <v>124.967</v>
      </c>
      <c r="H5014">
        <v>4.1929999999999996</v>
      </c>
      <c r="I5014">
        <v>3.36</v>
      </c>
      <c r="J5014">
        <v>6</v>
      </c>
      <c r="K5014">
        <v>48</v>
      </c>
      <c r="L5014">
        <v>24</v>
      </c>
      <c r="M5014">
        <v>7.9470000000000001</v>
      </c>
    </row>
    <row r="5015" spans="1:13" ht="15" customHeight="1">
      <c r="A5015" t="s">
        <v>54</v>
      </c>
      <c r="B5015">
        <f t="shared" si="310"/>
        <v>33.701095000000002</v>
      </c>
      <c r="C5015">
        <f t="shared" si="311"/>
        <v>-117.847463</v>
      </c>
      <c r="D5015">
        <f t="shared" si="312"/>
        <v>43</v>
      </c>
      <c r="E5015">
        <v>91.498999999999995</v>
      </c>
      <c r="F5015">
        <f t="shared" si="313"/>
        <v>-48.498999999999995</v>
      </c>
      <c r="G5015">
        <v>134.1</v>
      </c>
      <c r="H5015">
        <v>4.4729999999999999</v>
      </c>
      <c r="I5015">
        <v>3.34</v>
      </c>
      <c r="J5015">
        <v>6</v>
      </c>
      <c r="K5015">
        <v>51</v>
      </c>
      <c r="L5015">
        <v>26</v>
      </c>
      <c r="M5015">
        <v>8.5500000000000007</v>
      </c>
    </row>
    <row r="5016" spans="1:13" ht="15" customHeight="1">
      <c r="A5016" t="s">
        <v>54</v>
      </c>
      <c r="B5016">
        <f t="shared" si="310"/>
        <v>33.701095000000002</v>
      </c>
      <c r="C5016">
        <f t="shared" si="311"/>
        <v>-117.847463</v>
      </c>
      <c r="D5016">
        <f t="shared" si="312"/>
        <v>43</v>
      </c>
      <c r="E5016">
        <v>92.498999999999995</v>
      </c>
      <c r="F5016">
        <f t="shared" si="313"/>
        <v>-49.498999999999995</v>
      </c>
      <c r="G5016">
        <v>197.233</v>
      </c>
      <c r="H5016">
        <v>4.8520000000000003</v>
      </c>
      <c r="I5016">
        <v>2.4620000000000002</v>
      </c>
      <c r="J5016">
        <v>7</v>
      </c>
      <c r="K5016">
        <v>63</v>
      </c>
      <c r="L5016">
        <v>32</v>
      </c>
      <c r="M5016" s="1">
        <v>9000000000</v>
      </c>
    </row>
    <row r="5017" spans="1:13" ht="15" customHeight="1">
      <c r="A5017" t="s">
        <v>54</v>
      </c>
      <c r="B5017">
        <f t="shared" si="310"/>
        <v>33.701095000000002</v>
      </c>
      <c r="C5017">
        <f t="shared" si="311"/>
        <v>-117.847463</v>
      </c>
      <c r="D5017">
        <f t="shared" si="312"/>
        <v>43</v>
      </c>
      <c r="E5017">
        <v>93.498999999999995</v>
      </c>
      <c r="F5017">
        <f t="shared" si="313"/>
        <v>-50.498999999999995</v>
      </c>
      <c r="G5017">
        <v>332.11399999999998</v>
      </c>
      <c r="H5017">
        <v>4.6239999999999997</v>
      </c>
      <c r="I5017">
        <v>1.3919999999999999</v>
      </c>
      <c r="J5017">
        <v>9</v>
      </c>
      <c r="K5017">
        <v>64</v>
      </c>
      <c r="L5017">
        <v>32</v>
      </c>
      <c r="M5017" s="1">
        <v>9000000000</v>
      </c>
    </row>
    <row r="5018" spans="1:13" ht="15" customHeight="1">
      <c r="A5018" t="s">
        <v>54</v>
      </c>
      <c r="B5018">
        <f t="shared" si="310"/>
        <v>33.701095000000002</v>
      </c>
      <c r="C5018">
        <f t="shared" si="311"/>
        <v>-117.847463</v>
      </c>
      <c r="D5018">
        <f t="shared" si="312"/>
        <v>43</v>
      </c>
      <c r="E5018">
        <v>94.498999999999995</v>
      </c>
      <c r="F5018">
        <f t="shared" si="313"/>
        <v>-51.498999999999995</v>
      </c>
      <c r="G5018">
        <v>317.46699999999998</v>
      </c>
      <c r="H5018">
        <v>5.0119999999999996</v>
      </c>
      <c r="I5018">
        <v>1.579</v>
      </c>
      <c r="J5018">
        <v>8</v>
      </c>
      <c r="K5018">
        <v>76</v>
      </c>
      <c r="L5018">
        <v>38</v>
      </c>
      <c r="M5018" s="1">
        <v>9000000000</v>
      </c>
    </row>
    <row r="5019" spans="1:13" ht="15" customHeight="1">
      <c r="A5019" t="s">
        <v>54</v>
      </c>
      <c r="B5019">
        <f t="shared" si="310"/>
        <v>33.701095000000002</v>
      </c>
      <c r="C5019">
        <f t="shared" si="311"/>
        <v>-117.847463</v>
      </c>
      <c r="D5019">
        <f t="shared" si="312"/>
        <v>43</v>
      </c>
      <c r="E5019">
        <v>95.498999999999995</v>
      </c>
      <c r="F5019">
        <f t="shared" si="313"/>
        <v>-52.498999999999995</v>
      </c>
      <c r="G5019">
        <v>255.417</v>
      </c>
      <c r="H5019">
        <v>4.5819999999999999</v>
      </c>
      <c r="I5019">
        <v>1.7949999999999999</v>
      </c>
      <c r="J5019">
        <v>8</v>
      </c>
      <c r="K5019">
        <v>61</v>
      </c>
      <c r="L5019">
        <v>31</v>
      </c>
      <c r="M5019" s="1">
        <v>9000000000</v>
      </c>
    </row>
    <row r="5020" spans="1:13" ht="15" customHeight="1">
      <c r="A5020" t="s">
        <v>54</v>
      </c>
      <c r="B5020">
        <f t="shared" si="310"/>
        <v>33.701095000000002</v>
      </c>
      <c r="C5020">
        <f t="shared" si="311"/>
        <v>-117.847463</v>
      </c>
      <c r="D5020">
        <f t="shared" si="312"/>
        <v>43</v>
      </c>
      <c r="E5020">
        <v>96.498999999999995</v>
      </c>
      <c r="F5020">
        <f t="shared" si="313"/>
        <v>-53.498999999999995</v>
      </c>
      <c r="G5020">
        <v>316.14999999999998</v>
      </c>
      <c r="H5020">
        <v>3.8530000000000002</v>
      </c>
      <c r="I5020">
        <v>1.2190000000000001</v>
      </c>
      <c r="J5020">
        <v>9</v>
      </c>
      <c r="K5020">
        <v>61</v>
      </c>
      <c r="L5020">
        <v>31</v>
      </c>
      <c r="M5020" s="1">
        <v>9000000000</v>
      </c>
    </row>
    <row r="5021" spans="1:13" ht="15" customHeight="1">
      <c r="A5021" t="s">
        <v>54</v>
      </c>
      <c r="B5021">
        <f t="shared" si="310"/>
        <v>33.701095000000002</v>
      </c>
      <c r="C5021">
        <f t="shared" si="311"/>
        <v>-117.847463</v>
      </c>
      <c r="D5021">
        <f t="shared" si="312"/>
        <v>43</v>
      </c>
      <c r="E5021">
        <v>97.498999999999995</v>
      </c>
      <c r="F5021">
        <f t="shared" si="313"/>
        <v>-54.498999999999995</v>
      </c>
      <c r="G5021">
        <v>371.05</v>
      </c>
      <c r="H5021">
        <v>4.2830000000000004</v>
      </c>
      <c r="I5021">
        <v>1.153</v>
      </c>
      <c r="J5021">
        <v>9</v>
      </c>
      <c r="K5021">
        <v>71</v>
      </c>
      <c r="L5021">
        <v>36</v>
      </c>
      <c r="M5021" s="1">
        <v>9000000000</v>
      </c>
    </row>
    <row r="5022" spans="1:13" ht="15" customHeight="1">
      <c r="A5022" t="s">
        <v>54</v>
      </c>
      <c r="B5022">
        <f t="shared" si="310"/>
        <v>33.701095000000002</v>
      </c>
      <c r="C5022">
        <f t="shared" si="311"/>
        <v>-117.847463</v>
      </c>
      <c r="D5022">
        <f t="shared" si="312"/>
        <v>43</v>
      </c>
      <c r="E5022">
        <v>98.498999999999995</v>
      </c>
      <c r="F5022">
        <f t="shared" si="313"/>
        <v>-55.498999999999995</v>
      </c>
      <c r="G5022">
        <v>383.9</v>
      </c>
      <c r="H5022">
        <v>0</v>
      </c>
      <c r="I5022">
        <v>0</v>
      </c>
      <c r="J5022">
        <v>10</v>
      </c>
      <c r="K5022" s="1">
        <v>9000000000</v>
      </c>
      <c r="L5022" s="1">
        <v>9000000000</v>
      </c>
      <c r="M5022" s="1">
        <v>9000000000</v>
      </c>
    </row>
    <row r="5023" spans="1:13" ht="15" customHeight="1">
      <c r="A5023" t="s">
        <v>55</v>
      </c>
      <c r="B5023">
        <f t="shared" si="310"/>
        <v>33.702441</v>
      </c>
      <c r="C5023">
        <f t="shared" si="311"/>
        <v>-117.846166</v>
      </c>
      <c r="D5023">
        <f t="shared" si="312"/>
        <v>46</v>
      </c>
      <c r="E5023">
        <v>0.5</v>
      </c>
      <c r="F5023">
        <f t="shared" si="313"/>
        <v>45.5</v>
      </c>
      <c r="G5023">
        <v>3.133</v>
      </c>
      <c r="H5023">
        <v>0.158</v>
      </c>
      <c r="I5023">
        <v>5.0529999999999999</v>
      </c>
      <c r="J5023">
        <v>3</v>
      </c>
      <c r="K5023">
        <v>3</v>
      </c>
      <c r="L5023">
        <v>5</v>
      </c>
      <c r="M5023">
        <v>0.20699999999999999</v>
      </c>
    </row>
    <row r="5024" spans="1:13" ht="15" customHeight="1">
      <c r="A5024" t="s">
        <v>55</v>
      </c>
      <c r="B5024">
        <f t="shared" si="310"/>
        <v>33.702441</v>
      </c>
      <c r="C5024">
        <f t="shared" si="311"/>
        <v>-117.846166</v>
      </c>
      <c r="D5024">
        <f t="shared" si="312"/>
        <v>46</v>
      </c>
      <c r="E5024">
        <v>1.5</v>
      </c>
      <c r="F5024">
        <f t="shared" si="313"/>
        <v>44.5</v>
      </c>
      <c r="G5024">
        <v>17.75</v>
      </c>
      <c r="H5024">
        <v>0.54500000000000004</v>
      </c>
      <c r="I5024">
        <v>3.0590000000000002</v>
      </c>
      <c r="J5024">
        <v>5</v>
      </c>
      <c r="K5024">
        <v>9</v>
      </c>
      <c r="L5024">
        <v>14</v>
      </c>
      <c r="M5024">
        <v>1.1819999999999999</v>
      </c>
    </row>
    <row r="5025" spans="1:13" ht="15" customHeight="1">
      <c r="A5025" t="s">
        <v>55</v>
      </c>
      <c r="B5025">
        <f t="shared" si="310"/>
        <v>33.702441</v>
      </c>
      <c r="C5025">
        <f t="shared" si="311"/>
        <v>-117.846166</v>
      </c>
      <c r="D5025">
        <f t="shared" si="312"/>
        <v>46</v>
      </c>
      <c r="E5025">
        <v>2.5</v>
      </c>
      <c r="F5025">
        <f t="shared" si="313"/>
        <v>43.5</v>
      </c>
      <c r="G5025">
        <v>14.2</v>
      </c>
      <c r="H5025">
        <v>0.70299999999999996</v>
      </c>
      <c r="I5025">
        <v>4.9649999999999999</v>
      </c>
      <c r="J5025">
        <v>3</v>
      </c>
      <c r="K5025">
        <v>14</v>
      </c>
      <c r="L5025">
        <v>21</v>
      </c>
      <c r="M5025">
        <v>0.93400000000000005</v>
      </c>
    </row>
    <row r="5026" spans="1:13" ht="15" customHeight="1">
      <c r="A5026" t="s">
        <v>55</v>
      </c>
      <c r="B5026">
        <f t="shared" si="310"/>
        <v>33.702441</v>
      </c>
      <c r="C5026">
        <f t="shared" si="311"/>
        <v>-117.846166</v>
      </c>
      <c r="D5026">
        <f t="shared" si="312"/>
        <v>46</v>
      </c>
      <c r="E5026">
        <v>3.5</v>
      </c>
      <c r="F5026">
        <f t="shared" si="313"/>
        <v>42.5</v>
      </c>
      <c r="G5026">
        <v>11.7</v>
      </c>
      <c r="H5026">
        <v>0.53700000000000003</v>
      </c>
      <c r="I5026">
        <v>4.6070000000000002</v>
      </c>
      <c r="J5026">
        <v>3</v>
      </c>
      <c r="K5026">
        <v>11</v>
      </c>
      <c r="L5026">
        <v>17</v>
      </c>
      <c r="M5026">
        <v>0.76200000000000001</v>
      </c>
    </row>
    <row r="5027" spans="1:13" ht="15" customHeight="1">
      <c r="A5027" t="s">
        <v>55</v>
      </c>
      <c r="B5027">
        <f t="shared" si="310"/>
        <v>33.702441</v>
      </c>
      <c r="C5027">
        <f t="shared" si="311"/>
        <v>-117.846166</v>
      </c>
      <c r="D5027">
        <f t="shared" si="312"/>
        <v>46</v>
      </c>
      <c r="E5027">
        <v>4.5</v>
      </c>
      <c r="F5027">
        <f t="shared" si="313"/>
        <v>41.5</v>
      </c>
      <c r="G5027">
        <v>12.083</v>
      </c>
      <c r="H5027">
        <v>0.42799999999999999</v>
      </c>
      <c r="I5027">
        <v>3.5449999999999999</v>
      </c>
      <c r="J5027">
        <v>4</v>
      </c>
      <c r="K5027">
        <v>8</v>
      </c>
      <c r="L5027">
        <v>12</v>
      </c>
      <c r="M5027">
        <v>0.78700000000000003</v>
      </c>
    </row>
    <row r="5028" spans="1:13" ht="15" customHeight="1">
      <c r="A5028" t="s">
        <v>55</v>
      </c>
      <c r="B5028">
        <f t="shared" si="310"/>
        <v>33.702441</v>
      </c>
      <c r="C5028">
        <f t="shared" si="311"/>
        <v>-117.846166</v>
      </c>
      <c r="D5028">
        <f t="shared" si="312"/>
        <v>46</v>
      </c>
      <c r="E5028">
        <v>5.5</v>
      </c>
      <c r="F5028">
        <f t="shared" si="313"/>
        <v>40.5</v>
      </c>
      <c r="G5028">
        <v>12.933</v>
      </c>
      <c r="H5028">
        <v>0.45200000000000001</v>
      </c>
      <c r="I5028">
        <v>3.5009999999999999</v>
      </c>
      <c r="J5028">
        <v>4</v>
      </c>
      <c r="K5028">
        <v>8</v>
      </c>
      <c r="L5028">
        <v>12</v>
      </c>
      <c r="M5028">
        <v>0.83799999999999997</v>
      </c>
    </row>
    <row r="5029" spans="1:13" ht="15" customHeight="1">
      <c r="A5029" t="s">
        <v>55</v>
      </c>
      <c r="B5029">
        <f t="shared" si="310"/>
        <v>33.702441</v>
      </c>
      <c r="C5029">
        <f t="shared" si="311"/>
        <v>-117.846166</v>
      </c>
      <c r="D5029">
        <f t="shared" si="312"/>
        <v>46</v>
      </c>
      <c r="E5029">
        <v>6.5</v>
      </c>
      <c r="F5029">
        <f t="shared" si="313"/>
        <v>39.5</v>
      </c>
      <c r="G5029">
        <v>8.9670000000000005</v>
      </c>
      <c r="H5029">
        <v>0.253</v>
      </c>
      <c r="I5029">
        <v>2.8250000000000002</v>
      </c>
      <c r="J5029">
        <v>4</v>
      </c>
      <c r="K5029">
        <v>6</v>
      </c>
      <c r="L5029">
        <v>9</v>
      </c>
      <c r="M5029">
        <v>0.57099999999999995</v>
      </c>
    </row>
    <row r="5030" spans="1:13" ht="15" customHeight="1">
      <c r="A5030" t="s">
        <v>55</v>
      </c>
      <c r="B5030">
        <f t="shared" si="310"/>
        <v>33.702441</v>
      </c>
      <c r="C5030">
        <f t="shared" si="311"/>
        <v>-117.846166</v>
      </c>
      <c r="D5030">
        <f t="shared" si="312"/>
        <v>46</v>
      </c>
      <c r="E5030">
        <v>7.5</v>
      </c>
      <c r="F5030">
        <f t="shared" si="313"/>
        <v>38.5</v>
      </c>
      <c r="G5030">
        <v>8.8000000000000007</v>
      </c>
      <c r="H5030">
        <v>0.34499999999999997</v>
      </c>
      <c r="I5030">
        <v>3.9350000000000001</v>
      </c>
      <c r="J5030">
        <v>3</v>
      </c>
      <c r="K5030">
        <v>8</v>
      </c>
      <c r="L5030">
        <v>12</v>
      </c>
      <c r="M5030">
        <v>0.55400000000000005</v>
      </c>
    </row>
    <row r="5031" spans="1:13" ht="15" customHeight="1">
      <c r="A5031" t="s">
        <v>55</v>
      </c>
      <c r="B5031">
        <f t="shared" si="310"/>
        <v>33.702441</v>
      </c>
      <c r="C5031">
        <f t="shared" si="311"/>
        <v>-117.846166</v>
      </c>
      <c r="D5031">
        <f t="shared" si="312"/>
        <v>46</v>
      </c>
      <c r="E5031">
        <v>8.5</v>
      </c>
      <c r="F5031">
        <f t="shared" si="313"/>
        <v>37.5</v>
      </c>
      <c r="G5031">
        <v>9.3670000000000009</v>
      </c>
      <c r="H5031">
        <v>0.29299999999999998</v>
      </c>
      <c r="I5031">
        <v>3.1429999999999998</v>
      </c>
      <c r="J5031">
        <v>4</v>
      </c>
      <c r="K5031">
        <v>6</v>
      </c>
      <c r="L5031">
        <v>9</v>
      </c>
      <c r="M5031">
        <v>0.58799999999999997</v>
      </c>
    </row>
    <row r="5032" spans="1:13" ht="15" customHeight="1">
      <c r="A5032" t="s">
        <v>55</v>
      </c>
      <c r="B5032">
        <f t="shared" si="310"/>
        <v>33.702441</v>
      </c>
      <c r="C5032">
        <f t="shared" si="311"/>
        <v>-117.846166</v>
      </c>
      <c r="D5032">
        <f t="shared" si="312"/>
        <v>46</v>
      </c>
      <c r="E5032">
        <v>9.5</v>
      </c>
      <c r="F5032">
        <f t="shared" si="313"/>
        <v>36.5</v>
      </c>
      <c r="G5032">
        <v>10.467000000000001</v>
      </c>
      <c r="H5032">
        <v>0.32200000000000001</v>
      </c>
      <c r="I5032">
        <v>3.0880000000000001</v>
      </c>
      <c r="J5032">
        <v>4</v>
      </c>
      <c r="K5032">
        <v>7</v>
      </c>
      <c r="L5032">
        <v>11</v>
      </c>
      <c r="M5032">
        <v>0.65600000000000003</v>
      </c>
    </row>
    <row r="5033" spans="1:13" ht="15" customHeight="1">
      <c r="A5033" t="s">
        <v>55</v>
      </c>
      <c r="B5033">
        <f t="shared" si="310"/>
        <v>33.702441</v>
      </c>
      <c r="C5033">
        <f t="shared" si="311"/>
        <v>-117.846166</v>
      </c>
      <c r="D5033">
        <f t="shared" si="312"/>
        <v>46</v>
      </c>
      <c r="E5033">
        <v>10.5</v>
      </c>
      <c r="F5033">
        <f t="shared" si="313"/>
        <v>35.5</v>
      </c>
      <c r="G5033">
        <v>8.1140000000000008</v>
      </c>
      <c r="H5033">
        <v>0.26</v>
      </c>
      <c r="I5033">
        <v>3.1869999999999998</v>
      </c>
      <c r="J5033">
        <v>3</v>
      </c>
      <c r="K5033">
        <v>8</v>
      </c>
      <c r="L5033">
        <v>11</v>
      </c>
      <c r="M5033">
        <v>0.501</v>
      </c>
    </row>
    <row r="5034" spans="1:13" ht="15" customHeight="1">
      <c r="A5034" t="s">
        <v>55</v>
      </c>
      <c r="B5034">
        <f t="shared" si="310"/>
        <v>33.702441</v>
      </c>
      <c r="C5034">
        <f t="shared" si="311"/>
        <v>-117.846166</v>
      </c>
      <c r="D5034">
        <f t="shared" si="312"/>
        <v>46</v>
      </c>
      <c r="E5034">
        <v>11.5</v>
      </c>
      <c r="F5034">
        <f t="shared" si="313"/>
        <v>34.5</v>
      </c>
      <c r="G5034">
        <v>7.367</v>
      </c>
      <c r="H5034">
        <v>0.28000000000000003</v>
      </c>
      <c r="I5034">
        <v>3.7749999999999999</v>
      </c>
      <c r="J5034">
        <v>3</v>
      </c>
      <c r="K5034">
        <v>7</v>
      </c>
      <c r="L5034">
        <v>9</v>
      </c>
      <c r="M5034">
        <v>0.44800000000000001</v>
      </c>
    </row>
    <row r="5035" spans="1:13" ht="15" customHeight="1">
      <c r="A5035" t="s">
        <v>55</v>
      </c>
      <c r="B5035">
        <f t="shared" si="310"/>
        <v>33.702441</v>
      </c>
      <c r="C5035">
        <f t="shared" si="311"/>
        <v>-117.846166</v>
      </c>
      <c r="D5035">
        <f t="shared" si="312"/>
        <v>46</v>
      </c>
      <c r="E5035">
        <v>12.5</v>
      </c>
      <c r="F5035">
        <f t="shared" si="313"/>
        <v>33.5</v>
      </c>
      <c r="G5035">
        <v>8.5169999999999995</v>
      </c>
      <c r="H5035">
        <v>0.32700000000000001</v>
      </c>
      <c r="I5035">
        <v>3.8359999999999999</v>
      </c>
      <c r="J5035">
        <v>3</v>
      </c>
      <c r="K5035">
        <v>8</v>
      </c>
      <c r="L5035">
        <v>10</v>
      </c>
      <c r="M5035">
        <v>0.51700000000000002</v>
      </c>
    </row>
    <row r="5036" spans="1:13" ht="15" customHeight="1">
      <c r="A5036" t="s">
        <v>55</v>
      </c>
      <c r="B5036">
        <f t="shared" si="310"/>
        <v>33.702441</v>
      </c>
      <c r="C5036">
        <f t="shared" si="311"/>
        <v>-117.846166</v>
      </c>
      <c r="D5036">
        <f t="shared" si="312"/>
        <v>46</v>
      </c>
      <c r="E5036">
        <v>13.5</v>
      </c>
      <c r="F5036">
        <f t="shared" si="313"/>
        <v>32.5</v>
      </c>
      <c r="G5036">
        <v>6.15</v>
      </c>
      <c r="H5036">
        <v>0.222</v>
      </c>
      <c r="I5036">
        <v>3.6040000000000001</v>
      </c>
      <c r="J5036">
        <v>3</v>
      </c>
      <c r="K5036">
        <v>6</v>
      </c>
      <c r="L5036">
        <v>7</v>
      </c>
      <c r="M5036">
        <v>0.35599999999999998</v>
      </c>
    </row>
    <row r="5037" spans="1:13" ht="15" customHeight="1">
      <c r="A5037" t="s">
        <v>55</v>
      </c>
      <c r="B5037">
        <f t="shared" si="310"/>
        <v>33.702441</v>
      </c>
      <c r="C5037">
        <f t="shared" si="311"/>
        <v>-117.846166</v>
      </c>
      <c r="D5037">
        <f t="shared" si="312"/>
        <v>46</v>
      </c>
      <c r="E5037">
        <v>14.5</v>
      </c>
      <c r="F5037">
        <f t="shared" si="313"/>
        <v>31.5</v>
      </c>
      <c r="G5037">
        <v>11.516999999999999</v>
      </c>
      <c r="H5037">
        <v>0.40300000000000002</v>
      </c>
      <c r="I5037">
        <v>3.5070000000000001</v>
      </c>
      <c r="J5037">
        <v>4</v>
      </c>
      <c r="K5037">
        <v>7</v>
      </c>
      <c r="L5037">
        <v>8</v>
      </c>
      <c r="M5037">
        <v>0.70799999999999996</v>
      </c>
    </row>
    <row r="5038" spans="1:13" ht="15" customHeight="1">
      <c r="A5038" t="s">
        <v>55</v>
      </c>
      <c r="B5038">
        <f t="shared" si="310"/>
        <v>33.702441</v>
      </c>
      <c r="C5038">
        <f t="shared" si="311"/>
        <v>-117.846166</v>
      </c>
      <c r="D5038">
        <f t="shared" si="312"/>
        <v>46</v>
      </c>
      <c r="E5038">
        <v>15.5</v>
      </c>
      <c r="F5038">
        <f t="shared" si="313"/>
        <v>30.5</v>
      </c>
      <c r="G5038">
        <v>13.933</v>
      </c>
      <c r="H5038">
        <v>0.59199999999999997</v>
      </c>
      <c r="I5038">
        <v>4.2869999999999999</v>
      </c>
      <c r="J5038">
        <v>3</v>
      </c>
      <c r="K5038">
        <v>13</v>
      </c>
      <c r="L5038">
        <v>14</v>
      </c>
      <c r="M5038">
        <v>0.85799999999999998</v>
      </c>
    </row>
    <row r="5039" spans="1:13" ht="15" customHeight="1">
      <c r="A5039" t="s">
        <v>55</v>
      </c>
      <c r="B5039">
        <f t="shared" si="310"/>
        <v>33.702441</v>
      </c>
      <c r="C5039">
        <f t="shared" si="311"/>
        <v>-117.846166</v>
      </c>
      <c r="D5039">
        <f t="shared" si="312"/>
        <v>46</v>
      </c>
      <c r="E5039">
        <v>16.5</v>
      </c>
      <c r="F5039">
        <f t="shared" si="313"/>
        <v>29.5</v>
      </c>
      <c r="G5039">
        <v>18.966999999999999</v>
      </c>
      <c r="H5039">
        <v>0.92</v>
      </c>
      <c r="I5039">
        <v>4.8760000000000003</v>
      </c>
      <c r="J5039">
        <v>3</v>
      </c>
      <c r="K5039">
        <v>18</v>
      </c>
      <c r="L5039">
        <v>18</v>
      </c>
      <c r="M5039">
        <v>1.1910000000000001</v>
      </c>
    </row>
    <row r="5040" spans="1:13" ht="15" customHeight="1">
      <c r="A5040" t="s">
        <v>55</v>
      </c>
      <c r="B5040">
        <f t="shared" si="310"/>
        <v>33.702441</v>
      </c>
      <c r="C5040">
        <f t="shared" si="311"/>
        <v>-117.846166</v>
      </c>
      <c r="D5040">
        <f t="shared" si="312"/>
        <v>46</v>
      </c>
      <c r="E5040">
        <v>17.5</v>
      </c>
      <c r="F5040">
        <f t="shared" si="313"/>
        <v>28.5</v>
      </c>
      <c r="G5040">
        <v>8.0329999999999995</v>
      </c>
      <c r="H5040">
        <v>0.39500000000000002</v>
      </c>
      <c r="I5040">
        <v>4.9889999999999999</v>
      </c>
      <c r="J5040">
        <v>3</v>
      </c>
      <c r="K5040">
        <v>8</v>
      </c>
      <c r="L5040">
        <v>8</v>
      </c>
      <c r="M5040">
        <v>0.45700000000000002</v>
      </c>
    </row>
    <row r="5041" spans="1:13" ht="15" customHeight="1">
      <c r="A5041" t="s">
        <v>55</v>
      </c>
      <c r="B5041">
        <f t="shared" si="310"/>
        <v>33.702441</v>
      </c>
      <c r="C5041">
        <f t="shared" si="311"/>
        <v>-117.846166</v>
      </c>
      <c r="D5041">
        <f t="shared" si="312"/>
        <v>46</v>
      </c>
      <c r="E5041">
        <v>18.5</v>
      </c>
      <c r="F5041">
        <f t="shared" si="313"/>
        <v>27.5</v>
      </c>
      <c r="G5041">
        <v>22.3</v>
      </c>
      <c r="H5041">
        <v>0.97699999999999998</v>
      </c>
      <c r="I5041">
        <v>4.4029999999999996</v>
      </c>
      <c r="J5041">
        <v>3</v>
      </c>
      <c r="K5041">
        <v>21</v>
      </c>
      <c r="L5041">
        <v>19</v>
      </c>
      <c r="M5041">
        <v>1.4039999999999999</v>
      </c>
    </row>
    <row r="5042" spans="1:13" ht="15" customHeight="1">
      <c r="A5042" t="s">
        <v>55</v>
      </c>
      <c r="B5042">
        <f t="shared" si="310"/>
        <v>33.702441</v>
      </c>
      <c r="C5042">
        <f t="shared" si="311"/>
        <v>-117.846166</v>
      </c>
      <c r="D5042">
        <f t="shared" si="312"/>
        <v>46</v>
      </c>
      <c r="E5042">
        <v>19.5</v>
      </c>
      <c r="F5042">
        <f t="shared" si="313"/>
        <v>26.5</v>
      </c>
      <c r="G5042">
        <v>31.8</v>
      </c>
      <c r="H5042">
        <v>1.7230000000000001</v>
      </c>
      <c r="I5042">
        <v>5.4450000000000003</v>
      </c>
      <c r="J5042">
        <v>3</v>
      </c>
      <c r="K5042">
        <v>30</v>
      </c>
      <c r="L5042">
        <v>26</v>
      </c>
      <c r="M5042">
        <v>2.0310000000000001</v>
      </c>
    </row>
    <row r="5043" spans="1:13" ht="15" customHeight="1">
      <c r="A5043" t="s">
        <v>55</v>
      </c>
      <c r="B5043">
        <f t="shared" si="310"/>
        <v>33.702441</v>
      </c>
      <c r="C5043">
        <f t="shared" si="311"/>
        <v>-117.846166</v>
      </c>
      <c r="D5043">
        <f t="shared" si="312"/>
        <v>46</v>
      </c>
      <c r="E5043">
        <v>20.5</v>
      </c>
      <c r="F5043">
        <f t="shared" si="313"/>
        <v>25.5</v>
      </c>
      <c r="G5043">
        <v>39.700000000000003</v>
      </c>
      <c r="H5043">
        <v>1.9239999999999999</v>
      </c>
      <c r="I5043">
        <v>4.859</v>
      </c>
      <c r="J5043">
        <v>3</v>
      </c>
      <c r="K5043">
        <v>38</v>
      </c>
      <c r="L5043">
        <v>32</v>
      </c>
      <c r="M5043">
        <v>2.5569999999999999</v>
      </c>
    </row>
    <row r="5044" spans="1:13" ht="15" customHeight="1">
      <c r="A5044" t="s">
        <v>55</v>
      </c>
      <c r="B5044">
        <f t="shared" si="310"/>
        <v>33.702441</v>
      </c>
      <c r="C5044">
        <f t="shared" si="311"/>
        <v>-117.846166</v>
      </c>
      <c r="D5044">
        <f t="shared" si="312"/>
        <v>46</v>
      </c>
      <c r="E5044">
        <v>21.5</v>
      </c>
      <c r="F5044">
        <f t="shared" si="313"/>
        <v>24.5</v>
      </c>
      <c r="G5044">
        <v>32.283000000000001</v>
      </c>
      <c r="H5044">
        <v>1.595</v>
      </c>
      <c r="I5044">
        <v>4.9589999999999996</v>
      </c>
      <c r="J5044">
        <v>3</v>
      </c>
      <c r="K5044">
        <v>31</v>
      </c>
      <c r="L5044">
        <v>25</v>
      </c>
      <c r="M5044">
        <v>2.0569999999999999</v>
      </c>
    </row>
    <row r="5045" spans="1:13" ht="15" customHeight="1">
      <c r="A5045" t="s">
        <v>55</v>
      </c>
      <c r="B5045">
        <f t="shared" si="310"/>
        <v>33.702441</v>
      </c>
      <c r="C5045">
        <f t="shared" si="311"/>
        <v>-117.846166</v>
      </c>
      <c r="D5045">
        <f t="shared" si="312"/>
        <v>46</v>
      </c>
      <c r="E5045">
        <v>22.5</v>
      </c>
      <c r="F5045">
        <f t="shared" si="313"/>
        <v>23.5</v>
      </c>
      <c r="G5045">
        <v>27.567</v>
      </c>
      <c r="H5045">
        <v>1.38</v>
      </c>
      <c r="I5045">
        <v>5.0270000000000001</v>
      </c>
      <c r="J5045">
        <v>3</v>
      </c>
      <c r="K5045">
        <v>26</v>
      </c>
      <c r="L5045">
        <v>20</v>
      </c>
      <c r="M5045">
        <v>1.7390000000000001</v>
      </c>
    </row>
    <row r="5046" spans="1:13" ht="15" customHeight="1">
      <c r="A5046" t="s">
        <v>55</v>
      </c>
      <c r="B5046">
        <f t="shared" si="310"/>
        <v>33.702441</v>
      </c>
      <c r="C5046">
        <f t="shared" si="311"/>
        <v>-117.846166</v>
      </c>
      <c r="D5046">
        <f t="shared" si="312"/>
        <v>46</v>
      </c>
      <c r="E5046">
        <v>23.5</v>
      </c>
      <c r="F5046">
        <f t="shared" si="313"/>
        <v>22.5</v>
      </c>
      <c r="G5046">
        <v>27.85</v>
      </c>
      <c r="H5046">
        <v>1.1419999999999999</v>
      </c>
      <c r="I5046">
        <v>4.1139999999999999</v>
      </c>
      <c r="J5046">
        <v>4</v>
      </c>
      <c r="K5046">
        <v>18</v>
      </c>
      <c r="L5046">
        <v>14</v>
      </c>
      <c r="M5046">
        <v>1.754</v>
      </c>
    </row>
    <row r="5047" spans="1:13" ht="15" customHeight="1">
      <c r="A5047" t="s">
        <v>55</v>
      </c>
      <c r="B5047">
        <f t="shared" si="310"/>
        <v>33.702441</v>
      </c>
      <c r="C5047">
        <f t="shared" si="311"/>
        <v>-117.846166</v>
      </c>
      <c r="D5047">
        <f t="shared" si="312"/>
        <v>46</v>
      </c>
      <c r="E5047">
        <v>24.5</v>
      </c>
      <c r="F5047">
        <f t="shared" si="313"/>
        <v>21.5</v>
      </c>
      <c r="G5047">
        <v>32.232999999999997</v>
      </c>
      <c r="H5047">
        <v>1.2050000000000001</v>
      </c>
      <c r="I5047">
        <v>3.75</v>
      </c>
      <c r="J5047">
        <v>5</v>
      </c>
      <c r="K5047">
        <v>15</v>
      </c>
      <c r="L5047">
        <v>11</v>
      </c>
      <c r="M5047">
        <v>2.0419999999999998</v>
      </c>
    </row>
    <row r="5048" spans="1:13" ht="15" customHeight="1">
      <c r="A5048" t="s">
        <v>55</v>
      </c>
      <c r="B5048">
        <f t="shared" si="310"/>
        <v>33.702441</v>
      </c>
      <c r="C5048">
        <f t="shared" si="311"/>
        <v>-117.846166</v>
      </c>
      <c r="D5048">
        <f t="shared" si="312"/>
        <v>46</v>
      </c>
      <c r="E5048">
        <v>25.5</v>
      </c>
      <c r="F5048">
        <f t="shared" si="313"/>
        <v>20.5</v>
      </c>
      <c r="G5048">
        <v>70.566999999999993</v>
      </c>
      <c r="H5048">
        <v>2.427</v>
      </c>
      <c r="I5048">
        <v>3.444</v>
      </c>
      <c r="J5048">
        <v>6</v>
      </c>
      <c r="K5048">
        <v>27</v>
      </c>
      <c r="L5048">
        <v>19</v>
      </c>
      <c r="M5048">
        <v>4.5940000000000003</v>
      </c>
    </row>
    <row r="5049" spans="1:13" ht="15" customHeight="1">
      <c r="A5049" t="s">
        <v>55</v>
      </c>
      <c r="B5049">
        <f t="shared" si="310"/>
        <v>33.702441</v>
      </c>
      <c r="C5049">
        <f t="shared" si="311"/>
        <v>-117.846166</v>
      </c>
      <c r="D5049">
        <f t="shared" si="312"/>
        <v>46</v>
      </c>
      <c r="E5049">
        <v>26.5</v>
      </c>
      <c r="F5049">
        <f t="shared" si="313"/>
        <v>19.5</v>
      </c>
      <c r="G5049">
        <v>116.167</v>
      </c>
      <c r="H5049">
        <v>5.93</v>
      </c>
      <c r="I5049">
        <v>5.1109999999999998</v>
      </c>
      <c r="J5049">
        <v>11</v>
      </c>
      <c r="K5049">
        <v>111</v>
      </c>
      <c r="L5049">
        <v>78</v>
      </c>
      <c r="M5049" s="1">
        <v>9000000000</v>
      </c>
    </row>
    <row r="5050" spans="1:13" ht="15" customHeight="1">
      <c r="A5050" t="s">
        <v>55</v>
      </c>
      <c r="B5050">
        <f t="shared" si="310"/>
        <v>33.702441</v>
      </c>
      <c r="C5050">
        <f t="shared" si="311"/>
        <v>-117.846166</v>
      </c>
      <c r="D5050">
        <f t="shared" si="312"/>
        <v>46</v>
      </c>
      <c r="E5050">
        <v>27.5</v>
      </c>
      <c r="F5050">
        <f t="shared" si="313"/>
        <v>18.5</v>
      </c>
      <c r="G5050">
        <v>90.266999999999996</v>
      </c>
      <c r="H5050">
        <v>5.15</v>
      </c>
      <c r="I5050">
        <v>5.7149999999999999</v>
      </c>
      <c r="J5050">
        <v>11</v>
      </c>
      <c r="K5050">
        <v>86</v>
      </c>
      <c r="L5050">
        <v>59</v>
      </c>
      <c r="M5050" s="1">
        <v>9000000000</v>
      </c>
    </row>
    <row r="5051" spans="1:13" ht="15" customHeight="1">
      <c r="A5051" t="s">
        <v>55</v>
      </c>
      <c r="B5051">
        <f t="shared" si="310"/>
        <v>33.702441</v>
      </c>
      <c r="C5051">
        <f t="shared" si="311"/>
        <v>-117.846166</v>
      </c>
      <c r="D5051">
        <f t="shared" si="312"/>
        <v>46</v>
      </c>
      <c r="E5051">
        <v>28.5</v>
      </c>
      <c r="F5051">
        <f t="shared" si="313"/>
        <v>17.5</v>
      </c>
      <c r="G5051">
        <v>60.817</v>
      </c>
      <c r="H5051">
        <v>2.617</v>
      </c>
      <c r="I5051">
        <v>4.3140000000000001</v>
      </c>
      <c r="J5051">
        <v>5</v>
      </c>
      <c r="K5051">
        <v>29</v>
      </c>
      <c r="L5051">
        <v>20</v>
      </c>
      <c r="M5051">
        <v>3.9260000000000002</v>
      </c>
    </row>
    <row r="5052" spans="1:13" ht="15" customHeight="1">
      <c r="A5052" t="s">
        <v>55</v>
      </c>
      <c r="B5052">
        <f t="shared" si="310"/>
        <v>33.702441</v>
      </c>
      <c r="C5052">
        <f t="shared" si="311"/>
        <v>-117.846166</v>
      </c>
      <c r="D5052">
        <f t="shared" si="312"/>
        <v>46</v>
      </c>
      <c r="E5052">
        <v>29.5</v>
      </c>
      <c r="F5052">
        <f t="shared" si="313"/>
        <v>16.5</v>
      </c>
      <c r="G5052">
        <v>79.417000000000002</v>
      </c>
      <c r="H5052">
        <v>3.6779999999999999</v>
      </c>
      <c r="I5052">
        <v>4.6420000000000003</v>
      </c>
      <c r="J5052">
        <v>11</v>
      </c>
      <c r="K5052">
        <v>76</v>
      </c>
      <c r="L5052">
        <v>51</v>
      </c>
      <c r="M5052" s="1">
        <v>9000000000</v>
      </c>
    </row>
    <row r="5053" spans="1:13" ht="15" customHeight="1">
      <c r="A5053" t="s">
        <v>55</v>
      </c>
      <c r="B5053">
        <f t="shared" si="310"/>
        <v>33.702441</v>
      </c>
      <c r="C5053">
        <f t="shared" si="311"/>
        <v>-117.846166</v>
      </c>
      <c r="D5053">
        <f t="shared" si="312"/>
        <v>46</v>
      </c>
      <c r="E5053">
        <v>30.5</v>
      </c>
      <c r="F5053">
        <f t="shared" si="313"/>
        <v>15.5</v>
      </c>
      <c r="G5053">
        <v>94.783000000000001</v>
      </c>
      <c r="H5053">
        <v>4.8179999999999996</v>
      </c>
      <c r="I5053">
        <v>5.0919999999999996</v>
      </c>
      <c r="J5053">
        <v>11</v>
      </c>
      <c r="K5053">
        <v>91</v>
      </c>
      <c r="L5053">
        <v>60</v>
      </c>
      <c r="M5053" s="1">
        <v>9000000000</v>
      </c>
    </row>
    <row r="5054" spans="1:13" ht="15" customHeight="1">
      <c r="A5054" t="s">
        <v>55</v>
      </c>
      <c r="B5054">
        <f t="shared" si="310"/>
        <v>33.702441</v>
      </c>
      <c r="C5054">
        <f t="shared" si="311"/>
        <v>-117.846166</v>
      </c>
      <c r="D5054">
        <f t="shared" si="312"/>
        <v>46</v>
      </c>
      <c r="E5054">
        <v>31.5</v>
      </c>
      <c r="F5054">
        <f t="shared" si="313"/>
        <v>14.5</v>
      </c>
      <c r="G5054">
        <v>80.099999999999994</v>
      </c>
      <c r="H5054">
        <v>3.32</v>
      </c>
      <c r="I5054">
        <v>4.1539999999999999</v>
      </c>
      <c r="J5054">
        <v>5</v>
      </c>
      <c r="K5054">
        <v>38</v>
      </c>
      <c r="L5054">
        <v>25</v>
      </c>
      <c r="M5054">
        <v>5.1970000000000001</v>
      </c>
    </row>
    <row r="5055" spans="1:13" ht="15" customHeight="1">
      <c r="A5055" t="s">
        <v>55</v>
      </c>
      <c r="B5055">
        <f t="shared" si="310"/>
        <v>33.702441</v>
      </c>
      <c r="C5055">
        <f t="shared" si="311"/>
        <v>-117.846166</v>
      </c>
      <c r="D5055">
        <f t="shared" si="312"/>
        <v>46</v>
      </c>
      <c r="E5055">
        <v>32.5</v>
      </c>
      <c r="F5055">
        <f t="shared" si="313"/>
        <v>13.5</v>
      </c>
      <c r="G5055">
        <v>70.716999999999999</v>
      </c>
      <c r="H5055">
        <v>2.423</v>
      </c>
      <c r="I5055">
        <v>3.4350000000000001</v>
      </c>
      <c r="J5055">
        <v>6</v>
      </c>
      <c r="K5055">
        <v>27</v>
      </c>
      <c r="L5055">
        <v>17</v>
      </c>
      <c r="M5055">
        <v>4.569</v>
      </c>
    </row>
    <row r="5056" spans="1:13" ht="15" customHeight="1">
      <c r="A5056" t="s">
        <v>55</v>
      </c>
      <c r="B5056">
        <f t="shared" si="310"/>
        <v>33.702441</v>
      </c>
      <c r="C5056">
        <f t="shared" si="311"/>
        <v>-117.846166</v>
      </c>
      <c r="D5056">
        <f t="shared" si="312"/>
        <v>46</v>
      </c>
      <c r="E5056">
        <v>33.5</v>
      </c>
      <c r="F5056">
        <f t="shared" si="313"/>
        <v>12.5</v>
      </c>
      <c r="G5056">
        <v>34.283000000000001</v>
      </c>
      <c r="H5056">
        <v>1.79</v>
      </c>
      <c r="I5056">
        <v>5.2469999999999999</v>
      </c>
      <c r="J5056">
        <v>3</v>
      </c>
      <c r="K5056">
        <v>33</v>
      </c>
      <c r="L5056">
        <v>21</v>
      </c>
      <c r="M5056">
        <v>2.1360000000000001</v>
      </c>
    </row>
    <row r="5057" spans="1:13" ht="15" customHeight="1">
      <c r="A5057" t="s">
        <v>55</v>
      </c>
      <c r="B5057">
        <f t="shared" si="310"/>
        <v>33.702441</v>
      </c>
      <c r="C5057">
        <f t="shared" si="311"/>
        <v>-117.846166</v>
      </c>
      <c r="D5057">
        <f t="shared" si="312"/>
        <v>46</v>
      </c>
      <c r="E5057">
        <v>34.5</v>
      </c>
      <c r="F5057">
        <f t="shared" si="313"/>
        <v>11.5</v>
      </c>
      <c r="G5057">
        <v>18.100000000000001</v>
      </c>
      <c r="H5057">
        <v>0.81</v>
      </c>
      <c r="I5057">
        <v>4.5250000000000004</v>
      </c>
      <c r="J5057">
        <v>3</v>
      </c>
      <c r="K5057">
        <v>17</v>
      </c>
      <c r="L5057">
        <v>11</v>
      </c>
      <c r="M5057">
        <v>1.0509999999999999</v>
      </c>
    </row>
    <row r="5058" spans="1:13" ht="15" customHeight="1">
      <c r="A5058" t="s">
        <v>55</v>
      </c>
      <c r="B5058">
        <f t="shared" ref="B5058:B5121" si="314">VLOOKUP(A5058,XYdata,3,FALSE)</f>
        <v>33.702441</v>
      </c>
      <c r="C5058">
        <f t="shared" ref="C5058:C5121" si="315">VLOOKUP(A5058,XYdata,2,FALSE)</f>
        <v>-117.846166</v>
      </c>
      <c r="D5058">
        <f t="shared" ref="D5058:D5121" si="316">VLOOKUP(A5058,Elevation,2,FALSE)</f>
        <v>46</v>
      </c>
      <c r="E5058">
        <v>35.5</v>
      </c>
      <c r="F5058">
        <f t="shared" si="313"/>
        <v>10.5</v>
      </c>
      <c r="G5058">
        <v>19.516999999999999</v>
      </c>
      <c r="H5058">
        <v>0.78200000000000003</v>
      </c>
      <c r="I5058">
        <v>4.0430000000000001</v>
      </c>
      <c r="J5058">
        <v>4</v>
      </c>
      <c r="K5058">
        <v>12</v>
      </c>
      <c r="L5058">
        <v>7</v>
      </c>
      <c r="M5058">
        <v>1.1419999999999999</v>
      </c>
    </row>
    <row r="5059" spans="1:13" ht="15" customHeight="1">
      <c r="A5059" t="s">
        <v>55</v>
      </c>
      <c r="B5059">
        <f t="shared" si="314"/>
        <v>33.702441</v>
      </c>
      <c r="C5059">
        <f t="shared" si="315"/>
        <v>-117.846166</v>
      </c>
      <c r="D5059">
        <f t="shared" si="316"/>
        <v>46</v>
      </c>
      <c r="E5059">
        <v>36.5</v>
      </c>
      <c r="F5059">
        <f t="shared" ref="F5059:F5122" si="317">D5059-E5059</f>
        <v>9.5</v>
      </c>
      <c r="G5059">
        <v>122.45</v>
      </c>
      <c r="H5059">
        <v>1.9319999999999999</v>
      </c>
      <c r="I5059">
        <v>1.579</v>
      </c>
      <c r="J5059">
        <v>8</v>
      </c>
      <c r="K5059">
        <v>29</v>
      </c>
      <c r="L5059">
        <v>18</v>
      </c>
      <c r="M5059" s="1">
        <v>9000000000</v>
      </c>
    </row>
    <row r="5060" spans="1:13" ht="15" customHeight="1">
      <c r="A5060" t="s">
        <v>55</v>
      </c>
      <c r="B5060">
        <f t="shared" si="314"/>
        <v>33.702441</v>
      </c>
      <c r="C5060">
        <f t="shared" si="315"/>
        <v>-117.846166</v>
      </c>
      <c r="D5060">
        <f t="shared" si="316"/>
        <v>46</v>
      </c>
      <c r="E5060">
        <v>37.5</v>
      </c>
      <c r="F5060">
        <f t="shared" si="317"/>
        <v>8.5</v>
      </c>
      <c r="G5060">
        <v>109.717</v>
      </c>
      <c r="H5060">
        <v>1.468</v>
      </c>
      <c r="I5060">
        <v>1.341</v>
      </c>
      <c r="J5060">
        <v>8</v>
      </c>
      <c r="K5060">
        <v>26</v>
      </c>
      <c r="L5060">
        <v>16</v>
      </c>
      <c r="M5060" s="1">
        <v>9000000000</v>
      </c>
    </row>
    <row r="5061" spans="1:13" ht="15" customHeight="1">
      <c r="A5061" t="s">
        <v>55</v>
      </c>
      <c r="B5061">
        <f t="shared" si="314"/>
        <v>33.702441</v>
      </c>
      <c r="C5061">
        <f t="shared" si="315"/>
        <v>-117.846166</v>
      </c>
      <c r="D5061">
        <f t="shared" si="316"/>
        <v>46</v>
      </c>
      <c r="E5061">
        <v>38.5</v>
      </c>
      <c r="F5061">
        <f t="shared" si="317"/>
        <v>7.5</v>
      </c>
      <c r="G5061">
        <v>22.733000000000001</v>
      </c>
      <c r="H5061">
        <v>0.80800000000000005</v>
      </c>
      <c r="I5061">
        <v>3.5790000000000002</v>
      </c>
      <c r="J5061">
        <v>5</v>
      </c>
      <c r="K5061">
        <v>11</v>
      </c>
      <c r="L5061">
        <v>7</v>
      </c>
      <c r="M5061">
        <v>1.3460000000000001</v>
      </c>
    </row>
    <row r="5062" spans="1:13" ht="15" customHeight="1">
      <c r="A5062" t="s">
        <v>55</v>
      </c>
      <c r="B5062">
        <f t="shared" si="314"/>
        <v>33.702441</v>
      </c>
      <c r="C5062">
        <f t="shared" si="315"/>
        <v>-117.846166</v>
      </c>
      <c r="D5062">
        <f t="shared" si="316"/>
        <v>46</v>
      </c>
      <c r="E5062">
        <v>39.5</v>
      </c>
      <c r="F5062">
        <f t="shared" si="317"/>
        <v>6.5</v>
      </c>
      <c r="G5062">
        <v>167.5</v>
      </c>
      <c r="H5062">
        <v>1.6919999999999999</v>
      </c>
      <c r="I5062">
        <v>1.0109999999999999</v>
      </c>
      <c r="J5062">
        <v>9</v>
      </c>
      <c r="K5062">
        <v>32</v>
      </c>
      <c r="L5062">
        <v>19</v>
      </c>
      <c r="M5062" s="1">
        <v>9000000000</v>
      </c>
    </row>
    <row r="5063" spans="1:13" ht="15" customHeight="1">
      <c r="A5063" t="s">
        <v>55</v>
      </c>
      <c r="B5063">
        <f t="shared" si="314"/>
        <v>33.702441</v>
      </c>
      <c r="C5063">
        <f t="shared" si="315"/>
        <v>-117.846166</v>
      </c>
      <c r="D5063">
        <f t="shared" si="316"/>
        <v>46</v>
      </c>
      <c r="E5063">
        <v>40.5</v>
      </c>
      <c r="F5063">
        <f t="shared" si="317"/>
        <v>5.5</v>
      </c>
      <c r="G5063">
        <v>213.333</v>
      </c>
      <c r="H5063">
        <v>1.8420000000000001</v>
      </c>
      <c r="I5063">
        <v>0.86399999999999999</v>
      </c>
      <c r="J5063">
        <v>9</v>
      </c>
      <c r="K5063">
        <v>41</v>
      </c>
      <c r="L5063">
        <v>24</v>
      </c>
      <c r="M5063" s="1">
        <v>9000000000</v>
      </c>
    </row>
    <row r="5064" spans="1:13" ht="15" customHeight="1">
      <c r="A5064" t="s">
        <v>55</v>
      </c>
      <c r="B5064">
        <f t="shared" si="314"/>
        <v>33.702441</v>
      </c>
      <c r="C5064">
        <f t="shared" si="315"/>
        <v>-117.846166</v>
      </c>
      <c r="D5064">
        <f t="shared" si="316"/>
        <v>46</v>
      </c>
      <c r="E5064">
        <v>41.499000000000002</v>
      </c>
      <c r="F5064">
        <f t="shared" si="317"/>
        <v>4.5009999999999977</v>
      </c>
      <c r="G5064">
        <v>324.74299999999999</v>
      </c>
      <c r="H5064">
        <v>2.0299999999999998</v>
      </c>
      <c r="I5064">
        <v>0.625</v>
      </c>
      <c r="J5064">
        <v>10</v>
      </c>
      <c r="K5064">
        <v>52</v>
      </c>
      <c r="L5064">
        <v>30</v>
      </c>
      <c r="M5064" s="1">
        <v>9000000000</v>
      </c>
    </row>
    <row r="5065" spans="1:13" ht="15" customHeight="1">
      <c r="A5065" t="s">
        <v>55</v>
      </c>
      <c r="B5065">
        <f t="shared" si="314"/>
        <v>33.702441</v>
      </c>
      <c r="C5065">
        <f t="shared" si="315"/>
        <v>-117.846166</v>
      </c>
      <c r="D5065">
        <f t="shared" si="316"/>
        <v>46</v>
      </c>
      <c r="E5065">
        <v>42.499000000000002</v>
      </c>
      <c r="F5065">
        <f t="shared" si="317"/>
        <v>3.5009999999999977</v>
      </c>
      <c r="G5065">
        <v>84.466999999999999</v>
      </c>
      <c r="H5065">
        <v>1.29</v>
      </c>
      <c r="I5065">
        <v>1.5289999999999999</v>
      </c>
      <c r="J5065">
        <v>7</v>
      </c>
      <c r="K5065">
        <v>27</v>
      </c>
      <c r="L5065">
        <v>15</v>
      </c>
      <c r="M5065" s="1">
        <v>9000000000</v>
      </c>
    </row>
    <row r="5066" spans="1:13" ht="15" customHeight="1">
      <c r="A5066" t="s">
        <v>55</v>
      </c>
      <c r="B5066">
        <f t="shared" si="314"/>
        <v>33.702441</v>
      </c>
      <c r="C5066">
        <f t="shared" si="315"/>
        <v>-117.846166</v>
      </c>
      <c r="D5066">
        <f t="shared" si="316"/>
        <v>46</v>
      </c>
      <c r="E5066">
        <v>43.499000000000002</v>
      </c>
      <c r="F5066">
        <f t="shared" si="317"/>
        <v>2.5009999999999977</v>
      </c>
      <c r="G5066">
        <v>15.65</v>
      </c>
      <c r="H5066">
        <v>0.23200000000000001</v>
      </c>
      <c r="I5066">
        <v>1.4630000000000001</v>
      </c>
      <c r="J5066">
        <v>6</v>
      </c>
      <c r="K5066">
        <v>6</v>
      </c>
      <c r="L5066">
        <v>3</v>
      </c>
      <c r="M5066">
        <v>0.875</v>
      </c>
    </row>
    <row r="5067" spans="1:13" ht="15" customHeight="1">
      <c r="A5067" t="s">
        <v>55</v>
      </c>
      <c r="B5067">
        <f t="shared" si="314"/>
        <v>33.702441</v>
      </c>
      <c r="C5067">
        <f t="shared" si="315"/>
        <v>-117.846166</v>
      </c>
      <c r="D5067">
        <f t="shared" si="316"/>
        <v>46</v>
      </c>
      <c r="E5067">
        <v>44.499000000000002</v>
      </c>
      <c r="F5067">
        <f t="shared" si="317"/>
        <v>1.5009999999999977</v>
      </c>
      <c r="G5067">
        <v>15.282999999999999</v>
      </c>
      <c r="H5067">
        <v>0.317</v>
      </c>
      <c r="I5067">
        <v>1.9470000000000001</v>
      </c>
      <c r="J5067">
        <v>5</v>
      </c>
      <c r="K5067">
        <v>8</v>
      </c>
      <c r="L5067">
        <v>4</v>
      </c>
      <c r="M5067">
        <v>0.9</v>
      </c>
    </row>
    <row r="5068" spans="1:13" ht="15" customHeight="1">
      <c r="A5068" t="s">
        <v>55</v>
      </c>
      <c r="B5068">
        <f t="shared" si="314"/>
        <v>33.702441</v>
      </c>
      <c r="C5068">
        <f t="shared" si="315"/>
        <v>-117.846166</v>
      </c>
      <c r="D5068">
        <f t="shared" si="316"/>
        <v>46</v>
      </c>
      <c r="E5068">
        <v>45.499000000000002</v>
      </c>
      <c r="F5068">
        <f t="shared" si="317"/>
        <v>0.50099999999999767</v>
      </c>
      <c r="G5068">
        <v>16.382999999999999</v>
      </c>
      <c r="H5068">
        <v>0.495</v>
      </c>
      <c r="I5068">
        <v>2.85</v>
      </c>
      <c r="J5068">
        <v>5</v>
      </c>
      <c r="K5068">
        <v>8</v>
      </c>
      <c r="L5068">
        <v>4</v>
      </c>
      <c r="M5068">
        <v>0.97</v>
      </c>
    </row>
    <row r="5069" spans="1:13" ht="15" customHeight="1">
      <c r="A5069" t="s">
        <v>55</v>
      </c>
      <c r="B5069">
        <f t="shared" si="314"/>
        <v>33.702441</v>
      </c>
      <c r="C5069">
        <f t="shared" si="315"/>
        <v>-117.846166</v>
      </c>
      <c r="D5069">
        <f t="shared" si="316"/>
        <v>46</v>
      </c>
      <c r="E5069">
        <v>46.499000000000002</v>
      </c>
      <c r="F5069">
        <f t="shared" si="317"/>
        <v>-0.49900000000000233</v>
      </c>
      <c r="G5069">
        <v>22.117000000000001</v>
      </c>
      <c r="H5069">
        <v>0.86299999999999999</v>
      </c>
      <c r="I5069">
        <v>3.7669999999999999</v>
      </c>
      <c r="J5069">
        <v>4</v>
      </c>
      <c r="K5069">
        <v>15</v>
      </c>
      <c r="L5069">
        <v>8</v>
      </c>
      <c r="M5069">
        <v>1.3360000000000001</v>
      </c>
    </row>
    <row r="5070" spans="1:13" ht="15" customHeight="1">
      <c r="A5070" t="s">
        <v>55</v>
      </c>
      <c r="B5070">
        <f t="shared" si="314"/>
        <v>33.702441</v>
      </c>
      <c r="C5070">
        <f t="shared" si="315"/>
        <v>-117.846166</v>
      </c>
      <c r="D5070">
        <f t="shared" si="316"/>
        <v>46</v>
      </c>
      <c r="E5070">
        <v>47.499000000000002</v>
      </c>
      <c r="F5070">
        <f t="shared" si="317"/>
        <v>-1.4990000000000023</v>
      </c>
      <c r="G5070">
        <v>50.7</v>
      </c>
      <c r="H5070">
        <v>1.4530000000000001</v>
      </c>
      <c r="I5070">
        <v>2.83</v>
      </c>
      <c r="J5070">
        <v>6</v>
      </c>
      <c r="K5070">
        <v>20</v>
      </c>
      <c r="L5070">
        <v>11</v>
      </c>
      <c r="M5070">
        <v>3.2269999999999999</v>
      </c>
    </row>
    <row r="5071" spans="1:13" ht="15" customHeight="1">
      <c r="A5071" t="s">
        <v>55</v>
      </c>
      <c r="B5071">
        <f t="shared" si="314"/>
        <v>33.702441</v>
      </c>
      <c r="C5071">
        <f t="shared" si="315"/>
        <v>-117.846166</v>
      </c>
      <c r="D5071">
        <f t="shared" si="316"/>
        <v>46</v>
      </c>
      <c r="E5071">
        <v>48.499000000000002</v>
      </c>
      <c r="F5071">
        <f t="shared" si="317"/>
        <v>-2.4990000000000023</v>
      </c>
      <c r="G5071">
        <v>87.85</v>
      </c>
      <c r="H5071">
        <v>1.5780000000000001</v>
      </c>
      <c r="I5071">
        <v>1.8</v>
      </c>
      <c r="J5071">
        <v>7</v>
      </c>
      <c r="K5071">
        <v>28</v>
      </c>
      <c r="L5071">
        <v>15</v>
      </c>
      <c r="M5071" s="1">
        <v>9000000000</v>
      </c>
    </row>
    <row r="5072" spans="1:13" ht="15" customHeight="1">
      <c r="A5072" t="s">
        <v>55</v>
      </c>
      <c r="B5072">
        <f t="shared" si="314"/>
        <v>33.702441</v>
      </c>
      <c r="C5072">
        <f t="shared" si="315"/>
        <v>-117.846166</v>
      </c>
      <c r="D5072">
        <f t="shared" si="316"/>
        <v>46</v>
      </c>
      <c r="E5072">
        <v>49.499000000000002</v>
      </c>
      <c r="F5072">
        <f t="shared" si="317"/>
        <v>-3.4990000000000023</v>
      </c>
      <c r="G5072">
        <v>248.917</v>
      </c>
      <c r="H5072">
        <v>2.238</v>
      </c>
      <c r="I5072">
        <v>0.9</v>
      </c>
      <c r="J5072">
        <v>9</v>
      </c>
      <c r="K5072">
        <v>48</v>
      </c>
      <c r="L5072">
        <v>25</v>
      </c>
      <c r="M5072" s="1">
        <v>9000000000</v>
      </c>
    </row>
    <row r="5073" spans="1:13" ht="15" customHeight="1">
      <c r="A5073" t="s">
        <v>55</v>
      </c>
      <c r="B5073">
        <f t="shared" si="314"/>
        <v>33.702441</v>
      </c>
      <c r="C5073">
        <f t="shared" si="315"/>
        <v>-117.846166</v>
      </c>
      <c r="D5073">
        <f t="shared" si="316"/>
        <v>46</v>
      </c>
      <c r="E5073">
        <v>50.499000000000002</v>
      </c>
      <c r="F5073">
        <f t="shared" si="317"/>
        <v>-4.4990000000000023</v>
      </c>
      <c r="G5073">
        <v>237.46700000000001</v>
      </c>
      <c r="H5073">
        <v>1.7050000000000001</v>
      </c>
      <c r="I5073">
        <v>0.71799999999999997</v>
      </c>
      <c r="J5073">
        <v>9</v>
      </c>
      <c r="K5073">
        <v>45</v>
      </c>
      <c r="L5073">
        <v>23</v>
      </c>
      <c r="M5073" s="1">
        <v>9000000000</v>
      </c>
    </row>
    <row r="5074" spans="1:13" ht="15" customHeight="1">
      <c r="A5074" t="s">
        <v>55</v>
      </c>
      <c r="B5074">
        <f t="shared" si="314"/>
        <v>33.702441</v>
      </c>
      <c r="C5074">
        <f t="shared" si="315"/>
        <v>-117.846166</v>
      </c>
      <c r="D5074">
        <f t="shared" si="316"/>
        <v>46</v>
      </c>
      <c r="E5074">
        <v>51.499000000000002</v>
      </c>
      <c r="F5074">
        <f t="shared" si="317"/>
        <v>-5.4990000000000023</v>
      </c>
      <c r="G5074">
        <v>218.083</v>
      </c>
      <c r="H5074">
        <v>1.2969999999999999</v>
      </c>
      <c r="I5074">
        <v>0.59499999999999997</v>
      </c>
      <c r="J5074">
        <v>9</v>
      </c>
      <c r="K5074">
        <v>42</v>
      </c>
      <c r="L5074">
        <v>22</v>
      </c>
      <c r="M5074" s="1">
        <v>9000000000</v>
      </c>
    </row>
    <row r="5075" spans="1:13" ht="15" customHeight="1">
      <c r="A5075" t="s">
        <v>55</v>
      </c>
      <c r="B5075">
        <f t="shared" si="314"/>
        <v>33.702441</v>
      </c>
      <c r="C5075">
        <f t="shared" si="315"/>
        <v>-117.846166</v>
      </c>
      <c r="D5075">
        <f t="shared" si="316"/>
        <v>46</v>
      </c>
      <c r="E5075">
        <v>52.499000000000002</v>
      </c>
      <c r="F5075">
        <f t="shared" si="317"/>
        <v>-6.4990000000000023</v>
      </c>
      <c r="G5075">
        <v>108.343</v>
      </c>
      <c r="H5075">
        <v>1.74</v>
      </c>
      <c r="I5075">
        <v>1.607</v>
      </c>
      <c r="J5075">
        <v>7</v>
      </c>
      <c r="K5075">
        <v>35</v>
      </c>
      <c r="L5075">
        <v>18</v>
      </c>
      <c r="M5075" s="1">
        <v>9000000000</v>
      </c>
    </row>
    <row r="5076" spans="1:13" ht="15" customHeight="1">
      <c r="A5076" t="s">
        <v>55</v>
      </c>
      <c r="B5076">
        <f t="shared" si="314"/>
        <v>33.702441</v>
      </c>
      <c r="C5076">
        <f t="shared" si="315"/>
        <v>-117.846166</v>
      </c>
      <c r="D5076">
        <f t="shared" si="316"/>
        <v>46</v>
      </c>
      <c r="E5076">
        <v>53.499000000000002</v>
      </c>
      <c r="F5076">
        <f t="shared" si="317"/>
        <v>-7.4990000000000023</v>
      </c>
      <c r="G5076">
        <v>37.799999999999997</v>
      </c>
      <c r="H5076">
        <v>1.282</v>
      </c>
      <c r="I5076">
        <v>3.3980000000000001</v>
      </c>
      <c r="J5076">
        <v>5</v>
      </c>
      <c r="K5076">
        <v>18</v>
      </c>
      <c r="L5076">
        <v>9</v>
      </c>
      <c r="M5076">
        <v>2.2930000000000001</v>
      </c>
    </row>
    <row r="5077" spans="1:13" ht="15" customHeight="1">
      <c r="A5077" t="s">
        <v>55</v>
      </c>
      <c r="B5077">
        <f t="shared" si="314"/>
        <v>33.702441</v>
      </c>
      <c r="C5077">
        <f t="shared" si="315"/>
        <v>-117.846166</v>
      </c>
      <c r="D5077">
        <f t="shared" si="316"/>
        <v>46</v>
      </c>
      <c r="E5077">
        <v>54.499000000000002</v>
      </c>
      <c r="F5077">
        <f t="shared" si="317"/>
        <v>-8.4990000000000023</v>
      </c>
      <c r="G5077">
        <v>57.033000000000001</v>
      </c>
      <c r="H5077">
        <v>2.0750000000000002</v>
      </c>
      <c r="I5077">
        <v>3.6440000000000001</v>
      </c>
      <c r="J5077">
        <v>5</v>
      </c>
      <c r="K5077">
        <v>27</v>
      </c>
      <c r="L5077">
        <v>14</v>
      </c>
      <c r="M5077">
        <v>3.5710000000000002</v>
      </c>
    </row>
    <row r="5078" spans="1:13" ht="15" customHeight="1">
      <c r="A5078" t="s">
        <v>55</v>
      </c>
      <c r="B5078">
        <f t="shared" si="314"/>
        <v>33.702441</v>
      </c>
      <c r="C5078">
        <f t="shared" si="315"/>
        <v>-117.846166</v>
      </c>
      <c r="D5078">
        <f t="shared" si="316"/>
        <v>46</v>
      </c>
      <c r="E5078">
        <v>55.499000000000002</v>
      </c>
      <c r="F5078">
        <f t="shared" si="317"/>
        <v>-9.4990000000000023</v>
      </c>
      <c r="G5078">
        <v>56.116999999999997</v>
      </c>
      <c r="H5078">
        <v>1.748</v>
      </c>
      <c r="I5078">
        <v>3.12</v>
      </c>
      <c r="J5078">
        <v>6</v>
      </c>
      <c r="K5078">
        <v>21</v>
      </c>
      <c r="L5078">
        <v>11</v>
      </c>
      <c r="M5078">
        <v>3.5059999999999998</v>
      </c>
    </row>
    <row r="5079" spans="1:13" ht="15" customHeight="1">
      <c r="A5079" t="s">
        <v>55</v>
      </c>
      <c r="B5079">
        <f t="shared" si="314"/>
        <v>33.702441</v>
      </c>
      <c r="C5079">
        <f t="shared" si="315"/>
        <v>-117.846166</v>
      </c>
      <c r="D5079">
        <f t="shared" si="316"/>
        <v>46</v>
      </c>
      <c r="E5079">
        <v>56.499000000000002</v>
      </c>
      <c r="F5079">
        <f t="shared" si="317"/>
        <v>-10.499000000000002</v>
      </c>
      <c r="G5079">
        <v>130.80000000000001</v>
      </c>
      <c r="H5079">
        <v>2.5819999999999999</v>
      </c>
      <c r="I5079">
        <v>1.976</v>
      </c>
      <c r="J5079">
        <v>7</v>
      </c>
      <c r="K5079">
        <v>42</v>
      </c>
      <c r="L5079">
        <v>21</v>
      </c>
      <c r="M5079" s="1">
        <v>9000000000</v>
      </c>
    </row>
    <row r="5080" spans="1:13" ht="15" customHeight="1">
      <c r="A5080" t="s">
        <v>55</v>
      </c>
      <c r="B5080">
        <f t="shared" si="314"/>
        <v>33.702441</v>
      </c>
      <c r="C5080">
        <f t="shared" si="315"/>
        <v>-117.846166</v>
      </c>
      <c r="D5080">
        <f t="shared" si="316"/>
        <v>46</v>
      </c>
      <c r="E5080">
        <v>57.499000000000002</v>
      </c>
      <c r="F5080">
        <f t="shared" si="317"/>
        <v>-11.499000000000002</v>
      </c>
      <c r="G5080">
        <v>196.53299999999999</v>
      </c>
      <c r="H5080">
        <v>2.1</v>
      </c>
      <c r="I5080">
        <v>1.069</v>
      </c>
      <c r="J5080">
        <v>9</v>
      </c>
      <c r="K5080">
        <v>38</v>
      </c>
      <c r="L5080">
        <v>19</v>
      </c>
      <c r="M5080" s="1">
        <v>9000000000</v>
      </c>
    </row>
    <row r="5081" spans="1:13" ht="15" customHeight="1">
      <c r="A5081" t="s">
        <v>55</v>
      </c>
      <c r="B5081">
        <f t="shared" si="314"/>
        <v>33.702441</v>
      </c>
      <c r="C5081">
        <f t="shared" si="315"/>
        <v>-117.846166</v>
      </c>
      <c r="D5081">
        <f t="shared" si="316"/>
        <v>46</v>
      </c>
      <c r="E5081">
        <v>58.499000000000002</v>
      </c>
      <c r="F5081">
        <f t="shared" si="317"/>
        <v>-12.499000000000002</v>
      </c>
      <c r="G5081">
        <v>79.716999999999999</v>
      </c>
      <c r="H5081">
        <v>2.31</v>
      </c>
      <c r="I5081">
        <v>2.9039999999999999</v>
      </c>
      <c r="J5081">
        <v>6</v>
      </c>
      <c r="K5081">
        <v>30</v>
      </c>
      <c r="L5081">
        <v>15</v>
      </c>
      <c r="M5081">
        <v>5.0620000000000003</v>
      </c>
    </row>
    <row r="5082" spans="1:13" ht="15" customHeight="1">
      <c r="A5082" t="s">
        <v>55</v>
      </c>
      <c r="B5082">
        <f t="shared" si="314"/>
        <v>33.702441</v>
      </c>
      <c r="C5082">
        <f t="shared" si="315"/>
        <v>-117.846166</v>
      </c>
      <c r="D5082">
        <f t="shared" si="316"/>
        <v>46</v>
      </c>
      <c r="E5082">
        <v>59.499000000000002</v>
      </c>
      <c r="F5082">
        <f t="shared" si="317"/>
        <v>-13.499000000000002</v>
      </c>
      <c r="G5082">
        <v>196.31700000000001</v>
      </c>
      <c r="H5082">
        <v>3.7519999999999998</v>
      </c>
      <c r="I5082">
        <v>1.9119999999999999</v>
      </c>
      <c r="J5082">
        <v>8</v>
      </c>
      <c r="K5082">
        <v>47</v>
      </c>
      <c r="L5082">
        <v>24</v>
      </c>
      <c r="M5082" s="1">
        <v>9000000000</v>
      </c>
    </row>
    <row r="5083" spans="1:13" ht="15" customHeight="1">
      <c r="A5083" t="s">
        <v>55</v>
      </c>
      <c r="B5083">
        <f t="shared" si="314"/>
        <v>33.702441</v>
      </c>
      <c r="C5083">
        <f t="shared" si="315"/>
        <v>-117.846166</v>
      </c>
      <c r="D5083">
        <f t="shared" si="316"/>
        <v>46</v>
      </c>
      <c r="E5083">
        <v>60.499000000000002</v>
      </c>
      <c r="F5083">
        <f t="shared" si="317"/>
        <v>-14.499000000000002</v>
      </c>
      <c r="G5083">
        <v>197.65</v>
      </c>
      <c r="H5083">
        <v>2.7429999999999999</v>
      </c>
      <c r="I5083">
        <v>1.389</v>
      </c>
      <c r="J5083">
        <v>8</v>
      </c>
      <c r="K5083">
        <v>47</v>
      </c>
      <c r="L5083">
        <v>24</v>
      </c>
      <c r="M5083" s="1">
        <v>9000000000</v>
      </c>
    </row>
    <row r="5084" spans="1:13" ht="15" customHeight="1">
      <c r="A5084" t="s">
        <v>55</v>
      </c>
      <c r="B5084">
        <f t="shared" si="314"/>
        <v>33.702441</v>
      </c>
      <c r="C5084">
        <f t="shared" si="315"/>
        <v>-117.846166</v>
      </c>
      <c r="D5084">
        <f t="shared" si="316"/>
        <v>46</v>
      </c>
      <c r="E5084">
        <v>61.499000000000002</v>
      </c>
      <c r="F5084">
        <f t="shared" si="317"/>
        <v>-15.499000000000002</v>
      </c>
      <c r="G5084">
        <v>70.683000000000007</v>
      </c>
      <c r="H5084">
        <v>2.9830000000000001</v>
      </c>
      <c r="I5084">
        <v>4.2309999999999999</v>
      </c>
      <c r="J5084">
        <v>5</v>
      </c>
      <c r="K5084">
        <v>34</v>
      </c>
      <c r="L5084">
        <v>17</v>
      </c>
      <c r="M5084">
        <v>4.4470000000000001</v>
      </c>
    </row>
    <row r="5085" spans="1:13" ht="15" customHeight="1">
      <c r="A5085" t="s">
        <v>55</v>
      </c>
      <c r="B5085">
        <f t="shared" si="314"/>
        <v>33.702441</v>
      </c>
      <c r="C5085">
        <f t="shared" si="315"/>
        <v>-117.846166</v>
      </c>
      <c r="D5085">
        <f t="shared" si="316"/>
        <v>46</v>
      </c>
      <c r="E5085">
        <v>62.499000000000002</v>
      </c>
      <c r="F5085">
        <f t="shared" si="317"/>
        <v>-16.499000000000002</v>
      </c>
      <c r="G5085">
        <v>51.686</v>
      </c>
      <c r="H5085">
        <v>2.3340000000000001</v>
      </c>
      <c r="I5085">
        <v>4.5330000000000004</v>
      </c>
      <c r="J5085">
        <v>4</v>
      </c>
      <c r="K5085">
        <v>33</v>
      </c>
      <c r="L5085">
        <v>17</v>
      </c>
      <c r="M5085">
        <v>3.1749999999999998</v>
      </c>
    </row>
    <row r="5086" spans="1:13" ht="15" customHeight="1">
      <c r="A5086" t="s">
        <v>55</v>
      </c>
      <c r="B5086">
        <f t="shared" si="314"/>
        <v>33.702441</v>
      </c>
      <c r="C5086">
        <f t="shared" si="315"/>
        <v>-117.846166</v>
      </c>
      <c r="D5086">
        <f t="shared" si="316"/>
        <v>46</v>
      </c>
      <c r="E5086">
        <v>63.499000000000002</v>
      </c>
      <c r="F5086">
        <f t="shared" si="317"/>
        <v>-17.499000000000002</v>
      </c>
      <c r="G5086">
        <v>28.8</v>
      </c>
      <c r="H5086">
        <v>1.165</v>
      </c>
      <c r="I5086">
        <v>4.069</v>
      </c>
      <c r="J5086">
        <v>4</v>
      </c>
      <c r="K5086">
        <v>18</v>
      </c>
      <c r="L5086">
        <v>9</v>
      </c>
      <c r="M5086">
        <v>1.6459999999999999</v>
      </c>
    </row>
    <row r="5087" spans="1:13" ht="15" customHeight="1">
      <c r="A5087" t="s">
        <v>55</v>
      </c>
      <c r="B5087">
        <f t="shared" si="314"/>
        <v>33.702441</v>
      </c>
      <c r="C5087">
        <f t="shared" si="315"/>
        <v>-117.846166</v>
      </c>
      <c r="D5087">
        <f t="shared" si="316"/>
        <v>46</v>
      </c>
      <c r="E5087">
        <v>64.498999999999995</v>
      </c>
      <c r="F5087">
        <f t="shared" si="317"/>
        <v>-18.498999999999995</v>
      </c>
      <c r="G5087">
        <v>40.883000000000003</v>
      </c>
      <c r="H5087">
        <v>1.7330000000000001</v>
      </c>
      <c r="I5087">
        <v>4.2569999999999997</v>
      </c>
      <c r="J5087">
        <v>4</v>
      </c>
      <c r="K5087">
        <v>26</v>
      </c>
      <c r="L5087">
        <v>13</v>
      </c>
      <c r="M5087">
        <v>2.448</v>
      </c>
    </row>
    <row r="5088" spans="1:13" ht="15" customHeight="1">
      <c r="A5088" t="s">
        <v>55</v>
      </c>
      <c r="B5088">
        <f t="shared" si="314"/>
        <v>33.702441</v>
      </c>
      <c r="C5088">
        <f t="shared" si="315"/>
        <v>-117.846166</v>
      </c>
      <c r="D5088">
        <f t="shared" si="316"/>
        <v>46</v>
      </c>
      <c r="E5088">
        <v>65.498999999999995</v>
      </c>
      <c r="F5088">
        <f t="shared" si="317"/>
        <v>-19.498999999999995</v>
      </c>
      <c r="G5088">
        <v>31.983000000000001</v>
      </c>
      <c r="H5088">
        <v>1.0429999999999999</v>
      </c>
      <c r="I5088">
        <v>3.2789999999999999</v>
      </c>
      <c r="J5088">
        <v>5</v>
      </c>
      <c r="K5088">
        <v>15</v>
      </c>
      <c r="L5088">
        <v>8</v>
      </c>
      <c r="M5088">
        <v>1.85</v>
      </c>
    </row>
    <row r="5089" spans="1:13" ht="15" customHeight="1">
      <c r="A5089" t="s">
        <v>55</v>
      </c>
      <c r="B5089">
        <f t="shared" si="314"/>
        <v>33.702441</v>
      </c>
      <c r="C5089">
        <f t="shared" si="315"/>
        <v>-117.846166</v>
      </c>
      <c r="D5089">
        <f t="shared" si="316"/>
        <v>46</v>
      </c>
      <c r="E5089">
        <v>66.498999999999995</v>
      </c>
      <c r="F5089">
        <f t="shared" si="317"/>
        <v>-20.498999999999995</v>
      </c>
      <c r="G5089">
        <v>31.016999999999999</v>
      </c>
      <c r="H5089">
        <v>1.0269999999999999</v>
      </c>
      <c r="I5089">
        <v>3.3239999999999998</v>
      </c>
      <c r="J5089">
        <v>5</v>
      </c>
      <c r="K5089">
        <v>15</v>
      </c>
      <c r="L5089">
        <v>8</v>
      </c>
      <c r="M5089">
        <v>1.784</v>
      </c>
    </row>
    <row r="5090" spans="1:13" ht="15" customHeight="1">
      <c r="A5090" t="s">
        <v>55</v>
      </c>
      <c r="B5090">
        <f t="shared" si="314"/>
        <v>33.702441</v>
      </c>
      <c r="C5090">
        <f t="shared" si="315"/>
        <v>-117.846166</v>
      </c>
      <c r="D5090">
        <f t="shared" si="316"/>
        <v>46</v>
      </c>
      <c r="E5090">
        <v>67.498999999999995</v>
      </c>
      <c r="F5090">
        <f t="shared" si="317"/>
        <v>-21.498999999999995</v>
      </c>
      <c r="G5090">
        <v>27.55</v>
      </c>
      <c r="H5090">
        <v>0.84499999999999997</v>
      </c>
      <c r="I5090">
        <v>3.0859999999999999</v>
      </c>
      <c r="J5090">
        <v>5</v>
      </c>
      <c r="K5090">
        <v>13</v>
      </c>
      <c r="L5090">
        <v>7</v>
      </c>
      <c r="M5090">
        <v>1.546</v>
      </c>
    </row>
    <row r="5091" spans="1:13" ht="15" customHeight="1">
      <c r="A5091" t="s">
        <v>55</v>
      </c>
      <c r="B5091">
        <f t="shared" si="314"/>
        <v>33.702441</v>
      </c>
      <c r="C5091">
        <f t="shared" si="315"/>
        <v>-117.846166</v>
      </c>
      <c r="D5091">
        <f t="shared" si="316"/>
        <v>46</v>
      </c>
      <c r="E5091">
        <v>68.498999999999995</v>
      </c>
      <c r="F5091">
        <f t="shared" si="317"/>
        <v>-22.498999999999995</v>
      </c>
      <c r="G5091">
        <v>29.683</v>
      </c>
      <c r="H5091">
        <v>0.92300000000000004</v>
      </c>
      <c r="I5091">
        <v>3.1259999999999999</v>
      </c>
      <c r="J5091">
        <v>5</v>
      </c>
      <c r="K5091">
        <v>14</v>
      </c>
      <c r="L5091">
        <v>7</v>
      </c>
      <c r="M5091">
        <v>1.6859999999999999</v>
      </c>
    </row>
    <row r="5092" spans="1:13" ht="15" customHeight="1">
      <c r="A5092" t="s">
        <v>55</v>
      </c>
      <c r="B5092">
        <f t="shared" si="314"/>
        <v>33.702441</v>
      </c>
      <c r="C5092">
        <f t="shared" si="315"/>
        <v>-117.846166</v>
      </c>
      <c r="D5092">
        <f t="shared" si="316"/>
        <v>46</v>
      </c>
      <c r="E5092">
        <v>69.498999999999995</v>
      </c>
      <c r="F5092">
        <f t="shared" si="317"/>
        <v>-23.498999999999995</v>
      </c>
      <c r="G5092">
        <v>27.783000000000001</v>
      </c>
      <c r="H5092">
        <v>0.8</v>
      </c>
      <c r="I5092">
        <v>2.8969999999999998</v>
      </c>
      <c r="J5092">
        <v>5</v>
      </c>
      <c r="K5092">
        <v>13</v>
      </c>
      <c r="L5092">
        <v>7</v>
      </c>
      <c r="M5092">
        <v>1.554</v>
      </c>
    </row>
    <row r="5093" spans="1:13" ht="15" customHeight="1">
      <c r="A5093" t="s">
        <v>55</v>
      </c>
      <c r="B5093">
        <f t="shared" si="314"/>
        <v>33.702441</v>
      </c>
      <c r="C5093">
        <f t="shared" si="315"/>
        <v>-117.846166</v>
      </c>
      <c r="D5093">
        <f t="shared" si="316"/>
        <v>46</v>
      </c>
      <c r="E5093">
        <v>70.498999999999995</v>
      </c>
      <c r="F5093">
        <f t="shared" si="317"/>
        <v>-24.498999999999995</v>
      </c>
      <c r="G5093">
        <v>28.183</v>
      </c>
      <c r="H5093">
        <v>0.95699999999999996</v>
      </c>
      <c r="I5093">
        <v>3.411</v>
      </c>
      <c r="J5093">
        <v>5</v>
      </c>
      <c r="K5093">
        <v>13</v>
      </c>
      <c r="L5093">
        <v>7</v>
      </c>
      <c r="M5093">
        <v>1.5780000000000001</v>
      </c>
    </row>
    <row r="5094" spans="1:13" ht="15" customHeight="1">
      <c r="A5094" t="s">
        <v>55</v>
      </c>
      <c r="B5094">
        <f t="shared" si="314"/>
        <v>33.702441</v>
      </c>
      <c r="C5094">
        <f t="shared" si="315"/>
        <v>-117.846166</v>
      </c>
      <c r="D5094">
        <f t="shared" si="316"/>
        <v>46</v>
      </c>
      <c r="E5094">
        <v>71.498999999999995</v>
      </c>
      <c r="F5094">
        <f t="shared" si="317"/>
        <v>-25.498999999999995</v>
      </c>
      <c r="G5094">
        <v>25.483000000000001</v>
      </c>
      <c r="H5094">
        <v>0.80200000000000005</v>
      </c>
      <c r="I5094">
        <v>3.16</v>
      </c>
      <c r="J5094">
        <v>5</v>
      </c>
      <c r="K5094">
        <v>12</v>
      </c>
      <c r="L5094">
        <v>6</v>
      </c>
      <c r="M5094">
        <v>1.395</v>
      </c>
    </row>
    <row r="5095" spans="1:13" ht="15" customHeight="1">
      <c r="A5095" t="s">
        <v>55</v>
      </c>
      <c r="B5095">
        <f t="shared" si="314"/>
        <v>33.702441</v>
      </c>
      <c r="C5095">
        <f t="shared" si="315"/>
        <v>-117.846166</v>
      </c>
      <c r="D5095">
        <f t="shared" si="316"/>
        <v>46</v>
      </c>
      <c r="E5095">
        <v>72.498999999999995</v>
      </c>
      <c r="F5095">
        <f t="shared" si="317"/>
        <v>-26.498999999999995</v>
      </c>
      <c r="G5095">
        <v>27.370999999999999</v>
      </c>
      <c r="H5095">
        <v>0.78300000000000003</v>
      </c>
      <c r="I5095">
        <v>2.8719999999999999</v>
      </c>
      <c r="J5095">
        <v>5</v>
      </c>
      <c r="K5095">
        <v>13</v>
      </c>
      <c r="L5095">
        <v>7</v>
      </c>
      <c r="M5095">
        <v>1.5169999999999999</v>
      </c>
    </row>
    <row r="5096" spans="1:13" ht="15" customHeight="1">
      <c r="A5096" t="s">
        <v>55</v>
      </c>
      <c r="B5096">
        <f t="shared" si="314"/>
        <v>33.702441</v>
      </c>
      <c r="C5096">
        <f t="shared" si="315"/>
        <v>-117.846166</v>
      </c>
      <c r="D5096">
        <f t="shared" si="316"/>
        <v>46</v>
      </c>
      <c r="E5096">
        <v>73.498999999999995</v>
      </c>
      <c r="F5096">
        <f t="shared" si="317"/>
        <v>-27.498999999999995</v>
      </c>
      <c r="G5096">
        <v>39.75</v>
      </c>
      <c r="H5096">
        <v>1.238</v>
      </c>
      <c r="I5096">
        <v>3.1179999999999999</v>
      </c>
      <c r="J5096">
        <v>5</v>
      </c>
      <c r="K5096">
        <v>19</v>
      </c>
      <c r="L5096">
        <v>10</v>
      </c>
      <c r="M5096">
        <v>2.3439999999999999</v>
      </c>
    </row>
    <row r="5097" spans="1:13" ht="15" customHeight="1">
      <c r="A5097" t="s">
        <v>55</v>
      </c>
      <c r="B5097">
        <f t="shared" si="314"/>
        <v>33.702441</v>
      </c>
      <c r="C5097">
        <f t="shared" si="315"/>
        <v>-117.846166</v>
      </c>
      <c r="D5097">
        <f t="shared" si="316"/>
        <v>46</v>
      </c>
      <c r="E5097">
        <v>74.498999999999995</v>
      </c>
      <c r="F5097">
        <f t="shared" si="317"/>
        <v>-28.498999999999995</v>
      </c>
      <c r="G5097">
        <v>64.667000000000002</v>
      </c>
      <c r="H5097">
        <v>1.377</v>
      </c>
      <c r="I5097">
        <v>2.13</v>
      </c>
      <c r="J5097">
        <v>7</v>
      </c>
      <c r="K5097">
        <v>21</v>
      </c>
      <c r="L5097">
        <v>11</v>
      </c>
      <c r="M5097" s="1">
        <v>9000000000</v>
      </c>
    </row>
    <row r="5098" spans="1:13" ht="15" customHeight="1">
      <c r="A5098" t="s">
        <v>55</v>
      </c>
      <c r="B5098">
        <f t="shared" si="314"/>
        <v>33.702441</v>
      </c>
      <c r="C5098">
        <f t="shared" si="315"/>
        <v>-117.846166</v>
      </c>
      <c r="D5098">
        <f t="shared" si="316"/>
        <v>46</v>
      </c>
      <c r="E5098">
        <v>75.498999999999995</v>
      </c>
      <c r="F5098">
        <f t="shared" si="317"/>
        <v>-29.498999999999995</v>
      </c>
      <c r="G5098">
        <v>53.25</v>
      </c>
      <c r="H5098">
        <v>1.7949999999999999</v>
      </c>
      <c r="I5098">
        <v>3.3769999999999998</v>
      </c>
      <c r="J5098">
        <v>5</v>
      </c>
      <c r="K5098">
        <v>25</v>
      </c>
      <c r="L5098">
        <v>13</v>
      </c>
      <c r="M5098">
        <v>3.2309999999999999</v>
      </c>
    </row>
    <row r="5099" spans="1:13" ht="15" customHeight="1">
      <c r="A5099" t="s">
        <v>55</v>
      </c>
      <c r="B5099">
        <f t="shared" si="314"/>
        <v>33.702441</v>
      </c>
      <c r="C5099">
        <f t="shared" si="315"/>
        <v>-117.846166</v>
      </c>
      <c r="D5099">
        <f t="shared" si="316"/>
        <v>46</v>
      </c>
      <c r="E5099">
        <v>76.498999999999995</v>
      </c>
      <c r="F5099">
        <f t="shared" si="317"/>
        <v>-30.498999999999995</v>
      </c>
      <c r="G5099">
        <v>42.133000000000003</v>
      </c>
      <c r="H5099">
        <v>1.958</v>
      </c>
      <c r="I5099">
        <v>4.6529999999999996</v>
      </c>
      <c r="J5099">
        <v>4</v>
      </c>
      <c r="K5099">
        <v>27</v>
      </c>
      <c r="L5099">
        <v>14</v>
      </c>
      <c r="M5099">
        <v>2.4889999999999999</v>
      </c>
    </row>
    <row r="5100" spans="1:13" ht="15" customHeight="1">
      <c r="A5100" t="s">
        <v>55</v>
      </c>
      <c r="B5100">
        <f t="shared" si="314"/>
        <v>33.702441</v>
      </c>
      <c r="C5100">
        <f t="shared" si="315"/>
        <v>-117.846166</v>
      </c>
      <c r="D5100">
        <f t="shared" si="316"/>
        <v>46</v>
      </c>
      <c r="E5100">
        <v>77.498999999999995</v>
      </c>
      <c r="F5100">
        <f t="shared" si="317"/>
        <v>-31.498999999999995</v>
      </c>
      <c r="G5100">
        <v>59.716999999999999</v>
      </c>
      <c r="H5100">
        <v>1.6</v>
      </c>
      <c r="I5100">
        <v>2.677</v>
      </c>
      <c r="J5100">
        <v>6</v>
      </c>
      <c r="K5100">
        <v>23</v>
      </c>
      <c r="L5100">
        <v>12</v>
      </c>
      <c r="M5100">
        <v>3.6640000000000001</v>
      </c>
    </row>
    <row r="5101" spans="1:13" ht="15" customHeight="1">
      <c r="A5101" t="s">
        <v>55</v>
      </c>
      <c r="B5101">
        <f t="shared" si="314"/>
        <v>33.702441</v>
      </c>
      <c r="C5101">
        <f t="shared" si="315"/>
        <v>-117.846166</v>
      </c>
      <c r="D5101">
        <f t="shared" si="316"/>
        <v>46</v>
      </c>
      <c r="E5101">
        <v>78.498999999999995</v>
      </c>
      <c r="F5101">
        <f t="shared" si="317"/>
        <v>-32.498999999999995</v>
      </c>
      <c r="G5101">
        <v>139.36699999999999</v>
      </c>
      <c r="H5101">
        <v>3.915</v>
      </c>
      <c r="I5101">
        <v>2.8119999999999998</v>
      </c>
      <c r="J5101">
        <v>7</v>
      </c>
      <c r="K5101">
        <v>44</v>
      </c>
      <c r="L5101">
        <v>22</v>
      </c>
      <c r="M5101" s="1">
        <v>9000000000</v>
      </c>
    </row>
    <row r="5102" spans="1:13" ht="15" customHeight="1">
      <c r="A5102" t="s">
        <v>55</v>
      </c>
      <c r="B5102">
        <f t="shared" si="314"/>
        <v>33.702441</v>
      </c>
      <c r="C5102">
        <f t="shared" si="315"/>
        <v>-117.846166</v>
      </c>
      <c r="D5102">
        <f t="shared" si="316"/>
        <v>46</v>
      </c>
      <c r="E5102">
        <v>79.498999999999995</v>
      </c>
      <c r="F5102">
        <f t="shared" si="317"/>
        <v>-33.498999999999995</v>
      </c>
      <c r="G5102">
        <v>286.21699999999998</v>
      </c>
      <c r="H5102">
        <v>4.415</v>
      </c>
      <c r="I5102">
        <v>1.5429999999999999</v>
      </c>
      <c r="J5102">
        <v>8</v>
      </c>
      <c r="K5102">
        <v>69</v>
      </c>
      <c r="L5102">
        <v>35</v>
      </c>
      <c r="M5102" s="1">
        <v>9000000000</v>
      </c>
    </row>
    <row r="5103" spans="1:13" ht="15" customHeight="1">
      <c r="A5103" t="s">
        <v>55</v>
      </c>
      <c r="B5103">
        <f t="shared" si="314"/>
        <v>33.702441</v>
      </c>
      <c r="C5103">
        <f t="shared" si="315"/>
        <v>-117.846166</v>
      </c>
      <c r="D5103">
        <f t="shared" si="316"/>
        <v>46</v>
      </c>
      <c r="E5103">
        <v>80.498999999999995</v>
      </c>
      <c r="F5103">
        <f t="shared" si="317"/>
        <v>-34.498999999999995</v>
      </c>
      <c r="G5103">
        <v>483.9</v>
      </c>
      <c r="H5103">
        <v>4.3499999999999996</v>
      </c>
      <c r="I5103">
        <v>0.89900000000000002</v>
      </c>
      <c r="J5103">
        <v>10</v>
      </c>
      <c r="K5103">
        <v>77</v>
      </c>
      <c r="L5103">
        <v>39</v>
      </c>
      <c r="M5103" s="1">
        <v>9000000000</v>
      </c>
    </row>
    <row r="5104" spans="1:13" ht="15" customHeight="1">
      <c r="A5104" t="s">
        <v>56</v>
      </c>
      <c r="B5104">
        <f t="shared" si="314"/>
        <v>33.699644999999997</v>
      </c>
      <c r="C5104">
        <f t="shared" si="315"/>
        <v>-117.848384</v>
      </c>
      <c r="D5104">
        <f t="shared" si="316"/>
        <v>42</v>
      </c>
      <c r="E5104">
        <v>0.5</v>
      </c>
      <c r="F5104">
        <f t="shared" si="317"/>
        <v>41.5</v>
      </c>
      <c r="G5104">
        <v>0.68300000000000005</v>
      </c>
      <c r="H5104">
        <v>3.3000000000000002E-2</v>
      </c>
      <c r="I5104">
        <v>4.8780000000000001</v>
      </c>
      <c r="J5104">
        <v>2</v>
      </c>
      <c r="K5104">
        <v>1</v>
      </c>
      <c r="L5104">
        <v>2</v>
      </c>
      <c r="M5104">
        <v>4.3999999999999997E-2</v>
      </c>
    </row>
    <row r="5105" spans="1:13" ht="15" customHeight="1">
      <c r="A5105" t="s">
        <v>56</v>
      </c>
      <c r="B5105">
        <f t="shared" si="314"/>
        <v>33.699644999999997</v>
      </c>
      <c r="C5105">
        <f t="shared" si="315"/>
        <v>-117.848384</v>
      </c>
      <c r="D5105">
        <f t="shared" si="316"/>
        <v>42</v>
      </c>
      <c r="E5105">
        <v>1.5</v>
      </c>
      <c r="F5105">
        <f t="shared" si="317"/>
        <v>40.5</v>
      </c>
      <c r="G5105">
        <v>15.4</v>
      </c>
      <c r="H5105">
        <v>0.51500000000000001</v>
      </c>
      <c r="I5105">
        <v>3.3149999999999999</v>
      </c>
      <c r="J5105">
        <v>4</v>
      </c>
      <c r="K5105">
        <v>10</v>
      </c>
      <c r="L5105">
        <v>15</v>
      </c>
      <c r="M5105">
        <v>1.0309999999999999</v>
      </c>
    </row>
    <row r="5106" spans="1:13" ht="15" customHeight="1">
      <c r="A5106" t="s">
        <v>56</v>
      </c>
      <c r="B5106">
        <f t="shared" si="314"/>
        <v>33.699644999999997</v>
      </c>
      <c r="C5106">
        <f t="shared" si="315"/>
        <v>-117.848384</v>
      </c>
      <c r="D5106">
        <f t="shared" si="316"/>
        <v>42</v>
      </c>
      <c r="E5106">
        <v>2.5</v>
      </c>
      <c r="F5106">
        <f t="shared" si="317"/>
        <v>39.5</v>
      </c>
      <c r="G5106">
        <v>8.6</v>
      </c>
      <c r="H5106">
        <v>0.26300000000000001</v>
      </c>
      <c r="I5106">
        <v>3.0209999999999999</v>
      </c>
      <c r="J5106">
        <v>4</v>
      </c>
      <c r="K5106">
        <v>6</v>
      </c>
      <c r="L5106">
        <v>9</v>
      </c>
      <c r="M5106">
        <v>0.57199999999999995</v>
      </c>
    </row>
    <row r="5107" spans="1:13" ht="15" customHeight="1">
      <c r="A5107" t="s">
        <v>56</v>
      </c>
      <c r="B5107">
        <f t="shared" si="314"/>
        <v>33.699644999999997</v>
      </c>
      <c r="C5107">
        <f t="shared" si="315"/>
        <v>-117.848384</v>
      </c>
      <c r="D5107">
        <f t="shared" si="316"/>
        <v>42</v>
      </c>
      <c r="E5107">
        <v>3.5</v>
      </c>
      <c r="F5107">
        <f t="shared" si="317"/>
        <v>38.5</v>
      </c>
      <c r="G5107">
        <v>4.9669999999999996</v>
      </c>
      <c r="H5107">
        <v>0.18</v>
      </c>
      <c r="I5107">
        <v>3.5880000000000001</v>
      </c>
      <c r="J5107">
        <v>3</v>
      </c>
      <c r="K5107">
        <v>5</v>
      </c>
      <c r="L5107">
        <v>8</v>
      </c>
      <c r="M5107">
        <v>0.32200000000000001</v>
      </c>
    </row>
    <row r="5108" spans="1:13" ht="15" customHeight="1">
      <c r="A5108" t="s">
        <v>56</v>
      </c>
      <c r="B5108">
        <f t="shared" si="314"/>
        <v>33.699644999999997</v>
      </c>
      <c r="C5108">
        <f t="shared" si="315"/>
        <v>-117.848384</v>
      </c>
      <c r="D5108">
        <f t="shared" si="316"/>
        <v>42</v>
      </c>
      <c r="E5108">
        <v>4.5</v>
      </c>
      <c r="F5108">
        <f t="shared" si="317"/>
        <v>37.5</v>
      </c>
      <c r="G5108">
        <v>6.5330000000000004</v>
      </c>
      <c r="H5108">
        <v>0.18</v>
      </c>
      <c r="I5108">
        <v>2.7</v>
      </c>
      <c r="J5108">
        <v>4</v>
      </c>
      <c r="K5108">
        <v>4</v>
      </c>
      <c r="L5108">
        <v>6</v>
      </c>
      <c r="M5108">
        <v>0.42799999999999999</v>
      </c>
    </row>
    <row r="5109" spans="1:13" ht="15" customHeight="1">
      <c r="A5109" t="s">
        <v>56</v>
      </c>
      <c r="B5109">
        <f t="shared" si="314"/>
        <v>33.699644999999997</v>
      </c>
      <c r="C5109">
        <f t="shared" si="315"/>
        <v>-117.848384</v>
      </c>
      <c r="D5109">
        <f t="shared" si="316"/>
        <v>42</v>
      </c>
      <c r="E5109">
        <v>5.5</v>
      </c>
      <c r="F5109">
        <f t="shared" si="317"/>
        <v>36.5</v>
      </c>
      <c r="G5109">
        <v>5.5830000000000002</v>
      </c>
      <c r="H5109">
        <v>0.13200000000000001</v>
      </c>
      <c r="I5109">
        <v>2.2829999999999999</v>
      </c>
      <c r="J5109">
        <v>4</v>
      </c>
      <c r="K5109">
        <v>4</v>
      </c>
      <c r="L5109">
        <v>6</v>
      </c>
      <c r="M5109">
        <v>0.36399999999999999</v>
      </c>
    </row>
    <row r="5110" spans="1:13" ht="15" customHeight="1">
      <c r="A5110" t="s">
        <v>56</v>
      </c>
      <c r="B5110">
        <f t="shared" si="314"/>
        <v>33.699644999999997</v>
      </c>
      <c r="C5110">
        <f t="shared" si="315"/>
        <v>-117.848384</v>
      </c>
      <c r="D5110">
        <f t="shared" si="316"/>
        <v>42</v>
      </c>
      <c r="E5110">
        <v>6.5</v>
      </c>
      <c r="F5110">
        <f t="shared" si="317"/>
        <v>35.5</v>
      </c>
      <c r="G5110">
        <v>6.867</v>
      </c>
      <c r="H5110">
        <v>0.252</v>
      </c>
      <c r="I5110">
        <v>3.5779999999999998</v>
      </c>
      <c r="J5110">
        <v>3</v>
      </c>
      <c r="K5110">
        <v>7</v>
      </c>
      <c r="L5110">
        <v>11</v>
      </c>
      <c r="M5110">
        <v>0.44400000000000001</v>
      </c>
    </row>
    <row r="5111" spans="1:13" ht="15" customHeight="1">
      <c r="A5111" t="s">
        <v>56</v>
      </c>
      <c r="B5111">
        <f t="shared" si="314"/>
        <v>33.699644999999997</v>
      </c>
      <c r="C5111">
        <f t="shared" si="315"/>
        <v>-117.848384</v>
      </c>
      <c r="D5111">
        <f t="shared" si="316"/>
        <v>42</v>
      </c>
      <c r="E5111">
        <v>7.5</v>
      </c>
      <c r="F5111">
        <f t="shared" si="317"/>
        <v>34.5</v>
      </c>
      <c r="G5111">
        <v>37.433</v>
      </c>
      <c r="H5111">
        <v>0.65500000000000003</v>
      </c>
      <c r="I5111">
        <v>1.7509999999999999</v>
      </c>
      <c r="J5111">
        <v>6</v>
      </c>
      <c r="K5111">
        <v>14</v>
      </c>
      <c r="L5111">
        <v>21</v>
      </c>
      <c r="M5111">
        <v>2.4660000000000002</v>
      </c>
    </row>
    <row r="5112" spans="1:13" ht="15" customHeight="1">
      <c r="A5112" t="s">
        <v>56</v>
      </c>
      <c r="B5112">
        <f t="shared" si="314"/>
        <v>33.699644999999997</v>
      </c>
      <c r="C5112">
        <f t="shared" si="315"/>
        <v>-117.848384</v>
      </c>
      <c r="D5112">
        <f t="shared" si="316"/>
        <v>42</v>
      </c>
      <c r="E5112">
        <v>8.5</v>
      </c>
      <c r="F5112">
        <f t="shared" si="317"/>
        <v>33.5</v>
      </c>
      <c r="G5112">
        <v>12.032999999999999</v>
      </c>
      <c r="H5112">
        <v>0.56499999999999995</v>
      </c>
      <c r="I5112">
        <v>4.6760000000000002</v>
      </c>
      <c r="J5112">
        <v>3</v>
      </c>
      <c r="K5112">
        <v>12</v>
      </c>
      <c r="L5112">
        <v>18</v>
      </c>
      <c r="M5112">
        <v>0.77200000000000002</v>
      </c>
    </row>
    <row r="5113" spans="1:13" ht="15" customHeight="1">
      <c r="A5113" t="s">
        <v>56</v>
      </c>
      <c r="B5113">
        <f t="shared" si="314"/>
        <v>33.699644999999997</v>
      </c>
      <c r="C5113">
        <f t="shared" si="315"/>
        <v>-117.848384</v>
      </c>
      <c r="D5113">
        <f t="shared" si="316"/>
        <v>42</v>
      </c>
      <c r="E5113">
        <v>9.5</v>
      </c>
      <c r="F5113">
        <f t="shared" si="317"/>
        <v>32.5</v>
      </c>
      <c r="G5113">
        <v>8.9</v>
      </c>
      <c r="H5113">
        <v>0.35499999999999998</v>
      </c>
      <c r="I5113">
        <v>3.9740000000000002</v>
      </c>
      <c r="J5113">
        <v>3</v>
      </c>
      <c r="K5113">
        <v>9</v>
      </c>
      <c r="L5113">
        <v>14</v>
      </c>
      <c r="M5113">
        <v>0.55800000000000005</v>
      </c>
    </row>
    <row r="5114" spans="1:13" ht="15" customHeight="1">
      <c r="A5114" t="s">
        <v>56</v>
      </c>
      <c r="B5114">
        <f t="shared" si="314"/>
        <v>33.699644999999997</v>
      </c>
      <c r="C5114">
        <f t="shared" si="315"/>
        <v>-117.848384</v>
      </c>
      <c r="D5114">
        <f t="shared" si="316"/>
        <v>42</v>
      </c>
      <c r="E5114">
        <v>10.5</v>
      </c>
      <c r="F5114">
        <f t="shared" si="317"/>
        <v>31.5</v>
      </c>
      <c r="G5114">
        <v>6.3289999999999997</v>
      </c>
      <c r="H5114">
        <v>0.24099999999999999</v>
      </c>
      <c r="I5114">
        <v>3.7810000000000001</v>
      </c>
      <c r="J5114">
        <v>3</v>
      </c>
      <c r="K5114">
        <v>6</v>
      </c>
      <c r="L5114">
        <v>9</v>
      </c>
      <c r="M5114">
        <v>0.38500000000000001</v>
      </c>
    </row>
    <row r="5115" spans="1:13" ht="15" customHeight="1">
      <c r="A5115" t="s">
        <v>56</v>
      </c>
      <c r="B5115">
        <f t="shared" si="314"/>
        <v>33.699644999999997</v>
      </c>
      <c r="C5115">
        <f t="shared" si="315"/>
        <v>-117.848384</v>
      </c>
      <c r="D5115">
        <f t="shared" si="316"/>
        <v>42</v>
      </c>
      <c r="E5115">
        <v>11.5</v>
      </c>
      <c r="F5115">
        <f t="shared" si="317"/>
        <v>30.5</v>
      </c>
      <c r="G5115">
        <v>7.4669999999999996</v>
      </c>
      <c r="H5115">
        <v>0.218</v>
      </c>
      <c r="I5115">
        <v>2.8849999999999998</v>
      </c>
      <c r="J5115">
        <v>4</v>
      </c>
      <c r="K5115">
        <v>5</v>
      </c>
      <c r="L5115">
        <v>7</v>
      </c>
      <c r="M5115">
        <v>0.45900000000000002</v>
      </c>
    </row>
    <row r="5116" spans="1:13" ht="15" customHeight="1">
      <c r="A5116" t="s">
        <v>56</v>
      </c>
      <c r="B5116">
        <f t="shared" si="314"/>
        <v>33.699644999999997</v>
      </c>
      <c r="C5116">
        <f t="shared" si="315"/>
        <v>-117.848384</v>
      </c>
      <c r="D5116">
        <f t="shared" si="316"/>
        <v>42</v>
      </c>
      <c r="E5116">
        <v>12.5</v>
      </c>
      <c r="F5116">
        <f t="shared" si="317"/>
        <v>29.5</v>
      </c>
      <c r="G5116">
        <v>10.867000000000001</v>
      </c>
      <c r="H5116">
        <v>0.36</v>
      </c>
      <c r="I5116">
        <v>3.2879999999999998</v>
      </c>
      <c r="J5116">
        <v>4</v>
      </c>
      <c r="K5116">
        <v>7</v>
      </c>
      <c r="L5116">
        <v>9</v>
      </c>
      <c r="M5116">
        <v>0.68100000000000005</v>
      </c>
    </row>
    <row r="5117" spans="1:13" ht="15" customHeight="1">
      <c r="A5117" t="s">
        <v>56</v>
      </c>
      <c r="B5117">
        <f t="shared" si="314"/>
        <v>33.699644999999997</v>
      </c>
      <c r="C5117">
        <f t="shared" si="315"/>
        <v>-117.848384</v>
      </c>
      <c r="D5117">
        <f t="shared" si="316"/>
        <v>42</v>
      </c>
      <c r="E5117">
        <v>13.5</v>
      </c>
      <c r="F5117">
        <f t="shared" si="317"/>
        <v>28.5</v>
      </c>
      <c r="G5117">
        <v>17.132999999999999</v>
      </c>
      <c r="H5117">
        <v>0.61799999999999999</v>
      </c>
      <c r="I5117">
        <v>3.5910000000000002</v>
      </c>
      <c r="J5117">
        <v>4</v>
      </c>
      <c r="K5117">
        <v>11</v>
      </c>
      <c r="L5117">
        <v>13</v>
      </c>
      <c r="M5117">
        <v>1.095</v>
      </c>
    </row>
    <row r="5118" spans="1:13" ht="15" customHeight="1">
      <c r="A5118" t="s">
        <v>56</v>
      </c>
      <c r="B5118">
        <f t="shared" si="314"/>
        <v>33.699644999999997</v>
      </c>
      <c r="C5118">
        <f t="shared" si="315"/>
        <v>-117.848384</v>
      </c>
      <c r="D5118">
        <f t="shared" si="316"/>
        <v>42</v>
      </c>
      <c r="E5118">
        <v>14.5</v>
      </c>
      <c r="F5118">
        <f t="shared" si="317"/>
        <v>27.5</v>
      </c>
      <c r="G5118">
        <v>21.216999999999999</v>
      </c>
      <c r="H5118">
        <v>0.88200000000000001</v>
      </c>
      <c r="I5118">
        <v>4.1459999999999999</v>
      </c>
      <c r="J5118">
        <v>4</v>
      </c>
      <c r="K5118">
        <v>14</v>
      </c>
      <c r="L5118">
        <v>16</v>
      </c>
      <c r="M5118">
        <v>1.361</v>
      </c>
    </row>
    <row r="5119" spans="1:13" ht="15" customHeight="1">
      <c r="A5119" t="s">
        <v>56</v>
      </c>
      <c r="B5119">
        <f t="shared" si="314"/>
        <v>33.699644999999997</v>
      </c>
      <c r="C5119">
        <f t="shared" si="315"/>
        <v>-117.848384</v>
      </c>
      <c r="D5119">
        <f t="shared" si="316"/>
        <v>42</v>
      </c>
      <c r="E5119">
        <v>15.5</v>
      </c>
      <c r="F5119">
        <f t="shared" si="317"/>
        <v>26.5</v>
      </c>
      <c r="G5119">
        <v>23.75</v>
      </c>
      <c r="H5119">
        <v>1.0229999999999999</v>
      </c>
      <c r="I5119">
        <v>4.3090000000000002</v>
      </c>
      <c r="J5119">
        <v>4</v>
      </c>
      <c r="K5119">
        <v>15</v>
      </c>
      <c r="L5119">
        <v>16</v>
      </c>
      <c r="M5119">
        <v>1.522</v>
      </c>
    </row>
    <row r="5120" spans="1:13" ht="15" customHeight="1">
      <c r="A5120" t="s">
        <v>56</v>
      </c>
      <c r="B5120">
        <f t="shared" si="314"/>
        <v>33.699644999999997</v>
      </c>
      <c r="C5120">
        <f t="shared" si="315"/>
        <v>-117.848384</v>
      </c>
      <c r="D5120">
        <f t="shared" si="316"/>
        <v>42</v>
      </c>
      <c r="E5120">
        <v>16.5</v>
      </c>
      <c r="F5120">
        <f t="shared" si="317"/>
        <v>25.5</v>
      </c>
      <c r="G5120">
        <v>42.35</v>
      </c>
      <c r="H5120">
        <v>1.403</v>
      </c>
      <c r="I5120">
        <v>3.3079999999999998</v>
      </c>
      <c r="J5120">
        <v>5</v>
      </c>
      <c r="K5120">
        <v>20</v>
      </c>
      <c r="L5120">
        <v>20</v>
      </c>
      <c r="M5120">
        <v>2.762</v>
      </c>
    </row>
    <row r="5121" spans="1:13" ht="15" customHeight="1">
      <c r="A5121" t="s">
        <v>56</v>
      </c>
      <c r="B5121">
        <f t="shared" si="314"/>
        <v>33.699644999999997</v>
      </c>
      <c r="C5121">
        <f t="shared" si="315"/>
        <v>-117.848384</v>
      </c>
      <c r="D5121">
        <f t="shared" si="316"/>
        <v>42</v>
      </c>
      <c r="E5121">
        <v>17.5</v>
      </c>
      <c r="F5121">
        <f t="shared" si="317"/>
        <v>24.5</v>
      </c>
      <c r="G5121">
        <v>50.466999999999999</v>
      </c>
      <c r="H5121">
        <v>1.8620000000000001</v>
      </c>
      <c r="I5121">
        <v>3.6819999999999999</v>
      </c>
      <c r="J5121">
        <v>5</v>
      </c>
      <c r="K5121">
        <v>24</v>
      </c>
      <c r="L5121">
        <v>23</v>
      </c>
      <c r="M5121">
        <v>3.3010000000000002</v>
      </c>
    </row>
    <row r="5122" spans="1:13" ht="15" customHeight="1">
      <c r="A5122" t="s">
        <v>56</v>
      </c>
      <c r="B5122">
        <f t="shared" ref="B5122:B5185" si="318">VLOOKUP(A5122,XYdata,3,FALSE)</f>
        <v>33.699644999999997</v>
      </c>
      <c r="C5122">
        <f t="shared" ref="C5122:C5185" si="319">VLOOKUP(A5122,XYdata,2,FALSE)</f>
        <v>-117.848384</v>
      </c>
      <c r="D5122">
        <f t="shared" ref="D5122:D5185" si="320">VLOOKUP(A5122,Elevation,2,FALSE)</f>
        <v>42</v>
      </c>
      <c r="E5122">
        <v>18.5</v>
      </c>
      <c r="F5122">
        <f t="shared" si="317"/>
        <v>23.5</v>
      </c>
      <c r="G5122">
        <v>55.85</v>
      </c>
      <c r="H5122">
        <v>2.3180000000000001</v>
      </c>
      <c r="I5122">
        <v>4.141</v>
      </c>
      <c r="J5122">
        <v>5</v>
      </c>
      <c r="K5122">
        <v>27</v>
      </c>
      <c r="L5122">
        <v>25</v>
      </c>
      <c r="M5122">
        <v>3.6579999999999999</v>
      </c>
    </row>
    <row r="5123" spans="1:13" ht="15" customHeight="1">
      <c r="A5123" t="s">
        <v>56</v>
      </c>
      <c r="B5123">
        <f t="shared" si="318"/>
        <v>33.699644999999997</v>
      </c>
      <c r="C5123">
        <f t="shared" si="319"/>
        <v>-117.848384</v>
      </c>
      <c r="D5123">
        <f t="shared" si="320"/>
        <v>42</v>
      </c>
      <c r="E5123">
        <v>19.5</v>
      </c>
      <c r="F5123">
        <f t="shared" ref="F5123:F5186" si="321">D5123-E5123</f>
        <v>22.5</v>
      </c>
      <c r="G5123">
        <v>27.132999999999999</v>
      </c>
      <c r="H5123">
        <v>1.2529999999999999</v>
      </c>
      <c r="I5123">
        <v>4.6280000000000001</v>
      </c>
      <c r="J5123">
        <v>3</v>
      </c>
      <c r="K5123">
        <v>26</v>
      </c>
      <c r="L5123">
        <v>23</v>
      </c>
      <c r="M5123">
        <v>1.7270000000000001</v>
      </c>
    </row>
    <row r="5124" spans="1:13" ht="15" customHeight="1">
      <c r="A5124" t="s">
        <v>56</v>
      </c>
      <c r="B5124">
        <f t="shared" si="318"/>
        <v>33.699644999999997</v>
      </c>
      <c r="C5124">
        <f t="shared" si="319"/>
        <v>-117.848384</v>
      </c>
      <c r="D5124">
        <f t="shared" si="320"/>
        <v>42</v>
      </c>
      <c r="E5124">
        <v>20.5</v>
      </c>
      <c r="F5124">
        <f t="shared" si="321"/>
        <v>21.5</v>
      </c>
      <c r="G5124">
        <v>20.071000000000002</v>
      </c>
      <c r="H5124">
        <v>0.91700000000000004</v>
      </c>
      <c r="I5124">
        <v>4.5789999999999997</v>
      </c>
      <c r="J5124">
        <v>3</v>
      </c>
      <c r="K5124">
        <v>19</v>
      </c>
      <c r="L5124">
        <v>16</v>
      </c>
      <c r="M5124">
        <v>1.2529999999999999</v>
      </c>
    </row>
    <row r="5125" spans="1:13" ht="15" customHeight="1">
      <c r="A5125" t="s">
        <v>56</v>
      </c>
      <c r="B5125">
        <f t="shared" si="318"/>
        <v>33.699644999999997</v>
      </c>
      <c r="C5125">
        <f t="shared" si="319"/>
        <v>-117.848384</v>
      </c>
      <c r="D5125">
        <f t="shared" si="320"/>
        <v>42</v>
      </c>
      <c r="E5125">
        <v>21.5</v>
      </c>
      <c r="F5125">
        <f t="shared" si="321"/>
        <v>20.5</v>
      </c>
      <c r="G5125">
        <v>23.882999999999999</v>
      </c>
      <c r="H5125">
        <v>1.05</v>
      </c>
      <c r="I5125">
        <v>4.4269999999999996</v>
      </c>
      <c r="J5125">
        <v>3</v>
      </c>
      <c r="K5125">
        <v>23</v>
      </c>
      <c r="L5125">
        <v>19</v>
      </c>
      <c r="M5125">
        <v>1.4950000000000001</v>
      </c>
    </row>
    <row r="5126" spans="1:13" ht="15" customHeight="1">
      <c r="A5126" t="s">
        <v>56</v>
      </c>
      <c r="B5126">
        <f t="shared" si="318"/>
        <v>33.699644999999997</v>
      </c>
      <c r="C5126">
        <f t="shared" si="319"/>
        <v>-117.848384</v>
      </c>
      <c r="D5126">
        <f t="shared" si="320"/>
        <v>42</v>
      </c>
      <c r="E5126">
        <v>22.5</v>
      </c>
      <c r="F5126">
        <f t="shared" si="321"/>
        <v>19.5</v>
      </c>
      <c r="G5126">
        <v>25.882999999999999</v>
      </c>
      <c r="H5126">
        <v>1.23</v>
      </c>
      <c r="I5126">
        <v>4.7640000000000002</v>
      </c>
      <c r="J5126">
        <v>3</v>
      </c>
      <c r="K5126">
        <v>25</v>
      </c>
      <c r="L5126">
        <v>20</v>
      </c>
      <c r="M5126">
        <v>1.63</v>
      </c>
    </row>
    <row r="5127" spans="1:13" ht="15" customHeight="1">
      <c r="A5127" t="s">
        <v>56</v>
      </c>
      <c r="B5127">
        <f t="shared" si="318"/>
        <v>33.699644999999997</v>
      </c>
      <c r="C5127">
        <f t="shared" si="319"/>
        <v>-117.848384</v>
      </c>
      <c r="D5127">
        <f t="shared" si="320"/>
        <v>42</v>
      </c>
      <c r="E5127">
        <v>23.5</v>
      </c>
      <c r="F5127">
        <f t="shared" si="321"/>
        <v>18.5</v>
      </c>
      <c r="G5127">
        <v>44.4</v>
      </c>
      <c r="H5127">
        <v>2.2679999999999998</v>
      </c>
      <c r="I5127">
        <v>5.12</v>
      </c>
      <c r="J5127">
        <v>3</v>
      </c>
      <c r="K5127">
        <v>42</v>
      </c>
      <c r="L5127">
        <v>32</v>
      </c>
      <c r="M5127">
        <v>2.859</v>
      </c>
    </row>
    <row r="5128" spans="1:13" ht="15" customHeight="1">
      <c r="A5128" t="s">
        <v>56</v>
      </c>
      <c r="B5128">
        <f t="shared" si="318"/>
        <v>33.699644999999997</v>
      </c>
      <c r="C5128">
        <f t="shared" si="319"/>
        <v>-117.848384</v>
      </c>
      <c r="D5128">
        <f t="shared" si="320"/>
        <v>42</v>
      </c>
      <c r="E5128">
        <v>24.5</v>
      </c>
      <c r="F5128">
        <f t="shared" si="321"/>
        <v>17.5</v>
      </c>
      <c r="G5128">
        <v>48.082999999999998</v>
      </c>
      <c r="H5128">
        <v>2.6070000000000002</v>
      </c>
      <c r="I5128">
        <v>5.4359999999999999</v>
      </c>
      <c r="J5128">
        <v>3</v>
      </c>
      <c r="K5128">
        <v>46</v>
      </c>
      <c r="L5128">
        <v>34</v>
      </c>
      <c r="M5128">
        <v>3.0979999999999999</v>
      </c>
    </row>
    <row r="5129" spans="1:13" ht="15" customHeight="1">
      <c r="A5129" t="s">
        <v>56</v>
      </c>
      <c r="B5129">
        <f t="shared" si="318"/>
        <v>33.699644999999997</v>
      </c>
      <c r="C5129">
        <f t="shared" si="319"/>
        <v>-117.848384</v>
      </c>
      <c r="D5129">
        <f t="shared" si="320"/>
        <v>42</v>
      </c>
      <c r="E5129">
        <v>25.5</v>
      </c>
      <c r="F5129">
        <f t="shared" si="321"/>
        <v>16.5</v>
      </c>
      <c r="G5129">
        <v>32.832999999999998</v>
      </c>
      <c r="H5129">
        <v>1.31</v>
      </c>
      <c r="I5129">
        <v>4.0060000000000002</v>
      </c>
      <c r="J5129">
        <v>4</v>
      </c>
      <c r="K5129">
        <v>21</v>
      </c>
      <c r="L5129">
        <v>15</v>
      </c>
      <c r="M5129">
        <v>2.077</v>
      </c>
    </row>
    <row r="5130" spans="1:13" ht="15" customHeight="1">
      <c r="A5130" t="s">
        <v>56</v>
      </c>
      <c r="B5130">
        <f t="shared" si="318"/>
        <v>33.699644999999997</v>
      </c>
      <c r="C5130">
        <f t="shared" si="319"/>
        <v>-117.848384</v>
      </c>
      <c r="D5130">
        <f t="shared" si="320"/>
        <v>42</v>
      </c>
      <c r="E5130">
        <v>26.5</v>
      </c>
      <c r="F5130">
        <f t="shared" si="321"/>
        <v>15.5</v>
      </c>
      <c r="G5130">
        <v>88.417000000000002</v>
      </c>
      <c r="H5130">
        <v>2.4980000000000002</v>
      </c>
      <c r="I5130">
        <v>2.8319999999999999</v>
      </c>
      <c r="J5130">
        <v>6</v>
      </c>
      <c r="K5130">
        <v>34</v>
      </c>
      <c r="L5130">
        <v>24</v>
      </c>
      <c r="M5130">
        <v>5.774</v>
      </c>
    </row>
    <row r="5131" spans="1:13" ht="15" customHeight="1">
      <c r="A5131" t="s">
        <v>56</v>
      </c>
      <c r="B5131">
        <f t="shared" si="318"/>
        <v>33.699644999999997</v>
      </c>
      <c r="C5131">
        <f t="shared" si="319"/>
        <v>-117.848384</v>
      </c>
      <c r="D5131">
        <f t="shared" si="320"/>
        <v>42</v>
      </c>
      <c r="E5131">
        <v>27.5</v>
      </c>
      <c r="F5131">
        <f t="shared" si="321"/>
        <v>14.5</v>
      </c>
      <c r="G5131">
        <v>59.2</v>
      </c>
      <c r="H5131">
        <v>3.258</v>
      </c>
      <c r="I5131">
        <v>5.5209999999999999</v>
      </c>
      <c r="J5131">
        <v>11</v>
      </c>
      <c r="K5131">
        <v>57</v>
      </c>
      <c r="L5131">
        <v>40</v>
      </c>
      <c r="M5131" s="1">
        <v>9000000000</v>
      </c>
    </row>
    <row r="5132" spans="1:13" ht="15" customHeight="1">
      <c r="A5132" t="s">
        <v>56</v>
      </c>
      <c r="B5132">
        <f t="shared" si="318"/>
        <v>33.699644999999997</v>
      </c>
      <c r="C5132">
        <f t="shared" si="319"/>
        <v>-117.848384</v>
      </c>
      <c r="D5132">
        <f t="shared" si="320"/>
        <v>42</v>
      </c>
      <c r="E5132">
        <v>28.5</v>
      </c>
      <c r="F5132">
        <f t="shared" si="321"/>
        <v>13.5</v>
      </c>
      <c r="G5132">
        <v>46.417000000000002</v>
      </c>
      <c r="H5132">
        <v>1.97</v>
      </c>
      <c r="I5132">
        <v>4.258</v>
      </c>
      <c r="J5132">
        <v>4</v>
      </c>
      <c r="K5132">
        <v>30</v>
      </c>
      <c r="L5132">
        <v>21</v>
      </c>
      <c r="M5132">
        <v>2.968</v>
      </c>
    </row>
    <row r="5133" spans="1:13" ht="15" customHeight="1">
      <c r="A5133" t="s">
        <v>56</v>
      </c>
      <c r="B5133">
        <f t="shared" si="318"/>
        <v>33.699644999999997</v>
      </c>
      <c r="C5133">
        <f t="shared" si="319"/>
        <v>-117.848384</v>
      </c>
      <c r="D5133">
        <f t="shared" si="320"/>
        <v>42</v>
      </c>
      <c r="E5133">
        <v>29.5</v>
      </c>
      <c r="F5133">
        <f t="shared" si="321"/>
        <v>12.5</v>
      </c>
      <c r="G5133">
        <v>75.650000000000006</v>
      </c>
      <c r="H5133">
        <v>2.4950000000000001</v>
      </c>
      <c r="I5133">
        <v>3.3050000000000002</v>
      </c>
      <c r="J5133">
        <v>6</v>
      </c>
      <c r="K5133">
        <v>29</v>
      </c>
      <c r="L5133">
        <v>20</v>
      </c>
      <c r="M5133">
        <v>4.9130000000000003</v>
      </c>
    </row>
    <row r="5134" spans="1:13" ht="15" customHeight="1">
      <c r="A5134" t="s">
        <v>56</v>
      </c>
      <c r="B5134">
        <f t="shared" si="318"/>
        <v>33.699644999999997</v>
      </c>
      <c r="C5134">
        <f t="shared" si="319"/>
        <v>-117.848384</v>
      </c>
      <c r="D5134">
        <f t="shared" si="320"/>
        <v>42</v>
      </c>
      <c r="E5134">
        <v>30.5</v>
      </c>
      <c r="F5134">
        <f t="shared" si="321"/>
        <v>11.5</v>
      </c>
      <c r="G5134">
        <v>67.816999999999993</v>
      </c>
      <c r="H5134">
        <v>3.35</v>
      </c>
      <c r="I5134">
        <v>4.9509999999999996</v>
      </c>
      <c r="J5134">
        <v>11</v>
      </c>
      <c r="K5134">
        <v>65</v>
      </c>
      <c r="L5134">
        <v>43</v>
      </c>
      <c r="M5134" s="1">
        <v>9000000000</v>
      </c>
    </row>
    <row r="5135" spans="1:13" ht="15" customHeight="1">
      <c r="A5135" t="s">
        <v>56</v>
      </c>
      <c r="B5135">
        <f t="shared" si="318"/>
        <v>33.699644999999997</v>
      </c>
      <c r="C5135">
        <f t="shared" si="319"/>
        <v>-117.848384</v>
      </c>
      <c r="D5135">
        <f t="shared" si="320"/>
        <v>42</v>
      </c>
      <c r="E5135">
        <v>31.5</v>
      </c>
      <c r="F5135">
        <f t="shared" si="321"/>
        <v>10.5</v>
      </c>
      <c r="G5135">
        <v>78.900000000000006</v>
      </c>
      <c r="H5135">
        <v>2.8740000000000001</v>
      </c>
      <c r="I5135">
        <v>3.6480000000000001</v>
      </c>
      <c r="J5135">
        <v>5</v>
      </c>
      <c r="K5135">
        <v>38</v>
      </c>
      <c r="L5135">
        <v>25</v>
      </c>
      <c r="M5135">
        <v>5.1239999999999997</v>
      </c>
    </row>
    <row r="5136" spans="1:13" ht="15" customHeight="1">
      <c r="A5136" t="s">
        <v>56</v>
      </c>
      <c r="B5136">
        <f t="shared" si="318"/>
        <v>33.699644999999997</v>
      </c>
      <c r="C5136">
        <f t="shared" si="319"/>
        <v>-117.848384</v>
      </c>
      <c r="D5136">
        <f t="shared" si="320"/>
        <v>42</v>
      </c>
      <c r="E5136">
        <v>32.5</v>
      </c>
      <c r="F5136">
        <f t="shared" si="321"/>
        <v>9.5</v>
      </c>
      <c r="G5136">
        <v>76.900000000000006</v>
      </c>
      <c r="H5136">
        <v>2.528</v>
      </c>
      <c r="I5136">
        <v>3.294</v>
      </c>
      <c r="J5136">
        <v>6</v>
      </c>
      <c r="K5136">
        <v>29</v>
      </c>
      <c r="L5136">
        <v>19</v>
      </c>
      <c r="M5136">
        <v>4.984</v>
      </c>
    </row>
    <row r="5137" spans="1:13" ht="15" customHeight="1">
      <c r="A5137" t="s">
        <v>56</v>
      </c>
      <c r="B5137">
        <f t="shared" si="318"/>
        <v>33.699644999999997</v>
      </c>
      <c r="C5137">
        <f t="shared" si="319"/>
        <v>-117.848384</v>
      </c>
      <c r="D5137">
        <f t="shared" si="320"/>
        <v>42</v>
      </c>
      <c r="E5137">
        <v>33.5</v>
      </c>
      <c r="F5137">
        <f t="shared" si="321"/>
        <v>8.5</v>
      </c>
      <c r="G5137">
        <v>36.767000000000003</v>
      </c>
      <c r="H5137">
        <v>1.468</v>
      </c>
      <c r="I5137">
        <v>4.0060000000000002</v>
      </c>
      <c r="J5137">
        <v>4</v>
      </c>
      <c r="K5137">
        <v>23</v>
      </c>
      <c r="L5137">
        <v>15</v>
      </c>
      <c r="M5137">
        <v>2.306</v>
      </c>
    </row>
    <row r="5138" spans="1:13" ht="15" customHeight="1">
      <c r="A5138" t="s">
        <v>56</v>
      </c>
      <c r="B5138">
        <f t="shared" si="318"/>
        <v>33.699644999999997</v>
      </c>
      <c r="C5138">
        <f t="shared" si="319"/>
        <v>-117.848384</v>
      </c>
      <c r="D5138">
        <f t="shared" si="320"/>
        <v>42</v>
      </c>
      <c r="E5138">
        <v>34.5</v>
      </c>
      <c r="F5138">
        <f t="shared" si="321"/>
        <v>7.5</v>
      </c>
      <c r="G5138">
        <v>125.95</v>
      </c>
      <c r="H5138">
        <v>3.13</v>
      </c>
      <c r="I5138">
        <v>2.488</v>
      </c>
      <c r="J5138">
        <v>7</v>
      </c>
      <c r="K5138">
        <v>40</v>
      </c>
      <c r="L5138">
        <v>25</v>
      </c>
      <c r="M5138" s="1">
        <v>9000000000</v>
      </c>
    </row>
    <row r="5139" spans="1:13" ht="15" customHeight="1">
      <c r="A5139" t="s">
        <v>56</v>
      </c>
      <c r="B5139">
        <f t="shared" si="318"/>
        <v>33.699644999999997</v>
      </c>
      <c r="C5139">
        <f t="shared" si="319"/>
        <v>-117.848384</v>
      </c>
      <c r="D5139">
        <f t="shared" si="320"/>
        <v>42</v>
      </c>
      <c r="E5139">
        <v>35.5</v>
      </c>
      <c r="F5139">
        <f t="shared" si="321"/>
        <v>6.5</v>
      </c>
      <c r="G5139">
        <v>50.65</v>
      </c>
      <c r="H5139">
        <v>1.833</v>
      </c>
      <c r="I5139">
        <v>3.6269999999999998</v>
      </c>
      <c r="J5139">
        <v>5</v>
      </c>
      <c r="K5139">
        <v>24</v>
      </c>
      <c r="L5139">
        <v>15</v>
      </c>
      <c r="M5139">
        <v>3.2250000000000001</v>
      </c>
    </row>
    <row r="5140" spans="1:13" ht="15" customHeight="1">
      <c r="A5140" t="s">
        <v>56</v>
      </c>
      <c r="B5140">
        <f t="shared" si="318"/>
        <v>33.699644999999997</v>
      </c>
      <c r="C5140">
        <f t="shared" si="319"/>
        <v>-117.848384</v>
      </c>
      <c r="D5140">
        <f t="shared" si="320"/>
        <v>42</v>
      </c>
      <c r="E5140">
        <v>36.5</v>
      </c>
      <c r="F5140">
        <f t="shared" si="321"/>
        <v>5.5</v>
      </c>
      <c r="G5140">
        <v>36.65</v>
      </c>
      <c r="H5140">
        <v>1.66</v>
      </c>
      <c r="I5140">
        <v>4.5380000000000003</v>
      </c>
      <c r="J5140">
        <v>4</v>
      </c>
      <c r="K5140">
        <v>23</v>
      </c>
      <c r="L5140">
        <v>14</v>
      </c>
      <c r="M5140">
        <v>2.2890000000000001</v>
      </c>
    </row>
    <row r="5141" spans="1:13" ht="15" customHeight="1">
      <c r="A5141" t="s">
        <v>56</v>
      </c>
      <c r="B5141">
        <f t="shared" si="318"/>
        <v>33.699644999999997</v>
      </c>
      <c r="C5141">
        <f t="shared" si="319"/>
        <v>-117.848384</v>
      </c>
      <c r="D5141">
        <f t="shared" si="320"/>
        <v>42</v>
      </c>
      <c r="E5141">
        <v>37.5</v>
      </c>
      <c r="F5141">
        <f t="shared" si="321"/>
        <v>4.5</v>
      </c>
      <c r="G5141">
        <v>104.35</v>
      </c>
      <c r="H5141">
        <v>3.4049999999999998</v>
      </c>
      <c r="I5141">
        <v>3.266</v>
      </c>
      <c r="J5141">
        <v>6</v>
      </c>
      <c r="K5141">
        <v>40</v>
      </c>
      <c r="L5141">
        <v>24</v>
      </c>
      <c r="M5141">
        <v>6.7960000000000003</v>
      </c>
    </row>
    <row r="5142" spans="1:13" ht="15" customHeight="1">
      <c r="A5142" t="s">
        <v>56</v>
      </c>
      <c r="B5142">
        <f t="shared" si="318"/>
        <v>33.699644999999997</v>
      </c>
      <c r="C5142">
        <f t="shared" si="319"/>
        <v>-117.848384</v>
      </c>
      <c r="D5142">
        <f t="shared" si="320"/>
        <v>42</v>
      </c>
      <c r="E5142">
        <v>38.5</v>
      </c>
      <c r="F5142">
        <f t="shared" si="321"/>
        <v>3.5</v>
      </c>
      <c r="G5142">
        <v>151.18299999999999</v>
      </c>
      <c r="H5142">
        <v>3.2330000000000001</v>
      </c>
      <c r="I5142">
        <v>2.14</v>
      </c>
      <c r="J5142">
        <v>7</v>
      </c>
      <c r="K5142">
        <v>48</v>
      </c>
      <c r="L5142">
        <v>29</v>
      </c>
      <c r="M5142" s="1">
        <v>9000000000</v>
      </c>
    </row>
    <row r="5143" spans="1:13" ht="15" customHeight="1">
      <c r="A5143" t="s">
        <v>56</v>
      </c>
      <c r="B5143">
        <f t="shared" si="318"/>
        <v>33.699644999999997</v>
      </c>
      <c r="C5143">
        <f t="shared" si="319"/>
        <v>-117.848384</v>
      </c>
      <c r="D5143">
        <f t="shared" si="320"/>
        <v>42</v>
      </c>
      <c r="E5143">
        <v>39.5</v>
      </c>
      <c r="F5143">
        <f t="shared" si="321"/>
        <v>2.5</v>
      </c>
      <c r="G5143">
        <v>225.68299999999999</v>
      </c>
      <c r="H5143">
        <v>4.665</v>
      </c>
      <c r="I5143">
        <v>2.069</v>
      </c>
      <c r="J5143">
        <v>8</v>
      </c>
      <c r="K5143">
        <v>54</v>
      </c>
      <c r="L5143">
        <v>32</v>
      </c>
      <c r="M5143" s="1">
        <v>9000000000</v>
      </c>
    </row>
    <row r="5144" spans="1:13" ht="15" customHeight="1">
      <c r="A5144" t="s">
        <v>56</v>
      </c>
      <c r="B5144">
        <f t="shared" si="318"/>
        <v>33.699644999999997</v>
      </c>
      <c r="C5144">
        <f t="shared" si="319"/>
        <v>-117.848384</v>
      </c>
      <c r="D5144">
        <f t="shared" si="320"/>
        <v>42</v>
      </c>
      <c r="E5144">
        <v>40.5</v>
      </c>
      <c r="F5144">
        <f t="shared" si="321"/>
        <v>1.5</v>
      </c>
      <c r="G5144">
        <v>102.133</v>
      </c>
      <c r="H5144">
        <v>2.6469999999999998</v>
      </c>
      <c r="I5144">
        <v>2.5939999999999999</v>
      </c>
      <c r="J5144">
        <v>6</v>
      </c>
      <c r="K5144">
        <v>39</v>
      </c>
      <c r="L5144">
        <v>23</v>
      </c>
      <c r="M5144">
        <v>6.6360000000000001</v>
      </c>
    </row>
    <row r="5145" spans="1:13" ht="15" customHeight="1">
      <c r="A5145" t="s">
        <v>56</v>
      </c>
      <c r="B5145">
        <f t="shared" si="318"/>
        <v>33.699644999999997</v>
      </c>
      <c r="C5145">
        <f t="shared" si="319"/>
        <v>-117.848384</v>
      </c>
      <c r="D5145">
        <f t="shared" si="320"/>
        <v>42</v>
      </c>
      <c r="E5145">
        <v>41.499000000000002</v>
      </c>
      <c r="F5145">
        <f t="shared" si="321"/>
        <v>0.50099999999999767</v>
      </c>
      <c r="G5145">
        <v>18.271000000000001</v>
      </c>
      <c r="H5145">
        <v>0.42699999999999999</v>
      </c>
      <c r="I5145">
        <v>2.3490000000000002</v>
      </c>
      <c r="J5145">
        <v>5</v>
      </c>
      <c r="K5145">
        <v>9</v>
      </c>
      <c r="L5145">
        <v>5</v>
      </c>
      <c r="M5145">
        <v>1.042</v>
      </c>
    </row>
    <row r="5146" spans="1:13" ht="15" customHeight="1">
      <c r="A5146" t="s">
        <v>56</v>
      </c>
      <c r="B5146">
        <f t="shared" si="318"/>
        <v>33.699644999999997</v>
      </c>
      <c r="C5146">
        <f t="shared" si="319"/>
        <v>-117.848384</v>
      </c>
      <c r="D5146">
        <f t="shared" si="320"/>
        <v>42</v>
      </c>
      <c r="E5146">
        <v>42.499000000000002</v>
      </c>
      <c r="F5146">
        <f t="shared" si="321"/>
        <v>-0.49900000000000233</v>
      </c>
      <c r="G5146">
        <v>48.082999999999998</v>
      </c>
      <c r="H5146">
        <v>1.74</v>
      </c>
      <c r="I5146">
        <v>3.6150000000000002</v>
      </c>
      <c r="J5146">
        <v>5</v>
      </c>
      <c r="K5146">
        <v>23</v>
      </c>
      <c r="L5146">
        <v>13</v>
      </c>
      <c r="M5146">
        <v>3.0350000000000001</v>
      </c>
    </row>
    <row r="5147" spans="1:13" ht="15" customHeight="1">
      <c r="A5147" t="s">
        <v>56</v>
      </c>
      <c r="B5147">
        <f t="shared" si="318"/>
        <v>33.699644999999997</v>
      </c>
      <c r="C5147">
        <f t="shared" si="319"/>
        <v>-117.848384</v>
      </c>
      <c r="D5147">
        <f t="shared" si="320"/>
        <v>42</v>
      </c>
      <c r="E5147">
        <v>43.499000000000002</v>
      </c>
      <c r="F5147">
        <f t="shared" si="321"/>
        <v>-1.4990000000000023</v>
      </c>
      <c r="G5147">
        <v>162.56700000000001</v>
      </c>
      <c r="H5147">
        <v>3.9470000000000001</v>
      </c>
      <c r="I5147">
        <v>2.4289999999999998</v>
      </c>
      <c r="J5147">
        <v>7</v>
      </c>
      <c r="K5147">
        <v>52</v>
      </c>
      <c r="L5147">
        <v>29</v>
      </c>
      <c r="M5147" s="1">
        <v>9000000000</v>
      </c>
    </row>
    <row r="5148" spans="1:13" ht="15" customHeight="1">
      <c r="A5148" t="s">
        <v>56</v>
      </c>
      <c r="B5148">
        <f t="shared" si="318"/>
        <v>33.699644999999997</v>
      </c>
      <c r="C5148">
        <f t="shared" si="319"/>
        <v>-117.848384</v>
      </c>
      <c r="D5148">
        <f t="shared" si="320"/>
        <v>42</v>
      </c>
      <c r="E5148">
        <v>44.499000000000002</v>
      </c>
      <c r="F5148">
        <f t="shared" si="321"/>
        <v>-2.4990000000000023</v>
      </c>
      <c r="G5148">
        <v>225.8</v>
      </c>
      <c r="H5148">
        <v>3.7770000000000001</v>
      </c>
      <c r="I5148">
        <v>1.6739999999999999</v>
      </c>
      <c r="J5148">
        <v>8</v>
      </c>
      <c r="K5148">
        <v>54</v>
      </c>
      <c r="L5148">
        <v>30</v>
      </c>
      <c r="M5148" s="1">
        <v>9000000000</v>
      </c>
    </row>
    <row r="5149" spans="1:13" ht="15" customHeight="1">
      <c r="A5149" t="s">
        <v>56</v>
      </c>
      <c r="B5149">
        <f t="shared" si="318"/>
        <v>33.699644999999997</v>
      </c>
      <c r="C5149">
        <f t="shared" si="319"/>
        <v>-117.848384</v>
      </c>
      <c r="D5149">
        <f t="shared" si="320"/>
        <v>42</v>
      </c>
      <c r="E5149">
        <v>45.499000000000002</v>
      </c>
      <c r="F5149">
        <f t="shared" si="321"/>
        <v>-3.4990000000000023</v>
      </c>
      <c r="G5149">
        <v>239.6</v>
      </c>
      <c r="H5149">
        <v>3.137</v>
      </c>
      <c r="I5149">
        <v>1.31</v>
      </c>
      <c r="J5149">
        <v>9</v>
      </c>
      <c r="K5149">
        <v>46</v>
      </c>
      <c r="L5149">
        <v>25</v>
      </c>
      <c r="M5149" s="1">
        <v>9000000000</v>
      </c>
    </row>
    <row r="5150" spans="1:13" ht="15" customHeight="1">
      <c r="A5150" t="s">
        <v>56</v>
      </c>
      <c r="B5150">
        <f t="shared" si="318"/>
        <v>33.699644999999997</v>
      </c>
      <c r="C5150">
        <f t="shared" si="319"/>
        <v>-117.848384</v>
      </c>
      <c r="D5150">
        <f t="shared" si="320"/>
        <v>42</v>
      </c>
      <c r="E5150">
        <v>46.499000000000002</v>
      </c>
      <c r="F5150">
        <f t="shared" si="321"/>
        <v>-4.4990000000000023</v>
      </c>
      <c r="G5150">
        <v>120.68300000000001</v>
      </c>
      <c r="H5150">
        <v>2.2650000000000001</v>
      </c>
      <c r="I5150">
        <v>1.8779999999999999</v>
      </c>
      <c r="J5150">
        <v>7</v>
      </c>
      <c r="K5150">
        <v>39</v>
      </c>
      <c r="L5150">
        <v>21</v>
      </c>
      <c r="M5150" s="1">
        <v>9000000000</v>
      </c>
    </row>
    <row r="5151" spans="1:13" ht="15" customHeight="1">
      <c r="A5151" t="s">
        <v>56</v>
      </c>
      <c r="B5151">
        <f t="shared" si="318"/>
        <v>33.699644999999997</v>
      </c>
      <c r="C5151">
        <f t="shared" si="319"/>
        <v>-117.848384</v>
      </c>
      <c r="D5151">
        <f t="shared" si="320"/>
        <v>42</v>
      </c>
      <c r="E5151">
        <v>47.499000000000002</v>
      </c>
      <c r="F5151">
        <f t="shared" si="321"/>
        <v>-5.4990000000000023</v>
      </c>
      <c r="G5151">
        <v>49.8</v>
      </c>
      <c r="H5151">
        <v>2.1019999999999999</v>
      </c>
      <c r="I5151">
        <v>4.2290000000000001</v>
      </c>
      <c r="J5151">
        <v>5</v>
      </c>
      <c r="K5151">
        <v>24</v>
      </c>
      <c r="L5151">
        <v>13</v>
      </c>
      <c r="M5151">
        <v>3.1190000000000002</v>
      </c>
    </row>
    <row r="5152" spans="1:13" ht="15" customHeight="1">
      <c r="A5152" t="s">
        <v>56</v>
      </c>
      <c r="B5152">
        <f t="shared" si="318"/>
        <v>33.699644999999997</v>
      </c>
      <c r="C5152">
        <f t="shared" si="319"/>
        <v>-117.848384</v>
      </c>
      <c r="D5152">
        <f t="shared" si="320"/>
        <v>42</v>
      </c>
      <c r="E5152">
        <v>48.499000000000002</v>
      </c>
      <c r="F5152">
        <f t="shared" si="321"/>
        <v>-6.4990000000000023</v>
      </c>
      <c r="G5152">
        <v>98.382999999999996</v>
      </c>
      <c r="H5152">
        <v>3.4550000000000001</v>
      </c>
      <c r="I5152">
        <v>3.5150000000000001</v>
      </c>
      <c r="J5152">
        <v>6</v>
      </c>
      <c r="K5152">
        <v>38</v>
      </c>
      <c r="L5152">
        <v>20</v>
      </c>
      <c r="M5152">
        <v>6.3529999999999998</v>
      </c>
    </row>
    <row r="5153" spans="1:13" ht="15" customHeight="1">
      <c r="A5153" t="s">
        <v>56</v>
      </c>
      <c r="B5153">
        <f t="shared" si="318"/>
        <v>33.699644999999997</v>
      </c>
      <c r="C5153">
        <f t="shared" si="319"/>
        <v>-117.848384</v>
      </c>
      <c r="D5153">
        <f t="shared" si="320"/>
        <v>42</v>
      </c>
      <c r="E5153">
        <v>49.499000000000002</v>
      </c>
      <c r="F5153">
        <f t="shared" si="321"/>
        <v>-7.4990000000000023</v>
      </c>
      <c r="G5153">
        <v>102.3</v>
      </c>
      <c r="H5153">
        <v>3.645</v>
      </c>
      <c r="I5153">
        <v>3.5680000000000001</v>
      </c>
      <c r="J5153">
        <v>6</v>
      </c>
      <c r="K5153">
        <v>39</v>
      </c>
      <c r="L5153">
        <v>21</v>
      </c>
      <c r="M5153">
        <v>6.6079999999999997</v>
      </c>
    </row>
    <row r="5154" spans="1:13" ht="15" customHeight="1">
      <c r="A5154" t="s">
        <v>56</v>
      </c>
      <c r="B5154">
        <f t="shared" si="318"/>
        <v>33.699644999999997</v>
      </c>
      <c r="C5154">
        <f t="shared" si="319"/>
        <v>-117.848384</v>
      </c>
      <c r="D5154">
        <f t="shared" si="320"/>
        <v>42</v>
      </c>
      <c r="E5154">
        <v>50.499000000000002</v>
      </c>
      <c r="F5154">
        <f t="shared" si="321"/>
        <v>-8.4990000000000023</v>
      </c>
      <c r="G5154">
        <v>126.283</v>
      </c>
      <c r="H5154">
        <v>3.3180000000000001</v>
      </c>
      <c r="I5154">
        <v>2.63</v>
      </c>
      <c r="J5154">
        <v>7</v>
      </c>
      <c r="K5154">
        <v>40</v>
      </c>
      <c r="L5154">
        <v>21</v>
      </c>
      <c r="M5154" s="1">
        <v>9000000000</v>
      </c>
    </row>
    <row r="5155" spans="1:13" ht="15" customHeight="1">
      <c r="A5155" t="s">
        <v>56</v>
      </c>
      <c r="B5155">
        <f t="shared" si="318"/>
        <v>33.699644999999997</v>
      </c>
      <c r="C5155">
        <f t="shared" si="319"/>
        <v>-117.848384</v>
      </c>
      <c r="D5155">
        <f t="shared" si="320"/>
        <v>42</v>
      </c>
      <c r="E5155">
        <v>51.499000000000002</v>
      </c>
      <c r="F5155">
        <f t="shared" si="321"/>
        <v>-9.4990000000000023</v>
      </c>
      <c r="G5155">
        <v>31.433</v>
      </c>
      <c r="H5155">
        <v>1.5369999999999999</v>
      </c>
      <c r="I5155">
        <v>4.907</v>
      </c>
      <c r="J5155">
        <v>3</v>
      </c>
      <c r="K5155">
        <v>30</v>
      </c>
      <c r="L5155">
        <v>16</v>
      </c>
      <c r="M5155">
        <v>1.877</v>
      </c>
    </row>
    <row r="5156" spans="1:13" ht="15" customHeight="1">
      <c r="A5156" t="s">
        <v>56</v>
      </c>
      <c r="B5156">
        <f t="shared" si="318"/>
        <v>33.699644999999997</v>
      </c>
      <c r="C5156">
        <f t="shared" si="319"/>
        <v>-117.848384</v>
      </c>
      <c r="D5156">
        <f t="shared" si="320"/>
        <v>42</v>
      </c>
      <c r="E5156">
        <v>52.499000000000002</v>
      </c>
      <c r="F5156">
        <f t="shared" si="321"/>
        <v>-10.499000000000002</v>
      </c>
      <c r="G5156">
        <v>24.186</v>
      </c>
      <c r="H5156">
        <v>0.78300000000000003</v>
      </c>
      <c r="I5156">
        <v>3.2519999999999998</v>
      </c>
      <c r="J5156">
        <v>5</v>
      </c>
      <c r="K5156">
        <v>12</v>
      </c>
      <c r="L5156">
        <v>6</v>
      </c>
      <c r="M5156">
        <v>1.389</v>
      </c>
    </row>
    <row r="5157" spans="1:13" ht="15" customHeight="1">
      <c r="A5157" t="s">
        <v>56</v>
      </c>
      <c r="B5157">
        <f t="shared" si="318"/>
        <v>33.699644999999997</v>
      </c>
      <c r="C5157">
        <f t="shared" si="319"/>
        <v>-117.848384</v>
      </c>
      <c r="D5157">
        <f t="shared" si="320"/>
        <v>42</v>
      </c>
      <c r="E5157">
        <v>53.499000000000002</v>
      </c>
      <c r="F5157">
        <f t="shared" si="321"/>
        <v>-11.499000000000002</v>
      </c>
      <c r="G5157">
        <v>28.632999999999999</v>
      </c>
      <c r="H5157">
        <v>0.98299999999999998</v>
      </c>
      <c r="I5157">
        <v>3.4460000000000002</v>
      </c>
      <c r="J5157">
        <v>5</v>
      </c>
      <c r="K5157">
        <v>14</v>
      </c>
      <c r="L5157">
        <v>7</v>
      </c>
      <c r="M5157">
        <v>1.6830000000000001</v>
      </c>
    </row>
    <row r="5158" spans="1:13" ht="15" customHeight="1">
      <c r="A5158" t="s">
        <v>56</v>
      </c>
      <c r="B5158">
        <f t="shared" si="318"/>
        <v>33.699644999999997</v>
      </c>
      <c r="C5158">
        <f t="shared" si="319"/>
        <v>-117.848384</v>
      </c>
      <c r="D5158">
        <f t="shared" si="320"/>
        <v>42</v>
      </c>
      <c r="E5158">
        <v>54.499000000000002</v>
      </c>
      <c r="F5158">
        <f t="shared" si="321"/>
        <v>-12.499000000000002</v>
      </c>
      <c r="G5158">
        <v>24.367000000000001</v>
      </c>
      <c r="H5158">
        <v>0.85499999999999998</v>
      </c>
      <c r="I5158">
        <v>3.5230000000000001</v>
      </c>
      <c r="J5158">
        <v>5</v>
      </c>
      <c r="K5158">
        <v>12</v>
      </c>
      <c r="L5158">
        <v>6</v>
      </c>
      <c r="M5158">
        <v>1.3939999999999999</v>
      </c>
    </row>
    <row r="5159" spans="1:13" ht="15" customHeight="1">
      <c r="A5159" t="s">
        <v>56</v>
      </c>
      <c r="B5159">
        <f t="shared" si="318"/>
        <v>33.699644999999997</v>
      </c>
      <c r="C5159">
        <f t="shared" si="319"/>
        <v>-117.848384</v>
      </c>
      <c r="D5159">
        <f t="shared" si="320"/>
        <v>42</v>
      </c>
      <c r="E5159">
        <v>55.499000000000002</v>
      </c>
      <c r="F5159">
        <f t="shared" si="321"/>
        <v>-13.499000000000002</v>
      </c>
      <c r="G5159">
        <v>21</v>
      </c>
      <c r="H5159">
        <v>0.69699999999999995</v>
      </c>
      <c r="I5159">
        <v>3.32</v>
      </c>
      <c r="J5159">
        <v>5</v>
      </c>
      <c r="K5159">
        <v>10</v>
      </c>
      <c r="L5159">
        <v>5</v>
      </c>
      <c r="M5159">
        <v>1.171</v>
      </c>
    </row>
    <row r="5160" spans="1:13" ht="15" customHeight="1">
      <c r="A5160" t="s">
        <v>56</v>
      </c>
      <c r="B5160">
        <f t="shared" si="318"/>
        <v>33.699644999999997</v>
      </c>
      <c r="C5160">
        <f t="shared" si="319"/>
        <v>-117.848384</v>
      </c>
      <c r="D5160">
        <f t="shared" si="320"/>
        <v>42</v>
      </c>
      <c r="E5160">
        <v>56.499000000000002</v>
      </c>
      <c r="F5160">
        <f t="shared" si="321"/>
        <v>-14.499000000000002</v>
      </c>
      <c r="G5160">
        <v>20.6</v>
      </c>
      <c r="H5160">
        <v>0.67700000000000005</v>
      </c>
      <c r="I5160">
        <v>3.2869999999999999</v>
      </c>
      <c r="J5160">
        <v>5</v>
      </c>
      <c r="K5160">
        <v>10</v>
      </c>
      <c r="L5160">
        <v>5</v>
      </c>
      <c r="M5160">
        <v>1.1399999999999999</v>
      </c>
    </row>
    <row r="5161" spans="1:13" ht="15" customHeight="1">
      <c r="A5161" t="s">
        <v>56</v>
      </c>
      <c r="B5161">
        <f t="shared" si="318"/>
        <v>33.699644999999997</v>
      </c>
      <c r="C5161">
        <f t="shared" si="319"/>
        <v>-117.848384</v>
      </c>
      <c r="D5161">
        <f t="shared" si="320"/>
        <v>42</v>
      </c>
      <c r="E5161">
        <v>57.499000000000002</v>
      </c>
      <c r="F5161">
        <f t="shared" si="321"/>
        <v>-15.499000000000002</v>
      </c>
      <c r="G5161">
        <v>22.2</v>
      </c>
      <c r="H5161">
        <v>0.65300000000000002</v>
      </c>
      <c r="I5161">
        <v>2.95</v>
      </c>
      <c r="J5161">
        <v>5</v>
      </c>
      <c r="K5161">
        <v>11</v>
      </c>
      <c r="L5161">
        <v>6</v>
      </c>
      <c r="M5161">
        <v>1.2410000000000001</v>
      </c>
    </row>
    <row r="5162" spans="1:13" ht="15" customHeight="1">
      <c r="A5162" t="s">
        <v>56</v>
      </c>
      <c r="B5162">
        <f t="shared" si="318"/>
        <v>33.699644999999997</v>
      </c>
      <c r="C5162">
        <f t="shared" si="319"/>
        <v>-117.848384</v>
      </c>
      <c r="D5162">
        <f t="shared" si="320"/>
        <v>42</v>
      </c>
      <c r="E5162">
        <v>58.499000000000002</v>
      </c>
      <c r="F5162">
        <f t="shared" si="321"/>
        <v>-16.499000000000002</v>
      </c>
      <c r="G5162">
        <v>21.832999999999998</v>
      </c>
      <c r="H5162">
        <v>0.59199999999999997</v>
      </c>
      <c r="I5162">
        <v>2.71</v>
      </c>
      <c r="J5162">
        <v>5</v>
      </c>
      <c r="K5162">
        <v>10</v>
      </c>
      <c r="L5162">
        <v>5</v>
      </c>
      <c r="M5162">
        <v>1.2150000000000001</v>
      </c>
    </row>
    <row r="5163" spans="1:13" ht="15" customHeight="1">
      <c r="A5163" t="s">
        <v>56</v>
      </c>
      <c r="B5163">
        <f t="shared" si="318"/>
        <v>33.699644999999997</v>
      </c>
      <c r="C5163">
        <f t="shared" si="319"/>
        <v>-117.848384</v>
      </c>
      <c r="D5163">
        <f t="shared" si="320"/>
        <v>42</v>
      </c>
      <c r="E5163">
        <v>59.499000000000002</v>
      </c>
      <c r="F5163">
        <f t="shared" si="321"/>
        <v>-17.499000000000002</v>
      </c>
      <c r="G5163">
        <v>22.75</v>
      </c>
      <c r="H5163">
        <v>0.57499999999999996</v>
      </c>
      <c r="I5163">
        <v>2.5259999999999998</v>
      </c>
      <c r="J5163">
        <v>5</v>
      </c>
      <c r="K5163">
        <v>11</v>
      </c>
      <c r="L5163">
        <v>6</v>
      </c>
      <c r="M5163">
        <v>1.2729999999999999</v>
      </c>
    </row>
    <row r="5164" spans="1:13" ht="15" customHeight="1">
      <c r="A5164" t="s">
        <v>56</v>
      </c>
      <c r="B5164">
        <f t="shared" si="318"/>
        <v>33.699644999999997</v>
      </c>
      <c r="C5164">
        <f t="shared" si="319"/>
        <v>-117.848384</v>
      </c>
      <c r="D5164">
        <f t="shared" si="320"/>
        <v>42</v>
      </c>
      <c r="E5164">
        <v>60.499000000000002</v>
      </c>
      <c r="F5164">
        <f t="shared" si="321"/>
        <v>-18.499000000000002</v>
      </c>
      <c r="G5164">
        <v>23.65</v>
      </c>
      <c r="H5164">
        <v>0.748</v>
      </c>
      <c r="I5164">
        <v>3.1579999999999999</v>
      </c>
      <c r="J5164">
        <v>5</v>
      </c>
      <c r="K5164">
        <v>11</v>
      </c>
      <c r="L5164">
        <v>6</v>
      </c>
      <c r="M5164">
        <v>1.331</v>
      </c>
    </row>
    <row r="5165" spans="1:13" ht="15" customHeight="1">
      <c r="A5165" t="s">
        <v>56</v>
      </c>
      <c r="B5165">
        <f t="shared" si="318"/>
        <v>33.699644999999997</v>
      </c>
      <c r="C5165">
        <f t="shared" si="319"/>
        <v>-117.848384</v>
      </c>
      <c r="D5165">
        <f t="shared" si="320"/>
        <v>42</v>
      </c>
      <c r="E5165">
        <v>61.499000000000002</v>
      </c>
      <c r="F5165">
        <f t="shared" si="321"/>
        <v>-19.499000000000002</v>
      </c>
      <c r="G5165">
        <v>21.783000000000001</v>
      </c>
      <c r="H5165">
        <v>0.69</v>
      </c>
      <c r="I5165">
        <v>3.1440000000000001</v>
      </c>
      <c r="J5165">
        <v>5</v>
      </c>
      <c r="K5165">
        <v>11</v>
      </c>
      <c r="L5165">
        <v>6</v>
      </c>
      <c r="M5165">
        <v>1.2110000000000001</v>
      </c>
    </row>
    <row r="5166" spans="1:13" ht="15" customHeight="1">
      <c r="A5166" t="s">
        <v>56</v>
      </c>
      <c r="B5166">
        <f t="shared" si="318"/>
        <v>33.699644999999997</v>
      </c>
      <c r="C5166">
        <f t="shared" si="319"/>
        <v>-117.848384</v>
      </c>
      <c r="D5166">
        <f t="shared" si="320"/>
        <v>42</v>
      </c>
      <c r="E5166">
        <v>62.499000000000002</v>
      </c>
      <c r="F5166">
        <f t="shared" si="321"/>
        <v>-20.499000000000002</v>
      </c>
      <c r="G5166">
        <v>24.343</v>
      </c>
      <c r="H5166">
        <v>0.77600000000000002</v>
      </c>
      <c r="I5166">
        <v>3.137</v>
      </c>
      <c r="J5166">
        <v>5</v>
      </c>
      <c r="K5166">
        <v>12</v>
      </c>
      <c r="L5166">
        <v>6</v>
      </c>
      <c r="M5166">
        <v>1.3919999999999999</v>
      </c>
    </row>
    <row r="5167" spans="1:13" ht="15" customHeight="1">
      <c r="A5167" t="s">
        <v>56</v>
      </c>
      <c r="B5167">
        <f t="shared" si="318"/>
        <v>33.699644999999997</v>
      </c>
      <c r="C5167">
        <f t="shared" si="319"/>
        <v>-117.848384</v>
      </c>
      <c r="D5167">
        <f t="shared" si="320"/>
        <v>42</v>
      </c>
      <c r="E5167">
        <v>63.499000000000002</v>
      </c>
      <c r="F5167">
        <f t="shared" si="321"/>
        <v>-21.499000000000002</v>
      </c>
      <c r="G5167">
        <v>27.016999999999999</v>
      </c>
      <c r="H5167">
        <v>0.93500000000000005</v>
      </c>
      <c r="I5167">
        <v>3.4140000000000001</v>
      </c>
      <c r="J5167">
        <v>5</v>
      </c>
      <c r="K5167">
        <v>13</v>
      </c>
      <c r="L5167">
        <v>7</v>
      </c>
      <c r="M5167">
        <v>1.5649999999999999</v>
      </c>
    </row>
    <row r="5168" spans="1:13" ht="15" customHeight="1">
      <c r="A5168" t="s">
        <v>56</v>
      </c>
      <c r="B5168">
        <f t="shared" si="318"/>
        <v>33.699644999999997</v>
      </c>
      <c r="C5168">
        <f t="shared" si="319"/>
        <v>-117.848384</v>
      </c>
      <c r="D5168">
        <f t="shared" si="320"/>
        <v>42</v>
      </c>
      <c r="E5168">
        <v>64.498999999999995</v>
      </c>
      <c r="F5168">
        <f t="shared" si="321"/>
        <v>-22.498999999999995</v>
      </c>
      <c r="G5168">
        <v>24.917000000000002</v>
      </c>
      <c r="H5168">
        <v>0.86499999999999999</v>
      </c>
      <c r="I5168">
        <v>3.4169999999999998</v>
      </c>
      <c r="J5168">
        <v>5</v>
      </c>
      <c r="K5168">
        <v>12</v>
      </c>
      <c r="L5168">
        <v>6</v>
      </c>
      <c r="M5168">
        <v>1.423</v>
      </c>
    </row>
    <row r="5169" spans="1:13" ht="15" customHeight="1">
      <c r="A5169" t="s">
        <v>56</v>
      </c>
      <c r="B5169">
        <f t="shared" si="318"/>
        <v>33.699644999999997</v>
      </c>
      <c r="C5169">
        <f t="shared" si="319"/>
        <v>-117.848384</v>
      </c>
      <c r="D5169">
        <f t="shared" si="320"/>
        <v>42</v>
      </c>
      <c r="E5169">
        <v>65.498999999999995</v>
      </c>
      <c r="F5169">
        <f t="shared" si="321"/>
        <v>-23.498999999999995</v>
      </c>
      <c r="G5169">
        <v>30.033000000000001</v>
      </c>
      <c r="H5169">
        <v>0.84199999999999997</v>
      </c>
      <c r="I5169">
        <v>2.7749999999999999</v>
      </c>
      <c r="J5169">
        <v>6</v>
      </c>
      <c r="K5169">
        <v>12</v>
      </c>
      <c r="L5169">
        <v>6</v>
      </c>
      <c r="M5169">
        <v>1.7529999999999999</v>
      </c>
    </row>
    <row r="5170" spans="1:13" ht="15" customHeight="1">
      <c r="A5170" t="s">
        <v>56</v>
      </c>
      <c r="B5170">
        <f t="shared" si="318"/>
        <v>33.699644999999997</v>
      </c>
      <c r="C5170">
        <f t="shared" si="319"/>
        <v>-117.848384</v>
      </c>
      <c r="D5170">
        <f t="shared" si="320"/>
        <v>42</v>
      </c>
      <c r="E5170">
        <v>66.498999999999995</v>
      </c>
      <c r="F5170">
        <f t="shared" si="321"/>
        <v>-24.498999999999995</v>
      </c>
      <c r="G5170">
        <v>28.667000000000002</v>
      </c>
      <c r="H5170">
        <v>0.86</v>
      </c>
      <c r="I5170">
        <v>2.984</v>
      </c>
      <c r="J5170">
        <v>5</v>
      </c>
      <c r="K5170">
        <v>14</v>
      </c>
      <c r="L5170">
        <v>7</v>
      </c>
      <c r="M5170">
        <v>1.6479999999999999</v>
      </c>
    </row>
    <row r="5171" spans="1:13" ht="15" customHeight="1">
      <c r="A5171" t="s">
        <v>56</v>
      </c>
      <c r="B5171">
        <f t="shared" si="318"/>
        <v>33.699644999999997</v>
      </c>
      <c r="C5171">
        <f t="shared" si="319"/>
        <v>-117.848384</v>
      </c>
      <c r="D5171">
        <f t="shared" si="320"/>
        <v>42</v>
      </c>
      <c r="E5171">
        <v>67.498999999999995</v>
      </c>
      <c r="F5171">
        <f t="shared" si="321"/>
        <v>-25.498999999999995</v>
      </c>
      <c r="G5171">
        <v>29.917000000000002</v>
      </c>
      <c r="H5171">
        <v>1.0049999999999999</v>
      </c>
      <c r="I5171">
        <v>3.3</v>
      </c>
      <c r="J5171">
        <v>5</v>
      </c>
      <c r="K5171">
        <v>15</v>
      </c>
      <c r="L5171">
        <v>8</v>
      </c>
      <c r="M5171">
        <v>1.752</v>
      </c>
    </row>
    <row r="5172" spans="1:13" ht="15" customHeight="1">
      <c r="A5172" t="s">
        <v>56</v>
      </c>
      <c r="B5172">
        <f t="shared" si="318"/>
        <v>33.699644999999997</v>
      </c>
      <c r="C5172">
        <f t="shared" si="319"/>
        <v>-117.848384</v>
      </c>
      <c r="D5172">
        <f t="shared" si="320"/>
        <v>42</v>
      </c>
      <c r="E5172">
        <v>68.498999999999995</v>
      </c>
      <c r="F5172">
        <f t="shared" si="321"/>
        <v>-26.498999999999995</v>
      </c>
      <c r="G5172">
        <v>51.517000000000003</v>
      </c>
      <c r="H5172">
        <v>2.298</v>
      </c>
      <c r="I5172">
        <v>4.4530000000000003</v>
      </c>
      <c r="J5172">
        <v>4</v>
      </c>
      <c r="K5172">
        <v>33</v>
      </c>
      <c r="L5172">
        <v>17</v>
      </c>
      <c r="M5172">
        <v>3.1589999999999998</v>
      </c>
    </row>
    <row r="5173" spans="1:13" ht="15" customHeight="1">
      <c r="A5173" t="s">
        <v>56</v>
      </c>
      <c r="B5173">
        <f t="shared" si="318"/>
        <v>33.699644999999997</v>
      </c>
      <c r="C5173">
        <f t="shared" si="319"/>
        <v>-117.848384</v>
      </c>
      <c r="D5173">
        <f t="shared" si="320"/>
        <v>42</v>
      </c>
      <c r="E5173">
        <v>69.498999999999995</v>
      </c>
      <c r="F5173">
        <f t="shared" si="321"/>
        <v>-27.498999999999995</v>
      </c>
      <c r="G5173">
        <v>30.233000000000001</v>
      </c>
      <c r="H5173">
        <v>1.0129999999999999</v>
      </c>
      <c r="I5173">
        <v>3.359</v>
      </c>
      <c r="J5173">
        <v>5</v>
      </c>
      <c r="K5173">
        <v>14</v>
      </c>
      <c r="L5173">
        <v>7</v>
      </c>
      <c r="M5173">
        <v>1.7250000000000001</v>
      </c>
    </row>
    <row r="5174" spans="1:13" ht="15" customHeight="1">
      <c r="A5174" t="s">
        <v>56</v>
      </c>
      <c r="B5174">
        <f t="shared" si="318"/>
        <v>33.699644999999997</v>
      </c>
      <c r="C5174">
        <f t="shared" si="319"/>
        <v>-117.848384</v>
      </c>
      <c r="D5174">
        <f t="shared" si="320"/>
        <v>42</v>
      </c>
      <c r="E5174">
        <v>70.498999999999995</v>
      </c>
      <c r="F5174">
        <f t="shared" si="321"/>
        <v>-28.498999999999995</v>
      </c>
      <c r="G5174">
        <v>23.05</v>
      </c>
      <c r="H5174">
        <v>0.79300000000000004</v>
      </c>
      <c r="I5174">
        <v>3.4420000000000002</v>
      </c>
      <c r="J5174">
        <v>5</v>
      </c>
      <c r="K5174">
        <v>11</v>
      </c>
      <c r="L5174">
        <v>6</v>
      </c>
      <c r="M5174">
        <v>1.246</v>
      </c>
    </row>
    <row r="5175" spans="1:13" ht="15" customHeight="1">
      <c r="A5175" t="s">
        <v>56</v>
      </c>
      <c r="B5175">
        <f t="shared" si="318"/>
        <v>33.699644999999997</v>
      </c>
      <c r="C5175">
        <f t="shared" si="319"/>
        <v>-117.848384</v>
      </c>
      <c r="D5175">
        <f t="shared" si="320"/>
        <v>42</v>
      </c>
      <c r="E5175">
        <v>71.498999999999995</v>
      </c>
      <c r="F5175">
        <f t="shared" si="321"/>
        <v>-29.498999999999995</v>
      </c>
      <c r="G5175">
        <v>174.767</v>
      </c>
      <c r="H5175">
        <v>1.4279999999999999</v>
      </c>
      <c r="I5175">
        <v>0.81699999999999995</v>
      </c>
      <c r="J5175">
        <v>9</v>
      </c>
      <c r="K5175">
        <v>33</v>
      </c>
      <c r="L5175">
        <v>17</v>
      </c>
      <c r="M5175" s="1">
        <v>9000000000</v>
      </c>
    </row>
    <row r="5176" spans="1:13" ht="15" customHeight="1">
      <c r="A5176" t="s">
        <v>56</v>
      </c>
      <c r="B5176">
        <f t="shared" si="318"/>
        <v>33.699644999999997</v>
      </c>
      <c r="C5176">
        <f t="shared" si="319"/>
        <v>-117.848384</v>
      </c>
      <c r="D5176">
        <f t="shared" si="320"/>
        <v>42</v>
      </c>
      <c r="E5176">
        <v>72.498999999999995</v>
      </c>
      <c r="F5176">
        <f t="shared" si="321"/>
        <v>-30.498999999999995</v>
      </c>
      <c r="G5176">
        <v>492.1</v>
      </c>
      <c r="H5176">
        <v>2.4390000000000001</v>
      </c>
      <c r="I5176">
        <v>0.495</v>
      </c>
      <c r="J5176">
        <v>10</v>
      </c>
      <c r="K5176">
        <v>79</v>
      </c>
      <c r="L5176">
        <v>40</v>
      </c>
      <c r="M5176" s="1">
        <v>9000000000</v>
      </c>
    </row>
    <row r="5177" spans="1:13" ht="15" customHeight="1">
      <c r="A5177" t="s">
        <v>56</v>
      </c>
      <c r="B5177">
        <f t="shared" si="318"/>
        <v>33.699644999999997</v>
      </c>
      <c r="C5177">
        <f t="shared" si="319"/>
        <v>-117.848384</v>
      </c>
      <c r="D5177">
        <f t="shared" si="320"/>
        <v>42</v>
      </c>
      <c r="E5177">
        <v>73.498999999999995</v>
      </c>
      <c r="F5177">
        <f t="shared" si="321"/>
        <v>-31.498999999999995</v>
      </c>
      <c r="G5177">
        <v>340.483</v>
      </c>
      <c r="H5177">
        <v>3.0579999999999998</v>
      </c>
      <c r="I5177">
        <v>0.89700000000000002</v>
      </c>
      <c r="J5177">
        <v>9</v>
      </c>
      <c r="K5177">
        <v>65</v>
      </c>
      <c r="L5177">
        <v>33</v>
      </c>
      <c r="M5177" s="1">
        <v>9000000000</v>
      </c>
    </row>
    <row r="5178" spans="1:13" ht="15" customHeight="1">
      <c r="A5178" t="s">
        <v>56</v>
      </c>
      <c r="B5178">
        <f t="shared" si="318"/>
        <v>33.699644999999997</v>
      </c>
      <c r="C5178">
        <f t="shared" si="319"/>
        <v>-117.848384</v>
      </c>
      <c r="D5178">
        <f t="shared" si="320"/>
        <v>42</v>
      </c>
      <c r="E5178">
        <v>74.498999999999995</v>
      </c>
      <c r="F5178">
        <f t="shared" si="321"/>
        <v>-32.498999999999995</v>
      </c>
      <c r="G5178">
        <v>288.3</v>
      </c>
      <c r="H5178">
        <v>2.802</v>
      </c>
      <c r="I5178">
        <v>0.97099999999999997</v>
      </c>
      <c r="J5178">
        <v>9</v>
      </c>
      <c r="K5178">
        <v>55</v>
      </c>
      <c r="L5178">
        <v>28</v>
      </c>
      <c r="M5178" s="1">
        <v>9000000000</v>
      </c>
    </row>
    <row r="5179" spans="1:13" ht="15" customHeight="1">
      <c r="A5179" t="s">
        <v>56</v>
      </c>
      <c r="B5179">
        <f t="shared" si="318"/>
        <v>33.699644999999997</v>
      </c>
      <c r="C5179">
        <f t="shared" si="319"/>
        <v>-117.848384</v>
      </c>
      <c r="D5179">
        <f t="shared" si="320"/>
        <v>42</v>
      </c>
      <c r="E5179">
        <v>75.498999999999995</v>
      </c>
      <c r="F5179">
        <f t="shared" si="321"/>
        <v>-33.498999999999995</v>
      </c>
      <c r="G5179">
        <v>30.483000000000001</v>
      </c>
      <c r="H5179">
        <v>0.73799999999999999</v>
      </c>
      <c r="I5179">
        <v>2.302</v>
      </c>
      <c r="J5179">
        <v>6</v>
      </c>
      <c r="K5179">
        <v>12</v>
      </c>
      <c r="L5179">
        <v>6</v>
      </c>
      <c r="M5179">
        <v>1.827</v>
      </c>
    </row>
    <row r="5180" spans="1:13" ht="15" customHeight="1">
      <c r="A5180" t="s">
        <v>56</v>
      </c>
      <c r="B5180">
        <f t="shared" si="318"/>
        <v>33.699644999999997</v>
      </c>
      <c r="C5180">
        <f t="shared" si="319"/>
        <v>-117.848384</v>
      </c>
      <c r="D5180">
        <f t="shared" si="320"/>
        <v>42</v>
      </c>
      <c r="E5180">
        <v>76.498999999999995</v>
      </c>
      <c r="F5180">
        <f t="shared" si="321"/>
        <v>-34.498999999999995</v>
      </c>
      <c r="G5180">
        <v>28.317</v>
      </c>
      <c r="H5180">
        <v>0.74</v>
      </c>
      <c r="I5180">
        <v>2.4860000000000002</v>
      </c>
      <c r="J5180">
        <v>6</v>
      </c>
      <c r="K5180">
        <v>11</v>
      </c>
      <c r="L5180">
        <v>6</v>
      </c>
      <c r="M5180">
        <v>1.669</v>
      </c>
    </row>
    <row r="5181" spans="1:13" ht="15" customHeight="1">
      <c r="A5181" t="s">
        <v>56</v>
      </c>
      <c r="B5181">
        <f t="shared" si="318"/>
        <v>33.699644999999997</v>
      </c>
      <c r="C5181">
        <f t="shared" si="319"/>
        <v>-117.848384</v>
      </c>
      <c r="D5181">
        <f t="shared" si="320"/>
        <v>42</v>
      </c>
      <c r="E5181">
        <v>77.498999999999995</v>
      </c>
      <c r="F5181">
        <f t="shared" si="321"/>
        <v>-35.498999999999995</v>
      </c>
      <c r="G5181">
        <v>35.832999999999998</v>
      </c>
      <c r="H5181">
        <v>0.87</v>
      </c>
      <c r="I5181">
        <v>2.343</v>
      </c>
      <c r="J5181">
        <v>6</v>
      </c>
      <c r="K5181">
        <v>14</v>
      </c>
      <c r="L5181">
        <v>7</v>
      </c>
      <c r="M5181">
        <v>2.1560000000000001</v>
      </c>
    </row>
    <row r="5182" spans="1:13" ht="15" customHeight="1">
      <c r="A5182" t="s">
        <v>56</v>
      </c>
      <c r="B5182">
        <f t="shared" si="318"/>
        <v>33.699644999999997</v>
      </c>
      <c r="C5182">
        <f t="shared" si="319"/>
        <v>-117.848384</v>
      </c>
      <c r="D5182">
        <f t="shared" si="320"/>
        <v>42</v>
      </c>
      <c r="E5182">
        <v>78.498999999999995</v>
      </c>
      <c r="F5182">
        <f t="shared" si="321"/>
        <v>-36.498999999999995</v>
      </c>
      <c r="G5182">
        <v>35.5</v>
      </c>
      <c r="H5182">
        <v>1.21</v>
      </c>
      <c r="I5182">
        <v>3.3210000000000002</v>
      </c>
      <c r="J5182">
        <v>5</v>
      </c>
      <c r="K5182">
        <v>17</v>
      </c>
      <c r="L5182">
        <v>9</v>
      </c>
      <c r="M5182">
        <v>2.105</v>
      </c>
    </row>
    <row r="5183" spans="1:13" ht="15" customHeight="1">
      <c r="A5183" t="s">
        <v>56</v>
      </c>
      <c r="B5183">
        <f t="shared" si="318"/>
        <v>33.699644999999997</v>
      </c>
      <c r="C5183">
        <f t="shared" si="319"/>
        <v>-117.848384</v>
      </c>
      <c r="D5183">
        <f t="shared" si="320"/>
        <v>42</v>
      </c>
      <c r="E5183">
        <v>79.498999999999995</v>
      </c>
      <c r="F5183">
        <f t="shared" si="321"/>
        <v>-37.498999999999995</v>
      </c>
      <c r="G5183">
        <v>76.3</v>
      </c>
      <c r="H5183">
        <v>3.03</v>
      </c>
      <c r="I5183">
        <v>3.9359999999999999</v>
      </c>
      <c r="J5183">
        <v>5</v>
      </c>
      <c r="K5183">
        <v>37</v>
      </c>
      <c r="L5183">
        <v>19</v>
      </c>
      <c r="M5183">
        <v>4.8040000000000003</v>
      </c>
    </row>
    <row r="5184" spans="1:13" ht="15" customHeight="1">
      <c r="A5184" t="s">
        <v>56</v>
      </c>
      <c r="B5184">
        <f t="shared" si="318"/>
        <v>33.699644999999997</v>
      </c>
      <c r="C5184">
        <f t="shared" si="319"/>
        <v>-117.848384</v>
      </c>
      <c r="D5184">
        <f t="shared" si="320"/>
        <v>42</v>
      </c>
      <c r="E5184">
        <v>80.498999999999995</v>
      </c>
      <c r="F5184">
        <f t="shared" si="321"/>
        <v>-38.498999999999995</v>
      </c>
      <c r="G5184">
        <v>174.78299999999999</v>
      </c>
      <c r="H5184">
        <v>2.6680000000000001</v>
      </c>
      <c r="I5184">
        <v>1.5269999999999999</v>
      </c>
      <c r="J5184">
        <v>8</v>
      </c>
      <c r="K5184">
        <v>42</v>
      </c>
      <c r="L5184">
        <v>21</v>
      </c>
      <c r="M5184" s="1">
        <v>9000000000</v>
      </c>
    </row>
    <row r="5185" spans="1:13" ht="15" customHeight="1">
      <c r="A5185" t="s">
        <v>56</v>
      </c>
      <c r="B5185">
        <f t="shared" si="318"/>
        <v>33.699644999999997</v>
      </c>
      <c r="C5185">
        <f t="shared" si="319"/>
        <v>-117.848384</v>
      </c>
      <c r="D5185">
        <f t="shared" si="320"/>
        <v>42</v>
      </c>
      <c r="E5185">
        <v>81.498999999999995</v>
      </c>
      <c r="F5185">
        <f t="shared" si="321"/>
        <v>-39.498999999999995</v>
      </c>
      <c r="G5185">
        <v>34.366999999999997</v>
      </c>
      <c r="H5185">
        <v>0.98699999999999999</v>
      </c>
      <c r="I5185">
        <v>2.7810000000000001</v>
      </c>
      <c r="J5185">
        <v>6</v>
      </c>
      <c r="K5185">
        <v>14</v>
      </c>
      <c r="L5185">
        <v>7</v>
      </c>
      <c r="M5185">
        <v>2.0289999999999999</v>
      </c>
    </row>
    <row r="5186" spans="1:13" ht="15" customHeight="1">
      <c r="A5186" t="s">
        <v>56</v>
      </c>
      <c r="B5186">
        <f t="shared" ref="B5186:B5249" si="322">VLOOKUP(A5186,XYdata,3,FALSE)</f>
        <v>33.699644999999997</v>
      </c>
      <c r="C5186">
        <f t="shared" ref="C5186:C5249" si="323">VLOOKUP(A5186,XYdata,2,FALSE)</f>
        <v>-117.848384</v>
      </c>
      <c r="D5186">
        <f t="shared" ref="D5186:D5249" si="324">VLOOKUP(A5186,Elevation,2,FALSE)</f>
        <v>42</v>
      </c>
      <c r="E5186">
        <v>82.498999999999995</v>
      </c>
      <c r="F5186">
        <f t="shared" si="321"/>
        <v>-40.498999999999995</v>
      </c>
      <c r="G5186">
        <v>31.95</v>
      </c>
      <c r="H5186">
        <v>1.083</v>
      </c>
      <c r="I5186">
        <v>3.2450000000000001</v>
      </c>
      <c r="J5186">
        <v>5</v>
      </c>
      <c r="K5186">
        <v>16</v>
      </c>
      <c r="L5186">
        <v>8</v>
      </c>
      <c r="M5186">
        <v>1.885</v>
      </c>
    </row>
    <row r="5187" spans="1:13" ht="15" customHeight="1">
      <c r="A5187" t="s">
        <v>56</v>
      </c>
      <c r="B5187">
        <f t="shared" si="322"/>
        <v>33.699644999999997</v>
      </c>
      <c r="C5187">
        <f t="shared" si="323"/>
        <v>-117.848384</v>
      </c>
      <c r="D5187">
        <f t="shared" si="324"/>
        <v>42</v>
      </c>
      <c r="E5187">
        <v>83.498999999999995</v>
      </c>
      <c r="F5187">
        <f t="shared" ref="F5187:F5250" si="325">D5187-E5187</f>
        <v>-41.498999999999995</v>
      </c>
      <c r="G5187">
        <v>40.170999999999999</v>
      </c>
      <c r="H5187">
        <v>1.331</v>
      </c>
      <c r="I5187">
        <v>3.2410000000000001</v>
      </c>
      <c r="J5187">
        <v>5</v>
      </c>
      <c r="K5187">
        <v>20</v>
      </c>
      <c r="L5187">
        <v>10</v>
      </c>
      <c r="M5187">
        <v>2.3940000000000001</v>
      </c>
    </row>
    <row r="5188" spans="1:13" ht="15" customHeight="1">
      <c r="A5188" t="s">
        <v>56</v>
      </c>
      <c r="B5188">
        <f t="shared" si="322"/>
        <v>33.699644999999997</v>
      </c>
      <c r="C5188">
        <f t="shared" si="323"/>
        <v>-117.848384</v>
      </c>
      <c r="D5188">
        <f t="shared" si="324"/>
        <v>42</v>
      </c>
      <c r="E5188">
        <v>84.498999999999995</v>
      </c>
      <c r="F5188">
        <f t="shared" si="325"/>
        <v>-42.498999999999995</v>
      </c>
      <c r="G5188">
        <v>47.417000000000002</v>
      </c>
      <c r="H5188">
        <v>1.65</v>
      </c>
      <c r="I5188">
        <v>3.41</v>
      </c>
      <c r="J5188">
        <v>5</v>
      </c>
      <c r="K5188">
        <v>23</v>
      </c>
      <c r="L5188">
        <v>12</v>
      </c>
      <c r="M5188">
        <v>2.8769999999999998</v>
      </c>
    </row>
    <row r="5189" spans="1:13" ht="15" customHeight="1">
      <c r="A5189" t="s">
        <v>56</v>
      </c>
      <c r="B5189">
        <f t="shared" si="322"/>
        <v>33.699644999999997</v>
      </c>
      <c r="C5189">
        <f t="shared" si="323"/>
        <v>-117.848384</v>
      </c>
      <c r="D5189">
        <f t="shared" si="324"/>
        <v>42</v>
      </c>
      <c r="E5189">
        <v>85.498999999999995</v>
      </c>
      <c r="F5189">
        <f t="shared" si="325"/>
        <v>-43.498999999999995</v>
      </c>
      <c r="G5189">
        <v>40.482999999999997</v>
      </c>
      <c r="H5189">
        <v>1.43</v>
      </c>
      <c r="I5189">
        <v>3.524</v>
      </c>
      <c r="J5189">
        <v>5</v>
      </c>
      <c r="K5189">
        <v>19</v>
      </c>
      <c r="L5189">
        <v>10</v>
      </c>
      <c r="M5189">
        <v>2.3530000000000002</v>
      </c>
    </row>
    <row r="5190" spans="1:13" ht="15" customHeight="1">
      <c r="A5190" t="s">
        <v>56</v>
      </c>
      <c r="B5190">
        <f t="shared" si="322"/>
        <v>33.699644999999997</v>
      </c>
      <c r="C5190">
        <f t="shared" si="323"/>
        <v>-117.848384</v>
      </c>
      <c r="D5190">
        <f t="shared" si="324"/>
        <v>42</v>
      </c>
      <c r="E5190">
        <v>86.498999999999995</v>
      </c>
      <c r="F5190">
        <f t="shared" si="325"/>
        <v>-44.498999999999995</v>
      </c>
      <c r="G5190">
        <v>87.516999999999996</v>
      </c>
      <c r="H5190">
        <v>2.3479999999999999</v>
      </c>
      <c r="I5190">
        <v>2.6709999999999998</v>
      </c>
      <c r="J5190">
        <v>6</v>
      </c>
      <c r="K5190">
        <v>34</v>
      </c>
      <c r="L5190">
        <v>17</v>
      </c>
      <c r="M5190">
        <v>5.5049999999999999</v>
      </c>
    </row>
    <row r="5191" spans="1:13" ht="15" customHeight="1">
      <c r="A5191" t="s">
        <v>56</v>
      </c>
      <c r="B5191">
        <f t="shared" si="322"/>
        <v>33.699644999999997</v>
      </c>
      <c r="C5191">
        <f t="shared" si="323"/>
        <v>-117.848384</v>
      </c>
      <c r="D5191">
        <f t="shared" si="324"/>
        <v>42</v>
      </c>
      <c r="E5191">
        <v>87.498999999999995</v>
      </c>
      <c r="F5191">
        <f t="shared" si="325"/>
        <v>-45.498999999999995</v>
      </c>
      <c r="G5191">
        <v>191.917</v>
      </c>
      <c r="H5191">
        <v>6.5430000000000001</v>
      </c>
      <c r="I5191">
        <v>3.4119999999999999</v>
      </c>
      <c r="J5191">
        <v>12</v>
      </c>
      <c r="K5191">
        <v>92</v>
      </c>
      <c r="L5191">
        <v>46</v>
      </c>
      <c r="M5191" s="1">
        <v>9000000000</v>
      </c>
    </row>
    <row r="5192" spans="1:13" ht="15" customHeight="1">
      <c r="A5192" t="s">
        <v>56</v>
      </c>
      <c r="B5192">
        <f t="shared" si="322"/>
        <v>33.699644999999997</v>
      </c>
      <c r="C5192">
        <f t="shared" si="323"/>
        <v>-117.848384</v>
      </c>
      <c r="D5192">
        <f t="shared" si="324"/>
        <v>42</v>
      </c>
      <c r="E5192">
        <v>88.498999999999995</v>
      </c>
      <c r="F5192">
        <f t="shared" si="325"/>
        <v>-46.498999999999995</v>
      </c>
      <c r="G5192">
        <v>389.46699999999998</v>
      </c>
      <c r="H5192">
        <v>9.82</v>
      </c>
      <c r="I5192">
        <v>2.5219999999999998</v>
      </c>
      <c r="J5192">
        <v>12</v>
      </c>
      <c r="K5192">
        <v>186</v>
      </c>
      <c r="L5192">
        <v>93</v>
      </c>
      <c r="M5192" s="1">
        <v>9000000000</v>
      </c>
    </row>
    <row r="5193" spans="1:13" ht="15" customHeight="1">
      <c r="A5193" t="s">
        <v>56</v>
      </c>
      <c r="B5193">
        <f t="shared" si="322"/>
        <v>33.699644999999997</v>
      </c>
      <c r="C5193">
        <f t="shared" si="323"/>
        <v>-117.848384</v>
      </c>
      <c r="D5193">
        <f t="shared" si="324"/>
        <v>42</v>
      </c>
      <c r="E5193">
        <v>89.498999999999995</v>
      </c>
      <c r="F5193">
        <f t="shared" si="325"/>
        <v>-47.498999999999995</v>
      </c>
      <c r="G5193">
        <v>280.46699999999998</v>
      </c>
      <c r="H5193">
        <v>8.52</v>
      </c>
      <c r="I5193">
        <v>3.0390000000000001</v>
      </c>
      <c r="J5193">
        <v>12</v>
      </c>
      <c r="K5193">
        <v>134</v>
      </c>
      <c r="L5193">
        <v>67</v>
      </c>
      <c r="M5193" s="1">
        <v>9000000000</v>
      </c>
    </row>
    <row r="5194" spans="1:13" ht="15" customHeight="1">
      <c r="A5194" t="s">
        <v>56</v>
      </c>
      <c r="B5194">
        <f t="shared" si="322"/>
        <v>33.699644999999997</v>
      </c>
      <c r="C5194">
        <f t="shared" si="323"/>
        <v>-117.848384</v>
      </c>
      <c r="D5194">
        <f t="shared" si="324"/>
        <v>42</v>
      </c>
      <c r="E5194">
        <v>90.498999999999995</v>
      </c>
      <c r="F5194">
        <f t="shared" si="325"/>
        <v>-48.498999999999995</v>
      </c>
      <c r="G5194">
        <v>153.1</v>
      </c>
      <c r="H5194">
        <v>4.008</v>
      </c>
      <c r="I5194">
        <v>2.62</v>
      </c>
      <c r="J5194">
        <v>7</v>
      </c>
      <c r="K5194">
        <v>49</v>
      </c>
      <c r="L5194">
        <v>25</v>
      </c>
      <c r="M5194" s="1">
        <v>9000000000</v>
      </c>
    </row>
    <row r="5195" spans="1:13" ht="15" customHeight="1">
      <c r="A5195" t="s">
        <v>56</v>
      </c>
      <c r="B5195">
        <f t="shared" si="322"/>
        <v>33.699644999999997</v>
      </c>
      <c r="C5195">
        <f t="shared" si="323"/>
        <v>-117.848384</v>
      </c>
      <c r="D5195">
        <f t="shared" si="324"/>
        <v>42</v>
      </c>
      <c r="E5195">
        <v>91.498999999999995</v>
      </c>
      <c r="F5195">
        <f t="shared" si="325"/>
        <v>-49.498999999999995</v>
      </c>
      <c r="G5195">
        <v>242.3</v>
      </c>
      <c r="H5195">
        <v>2.907</v>
      </c>
      <c r="I5195">
        <v>1.2</v>
      </c>
      <c r="J5195">
        <v>9</v>
      </c>
      <c r="K5195">
        <v>46</v>
      </c>
      <c r="L5195">
        <v>23</v>
      </c>
      <c r="M5195" s="1">
        <v>9000000000</v>
      </c>
    </row>
    <row r="5196" spans="1:13" ht="15" customHeight="1">
      <c r="A5196" t="s">
        <v>56</v>
      </c>
      <c r="B5196">
        <f t="shared" si="322"/>
        <v>33.699644999999997</v>
      </c>
      <c r="C5196">
        <f t="shared" si="323"/>
        <v>-117.848384</v>
      </c>
      <c r="D5196">
        <f t="shared" si="324"/>
        <v>42</v>
      </c>
      <c r="E5196">
        <v>92.498999999999995</v>
      </c>
      <c r="F5196">
        <f t="shared" si="325"/>
        <v>-50.498999999999995</v>
      </c>
      <c r="G5196">
        <v>63.582999999999998</v>
      </c>
      <c r="H5196">
        <v>2.4119999999999999</v>
      </c>
      <c r="I5196">
        <v>3.7610000000000001</v>
      </c>
      <c r="J5196">
        <v>5</v>
      </c>
      <c r="K5196">
        <v>31</v>
      </c>
      <c r="L5196">
        <v>16</v>
      </c>
      <c r="M5196">
        <v>3.8919999999999999</v>
      </c>
    </row>
    <row r="5197" spans="1:13" ht="15" customHeight="1">
      <c r="A5197" t="s">
        <v>56</v>
      </c>
      <c r="B5197">
        <f t="shared" si="322"/>
        <v>33.699644999999997</v>
      </c>
      <c r="C5197">
        <f t="shared" si="323"/>
        <v>-117.848384</v>
      </c>
      <c r="D5197">
        <f t="shared" si="324"/>
        <v>42</v>
      </c>
      <c r="E5197">
        <v>93.498999999999995</v>
      </c>
      <c r="F5197">
        <f t="shared" si="325"/>
        <v>-51.498999999999995</v>
      </c>
      <c r="G5197">
        <v>117.6</v>
      </c>
      <c r="H5197">
        <v>4.7629999999999999</v>
      </c>
      <c r="I5197">
        <v>4.0490000000000004</v>
      </c>
      <c r="J5197">
        <v>11</v>
      </c>
      <c r="K5197">
        <v>113</v>
      </c>
      <c r="L5197">
        <v>57</v>
      </c>
      <c r="M5197" s="1">
        <v>9000000000</v>
      </c>
    </row>
    <row r="5198" spans="1:13" ht="15" customHeight="1">
      <c r="A5198" t="s">
        <v>56</v>
      </c>
      <c r="B5198">
        <f t="shared" si="322"/>
        <v>33.699644999999997</v>
      </c>
      <c r="C5198">
        <f t="shared" si="323"/>
        <v>-117.848384</v>
      </c>
      <c r="D5198">
        <f t="shared" si="324"/>
        <v>42</v>
      </c>
      <c r="E5198">
        <v>94.498999999999995</v>
      </c>
      <c r="F5198">
        <f t="shared" si="325"/>
        <v>-52.498999999999995</v>
      </c>
      <c r="G5198">
        <v>123.18300000000001</v>
      </c>
      <c r="H5198">
        <v>5.0019999999999998</v>
      </c>
      <c r="I5198">
        <v>4.0599999999999996</v>
      </c>
      <c r="J5198">
        <v>11</v>
      </c>
      <c r="K5198">
        <v>118</v>
      </c>
      <c r="L5198">
        <v>59</v>
      </c>
      <c r="M5198" s="1">
        <v>9000000000</v>
      </c>
    </row>
    <row r="5199" spans="1:13" ht="15" customHeight="1">
      <c r="A5199" t="s">
        <v>56</v>
      </c>
      <c r="B5199">
        <f t="shared" si="322"/>
        <v>33.699644999999997</v>
      </c>
      <c r="C5199">
        <f t="shared" si="323"/>
        <v>-117.848384</v>
      </c>
      <c r="D5199">
        <f t="shared" si="324"/>
        <v>42</v>
      </c>
      <c r="E5199">
        <v>95.498999999999995</v>
      </c>
      <c r="F5199">
        <f t="shared" si="325"/>
        <v>-53.498999999999995</v>
      </c>
      <c r="G5199">
        <v>186.3</v>
      </c>
      <c r="H5199">
        <v>7.2569999999999997</v>
      </c>
      <c r="I5199">
        <v>3.8959999999999999</v>
      </c>
      <c r="J5199">
        <v>12</v>
      </c>
      <c r="K5199">
        <v>89</v>
      </c>
      <c r="L5199">
        <v>45</v>
      </c>
      <c r="M5199" s="1">
        <v>9000000000</v>
      </c>
    </row>
    <row r="5200" spans="1:13" ht="15" customHeight="1">
      <c r="A5200" t="s">
        <v>56</v>
      </c>
      <c r="B5200">
        <f t="shared" si="322"/>
        <v>33.699644999999997</v>
      </c>
      <c r="C5200">
        <f t="shared" si="323"/>
        <v>-117.848384</v>
      </c>
      <c r="D5200">
        <f t="shared" si="324"/>
        <v>42</v>
      </c>
      <c r="E5200">
        <v>96.498999999999995</v>
      </c>
      <c r="F5200">
        <f t="shared" si="325"/>
        <v>-54.498999999999995</v>
      </c>
      <c r="G5200">
        <v>108.06699999999999</v>
      </c>
      <c r="H5200">
        <v>3.96</v>
      </c>
      <c r="I5200">
        <v>3.6629999999999998</v>
      </c>
      <c r="J5200">
        <v>6</v>
      </c>
      <c r="K5200">
        <v>41</v>
      </c>
      <c r="L5200">
        <v>21</v>
      </c>
      <c r="M5200">
        <v>6.806</v>
      </c>
    </row>
    <row r="5201" spans="1:13" ht="15" customHeight="1">
      <c r="A5201" t="s">
        <v>56</v>
      </c>
      <c r="B5201">
        <f t="shared" si="322"/>
        <v>33.699644999999997</v>
      </c>
      <c r="C5201">
        <f t="shared" si="323"/>
        <v>-117.848384</v>
      </c>
      <c r="D5201">
        <f t="shared" si="324"/>
        <v>42</v>
      </c>
      <c r="E5201">
        <v>97.498999999999995</v>
      </c>
      <c r="F5201">
        <f t="shared" si="325"/>
        <v>-55.498999999999995</v>
      </c>
      <c r="G5201">
        <v>253.35</v>
      </c>
      <c r="H5201">
        <v>5.8479999999999999</v>
      </c>
      <c r="I5201">
        <v>2.3090000000000002</v>
      </c>
      <c r="J5201">
        <v>7</v>
      </c>
      <c r="K5201">
        <v>81</v>
      </c>
      <c r="L5201">
        <v>41</v>
      </c>
      <c r="M5201" s="1">
        <v>9000000000</v>
      </c>
    </row>
    <row r="5202" spans="1:13" ht="15" customHeight="1">
      <c r="A5202" t="s">
        <v>56</v>
      </c>
      <c r="B5202">
        <f t="shared" si="322"/>
        <v>33.699644999999997</v>
      </c>
      <c r="C5202">
        <f t="shared" si="323"/>
        <v>-117.848384</v>
      </c>
      <c r="D5202">
        <f t="shared" si="324"/>
        <v>42</v>
      </c>
      <c r="E5202">
        <v>98.498999999999995</v>
      </c>
      <c r="F5202">
        <f t="shared" si="325"/>
        <v>-56.498999999999995</v>
      </c>
      <c r="G5202">
        <v>210.78299999999999</v>
      </c>
      <c r="H5202">
        <v>7.1619999999999999</v>
      </c>
      <c r="I5202">
        <v>3.399</v>
      </c>
      <c r="J5202">
        <v>12</v>
      </c>
      <c r="K5202">
        <v>101</v>
      </c>
      <c r="L5202">
        <v>51</v>
      </c>
      <c r="M5202" s="1">
        <v>9000000000</v>
      </c>
    </row>
    <row r="5203" spans="1:13" ht="15" customHeight="1">
      <c r="A5203" t="s">
        <v>56</v>
      </c>
      <c r="B5203">
        <f t="shared" si="322"/>
        <v>33.699644999999997</v>
      </c>
      <c r="C5203">
        <f t="shared" si="323"/>
        <v>-117.848384</v>
      </c>
      <c r="D5203">
        <f t="shared" si="324"/>
        <v>42</v>
      </c>
      <c r="E5203">
        <v>99.498999999999995</v>
      </c>
      <c r="F5203">
        <f t="shared" si="325"/>
        <v>-57.498999999999995</v>
      </c>
      <c r="G5203">
        <v>278.95</v>
      </c>
      <c r="H5203">
        <v>7.3869999999999996</v>
      </c>
      <c r="I5203">
        <v>2.649</v>
      </c>
      <c r="J5203">
        <v>7</v>
      </c>
      <c r="K5203">
        <v>89</v>
      </c>
      <c r="L5203">
        <v>45</v>
      </c>
      <c r="M5203" s="1">
        <v>9000000000</v>
      </c>
    </row>
    <row r="5204" spans="1:13" ht="15" customHeight="1">
      <c r="A5204" t="s">
        <v>56</v>
      </c>
      <c r="B5204">
        <f t="shared" si="322"/>
        <v>33.699644999999997</v>
      </c>
      <c r="C5204">
        <f t="shared" si="323"/>
        <v>-117.848384</v>
      </c>
      <c r="D5204">
        <f t="shared" si="324"/>
        <v>42</v>
      </c>
      <c r="E5204">
        <v>100.499</v>
      </c>
      <c r="F5204">
        <f t="shared" si="325"/>
        <v>-58.498999999999995</v>
      </c>
      <c r="G5204">
        <v>290.233</v>
      </c>
      <c r="H5204">
        <v>4.6669999999999998</v>
      </c>
      <c r="I5204">
        <v>1.6080000000000001</v>
      </c>
      <c r="J5204">
        <v>8</v>
      </c>
      <c r="K5204">
        <v>70</v>
      </c>
      <c r="L5204">
        <v>35</v>
      </c>
      <c r="M5204" s="1">
        <v>9000000000</v>
      </c>
    </row>
    <row r="5205" spans="1:13" ht="15" customHeight="1">
      <c r="A5205" t="s">
        <v>56</v>
      </c>
      <c r="B5205">
        <f t="shared" si="322"/>
        <v>33.699644999999997</v>
      </c>
      <c r="C5205">
        <f t="shared" si="323"/>
        <v>-117.848384</v>
      </c>
      <c r="D5205">
        <f t="shared" si="324"/>
        <v>42</v>
      </c>
      <c r="E5205">
        <v>101.499</v>
      </c>
      <c r="F5205">
        <f t="shared" si="325"/>
        <v>-59.498999999999995</v>
      </c>
      <c r="G5205">
        <v>300.06700000000001</v>
      </c>
      <c r="H5205">
        <v>8.74</v>
      </c>
      <c r="I5205">
        <v>2.9119999999999999</v>
      </c>
      <c r="J5205">
        <v>12</v>
      </c>
      <c r="K5205">
        <v>144</v>
      </c>
      <c r="L5205">
        <v>72</v>
      </c>
      <c r="M5205" s="1">
        <v>9000000000</v>
      </c>
    </row>
    <row r="5206" spans="1:13" ht="15" customHeight="1">
      <c r="A5206" t="s">
        <v>56</v>
      </c>
      <c r="B5206">
        <f t="shared" si="322"/>
        <v>33.699644999999997</v>
      </c>
      <c r="C5206">
        <f t="shared" si="323"/>
        <v>-117.848384</v>
      </c>
      <c r="D5206">
        <f t="shared" si="324"/>
        <v>42</v>
      </c>
      <c r="E5206">
        <v>102.499</v>
      </c>
      <c r="F5206">
        <f t="shared" si="325"/>
        <v>-60.498999999999995</v>
      </c>
      <c r="G5206">
        <v>374.93299999999999</v>
      </c>
      <c r="H5206">
        <v>8.3330000000000002</v>
      </c>
      <c r="I5206">
        <v>2.222</v>
      </c>
      <c r="J5206">
        <v>8</v>
      </c>
      <c r="K5206">
        <v>90</v>
      </c>
      <c r="L5206">
        <v>45</v>
      </c>
      <c r="M5206" s="1">
        <v>9000000000</v>
      </c>
    </row>
    <row r="5207" spans="1:13" ht="15" customHeight="1">
      <c r="A5207" t="s">
        <v>56</v>
      </c>
      <c r="B5207">
        <f t="shared" si="322"/>
        <v>33.699644999999997</v>
      </c>
      <c r="C5207">
        <f t="shared" si="323"/>
        <v>-117.848384</v>
      </c>
      <c r="D5207">
        <f t="shared" si="324"/>
        <v>42</v>
      </c>
      <c r="E5207">
        <v>103.499</v>
      </c>
      <c r="F5207">
        <f t="shared" si="325"/>
        <v>-61.498999999999995</v>
      </c>
      <c r="G5207">
        <v>330.483</v>
      </c>
      <c r="H5207">
        <v>7.0629999999999997</v>
      </c>
      <c r="I5207">
        <v>2.1339999999999999</v>
      </c>
      <c r="J5207">
        <v>8</v>
      </c>
      <c r="K5207">
        <v>79</v>
      </c>
      <c r="L5207">
        <v>40</v>
      </c>
      <c r="M5207" s="1">
        <v>9000000000</v>
      </c>
    </row>
    <row r="5208" spans="1:13" ht="15" customHeight="1">
      <c r="A5208" t="s">
        <v>56</v>
      </c>
      <c r="B5208">
        <f t="shared" si="322"/>
        <v>33.699644999999997</v>
      </c>
      <c r="C5208">
        <f t="shared" si="323"/>
        <v>-117.848384</v>
      </c>
      <c r="D5208">
        <f t="shared" si="324"/>
        <v>42</v>
      </c>
      <c r="E5208">
        <v>104.499</v>
      </c>
      <c r="F5208">
        <f t="shared" si="325"/>
        <v>-62.498999999999995</v>
      </c>
      <c r="G5208">
        <v>225.25700000000001</v>
      </c>
      <c r="H5208">
        <v>5.0229999999999997</v>
      </c>
      <c r="I5208">
        <v>2.2240000000000002</v>
      </c>
      <c r="J5208">
        <v>7</v>
      </c>
      <c r="K5208">
        <v>72</v>
      </c>
      <c r="L5208">
        <v>36</v>
      </c>
      <c r="M5208" s="1">
        <v>9000000000</v>
      </c>
    </row>
    <row r="5209" spans="1:13" ht="15" customHeight="1">
      <c r="A5209" t="s">
        <v>56</v>
      </c>
      <c r="B5209">
        <f t="shared" si="322"/>
        <v>33.699644999999997</v>
      </c>
      <c r="C5209">
        <f t="shared" si="323"/>
        <v>-117.848384</v>
      </c>
      <c r="D5209">
        <f t="shared" si="324"/>
        <v>42</v>
      </c>
      <c r="E5209">
        <v>105.499</v>
      </c>
      <c r="F5209">
        <f t="shared" si="325"/>
        <v>-63.498999999999995</v>
      </c>
      <c r="G5209">
        <v>41.767000000000003</v>
      </c>
      <c r="H5209">
        <v>0.88500000000000001</v>
      </c>
      <c r="I5209">
        <v>2.0249999999999999</v>
      </c>
      <c r="J5209">
        <v>6</v>
      </c>
      <c r="K5209">
        <v>17</v>
      </c>
      <c r="L5209">
        <v>9</v>
      </c>
      <c r="M5209">
        <v>2.4750000000000001</v>
      </c>
    </row>
    <row r="5210" spans="1:13" ht="15" customHeight="1">
      <c r="A5210" t="s">
        <v>56</v>
      </c>
      <c r="B5210">
        <f t="shared" si="322"/>
        <v>33.699644999999997</v>
      </c>
      <c r="C5210">
        <f t="shared" si="323"/>
        <v>-117.848384</v>
      </c>
      <c r="D5210">
        <f t="shared" si="324"/>
        <v>42</v>
      </c>
      <c r="E5210">
        <v>106.499</v>
      </c>
      <c r="F5210">
        <f t="shared" si="325"/>
        <v>-64.498999999999995</v>
      </c>
      <c r="G5210">
        <v>38.982999999999997</v>
      </c>
      <c r="H5210">
        <v>0.90800000000000003</v>
      </c>
      <c r="I5210">
        <v>2.2360000000000002</v>
      </c>
      <c r="J5210">
        <v>6</v>
      </c>
      <c r="K5210">
        <v>16</v>
      </c>
      <c r="L5210">
        <v>8</v>
      </c>
      <c r="M5210">
        <v>2.2650000000000001</v>
      </c>
    </row>
    <row r="5211" spans="1:13" ht="15" customHeight="1">
      <c r="A5211" t="s">
        <v>56</v>
      </c>
      <c r="B5211">
        <f t="shared" si="322"/>
        <v>33.699644999999997</v>
      </c>
      <c r="C5211">
        <f t="shared" si="323"/>
        <v>-117.848384</v>
      </c>
      <c r="D5211">
        <f t="shared" si="324"/>
        <v>42</v>
      </c>
      <c r="E5211">
        <v>107.499</v>
      </c>
      <c r="F5211">
        <f t="shared" si="325"/>
        <v>-65.498999999999995</v>
      </c>
      <c r="G5211">
        <v>35.15</v>
      </c>
      <c r="H5211">
        <v>0.72499999999999998</v>
      </c>
      <c r="I5211">
        <v>1.9490000000000001</v>
      </c>
      <c r="J5211">
        <v>6</v>
      </c>
      <c r="K5211">
        <v>14</v>
      </c>
      <c r="L5211">
        <v>7</v>
      </c>
      <c r="M5211">
        <v>2.0329999999999999</v>
      </c>
    </row>
    <row r="5212" spans="1:13" ht="15" customHeight="1">
      <c r="A5212" t="s">
        <v>56</v>
      </c>
      <c r="B5212">
        <f t="shared" si="322"/>
        <v>33.699644999999997</v>
      </c>
      <c r="C5212">
        <f t="shared" si="323"/>
        <v>-117.848384</v>
      </c>
      <c r="D5212">
        <f t="shared" si="324"/>
        <v>42</v>
      </c>
      <c r="E5212">
        <v>108.499</v>
      </c>
      <c r="F5212">
        <f t="shared" si="325"/>
        <v>-66.498999999999995</v>
      </c>
      <c r="G5212">
        <v>35.017000000000003</v>
      </c>
      <c r="H5212">
        <v>0.80500000000000005</v>
      </c>
      <c r="I5212">
        <v>2.2010000000000001</v>
      </c>
      <c r="J5212">
        <v>6</v>
      </c>
      <c r="K5212">
        <v>14</v>
      </c>
      <c r="L5212">
        <v>7</v>
      </c>
      <c r="M5212">
        <v>1.9870000000000001</v>
      </c>
    </row>
    <row r="5213" spans="1:13" ht="15" customHeight="1">
      <c r="A5213" t="s">
        <v>56</v>
      </c>
      <c r="B5213">
        <f t="shared" si="322"/>
        <v>33.699644999999997</v>
      </c>
      <c r="C5213">
        <f t="shared" si="323"/>
        <v>-117.848384</v>
      </c>
      <c r="D5213">
        <f t="shared" si="324"/>
        <v>42</v>
      </c>
      <c r="E5213">
        <v>109.499</v>
      </c>
      <c r="F5213">
        <f t="shared" si="325"/>
        <v>-67.498999999999995</v>
      </c>
      <c r="G5213">
        <v>38.332999999999998</v>
      </c>
      <c r="H5213">
        <v>0.80500000000000005</v>
      </c>
      <c r="I5213">
        <v>2.0539999999999998</v>
      </c>
      <c r="J5213">
        <v>6</v>
      </c>
      <c r="K5213">
        <v>15</v>
      </c>
      <c r="L5213">
        <v>8</v>
      </c>
      <c r="M5213">
        <v>2.1579999999999999</v>
      </c>
    </row>
    <row r="5214" spans="1:13" ht="15" customHeight="1">
      <c r="A5214" t="s">
        <v>56</v>
      </c>
      <c r="B5214">
        <f t="shared" si="322"/>
        <v>33.699644999999997</v>
      </c>
      <c r="C5214">
        <f t="shared" si="323"/>
        <v>-117.848384</v>
      </c>
      <c r="D5214">
        <f t="shared" si="324"/>
        <v>42</v>
      </c>
      <c r="E5214">
        <v>110.499</v>
      </c>
      <c r="F5214">
        <f t="shared" si="325"/>
        <v>-68.498999999999995</v>
      </c>
      <c r="G5214">
        <v>41.067</v>
      </c>
      <c r="H5214">
        <v>0.82299999999999995</v>
      </c>
      <c r="I5214">
        <v>1.9159999999999999</v>
      </c>
      <c r="J5214">
        <v>6</v>
      </c>
      <c r="K5214">
        <v>16</v>
      </c>
      <c r="L5214">
        <v>8</v>
      </c>
      <c r="M5214">
        <v>2.4049999999999998</v>
      </c>
    </row>
    <row r="5215" spans="1:13" ht="15" customHeight="1">
      <c r="A5215" t="s">
        <v>56</v>
      </c>
      <c r="B5215">
        <f t="shared" si="322"/>
        <v>33.699644999999997</v>
      </c>
      <c r="C5215">
        <f t="shared" si="323"/>
        <v>-117.848384</v>
      </c>
      <c r="D5215">
        <f t="shared" si="324"/>
        <v>42</v>
      </c>
      <c r="E5215">
        <v>111.499</v>
      </c>
      <c r="F5215">
        <f t="shared" si="325"/>
        <v>-69.498999999999995</v>
      </c>
      <c r="G5215">
        <v>46.783000000000001</v>
      </c>
      <c r="H5215">
        <v>1.4179999999999999</v>
      </c>
      <c r="I5215">
        <v>2.9140000000000001</v>
      </c>
      <c r="J5215">
        <v>6</v>
      </c>
      <c r="K5215">
        <v>19</v>
      </c>
      <c r="L5215">
        <v>10</v>
      </c>
      <c r="M5215">
        <v>2.7810000000000001</v>
      </c>
    </row>
    <row r="5216" spans="1:13" ht="15" customHeight="1">
      <c r="A5216" t="s">
        <v>56</v>
      </c>
      <c r="B5216">
        <f t="shared" si="322"/>
        <v>33.699644999999997</v>
      </c>
      <c r="C5216">
        <f t="shared" si="323"/>
        <v>-117.848384</v>
      </c>
      <c r="D5216">
        <f t="shared" si="324"/>
        <v>42</v>
      </c>
      <c r="E5216">
        <v>112.499</v>
      </c>
      <c r="F5216">
        <f t="shared" si="325"/>
        <v>-70.498999999999995</v>
      </c>
      <c r="G5216">
        <v>33.433</v>
      </c>
      <c r="H5216">
        <v>0.92200000000000004</v>
      </c>
      <c r="I5216">
        <v>2.6320000000000001</v>
      </c>
      <c r="J5216">
        <v>6</v>
      </c>
      <c r="K5216">
        <v>13</v>
      </c>
      <c r="L5216">
        <v>7</v>
      </c>
      <c r="M5216">
        <v>1.867</v>
      </c>
    </row>
    <row r="5217" spans="1:13" ht="15" customHeight="1">
      <c r="A5217" t="s">
        <v>56</v>
      </c>
      <c r="B5217">
        <f t="shared" si="322"/>
        <v>33.699644999999997</v>
      </c>
      <c r="C5217">
        <f t="shared" si="323"/>
        <v>-117.848384</v>
      </c>
      <c r="D5217">
        <f t="shared" si="324"/>
        <v>42</v>
      </c>
      <c r="E5217">
        <v>113.499</v>
      </c>
      <c r="F5217">
        <f t="shared" si="325"/>
        <v>-71.498999999999995</v>
      </c>
      <c r="G5217">
        <v>35.683</v>
      </c>
      <c r="H5217">
        <v>1.07</v>
      </c>
      <c r="I5217">
        <v>2.8639999999999999</v>
      </c>
      <c r="J5217">
        <v>6</v>
      </c>
      <c r="K5217">
        <v>14</v>
      </c>
      <c r="L5217">
        <v>7</v>
      </c>
      <c r="M5217">
        <v>2.02</v>
      </c>
    </row>
    <row r="5218" spans="1:13" ht="15" customHeight="1">
      <c r="A5218" t="s">
        <v>56</v>
      </c>
      <c r="B5218">
        <f t="shared" si="322"/>
        <v>33.699644999999997</v>
      </c>
      <c r="C5218">
        <f t="shared" si="323"/>
        <v>-117.848384</v>
      </c>
      <c r="D5218">
        <f t="shared" si="324"/>
        <v>42</v>
      </c>
      <c r="E5218">
        <v>114.499</v>
      </c>
      <c r="F5218">
        <f t="shared" si="325"/>
        <v>-72.498999999999995</v>
      </c>
      <c r="G5218">
        <v>38.314</v>
      </c>
      <c r="H5218">
        <v>1.206</v>
      </c>
      <c r="I5218">
        <v>3.012</v>
      </c>
      <c r="J5218">
        <v>6</v>
      </c>
      <c r="K5218">
        <v>15</v>
      </c>
      <c r="L5218">
        <v>8</v>
      </c>
      <c r="M5218">
        <v>2.1930000000000001</v>
      </c>
    </row>
    <row r="5219" spans="1:13" ht="15" customHeight="1">
      <c r="A5219" t="s">
        <v>56</v>
      </c>
      <c r="B5219">
        <f t="shared" si="322"/>
        <v>33.699644999999997</v>
      </c>
      <c r="C5219">
        <f t="shared" si="323"/>
        <v>-117.848384</v>
      </c>
      <c r="D5219">
        <f t="shared" si="324"/>
        <v>42</v>
      </c>
      <c r="E5219">
        <v>115.499</v>
      </c>
      <c r="F5219">
        <f t="shared" si="325"/>
        <v>-73.498999999999995</v>
      </c>
      <c r="G5219">
        <v>42.482999999999997</v>
      </c>
      <c r="H5219">
        <v>1.4450000000000001</v>
      </c>
      <c r="I5219">
        <v>3.2879999999999998</v>
      </c>
      <c r="J5219">
        <v>5</v>
      </c>
      <c r="K5219">
        <v>21</v>
      </c>
      <c r="L5219">
        <v>11</v>
      </c>
      <c r="M5219">
        <v>2.4500000000000002</v>
      </c>
    </row>
    <row r="5220" spans="1:13" ht="15" customHeight="1">
      <c r="A5220" t="s">
        <v>56</v>
      </c>
      <c r="B5220">
        <f t="shared" si="322"/>
        <v>33.699644999999997</v>
      </c>
      <c r="C5220">
        <f t="shared" si="323"/>
        <v>-117.848384</v>
      </c>
      <c r="D5220">
        <f t="shared" si="324"/>
        <v>42</v>
      </c>
      <c r="E5220">
        <v>116.499</v>
      </c>
      <c r="F5220">
        <f t="shared" si="325"/>
        <v>-74.498999999999995</v>
      </c>
      <c r="G5220">
        <v>43.433</v>
      </c>
      <c r="H5220">
        <v>1.3879999999999999</v>
      </c>
      <c r="I5220">
        <v>3.1</v>
      </c>
      <c r="J5220">
        <v>6</v>
      </c>
      <c r="K5220">
        <v>17</v>
      </c>
      <c r="L5220">
        <v>9</v>
      </c>
      <c r="M5220">
        <v>2.5009999999999999</v>
      </c>
    </row>
    <row r="5221" spans="1:13" ht="15" customHeight="1">
      <c r="A5221" t="s">
        <v>56</v>
      </c>
      <c r="B5221">
        <f t="shared" si="322"/>
        <v>33.699644999999997</v>
      </c>
      <c r="C5221">
        <f t="shared" si="323"/>
        <v>-117.848384</v>
      </c>
      <c r="D5221">
        <f t="shared" si="324"/>
        <v>42</v>
      </c>
      <c r="E5221">
        <v>117.498</v>
      </c>
      <c r="F5221">
        <f t="shared" si="325"/>
        <v>-75.498000000000005</v>
      </c>
      <c r="G5221">
        <v>40.267000000000003</v>
      </c>
      <c r="H5221">
        <v>1.28</v>
      </c>
      <c r="I5221">
        <v>3.1080000000000001</v>
      </c>
      <c r="J5221">
        <v>5</v>
      </c>
      <c r="K5221">
        <v>20</v>
      </c>
      <c r="L5221">
        <v>10</v>
      </c>
      <c r="M5221">
        <v>2.2570000000000001</v>
      </c>
    </row>
    <row r="5222" spans="1:13" ht="15" customHeight="1">
      <c r="A5222" t="s">
        <v>56</v>
      </c>
      <c r="B5222">
        <f t="shared" si="322"/>
        <v>33.699644999999997</v>
      </c>
      <c r="C5222">
        <f t="shared" si="323"/>
        <v>-117.848384</v>
      </c>
      <c r="D5222">
        <f t="shared" si="324"/>
        <v>42</v>
      </c>
      <c r="E5222">
        <v>118.498</v>
      </c>
      <c r="F5222">
        <f t="shared" si="325"/>
        <v>-76.498000000000005</v>
      </c>
      <c r="G5222">
        <v>39.549999999999997</v>
      </c>
      <c r="H5222">
        <v>1.35</v>
      </c>
      <c r="I5222">
        <v>3.3090000000000002</v>
      </c>
      <c r="J5222">
        <v>5</v>
      </c>
      <c r="K5222">
        <v>20</v>
      </c>
      <c r="L5222">
        <v>10</v>
      </c>
      <c r="M5222">
        <v>2.2280000000000002</v>
      </c>
    </row>
    <row r="5223" spans="1:13" ht="15" customHeight="1">
      <c r="A5223" t="s">
        <v>56</v>
      </c>
      <c r="B5223">
        <f t="shared" si="322"/>
        <v>33.699644999999997</v>
      </c>
      <c r="C5223">
        <f t="shared" si="323"/>
        <v>-117.848384</v>
      </c>
      <c r="D5223">
        <f t="shared" si="324"/>
        <v>42</v>
      </c>
      <c r="E5223">
        <v>119.498</v>
      </c>
      <c r="F5223">
        <f t="shared" si="325"/>
        <v>-77.498000000000005</v>
      </c>
      <c r="G5223">
        <v>35.450000000000003</v>
      </c>
      <c r="H5223">
        <v>1.3</v>
      </c>
      <c r="I5223">
        <v>3.585</v>
      </c>
      <c r="J5223">
        <v>5</v>
      </c>
      <c r="K5223">
        <v>17</v>
      </c>
      <c r="L5223">
        <v>9</v>
      </c>
      <c r="M5223">
        <v>1.921</v>
      </c>
    </row>
    <row r="5224" spans="1:13" ht="15" customHeight="1">
      <c r="A5224" t="s">
        <v>56</v>
      </c>
      <c r="B5224">
        <f t="shared" si="322"/>
        <v>33.699644999999997</v>
      </c>
      <c r="C5224">
        <f t="shared" si="323"/>
        <v>-117.848384</v>
      </c>
      <c r="D5224">
        <f t="shared" si="324"/>
        <v>42</v>
      </c>
      <c r="E5224">
        <v>120.498</v>
      </c>
      <c r="F5224">
        <f t="shared" si="325"/>
        <v>-78.498000000000005</v>
      </c>
      <c r="G5224">
        <v>34.982999999999997</v>
      </c>
      <c r="H5224">
        <v>1.048</v>
      </c>
      <c r="I5224">
        <v>2.9239999999999999</v>
      </c>
      <c r="J5224">
        <v>6</v>
      </c>
      <c r="K5224">
        <v>14</v>
      </c>
      <c r="L5224">
        <v>7</v>
      </c>
      <c r="M5224">
        <v>1.889</v>
      </c>
    </row>
    <row r="5225" spans="1:13" ht="15" customHeight="1">
      <c r="A5225" t="s">
        <v>56</v>
      </c>
      <c r="B5225">
        <f t="shared" si="322"/>
        <v>33.699644999999997</v>
      </c>
      <c r="C5225">
        <f t="shared" si="323"/>
        <v>-117.848384</v>
      </c>
      <c r="D5225">
        <f t="shared" si="324"/>
        <v>42</v>
      </c>
      <c r="E5225">
        <v>121.498</v>
      </c>
      <c r="F5225">
        <f t="shared" si="325"/>
        <v>-79.498000000000005</v>
      </c>
      <c r="G5225">
        <v>39.15</v>
      </c>
      <c r="H5225">
        <v>1.23</v>
      </c>
      <c r="I5225">
        <v>3.0960000000000001</v>
      </c>
      <c r="J5225">
        <v>5</v>
      </c>
      <c r="K5225">
        <v>19</v>
      </c>
      <c r="L5225">
        <v>10</v>
      </c>
      <c r="M5225">
        <v>2.1440000000000001</v>
      </c>
    </row>
    <row r="5226" spans="1:13" ht="15" customHeight="1">
      <c r="A5226" t="s">
        <v>56</v>
      </c>
      <c r="B5226">
        <f t="shared" si="322"/>
        <v>33.699644999999997</v>
      </c>
      <c r="C5226">
        <f t="shared" si="323"/>
        <v>-117.848384</v>
      </c>
      <c r="D5226">
        <f t="shared" si="324"/>
        <v>42</v>
      </c>
      <c r="E5226">
        <v>122.498</v>
      </c>
      <c r="F5226">
        <f t="shared" si="325"/>
        <v>-80.498000000000005</v>
      </c>
      <c r="G5226">
        <v>35.232999999999997</v>
      </c>
      <c r="H5226">
        <v>1.385</v>
      </c>
      <c r="I5226">
        <v>3.8759999999999999</v>
      </c>
      <c r="J5226">
        <v>5</v>
      </c>
      <c r="K5226">
        <v>17</v>
      </c>
      <c r="L5226">
        <v>9</v>
      </c>
      <c r="M5226">
        <v>1.873</v>
      </c>
    </row>
    <row r="5227" spans="1:13" ht="15" customHeight="1">
      <c r="A5227" t="s">
        <v>56</v>
      </c>
      <c r="B5227">
        <f t="shared" si="322"/>
        <v>33.699644999999997</v>
      </c>
      <c r="C5227">
        <f t="shared" si="323"/>
        <v>-117.848384</v>
      </c>
      <c r="D5227">
        <f t="shared" si="324"/>
        <v>42</v>
      </c>
      <c r="E5227">
        <v>123.498</v>
      </c>
      <c r="F5227">
        <f t="shared" si="325"/>
        <v>-81.498000000000005</v>
      </c>
      <c r="G5227">
        <v>37.017000000000003</v>
      </c>
      <c r="H5227">
        <v>1.2430000000000001</v>
      </c>
      <c r="I5227">
        <v>3.2719999999999998</v>
      </c>
      <c r="J5227">
        <v>5</v>
      </c>
      <c r="K5227">
        <v>18</v>
      </c>
      <c r="L5227">
        <v>9</v>
      </c>
      <c r="M5227">
        <v>2.02</v>
      </c>
    </row>
    <row r="5228" spans="1:13" ht="15" customHeight="1">
      <c r="A5228" t="s">
        <v>56</v>
      </c>
      <c r="B5228">
        <f t="shared" si="322"/>
        <v>33.699644999999997</v>
      </c>
      <c r="C5228">
        <f t="shared" si="323"/>
        <v>-117.848384</v>
      </c>
      <c r="D5228">
        <f t="shared" si="324"/>
        <v>42</v>
      </c>
      <c r="E5228">
        <v>124.498</v>
      </c>
      <c r="F5228">
        <f t="shared" si="325"/>
        <v>-82.498000000000005</v>
      </c>
      <c r="G5228">
        <v>35.35</v>
      </c>
      <c r="H5228">
        <v>1.1679999999999999</v>
      </c>
      <c r="I5228">
        <v>3.21</v>
      </c>
      <c r="J5228">
        <v>5</v>
      </c>
      <c r="K5228">
        <v>17</v>
      </c>
      <c r="L5228">
        <v>9</v>
      </c>
      <c r="M5228">
        <v>1.909</v>
      </c>
    </row>
    <row r="5229" spans="1:13" ht="15" customHeight="1">
      <c r="A5229" t="s">
        <v>56</v>
      </c>
      <c r="B5229">
        <f t="shared" si="322"/>
        <v>33.699644999999997</v>
      </c>
      <c r="C5229">
        <f t="shared" si="323"/>
        <v>-117.848384</v>
      </c>
      <c r="D5229">
        <f t="shared" si="324"/>
        <v>42</v>
      </c>
      <c r="E5229">
        <v>125.498</v>
      </c>
      <c r="F5229">
        <f t="shared" si="325"/>
        <v>-83.498000000000005</v>
      </c>
      <c r="G5229">
        <v>35.029000000000003</v>
      </c>
      <c r="H5229">
        <v>1.1240000000000001</v>
      </c>
      <c r="I5229">
        <v>3.105</v>
      </c>
      <c r="J5229">
        <v>5</v>
      </c>
      <c r="K5229">
        <v>17</v>
      </c>
      <c r="L5229">
        <v>9</v>
      </c>
      <c r="M5229">
        <v>1.893</v>
      </c>
    </row>
    <row r="5230" spans="1:13" ht="15" customHeight="1">
      <c r="A5230" t="s">
        <v>56</v>
      </c>
      <c r="B5230">
        <f t="shared" si="322"/>
        <v>33.699644999999997</v>
      </c>
      <c r="C5230">
        <f t="shared" si="323"/>
        <v>-117.848384</v>
      </c>
      <c r="D5230">
        <f t="shared" si="324"/>
        <v>42</v>
      </c>
      <c r="E5230">
        <v>126.498</v>
      </c>
      <c r="F5230">
        <f t="shared" si="325"/>
        <v>-84.498000000000005</v>
      </c>
      <c r="G5230">
        <v>36.450000000000003</v>
      </c>
      <c r="H5230">
        <v>1.0269999999999999</v>
      </c>
      <c r="I5230">
        <v>2.6890000000000001</v>
      </c>
      <c r="J5230">
        <v>6</v>
      </c>
      <c r="K5230">
        <v>15</v>
      </c>
      <c r="L5230">
        <v>8</v>
      </c>
      <c r="M5230">
        <v>2.02</v>
      </c>
    </row>
    <row r="5231" spans="1:13" ht="15" customHeight="1">
      <c r="A5231" t="s">
        <v>56</v>
      </c>
      <c r="B5231">
        <f t="shared" si="322"/>
        <v>33.699644999999997</v>
      </c>
      <c r="C5231">
        <f t="shared" si="323"/>
        <v>-117.848384</v>
      </c>
      <c r="D5231">
        <f t="shared" si="324"/>
        <v>42</v>
      </c>
      <c r="E5231">
        <v>127.498</v>
      </c>
      <c r="F5231">
        <f t="shared" si="325"/>
        <v>-85.498000000000005</v>
      </c>
      <c r="G5231">
        <v>35.299999999999997</v>
      </c>
      <c r="H5231">
        <v>0.99299999999999999</v>
      </c>
      <c r="I5231">
        <v>2.6789999999999998</v>
      </c>
      <c r="J5231">
        <v>6</v>
      </c>
      <c r="K5231">
        <v>14</v>
      </c>
      <c r="L5231">
        <v>7</v>
      </c>
      <c r="M5231">
        <v>1.9419999999999999</v>
      </c>
    </row>
    <row r="5232" spans="1:13" ht="15" customHeight="1">
      <c r="A5232" t="s">
        <v>56</v>
      </c>
      <c r="B5232">
        <f t="shared" si="322"/>
        <v>33.699644999999997</v>
      </c>
      <c r="C5232">
        <f t="shared" si="323"/>
        <v>-117.848384</v>
      </c>
      <c r="D5232">
        <f t="shared" si="324"/>
        <v>42</v>
      </c>
      <c r="E5232">
        <v>128.49799999999999</v>
      </c>
      <c r="F5232">
        <f t="shared" si="325"/>
        <v>-86.49799999999999</v>
      </c>
      <c r="G5232">
        <v>36.450000000000003</v>
      </c>
      <c r="H5232">
        <v>1.0249999999999999</v>
      </c>
      <c r="I5232">
        <v>2.653</v>
      </c>
      <c r="J5232">
        <v>6</v>
      </c>
      <c r="K5232">
        <v>15</v>
      </c>
      <c r="L5232">
        <v>8</v>
      </c>
      <c r="M5232">
        <v>2.0409999999999999</v>
      </c>
    </row>
    <row r="5233" spans="1:13" ht="15" customHeight="1">
      <c r="A5233" t="s">
        <v>56</v>
      </c>
      <c r="B5233">
        <f t="shared" si="322"/>
        <v>33.699644999999997</v>
      </c>
      <c r="C5233">
        <f t="shared" si="323"/>
        <v>-117.848384</v>
      </c>
      <c r="D5233">
        <f t="shared" si="324"/>
        <v>42</v>
      </c>
      <c r="E5233">
        <v>129.49799999999999</v>
      </c>
      <c r="F5233">
        <f t="shared" si="325"/>
        <v>-87.49799999999999</v>
      </c>
      <c r="G5233">
        <v>39.4</v>
      </c>
      <c r="H5233">
        <v>1.0529999999999999</v>
      </c>
      <c r="I5233">
        <v>2.5049999999999999</v>
      </c>
      <c r="J5233">
        <v>6</v>
      </c>
      <c r="K5233">
        <v>16</v>
      </c>
      <c r="L5233">
        <v>8</v>
      </c>
      <c r="M5233">
        <v>2.2650000000000001</v>
      </c>
    </row>
    <row r="5234" spans="1:13" ht="15" customHeight="1">
      <c r="A5234" t="s">
        <v>56</v>
      </c>
      <c r="B5234">
        <f t="shared" si="322"/>
        <v>33.699644999999997</v>
      </c>
      <c r="C5234">
        <f t="shared" si="323"/>
        <v>-117.848384</v>
      </c>
      <c r="D5234">
        <f t="shared" si="324"/>
        <v>42</v>
      </c>
      <c r="E5234">
        <v>130.49799999999999</v>
      </c>
      <c r="F5234">
        <f t="shared" si="325"/>
        <v>-88.49799999999999</v>
      </c>
      <c r="G5234">
        <v>38.1</v>
      </c>
      <c r="H5234">
        <v>0</v>
      </c>
      <c r="I5234">
        <v>0</v>
      </c>
      <c r="J5234">
        <v>8</v>
      </c>
      <c r="K5234" s="1">
        <v>9000000000</v>
      </c>
      <c r="L5234" s="1">
        <v>9000000000</v>
      </c>
      <c r="M5234" s="1">
        <v>9000000000</v>
      </c>
    </row>
    <row r="5235" spans="1:13" ht="15" customHeight="1">
      <c r="A5235" t="s">
        <v>57</v>
      </c>
      <c r="B5235">
        <f t="shared" si="322"/>
        <v>33.698672999999999</v>
      </c>
      <c r="C5235">
        <f t="shared" si="323"/>
        <v>-117.849908</v>
      </c>
      <c r="D5235">
        <f t="shared" si="324"/>
        <v>41</v>
      </c>
      <c r="E5235">
        <v>0.5</v>
      </c>
      <c r="F5235">
        <f t="shared" si="325"/>
        <v>40.5</v>
      </c>
      <c r="G5235">
        <v>9.6999999999999993</v>
      </c>
      <c r="H5235">
        <v>7.6999999999999999E-2</v>
      </c>
      <c r="I5235">
        <v>0.79</v>
      </c>
      <c r="J5235">
        <v>5</v>
      </c>
      <c r="K5235">
        <v>5</v>
      </c>
      <c r="L5235">
        <v>8</v>
      </c>
      <c r="M5235">
        <v>0.64500000000000002</v>
      </c>
    </row>
    <row r="5236" spans="1:13" ht="15" customHeight="1">
      <c r="A5236" t="s">
        <v>57</v>
      </c>
      <c r="B5236">
        <f t="shared" si="322"/>
        <v>33.698672999999999</v>
      </c>
      <c r="C5236">
        <f t="shared" si="323"/>
        <v>-117.849908</v>
      </c>
      <c r="D5236">
        <f t="shared" si="324"/>
        <v>41</v>
      </c>
      <c r="E5236">
        <v>1.5</v>
      </c>
      <c r="F5236">
        <f t="shared" si="325"/>
        <v>39.5</v>
      </c>
      <c r="G5236">
        <v>74.332999999999998</v>
      </c>
      <c r="H5236">
        <v>3.2770000000000001</v>
      </c>
      <c r="I5236">
        <v>4.4029999999999996</v>
      </c>
      <c r="J5236">
        <v>5</v>
      </c>
      <c r="K5236">
        <v>36</v>
      </c>
      <c r="L5236">
        <v>54</v>
      </c>
      <c r="M5236">
        <v>4.9550000000000001</v>
      </c>
    </row>
    <row r="5237" spans="1:13" ht="15" customHeight="1">
      <c r="A5237" t="s">
        <v>57</v>
      </c>
      <c r="B5237">
        <f t="shared" si="322"/>
        <v>33.698672999999999</v>
      </c>
      <c r="C5237">
        <f t="shared" si="323"/>
        <v>-117.849908</v>
      </c>
      <c r="D5237">
        <f t="shared" si="324"/>
        <v>41</v>
      </c>
      <c r="E5237">
        <v>2.5</v>
      </c>
      <c r="F5237">
        <f t="shared" si="325"/>
        <v>38.5</v>
      </c>
      <c r="G5237">
        <v>23.1</v>
      </c>
      <c r="H5237">
        <v>1.1499999999999999</v>
      </c>
      <c r="I5237">
        <v>4.9640000000000004</v>
      </c>
      <c r="J5237">
        <v>3</v>
      </c>
      <c r="K5237">
        <v>22</v>
      </c>
      <c r="L5237">
        <v>33</v>
      </c>
      <c r="M5237">
        <v>1.534</v>
      </c>
    </row>
    <row r="5238" spans="1:13" ht="15" customHeight="1">
      <c r="A5238" t="s">
        <v>57</v>
      </c>
      <c r="B5238">
        <f t="shared" si="322"/>
        <v>33.698672999999999</v>
      </c>
      <c r="C5238">
        <f t="shared" si="323"/>
        <v>-117.849908</v>
      </c>
      <c r="D5238">
        <f t="shared" si="324"/>
        <v>41</v>
      </c>
      <c r="E5238">
        <v>3.5</v>
      </c>
      <c r="F5238">
        <f t="shared" si="325"/>
        <v>37.5</v>
      </c>
      <c r="G5238">
        <v>8.7669999999999995</v>
      </c>
      <c r="H5238">
        <v>0.24199999999999999</v>
      </c>
      <c r="I5238">
        <v>2.7509999999999999</v>
      </c>
      <c r="J5238">
        <v>4</v>
      </c>
      <c r="K5238">
        <v>6</v>
      </c>
      <c r="L5238">
        <v>9</v>
      </c>
      <c r="M5238">
        <v>0.57099999999999995</v>
      </c>
    </row>
    <row r="5239" spans="1:13" ht="15" customHeight="1">
      <c r="A5239" t="s">
        <v>57</v>
      </c>
      <c r="B5239">
        <f t="shared" si="322"/>
        <v>33.698672999999999</v>
      </c>
      <c r="C5239">
        <f t="shared" si="323"/>
        <v>-117.849908</v>
      </c>
      <c r="D5239">
        <f t="shared" si="324"/>
        <v>41</v>
      </c>
      <c r="E5239">
        <v>4.5</v>
      </c>
      <c r="F5239">
        <f t="shared" si="325"/>
        <v>36.5</v>
      </c>
      <c r="G5239">
        <v>15.016999999999999</v>
      </c>
      <c r="H5239">
        <v>0.80800000000000005</v>
      </c>
      <c r="I5239">
        <v>5.3890000000000002</v>
      </c>
      <c r="J5239">
        <v>3</v>
      </c>
      <c r="K5239">
        <v>14</v>
      </c>
      <c r="L5239">
        <v>21</v>
      </c>
      <c r="M5239">
        <v>0.98199999999999998</v>
      </c>
    </row>
    <row r="5240" spans="1:13" ht="15" customHeight="1">
      <c r="A5240" t="s">
        <v>57</v>
      </c>
      <c r="B5240">
        <f t="shared" si="322"/>
        <v>33.698672999999999</v>
      </c>
      <c r="C5240">
        <f t="shared" si="323"/>
        <v>-117.849908</v>
      </c>
      <c r="D5240">
        <f t="shared" si="324"/>
        <v>41</v>
      </c>
      <c r="E5240">
        <v>5.5</v>
      </c>
      <c r="F5240">
        <f t="shared" si="325"/>
        <v>35.5</v>
      </c>
      <c r="G5240">
        <v>18.933</v>
      </c>
      <c r="H5240">
        <v>1.077</v>
      </c>
      <c r="I5240">
        <v>5.6920000000000002</v>
      </c>
      <c r="J5240">
        <v>3</v>
      </c>
      <c r="K5240">
        <v>18</v>
      </c>
      <c r="L5240">
        <v>27</v>
      </c>
      <c r="M5240">
        <v>1.2390000000000001</v>
      </c>
    </row>
    <row r="5241" spans="1:13" ht="15" customHeight="1">
      <c r="A5241" t="s">
        <v>57</v>
      </c>
      <c r="B5241">
        <f t="shared" si="322"/>
        <v>33.698672999999999</v>
      </c>
      <c r="C5241">
        <f t="shared" si="323"/>
        <v>-117.849908</v>
      </c>
      <c r="D5241">
        <f t="shared" si="324"/>
        <v>41</v>
      </c>
      <c r="E5241">
        <v>6.5</v>
      </c>
      <c r="F5241">
        <f t="shared" si="325"/>
        <v>34.5</v>
      </c>
      <c r="G5241">
        <v>14.567</v>
      </c>
      <c r="H5241">
        <v>0.82799999999999996</v>
      </c>
      <c r="I5241">
        <v>5.7</v>
      </c>
      <c r="J5241">
        <v>3</v>
      </c>
      <c r="K5241">
        <v>14</v>
      </c>
      <c r="L5241">
        <v>21</v>
      </c>
      <c r="M5241">
        <v>0.94199999999999995</v>
      </c>
    </row>
    <row r="5242" spans="1:13" ht="15" customHeight="1">
      <c r="A5242" t="s">
        <v>57</v>
      </c>
      <c r="B5242">
        <f t="shared" si="322"/>
        <v>33.698672999999999</v>
      </c>
      <c r="C5242">
        <f t="shared" si="323"/>
        <v>-117.849908</v>
      </c>
      <c r="D5242">
        <f t="shared" si="324"/>
        <v>41</v>
      </c>
      <c r="E5242">
        <v>7.5</v>
      </c>
      <c r="F5242">
        <f t="shared" si="325"/>
        <v>33.5</v>
      </c>
      <c r="G5242">
        <v>12.25</v>
      </c>
      <c r="H5242">
        <v>0.47499999999999998</v>
      </c>
      <c r="I5242">
        <v>3.8620000000000001</v>
      </c>
      <c r="J5242">
        <v>3</v>
      </c>
      <c r="K5242">
        <v>12</v>
      </c>
      <c r="L5242">
        <v>18</v>
      </c>
      <c r="M5242">
        <v>0.78900000000000003</v>
      </c>
    </row>
    <row r="5243" spans="1:13" ht="15" customHeight="1">
      <c r="A5243" t="s">
        <v>57</v>
      </c>
      <c r="B5243">
        <f t="shared" si="322"/>
        <v>33.698672999999999</v>
      </c>
      <c r="C5243">
        <f t="shared" si="323"/>
        <v>-117.849908</v>
      </c>
      <c r="D5243">
        <f t="shared" si="324"/>
        <v>41</v>
      </c>
      <c r="E5243">
        <v>8.5</v>
      </c>
      <c r="F5243">
        <f t="shared" si="325"/>
        <v>32.5</v>
      </c>
      <c r="G5243">
        <v>9.9169999999999998</v>
      </c>
      <c r="H5243">
        <v>0.38200000000000001</v>
      </c>
      <c r="I5243">
        <v>3.823</v>
      </c>
      <c r="J5243">
        <v>3</v>
      </c>
      <c r="K5243">
        <v>10</v>
      </c>
      <c r="L5243">
        <v>15</v>
      </c>
      <c r="M5243">
        <v>0.63100000000000001</v>
      </c>
    </row>
    <row r="5244" spans="1:13" ht="15" customHeight="1">
      <c r="A5244" t="s">
        <v>57</v>
      </c>
      <c r="B5244">
        <f t="shared" si="322"/>
        <v>33.698672999999999</v>
      </c>
      <c r="C5244">
        <f t="shared" si="323"/>
        <v>-117.849908</v>
      </c>
      <c r="D5244">
        <f t="shared" si="324"/>
        <v>41</v>
      </c>
      <c r="E5244">
        <v>9.5</v>
      </c>
      <c r="F5244">
        <f t="shared" si="325"/>
        <v>31.5</v>
      </c>
      <c r="G5244">
        <v>9.75</v>
      </c>
      <c r="H5244">
        <v>0.29499999999999998</v>
      </c>
      <c r="I5244">
        <v>3.01</v>
      </c>
      <c r="J5244">
        <v>4</v>
      </c>
      <c r="K5244">
        <v>6</v>
      </c>
      <c r="L5244">
        <v>9</v>
      </c>
      <c r="M5244">
        <v>0.61399999999999999</v>
      </c>
    </row>
    <row r="5245" spans="1:13" ht="15" customHeight="1">
      <c r="A5245" t="s">
        <v>57</v>
      </c>
      <c r="B5245">
        <f t="shared" si="322"/>
        <v>33.698672999999999</v>
      </c>
      <c r="C5245">
        <f t="shared" si="323"/>
        <v>-117.849908</v>
      </c>
      <c r="D5245">
        <f t="shared" si="324"/>
        <v>41</v>
      </c>
      <c r="E5245">
        <v>10.5</v>
      </c>
      <c r="F5245">
        <f t="shared" si="325"/>
        <v>30.5</v>
      </c>
      <c r="G5245">
        <v>10.670999999999999</v>
      </c>
      <c r="H5245">
        <v>0.33</v>
      </c>
      <c r="I5245">
        <v>3.08</v>
      </c>
      <c r="J5245">
        <v>4</v>
      </c>
      <c r="K5245">
        <v>7</v>
      </c>
      <c r="L5245">
        <v>10</v>
      </c>
      <c r="M5245">
        <v>0.67100000000000004</v>
      </c>
    </row>
    <row r="5246" spans="1:13" ht="15" customHeight="1">
      <c r="A5246" t="s">
        <v>57</v>
      </c>
      <c r="B5246">
        <f t="shared" si="322"/>
        <v>33.698672999999999</v>
      </c>
      <c r="C5246">
        <f t="shared" si="323"/>
        <v>-117.849908</v>
      </c>
      <c r="D5246">
        <f t="shared" si="324"/>
        <v>41</v>
      </c>
      <c r="E5246">
        <v>11.5</v>
      </c>
      <c r="F5246">
        <f t="shared" si="325"/>
        <v>29.5</v>
      </c>
      <c r="G5246">
        <v>9.3000000000000007</v>
      </c>
      <c r="H5246">
        <v>0.27300000000000002</v>
      </c>
      <c r="I5246">
        <v>2.9289999999999998</v>
      </c>
      <c r="J5246">
        <v>4</v>
      </c>
      <c r="K5246">
        <v>6</v>
      </c>
      <c r="L5246">
        <v>8</v>
      </c>
      <c r="M5246">
        <v>0.57499999999999996</v>
      </c>
    </row>
    <row r="5247" spans="1:13" ht="15" customHeight="1">
      <c r="A5247" t="s">
        <v>57</v>
      </c>
      <c r="B5247">
        <f t="shared" si="322"/>
        <v>33.698672999999999</v>
      </c>
      <c r="C5247">
        <f t="shared" si="323"/>
        <v>-117.849908</v>
      </c>
      <c r="D5247">
        <f t="shared" si="324"/>
        <v>41</v>
      </c>
      <c r="E5247">
        <v>12.5</v>
      </c>
      <c r="F5247">
        <f t="shared" si="325"/>
        <v>28.5</v>
      </c>
      <c r="G5247">
        <v>8.1329999999999991</v>
      </c>
      <c r="H5247">
        <v>0.22800000000000001</v>
      </c>
      <c r="I5247">
        <v>2.802</v>
      </c>
      <c r="J5247">
        <v>4</v>
      </c>
      <c r="K5247">
        <v>5</v>
      </c>
      <c r="L5247">
        <v>6</v>
      </c>
      <c r="M5247">
        <v>0.49199999999999999</v>
      </c>
    </row>
    <row r="5248" spans="1:13" ht="15" customHeight="1">
      <c r="A5248" t="s">
        <v>57</v>
      </c>
      <c r="B5248">
        <f t="shared" si="322"/>
        <v>33.698672999999999</v>
      </c>
      <c r="C5248">
        <f t="shared" si="323"/>
        <v>-117.849908</v>
      </c>
      <c r="D5248">
        <f t="shared" si="324"/>
        <v>41</v>
      </c>
      <c r="E5248">
        <v>13.5</v>
      </c>
      <c r="F5248">
        <f t="shared" si="325"/>
        <v>27.5</v>
      </c>
      <c r="G5248">
        <v>11.8</v>
      </c>
      <c r="H5248">
        <v>0.442</v>
      </c>
      <c r="I5248">
        <v>3.7320000000000002</v>
      </c>
      <c r="J5248">
        <v>3</v>
      </c>
      <c r="K5248">
        <v>11</v>
      </c>
      <c r="L5248">
        <v>13</v>
      </c>
      <c r="M5248">
        <v>0.73399999999999999</v>
      </c>
    </row>
    <row r="5249" spans="1:13" ht="15" customHeight="1">
      <c r="A5249" t="s">
        <v>57</v>
      </c>
      <c r="B5249">
        <f t="shared" si="322"/>
        <v>33.698672999999999</v>
      </c>
      <c r="C5249">
        <f t="shared" si="323"/>
        <v>-117.849908</v>
      </c>
      <c r="D5249">
        <f t="shared" si="324"/>
        <v>41</v>
      </c>
      <c r="E5249">
        <v>14.5</v>
      </c>
      <c r="F5249">
        <f t="shared" si="325"/>
        <v>26.5</v>
      </c>
      <c r="G5249">
        <v>14.817</v>
      </c>
      <c r="H5249">
        <v>0.48299999999999998</v>
      </c>
      <c r="I5249">
        <v>3.258</v>
      </c>
      <c r="J5249">
        <v>4</v>
      </c>
      <c r="K5249">
        <v>9</v>
      </c>
      <c r="L5249">
        <v>10</v>
      </c>
      <c r="M5249">
        <v>0.93</v>
      </c>
    </row>
    <row r="5250" spans="1:13" ht="15" customHeight="1">
      <c r="A5250" t="s">
        <v>57</v>
      </c>
      <c r="B5250">
        <f t="shared" ref="B5250:B5313" si="326">VLOOKUP(A5250,XYdata,3,FALSE)</f>
        <v>33.698672999999999</v>
      </c>
      <c r="C5250">
        <f t="shared" ref="C5250:C5313" si="327">VLOOKUP(A5250,XYdata,2,FALSE)</f>
        <v>-117.849908</v>
      </c>
      <c r="D5250">
        <f t="shared" ref="D5250:D5313" si="328">VLOOKUP(A5250,Elevation,2,FALSE)</f>
        <v>41</v>
      </c>
      <c r="E5250">
        <v>15.5</v>
      </c>
      <c r="F5250">
        <f t="shared" si="325"/>
        <v>25.5</v>
      </c>
      <c r="G5250">
        <v>19.317</v>
      </c>
      <c r="H5250">
        <v>0.73699999999999999</v>
      </c>
      <c r="I5250">
        <v>3.81</v>
      </c>
      <c r="J5250">
        <v>4</v>
      </c>
      <c r="K5250">
        <v>12</v>
      </c>
      <c r="L5250">
        <v>13</v>
      </c>
      <c r="M5250">
        <v>1.226</v>
      </c>
    </row>
    <row r="5251" spans="1:13" ht="15" customHeight="1">
      <c r="A5251" t="s">
        <v>57</v>
      </c>
      <c r="B5251">
        <f t="shared" si="326"/>
        <v>33.698672999999999</v>
      </c>
      <c r="C5251">
        <f t="shared" si="327"/>
        <v>-117.849908</v>
      </c>
      <c r="D5251">
        <f t="shared" si="328"/>
        <v>41</v>
      </c>
      <c r="E5251">
        <v>16.5</v>
      </c>
      <c r="F5251">
        <f t="shared" ref="F5251:F5314" si="329">D5251-E5251</f>
        <v>24.5</v>
      </c>
      <c r="G5251">
        <v>20.533000000000001</v>
      </c>
      <c r="H5251">
        <v>0.89500000000000002</v>
      </c>
      <c r="I5251">
        <v>4.3520000000000003</v>
      </c>
      <c r="J5251">
        <v>3</v>
      </c>
      <c r="K5251">
        <v>20</v>
      </c>
      <c r="L5251">
        <v>20</v>
      </c>
      <c r="M5251">
        <v>1.304</v>
      </c>
    </row>
    <row r="5252" spans="1:13" ht="15" customHeight="1">
      <c r="A5252" t="s">
        <v>57</v>
      </c>
      <c r="B5252">
        <f t="shared" si="326"/>
        <v>33.698672999999999</v>
      </c>
      <c r="C5252">
        <f t="shared" si="327"/>
        <v>-117.849908</v>
      </c>
      <c r="D5252">
        <f t="shared" si="328"/>
        <v>41</v>
      </c>
      <c r="E5252">
        <v>17.5</v>
      </c>
      <c r="F5252">
        <f t="shared" si="329"/>
        <v>23.5</v>
      </c>
      <c r="G5252">
        <v>25.317</v>
      </c>
      <c r="H5252">
        <v>1.1519999999999999</v>
      </c>
      <c r="I5252">
        <v>4.5460000000000003</v>
      </c>
      <c r="J5252">
        <v>3</v>
      </c>
      <c r="K5252">
        <v>24</v>
      </c>
      <c r="L5252">
        <v>23</v>
      </c>
      <c r="M5252">
        <v>1.617</v>
      </c>
    </row>
    <row r="5253" spans="1:13" ht="15" customHeight="1">
      <c r="A5253" t="s">
        <v>57</v>
      </c>
      <c r="B5253">
        <f t="shared" si="326"/>
        <v>33.698672999999999</v>
      </c>
      <c r="C5253">
        <f t="shared" si="327"/>
        <v>-117.849908</v>
      </c>
      <c r="D5253">
        <f t="shared" si="328"/>
        <v>41</v>
      </c>
      <c r="E5253">
        <v>18.5</v>
      </c>
      <c r="F5253">
        <f t="shared" si="329"/>
        <v>22.5</v>
      </c>
      <c r="G5253">
        <v>25.817</v>
      </c>
      <c r="H5253">
        <v>0.69199999999999995</v>
      </c>
      <c r="I5253">
        <v>2.6760000000000002</v>
      </c>
      <c r="J5253">
        <v>6</v>
      </c>
      <c r="K5253">
        <v>10</v>
      </c>
      <c r="L5253">
        <v>9</v>
      </c>
      <c r="M5253">
        <v>1.6479999999999999</v>
      </c>
    </row>
    <row r="5254" spans="1:13" ht="15" customHeight="1">
      <c r="A5254" t="s">
        <v>57</v>
      </c>
      <c r="B5254">
        <f t="shared" si="326"/>
        <v>33.698672999999999</v>
      </c>
      <c r="C5254">
        <f t="shared" si="327"/>
        <v>-117.849908</v>
      </c>
      <c r="D5254">
        <f t="shared" si="328"/>
        <v>41</v>
      </c>
      <c r="E5254">
        <v>19.5</v>
      </c>
      <c r="F5254">
        <f t="shared" si="329"/>
        <v>21.5</v>
      </c>
      <c r="G5254">
        <v>28.733000000000001</v>
      </c>
      <c r="H5254">
        <v>0.86</v>
      </c>
      <c r="I5254">
        <v>2.984</v>
      </c>
      <c r="J5254">
        <v>5</v>
      </c>
      <c r="K5254">
        <v>14</v>
      </c>
      <c r="L5254">
        <v>12</v>
      </c>
      <c r="M5254">
        <v>1.841</v>
      </c>
    </row>
    <row r="5255" spans="1:13" ht="15" customHeight="1">
      <c r="A5255" t="s">
        <v>57</v>
      </c>
      <c r="B5255">
        <f t="shared" si="326"/>
        <v>33.698672999999999</v>
      </c>
      <c r="C5255">
        <f t="shared" si="327"/>
        <v>-117.849908</v>
      </c>
      <c r="D5255">
        <f t="shared" si="328"/>
        <v>41</v>
      </c>
      <c r="E5255">
        <v>20.5</v>
      </c>
      <c r="F5255">
        <f t="shared" si="329"/>
        <v>20.5</v>
      </c>
      <c r="G5255">
        <v>20.513999999999999</v>
      </c>
      <c r="H5255">
        <v>0.51600000000000001</v>
      </c>
      <c r="I5255">
        <v>2.4980000000000002</v>
      </c>
      <c r="J5255">
        <v>5</v>
      </c>
      <c r="K5255">
        <v>10</v>
      </c>
      <c r="L5255">
        <v>8</v>
      </c>
      <c r="M5255">
        <v>1.292</v>
      </c>
    </row>
    <row r="5256" spans="1:13" ht="15" customHeight="1">
      <c r="A5256" t="s">
        <v>57</v>
      </c>
      <c r="B5256">
        <f t="shared" si="326"/>
        <v>33.698672999999999</v>
      </c>
      <c r="C5256">
        <f t="shared" si="327"/>
        <v>-117.849908</v>
      </c>
      <c r="D5256">
        <f t="shared" si="328"/>
        <v>41</v>
      </c>
      <c r="E5256">
        <v>21.5</v>
      </c>
      <c r="F5256">
        <f t="shared" si="329"/>
        <v>19.5</v>
      </c>
      <c r="G5256">
        <v>35.732999999999997</v>
      </c>
      <c r="H5256">
        <v>0.48799999999999999</v>
      </c>
      <c r="I5256">
        <v>1.363</v>
      </c>
      <c r="J5256">
        <v>7</v>
      </c>
      <c r="K5256">
        <v>11</v>
      </c>
      <c r="L5256">
        <v>9</v>
      </c>
      <c r="M5256" s="1">
        <v>9000000000</v>
      </c>
    </row>
    <row r="5257" spans="1:13" ht="15" customHeight="1">
      <c r="A5257" t="s">
        <v>57</v>
      </c>
      <c r="B5257">
        <f t="shared" si="326"/>
        <v>33.698672999999999</v>
      </c>
      <c r="C5257">
        <f t="shared" si="327"/>
        <v>-117.849908</v>
      </c>
      <c r="D5257">
        <f t="shared" si="328"/>
        <v>41</v>
      </c>
      <c r="E5257">
        <v>22.5</v>
      </c>
      <c r="F5257">
        <f t="shared" si="329"/>
        <v>18.5</v>
      </c>
      <c r="G5257">
        <v>110.967</v>
      </c>
      <c r="H5257">
        <v>0.48299999999999998</v>
      </c>
      <c r="I5257">
        <v>0.436</v>
      </c>
      <c r="J5257">
        <v>9</v>
      </c>
      <c r="K5257">
        <v>21</v>
      </c>
      <c r="L5257">
        <v>16</v>
      </c>
      <c r="M5257" s="1">
        <v>9000000000</v>
      </c>
    </row>
    <row r="5258" spans="1:13" ht="15" customHeight="1">
      <c r="A5258" t="s">
        <v>57</v>
      </c>
      <c r="B5258">
        <f t="shared" si="326"/>
        <v>33.698672999999999</v>
      </c>
      <c r="C5258">
        <f t="shared" si="327"/>
        <v>-117.849908</v>
      </c>
      <c r="D5258">
        <f t="shared" si="328"/>
        <v>41</v>
      </c>
      <c r="E5258">
        <v>23.5</v>
      </c>
      <c r="F5258">
        <f t="shared" si="329"/>
        <v>17.5</v>
      </c>
      <c r="G5258">
        <v>141.80000000000001</v>
      </c>
      <c r="H5258">
        <v>1.0369999999999999</v>
      </c>
      <c r="I5258">
        <v>0.73099999999999998</v>
      </c>
      <c r="J5258">
        <v>9</v>
      </c>
      <c r="K5258">
        <v>27</v>
      </c>
      <c r="L5258">
        <v>20</v>
      </c>
      <c r="M5258" s="1">
        <v>9000000000</v>
      </c>
    </row>
    <row r="5259" spans="1:13" ht="15" customHeight="1">
      <c r="A5259" t="s">
        <v>57</v>
      </c>
      <c r="B5259">
        <f t="shared" si="326"/>
        <v>33.698672999999999</v>
      </c>
      <c r="C5259">
        <f t="shared" si="327"/>
        <v>-117.849908</v>
      </c>
      <c r="D5259">
        <f t="shared" si="328"/>
        <v>41</v>
      </c>
      <c r="E5259">
        <v>24.5</v>
      </c>
      <c r="F5259">
        <f t="shared" si="329"/>
        <v>16.5</v>
      </c>
      <c r="G5259">
        <v>154.06700000000001</v>
      </c>
      <c r="H5259">
        <v>0.86699999999999999</v>
      </c>
      <c r="I5259">
        <v>0.56200000000000006</v>
      </c>
      <c r="J5259">
        <v>9</v>
      </c>
      <c r="K5259">
        <v>30</v>
      </c>
      <c r="L5259">
        <v>22</v>
      </c>
      <c r="M5259" s="1">
        <v>9000000000</v>
      </c>
    </row>
    <row r="5260" spans="1:13" ht="15" customHeight="1">
      <c r="A5260" t="s">
        <v>57</v>
      </c>
      <c r="B5260">
        <f t="shared" si="326"/>
        <v>33.698672999999999</v>
      </c>
      <c r="C5260">
        <f t="shared" si="327"/>
        <v>-117.849908</v>
      </c>
      <c r="D5260">
        <f t="shared" si="328"/>
        <v>41</v>
      </c>
      <c r="E5260">
        <v>25.5</v>
      </c>
      <c r="F5260">
        <f t="shared" si="329"/>
        <v>15.5</v>
      </c>
      <c r="G5260">
        <v>162.93299999999999</v>
      </c>
      <c r="H5260">
        <v>0.64700000000000002</v>
      </c>
      <c r="I5260">
        <v>0.39700000000000002</v>
      </c>
      <c r="J5260">
        <v>9</v>
      </c>
      <c r="K5260">
        <v>31</v>
      </c>
      <c r="L5260">
        <v>22</v>
      </c>
      <c r="M5260" s="1">
        <v>9000000000</v>
      </c>
    </row>
    <row r="5261" spans="1:13" ht="15" customHeight="1">
      <c r="A5261" t="s">
        <v>57</v>
      </c>
      <c r="B5261">
        <f t="shared" si="326"/>
        <v>33.698672999999999</v>
      </c>
      <c r="C5261">
        <f t="shared" si="327"/>
        <v>-117.849908</v>
      </c>
      <c r="D5261">
        <f t="shared" si="328"/>
        <v>41</v>
      </c>
      <c r="E5261">
        <v>26.5</v>
      </c>
      <c r="F5261">
        <f t="shared" si="329"/>
        <v>14.5</v>
      </c>
      <c r="G5261">
        <v>204.61699999999999</v>
      </c>
      <c r="H5261">
        <v>1.998</v>
      </c>
      <c r="I5261">
        <v>0.97699999999999998</v>
      </c>
      <c r="J5261">
        <v>9</v>
      </c>
      <c r="K5261">
        <v>39</v>
      </c>
      <c r="L5261">
        <v>27</v>
      </c>
      <c r="M5261" s="1">
        <v>9000000000</v>
      </c>
    </row>
    <row r="5262" spans="1:13" ht="15" customHeight="1">
      <c r="A5262" t="s">
        <v>57</v>
      </c>
      <c r="B5262">
        <f t="shared" si="326"/>
        <v>33.698672999999999</v>
      </c>
      <c r="C5262">
        <f t="shared" si="327"/>
        <v>-117.849908</v>
      </c>
      <c r="D5262">
        <f t="shared" si="328"/>
        <v>41</v>
      </c>
      <c r="E5262">
        <v>27.5</v>
      </c>
      <c r="F5262">
        <f t="shared" si="329"/>
        <v>13.5</v>
      </c>
      <c r="G5262">
        <v>268.017</v>
      </c>
      <c r="H5262">
        <v>4.0350000000000001</v>
      </c>
      <c r="I5262">
        <v>1.506</v>
      </c>
      <c r="J5262">
        <v>8</v>
      </c>
      <c r="K5262">
        <v>64</v>
      </c>
      <c r="L5262">
        <v>44</v>
      </c>
      <c r="M5262" s="1">
        <v>9000000000</v>
      </c>
    </row>
    <row r="5263" spans="1:13" ht="15" customHeight="1">
      <c r="A5263" t="s">
        <v>57</v>
      </c>
      <c r="B5263">
        <f t="shared" si="326"/>
        <v>33.698672999999999</v>
      </c>
      <c r="C5263">
        <f t="shared" si="327"/>
        <v>-117.849908</v>
      </c>
      <c r="D5263">
        <f t="shared" si="328"/>
        <v>41</v>
      </c>
      <c r="E5263">
        <v>28.5</v>
      </c>
      <c r="F5263">
        <f t="shared" si="329"/>
        <v>12.5</v>
      </c>
      <c r="G5263">
        <v>372.9</v>
      </c>
      <c r="H5263">
        <v>4.7969999999999997</v>
      </c>
      <c r="I5263">
        <v>1.2869999999999999</v>
      </c>
      <c r="J5263">
        <v>9</v>
      </c>
      <c r="K5263">
        <v>71</v>
      </c>
      <c r="L5263">
        <v>48</v>
      </c>
      <c r="M5263" s="1">
        <v>9000000000</v>
      </c>
    </row>
    <row r="5264" spans="1:13" ht="15" customHeight="1">
      <c r="A5264" t="s">
        <v>57</v>
      </c>
      <c r="B5264">
        <f t="shared" si="326"/>
        <v>33.698672999999999</v>
      </c>
      <c r="C5264">
        <f t="shared" si="327"/>
        <v>-117.849908</v>
      </c>
      <c r="D5264">
        <f t="shared" si="328"/>
        <v>41</v>
      </c>
      <c r="E5264">
        <v>29.5</v>
      </c>
      <c r="F5264">
        <f t="shared" si="329"/>
        <v>11.5</v>
      </c>
      <c r="G5264">
        <v>350.71699999999998</v>
      </c>
      <c r="H5264">
        <v>3.5819999999999999</v>
      </c>
      <c r="I5264">
        <v>1.022</v>
      </c>
      <c r="J5264">
        <v>9</v>
      </c>
      <c r="K5264">
        <v>67</v>
      </c>
      <c r="L5264">
        <v>45</v>
      </c>
      <c r="M5264" s="1">
        <v>9000000000</v>
      </c>
    </row>
    <row r="5265" spans="1:13" ht="15" customHeight="1">
      <c r="A5265" t="s">
        <v>57</v>
      </c>
      <c r="B5265">
        <f t="shared" si="326"/>
        <v>33.698672999999999</v>
      </c>
      <c r="C5265">
        <f t="shared" si="327"/>
        <v>-117.849908</v>
      </c>
      <c r="D5265">
        <f t="shared" si="328"/>
        <v>41</v>
      </c>
      <c r="E5265">
        <v>30.5</v>
      </c>
      <c r="F5265">
        <f t="shared" si="329"/>
        <v>10.5</v>
      </c>
      <c r="G5265">
        <v>131.96700000000001</v>
      </c>
      <c r="H5265">
        <v>1.218</v>
      </c>
      <c r="I5265">
        <v>0.92400000000000004</v>
      </c>
      <c r="J5265">
        <v>8</v>
      </c>
      <c r="K5265">
        <v>32</v>
      </c>
      <c r="L5265">
        <v>21</v>
      </c>
      <c r="M5265" s="1">
        <v>9000000000</v>
      </c>
    </row>
    <row r="5266" spans="1:13" ht="15" customHeight="1">
      <c r="A5266" t="s">
        <v>57</v>
      </c>
      <c r="B5266">
        <f t="shared" si="326"/>
        <v>33.698672999999999</v>
      </c>
      <c r="C5266">
        <f t="shared" si="327"/>
        <v>-117.849908</v>
      </c>
      <c r="D5266">
        <f t="shared" si="328"/>
        <v>41</v>
      </c>
      <c r="E5266">
        <v>31.5</v>
      </c>
      <c r="F5266">
        <f t="shared" si="329"/>
        <v>9.5</v>
      </c>
      <c r="G5266">
        <v>73.813999999999993</v>
      </c>
      <c r="H5266">
        <v>3.4790000000000001</v>
      </c>
      <c r="I5266">
        <v>4.72</v>
      </c>
      <c r="J5266">
        <v>11</v>
      </c>
      <c r="K5266">
        <v>71</v>
      </c>
      <c r="L5266">
        <v>46</v>
      </c>
      <c r="M5266" s="1">
        <v>9000000000</v>
      </c>
    </row>
    <row r="5267" spans="1:13" ht="15" customHeight="1">
      <c r="A5267" t="s">
        <v>57</v>
      </c>
      <c r="B5267">
        <f t="shared" si="326"/>
        <v>33.698672999999999</v>
      </c>
      <c r="C5267">
        <f t="shared" si="327"/>
        <v>-117.849908</v>
      </c>
      <c r="D5267">
        <f t="shared" si="328"/>
        <v>41</v>
      </c>
      <c r="E5267">
        <v>32.5</v>
      </c>
      <c r="F5267">
        <f t="shared" si="329"/>
        <v>8.5</v>
      </c>
      <c r="G5267">
        <v>135.69999999999999</v>
      </c>
      <c r="H5267">
        <v>3.0350000000000001</v>
      </c>
      <c r="I5267">
        <v>2.2389999999999999</v>
      </c>
      <c r="J5267">
        <v>7</v>
      </c>
      <c r="K5267">
        <v>43</v>
      </c>
      <c r="L5267">
        <v>28</v>
      </c>
      <c r="M5267" s="1">
        <v>9000000000</v>
      </c>
    </row>
    <row r="5268" spans="1:13" ht="15" customHeight="1">
      <c r="A5268" t="s">
        <v>57</v>
      </c>
      <c r="B5268">
        <f t="shared" si="326"/>
        <v>33.698672999999999</v>
      </c>
      <c r="C5268">
        <f t="shared" si="327"/>
        <v>-117.849908</v>
      </c>
      <c r="D5268">
        <f t="shared" si="328"/>
        <v>41</v>
      </c>
      <c r="E5268">
        <v>33.5</v>
      </c>
      <c r="F5268">
        <f t="shared" si="329"/>
        <v>7.5</v>
      </c>
      <c r="G5268">
        <v>272.56700000000001</v>
      </c>
      <c r="H5268">
        <v>4.6920000000000002</v>
      </c>
      <c r="I5268">
        <v>1.722</v>
      </c>
      <c r="J5268">
        <v>8</v>
      </c>
      <c r="K5268">
        <v>65</v>
      </c>
      <c r="L5268">
        <v>41</v>
      </c>
      <c r="M5268" s="1">
        <v>9000000000</v>
      </c>
    </row>
    <row r="5269" spans="1:13" ht="15" customHeight="1">
      <c r="A5269" t="s">
        <v>57</v>
      </c>
      <c r="B5269">
        <f t="shared" si="326"/>
        <v>33.698672999999999</v>
      </c>
      <c r="C5269">
        <f t="shared" si="327"/>
        <v>-117.849908</v>
      </c>
      <c r="D5269">
        <f t="shared" si="328"/>
        <v>41</v>
      </c>
      <c r="E5269">
        <v>34.5</v>
      </c>
      <c r="F5269">
        <f t="shared" si="329"/>
        <v>6.5</v>
      </c>
      <c r="G5269">
        <v>259.35000000000002</v>
      </c>
      <c r="H5269">
        <v>4.3570000000000002</v>
      </c>
      <c r="I5269">
        <v>1.68</v>
      </c>
      <c r="J5269">
        <v>8</v>
      </c>
      <c r="K5269">
        <v>62</v>
      </c>
      <c r="L5269">
        <v>39</v>
      </c>
      <c r="M5269" s="1">
        <v>9000000000</v>
      </c>
    </row>
    <row r="5270" spans="1:13" ht="15" customHeight="1">
      <c r="A5270" t="s">
        <v>57</v>
      </c>
      <c r="B5270">
        <f t="shared" si="326"/>
        <v>33.698672999999999</v>
      </c>
      <c r="C5270">
        <f t="shared" si="327"/>
        <v>-117.849908</v>
      </c>
      <c r="D5270">
        <f t="shared" si="328"/>
        <v>41</v>
      </c>
      <c r="E5270">
        <v>35.5</v>
      </c>
      <c r="F5270">
        <f t="shared" si="329"/>
        <v>5.5</v>
      </c>
      <c r="G5270">
        <v>300.28300000000002</v>
      </c>
      <c r="H5270">
        <v>3.4329999999999998</v>
      </c>
      <c r="I5270">
        <v>1.1439999999999999</v>
      </c>
      <c r="J5270">
        <v>9</v>
      </c>
      <c r="K5270">
        <v>58</v>
      </c>
      <c r="L5270">
        <v>36</v>
      </c>
      <c r="M5270" s="1">
        <v>9000000000</v>
      </c>
    </row>
    <row r="5271" spans="1:13" ht="15" customHeight="1">
      <c r="A5271" t="s">
        <v>57</v>
      </c>
      <c r="B5271">
        <f t="shared" si="326"/>
        <v>33.698672999999999</v>
      </c>
      <c r="C5271">
        <f t="shared" si="327"/>
        <v>-117.849908</v>
      </c>
      <c r="D5271">
        <f t="shared" si="328"/>
        <v>41</v>
      </c>
      <c r="E5271">
        <v>36.5</v>
      </c>
      <c r="F5271">
        <f t="shared" si="329"/>
        <v>4.5</v>
      </c>
      <c r="G5271">
        <v>290.21699999999998</v>
      </c>
      <c r="H5271">
        <v>2.9129999999999998</v>
      </c>
      <c r="I5271">
        <v>1.004</v>
      </c>
      <c r="J5271">
        <v>9</v>
      </c>
      <c r="K5271">
        <v>56</v>
      </c>
      <c r="L5271">
        <v>34</v>
      </c>
      <c r="M5271" s="1">
        <v>9000000000</v>
      </c>
    </row>
    <row r="5272" spans="1:13" ht="15" customHeight="1">
      <c r="A5272" t="s">
        <v>57</v>
      </c>
      <c r="B5272">
        <f t="shared" si="326"/>
        <v>33.698672999999999</v>
      </c>
      <c r="C5272">
        <f t="shared" si="327"/>
        <v>-117.849908</v>
      </c>
      <c r="D5272">
        <f t="shared" si="328"/>
        <v>41</v>
      </c>
      <c r="E5272">
        <v>37.5</v>
      </c>
      <c r="F5272">
        <f t="shared" si="329"/>
        <v>3.5</v>
      </c>
      <c r="G5272">
        <v>253.95</v>
      </c>
      <c r="H5272">
        <v>3.0430000000000001</v>
      </c>
      <c r="I5272">
        <v>1.1990000000000001</v>
      </c>
      <c r="J5272">
        <v>9</v>
      </c>
      <c r="K5272">
        <v>49</v>
      </c>
      <c r="L5272">
        <v>30</v>
      </c>
      <c r="M5272" s="1">
        <v>9000000000</v>
      </c>
    </row>
    <row r="5273" spans="1:13" ht="15" customHeight="1">
      <c r="A5273" t="s">
        <v>57</v>
      </c>
      <c r="B5273">
        <f t="shared" si="326"/>
        <v>33.698672999999999</v>
      </c>
      <c r="C5273">
        <f t="shared" si="327"/>
        <v>-117.849908</v>
      </c>
      <c r="D5273">
        <f t="shared" si="328"/>
        <v>41</v>
      </c>
      <c r="E5273">
        <v>38.5</v>
      </c>
      <c r="F5273">
        <f t="shared" si="329"/>
        <v>2.5</v>
      </c>
      <c r="G5273">
        <v>232.167</v>
      </c>
      <c r="H5273">
        <v>3.2519999999999998</v>
      </c>
      <c r="I5273">
        <v>1.401</v>
      </c>
      <c r="J5273">
        <v>8</v>
      </c>
      <c r="K5273">
        <v>56</v>
      </c>
      <c r="L5273">
        <v>33</v>
      </c>
      <c r="M5273" s="1">
        <v>9000000000</v>
      </c>
    </row>
    <row r="5274" spans="1:13" ht="15" customHeight="1">
      <c r="A5274" t="s">
        <v>57</v>
      </c>
      <c r="B5274">
        <f t="shared" si="326"/>
        <v>33.698672999999999</v>
      </c>
      <c r="C5274">
        <f t="shared" si="327"/>
        <v>-117.849908</v>
      </c>
      <c r="D5274">
        <f t="shared" si="328"/>
        <v>41</v>
      </c>
      <c r="E5274">
        <v>39.5</v>
      </c>
      <c r="F5274">
        <f t="shared" si="329"/>
        <v>1.5</v>
      </c>
      <c r="G5274">
        <v>243.28299999999999</v>
      </c>
      <c r="H5274">
        <v>3.633</v>
      </c>
      <c r="I5274">
        <v>1.494</v>
      </c>
      <c r="J5274">
        <v>8</v>
      </c>
      <c r="K5274">
        <v>58</v>
      </c>
      <c r="L5274">
        <v>34</v>
      </c>
      <c r="M5274" s="1">
        <v>9000000000</v>
      </c>
    </row>
    <row r="5275" spans="1:13" ht="15" customHeight="1">
      <c r="A5275" t="s">
        <v>57</v>
      </c>
      <c r="B5275">
        <f t="shared" si="326"/>
        <v>33.698672999999999</v>
      </c>
      <c r="C5275">
        <f t="shared" si="327"/>
        <v>-117.849908</v>
      </c>
      <c r="D5275">
        <f t="shared" si="328"/>
        <v>41</v>
      </c>
      <c r="E5275">
        <v>40.5</v>
      </c>
      <c r="F5275">
        <f t="shared" si="329"/>
        <v>0.5</v>
      </c>
      <c r="G5275">
        <v>265.33300000000003</v>
      </c>
      <c r="H5275">
        <v>2.6419999999999999</v>
      </c>
      <c r="I5275">
        <v>0.996</v>
      </c>
      <c r="J5275">
        <v>9</v>
      </c>
      <c r="K5275">
        <v>51</v>
      </c>
      <c r="L5275">
        <v>30</v>
      </c>
      <c r="M5275" s="1">
        <v>9000000000</v>
      </c>
    </row>
    <row r="5276" spans="1:13" ht="15" customHeight="1">
      <c r="A5276" t="s">
        <v>57</v>
      </c>
      <c r="B5276">
        <f t="shared" si="326"/>
        <v>33.698672999999999</v>
      </c>
      <c r="C5276">
        <f t="shared" si="327"/>
        <v>-117.849908</v>
      </c>
      <c r="D5276">
        <f t="shared" si="328"/>
        <v>41</v>
      </c>
      <c r="E5276">
        <v>41.499000000000002</v>
      </c>
      <c r="F5276">
        <f t="shared" si="329"/>
        <v>-0.49900000000000233</v>
      </c>
      <c r="G5276">
        <v>302.17099999999999</v>
      </c>
      <c r="H5276">
        <v>2.7210000000000001</v>
      </c>
      <c r="I5276">
        <v>0.9</v>
      </c>
      <c r="J5276">
        <v>9</v>
      </c>
      <c r="K5276">
        <v>58</v>
      </c>
      <c r="L5276">
        <v>33</v>
      </c>
      <c r="M5276" s="1">
        <v>9000000000</v>
      </c>
    </row>
    <row r="5277" spans="1:13" ht="15" customHeight="1">
      <c r="A5277" t="s">
        <v>57</v>
      </c>
      <c r="B5277">
        <f t="shared" si="326"/>
        <v>33.698672999999999</v>
      </c>
      <c r="C5277">
        <f t="shared" si="327"/>
        <v>-117.849908</v>
      </c>
      <c r="D5277">
        <f t="shared" si="328"/>
        <v>41</v>
      </c>
      <c r="E5277">
        <v>42.499000000000002</v>
      </c>
      <c r="F5277">
        <f t="shared" si="329"/>
        <v>-1.4990000000000023</v>
      </c>
      <c r="G5277">
        <v>290.03300000000002</v>
      </c>
      <c r="H5277">
        <v>2.242</v>
      </c>
      <c r="I5277">
        <v>0.77300000000000002</v>
      </c>
      <c r="J5277">
        <v>9</v>
      </c>
      <c r="K5277">
        <v>56</v>
      </c>
      <c r="L5277">
        <v>32</v>
      </c>
      <c r="M5277" s="1">
        <v>9000000000</v>
      </c>
    </row>
    <row r="5278" spans="1:13" ht="15" customHeight="1">
      <c r="A5278" t="s">
        <v>57</v>
      </c>
      <c r="B5278">
        <f t="shared" si="326"/>
        <v>33.698672999999999</v>
      </c>
      <c r="C5278">
        <f t="shared" si="327"/>
        <v>-117.849908</v>
      </c>
      <c r="D5278">
        <f t="shared" si="328"/>
        <v>41</v>
      </c>
      <c r="E5278">
        <v>43.499000000000002</v>
      </c>
      <c r="F5278">
        <f t="shared" si="329"/>
        <v>-2.4990000000000023</v>
      </c>
      <c r="G5278">
        <v>109.81699999999999</v>
      </c>
      <c r="H5278">
        <v>2.052</v>
      </c>
      <c r="I5278">
        <v>1.863</v>
      </c>
      <c r="J5278">
        <v>7</v>
      </c>
      <c r="K5278">
        <v>35</v>
      </c>
      <c r="L5278">
        <v>20</v>
      </c>
      <c r="M5278" s="1">
        <v>9000000000</v>
      </c>
    </row>
    <row r="5279" spans="1:13" ht="15" customHeight="1">
      <c r="A5279" t="s">
        <v>57</v>
      </c>
      <c r="B5279">
        <f t="shared" si="326"/>
        <v>33.698672999999999</v>
      </c>
      <c r="C5279">
        <f t="shared" si="327"/>
        <v>-117.849908</v>
      </c>
      <c r="D5279">
        <f t="shared" si="328"/>
        <v>41</v>
      </c>
      <c r="E5279">
        <v>44.499000000000002</v>
      </c>
      <c r="F5279">
        <f t="shared" si="329"/>
        <v>-3.4990000000000023</v>
      </c>
      <c r="G5279">
        <v>22.033000000000001</v>
      </c>
      <c r="H5279">
        <v>0.49299999999999999</v>
      </c>
      <c r="I5279">
        <v>2.1389999999999998</v>
      </c>
      <c r="J5279">
        <v>6</v>
      </c>
      <c r="K5279">
        <v>9</v>
      </c>
      <c r="L5279">
        <v>5</v>
      </c>
      <c r="M5279">
        <v>1.3540000000000001</v>
      </c>
    </row>
    <row r="5280" spans="1:13" ht="15" customHeight="1">
      <c r="A5280" t="s">
        <v>57</v>
      </c>
      <c r="B5280">
        <f t="shared" si="326"/>
        <v>33.698672999999999</v>
      </c>
      <c r="C5280">
        <f t="shared" si="327"/>
        <v>-117.849908</v>
      </c>
      <c r="D5280">
        <f t="shared" si="328"/>
        <v>41</v>
      </c>
      <c r="E5280">
        <v>45.499000000000002</v>
      </c>
      <c r="F5280">
        <f t="shared" si="329"/>
        <v>-4.4990000000000023</v>
      </c>
      <c r="G5280">
        <v>24.317</v>
      </c>
      <c r="H5280">
        <v>0.59699999999999998</v>
      </c>
      <c r="I5280">
        <v>2.351</v>
      </c>
      <c r="J5280">
        <v>6</v>
      </c>
      <c r="K5280">
        <v>10</v>
      </c>
      <c r="L5280">
        <v>5</v>
      </c>
      <c r="M5280">
        <v>1.504</v>
      </c>
    </row>
    <row r="5281" spans="1:13" ht="15" customHeight="1">
      <c r="A5281" t="s">
        <v>57</v>
      </c>
      <c r="B5281">
        <f t="shared" si="326"/>
        <v>33.698672999999999</v>
      </c>
      <c r="C5281">
        <f t="shared" si="327"/>
        <v>-117.849908</v>
      </c>
      <c r="D5281">
        <f t="shared" si="328"/>
        <v>41</v>
      </c>
      <c r="E5281">
        <v>46.499000000000002</v>
      </c>
      <c r="F5281">
        <f t="shared" si="329"/>
        <v>-5.4990000000000023</v>
      </c>
      <c r="G5281">
        <v>29.533000000000001</v>
      </c>
      <c r="H5281">
        <v>0.84199999999999997</v>
      </c>
      <c r="I5281">
        <v>2.7480000000000002</v>
      </c>
      <c r="J5281">
        <v>6</v>
      </c>
      <c r="K5281">
        <v>12</v>
      </c>
      <c r="L5281">
        <v>7</v>
      </c>
      <c r="M5281">
        <v>1.85</v>
      </c>
    </row>
    <row r="5282" spans="1:13" ht="15" customHeight="1">
      <c r="A5282" t="s">
        <v>57</v>
      </c>
      <c r="B5282">
        <f t="shared" si="326"/>
        <v>33.698672999999999</v>
      </c>
      <c r="C5282">
        <f t="shared" si="327"/>
        <v>-117.849908</v>
      </c>
      <c r="D5282">
        <f t="shared" si="328"/>
        <v>41</v>
      </c>
      <c r="E5282">
        <v>47.499000000000002</v>
      </c>
      <c r="F5282">
        <f t="shared" si="329"/>
        <v>-6.4990000000000023</v>
      </c>
      <c r="G5282">
        <v>116.517</v>
      </c>
      <c r="H5282">
        <v>3.423</v>
      </c>
      <c r="I5282">
        <v>2.9289999999999998</v>
      </c>
      <c r="J5282">
        <v>6</v>
      </c>
      <c r="K5282">
        <v>45</v>
      </c>
      <c r="L5282">
        <v>24</v>
      </c>
      <c r="M5282">
        <v>7.5949999999999998</v>
      </c>
    </row>
    <row r="5283" spans="1:13" ht="15" customHeight="1">
      <c r="A5283" t="s">
        <v>57</v>
      </c>
      <c r="B5283">
        <f t="shared" si="326"/>
        <v>33.698672999999999</v>
      </c>
      <c r="C5283">
        <f t="shared" si="327"/>
        <v>-117.849908</v>
      </c>
      <c r="D5283">
        <f t="shared" si="328"/>
        <v>41</v>
      </c>
      <c r="E5283">
        <v>48.499000000000002</v>
      </c>
      <c r="F5283">
        <f t="shared" si="329"/>
        <v>-7.4990000000000023</v>
      </c>
      <c r="G5283">
        <v>63.383000000000003</v>
      </c>
      <c r="H5283">
        <v>2.875</v>
      </c>
      <c r="I5283">
        <v>4.5410000000000004</v>
      </c>
      <c r="J5283">
        <v>4</v>
      </c>
      <c r="K5283">
        <v>40</v>
      </c>
      <c r="L5283">
        <v>21</v>
      </c>
      <c r="M5283">
        <v>4.0209999999999999</v>
      </c>
    </row>
    <row r="5284" spans="1:13" ht="15" customHeight="1">
      <c r="A5284" t="s">
        <v>57</v>
      </c>
      <c r="B5284">
        <f t="shared" si="326"/>
        <v>33.698672999999999</v>
      </c>
      <c r="C5284">
        <f t="shared" si="327"/>
        <v>-117.849908</v>
      </c>
      <c r="D5284">
        <f t="shared" si="328"/>
        <v>41</v>
      </c>
      <c r="E5284">
        <v>49.499000000000002</v>
      </c>
      <c r="F5284">
        <f t="shared" si="329"/>
        <v>-8.4990000000000023</v>
      </c>
      <c r="G5284">
        <v>44.783000000000001</v>
      </c>
      <c r="H5284">
        <v>1.8049999999999999</v>
      </c>
      <c r="I5284">
        <v>4.0350000000000001</v>
      </c>
      <c r="J5284">
        <v>5</v>
      </c>
      <c r="K5284">
        <v>21</v>
      </c>
      <c r="L5284">
        <v>11</v>
      </c>
      <c r="M5284">
        <v>2.778</v>
      </c>
    </row>
    <row r="5285" spans="1:13" ht="15" customHeight="1">
      <c r="A5285" t="s">
        <v>57</v>
      </c>
      <c r="B5285">
        <f t="shared" si="326"/>
        <v>33.698672999999999</v>
      </c>
      <c r="C5285">
        <f t="shared" si="327"/>
        <v>-117.849908</v>
      </c>
      <c r="D5285">
        <f t="shared" si="328"/>
        <v>41</v>
      </c>
      <c r="E5285">
        <v>50.499000000000002</v>
      </c>
      <c r="F5285">
        <f t="shared" si="329"/>
        <v>-9.4990000000000023</v>
      </c>
      <c r="G5285">
        <v>93.617000000000004</v>
      </c>
      <c r="H5285">
        <v>2.9129999999999998</v>
      </c>
      <c r="I5285">
        <v>3.1139999999999999</v>
      </c>
      <c r="J5285">
        <v>6</v>
      </c>
      <c r="K5285">
        <v>36</v>
      </c>
      <c r="L5285">
        <v>19</v>
      </c>
      <c r="M5285">
        <v>6.0289999999999999</v>
      </c>
    </row>
    <row r="5286" spans="1:13" ht="15" customHeight="1">
      <c r="A5286" t="s">
        <v>57</v>
      </c>
      <c r="B5286">
        <f t="shared" si="326"/>
        <v>33.698672999999999</v>
      </c>
      <c r="C5286">
        <f t="shared" si="327"/>
        <v>-117.849908</v>
      </c>
      <c r="D5286">
        <f t="shared" si="328"/>
        <v>41</v>
      </c>
      <c r="E5286">
        <v>51.499000000000002</v>
      </c>
      <c r="F5286">
        <f t="shared" si="329"/>
        <v>-10.499000000000002</v>
      </c>
      <c r="G5286">
        <v>59.767000000000003</v>
      </c>
      <c r="H5286">
        <v>2</v>
      </c>
      <c r="I5286">
        <v>3.351</v>
      </c>
      <c r="J5286">
        <v>5</v>
      </c>
      <c r="K5286">
        <v>29</v>
      </c>
      <c r="L5286">
        <v>15</v>
      </c>
      <c r="M5286">
        <v>3.766</v>
      </c>
    </row>
    <row r="5287" spans="1:13" ht="15" customHeight="1">
      <c r="A5287" t="s">
        <v>57</v>
      </c>
      <c r="B5287">
        <f t="shared" si="326"/>
        <v>33.698672999999999</v>
      </c>
      <c r="C5287">
        <f t="shared" si="327"/>
        <v>-117.849908</v>
      </c>
      <c r="D5287">
        <f t="shared" si="328"/>
        <v>41</v>
      </c>
      <c r="E5287">
        <v>52.499000000000002</v>
      </c>
      <c r="F5287">
        <f t="shared" si="329"/>
        <v>-11.499000000000002</v>
      </c>
      <c r="G5287">
        <v>23.870999999999999</v>
      </c>
      <c r="H5287">
        <v>0.80300000000000005</v>
      </c>
      <c r="I5287">
        <v>3.371</v>
      </c>
      <c r="J5287">
        <v>5</v>
      </c>
      <c r="K5287">
        <v>11</v>
      </c>
      <c r="L5287">
        <v>6</v>
      </c>
      <c r="M5287">
        <v>1.371</v>
      </c>
    </row>
    <row r="5288" spans="1:13" ht="15" customHeight="1">
      <c r="A5288" t="s">
        <v>57</v>
      </c>
      <c r="B5288">
        <f t="shared" si="326"/>
        <v>33.698672999999999</v>
      </c>
      <c r="C5288">
        <f t="shared" si="327"/>
        <v>-117.849908</v>
      </c>
      <c r="D5288">
        <f t="shared" si="328"/>
        <v>41</v>
      </c>
      <c r="E5288">
        <v>53.499000000000002</v>
      </c>
      <c r="F5288">
        <f t="shared" si="329"/>
        <v>-12.499000000000002</v>
      </c>
      <c r="G5288">
        <v>25.733000000000001</v>
      </c>
      <c r="H5288">
        <v>0.85499999999999998</v>
      </c>
      <c r="I5288">
        <v>3.3359999999999999</v>
      </c>
      <c r="J5288">
        <v>5</v>
      </c>
      <c r="K5288">
        <v>12</v>
      </c>
      <c r="L5288">
        <v>6</v>
      </c>
      <c r="M5288">
        <v>1.488</v>
      </c>
    </row>
    <row r="5289" spans="1:13" ht="15" customHeight="1">
      <c r="A5289" t="s">
        <v>57</v>
      </c>
      <c r="B5289">
        <f t="shared" si="326"/>
        <v>33.698672999999999</v>
      </c>
      <c r="C5289">
        <f t="shared" si="327"/>
        <v>-117.849908</v>
      </c>
      <c r="D5289">
        <f t="shared" si="328"/>
        <v>41</v>
      </c>
      <c r="E5289">
        <v>54.499000000000002</v>
      </c>
      <c r="F5289">
        <f t="shared" si="329"/>
        <v>-13.499000000000002</v>
      </c>
      <c r="G5289">
        <v>24.2</v>
      </c>
      <c r="H5289">
        <v>0.878</v>
      </c>
      <c r="I5289">
        <v>3.6339999999999999</v>
      </c>
      <c r="J5289">
        <v>5</v>
      </c>
      <c r="K5289">
        <v>12</v>
      </c>
      <c r="L5289">
        <v>6</v>
      </c>
      <c r="M5289">
        <v>1.3859999999999999</v>
      </c>
    </row>
    <row r="5290" spans="1:13" ht="15" customHeight="1">
      <c r="A5290" t="s">
        <v>57</v>
      </c>
      <c r="B5290">
        <f t="shared" si="326"/>
        <v>33.698672999999999</v>
      </c>
      <c r="C5290">
        <f t="shared" si="327"/>
        <v>-117.849908</v>
      </c>
      <c r="D5290">
        <f t="shared" si="328"/>
        <v>41</v>
      </c>
      <c r="E5290">
        <v>55.499000000000002</v>
      </c>
      <c r="F5290">
        <f t="shared" si="329"/>
        <v>-14.499000000000002</v>
      </c>
      <c r="G5290">
        <v>26.9</v>
      </c>
      <c r="H5290">
        <v>0.87</v>
      </c>
      <c r="I5290">
        <v>3.2360000000000002</v>
      </c>
      <c r="J5290">
        <v>5</v>
      </c>
      <c r="K5290">
        <v>13</v>
      </c>
      <c r="L5290">
        <v>7</v>
      </c>
      <c r="M5290">
        <v>1.5629999999999999</v>
      </c>
    </row>
    <row r="5291" spans="1:13" ht="15" customHeight="1">
      <c r="A5291" t="s">
        <v>57</v>
      </c>
      <c r="B5291">
        <f t="shared" si="326"/>
        <v>33.698672999999999</v>
      </c>
      <c r="C5291">
        <f t="shared" si="327"/>
        <v>-117.849908</v>
      </c>
      <c r="D5291">
        <f t="shared" si="328"/>
        <v>41</v>
      </c>
      <c r="E5291">
        <v>56.499000000000002</v>
      </c>
      <c r="F5291">
        <f t="shared" si="329"/>
        <v>-15.499000000000002</v>
      </c>
      <c r="G5291">
        <v>26.283000000000001</v>
      </c>
      <c r="H5291">
        <v>0.85</v>
      </c>
      <c r="I5291">
        <v>3.234</v>
      </c>
      <c r="J5291">
        <v>5</v>
      </c>
      <c r="K5291">
        <v>13</v>
      </c>
      <c r="L5291">
        <v>7</v>
      </c>
      <c r="M5291">
        <v>1.5189999999999999</v>
      </c>
    </row>
    <row r="5292" spans="1:13" ht="15" customHeight="1">
      <c r="A5292" t="s">
        <v>57</v>
      </c>
      <c r="B5292">
        <f t="shared" si="326"/>
        <v>33.698672999999999</v>
      </c>
      <c r="C5292">
        <f t="shared" si="327"/>
        <v>-117.849908</v>
      </c>
      <c r="D5292">
        <f t="shared" si="328"/>
        <v>41</v>
      </c>
      <c r="E5292">
        <v>57.499000000000002</v>
      </c>
      <c r="F5292">
        <f t="shared" si="329"/>
        <v>-16.499000000000002</v>
      </c>
      <c r="G5292">
        <v>28.417000000000002</v>
      </c>
      <c r="H5292">
        <v>0.99299999999999999</v>
      </c>
      <c r="I5292">
        <v>3.5</v>
      </c>
      <c r="J5292">
        <v>5</v>
      </c>
      <c r="K5292">
        <v>14</v>
      </c>
      <c r="L5292">
        <v>7</v>
      </c>
      <c r="M5292">
        <v>1.6539999999999999</v>
      </c>
    </row>
    <row r="5293" spans="1:13" ht="15" customHeight="1">
      <c r="A5293" t="s">
        <v>57</v>
      </c>
      <c r="B5293">
        <f t="shared" si="326"/>
        <v>33.698672999999999</v>
      </c>
      <c r="C5293">
        <f t="shared" si="327"/>
        <v>-117.849908</v>
      </c>
      <c r="D5293">
        <f t="shared" si="328"/>
        <v>41</v>
      </c>
      <c r="E5293">
        <v>58.499000000000002</v>
      </c>
      <c r="F5293">
        <f t="shared" si="329"/>
        <v>-17.499000000000002</v>
      </c>
      <c r="G5293">
        <v>24.082999999999998</v>
      </c>
      <c r="H5293">
        <v>0.72299999999999998</v>
      </c>
      <c r="I5293">
        <v>2.9990000000000001</v>
      </c>
      <c r="J5293">
        <v>5</v>
      </c>
      <c r="K5293">
        <v>12</v>
      </c>
      <c r="L5293">
        <v>6</v>
      </c>
      <c r="M5293">
        <v>1.3660000000000001</v>
      </c>
    </row>
    <row r="5294" spans="1:13" ht="15" customHeight="1">
      <c r="A5294" t="s">
        <v>57</v>
      </c>
      <c r="B5294">
        <f t="shared" si="326"/>
        <v>33.698672999999999</v>
      </c>
      <c r="C5294">
        <f t="shared" si="327"/>
        <v>-117.849908</v>
      </c>
      <c r="D5294">
        <f t="shared" si="328"/>
        <v>41</v>
      </c>
      <c r="E5294">
        <v>59.499000000000002</v>
      </c>
      <c r="F5294">
        <f t="shared" si="329"/>
        <v>-18.499000000000002</v>
      </c>
      <c r="G5294">
        <v>24.167000000000002</v>
      </c>
      <c r="H5294">
        <v>0.64700000000000002</v>
      </c>
      <c r="I5294">
        <v>2.67</v>
      </c>
      <c r="J5294">
        <v>5</v>
      </c>
      <c r="K5294">
        <v>12</v>
      </c>
      <c r="L5294">
        <v>6</v>
      </c>
      <c r="M5294">
        <v>1.3680000000000001</v>
      </c>
    </row>
    <row r="5295" spans="1:13" ht="15" customHeight="1">
      <c r="A5295" t="s">
        <v>57</v>
      </c>
      <c r="B5295">
        <f t="shared" si="326"/>
        <v>33.698672999999999</v>
      </c>
      <c r="C5295">
        <f t="shared" si="327"/>
        <v>-117.849908</v>
      </c>
      <c r="D5295">
        <f t="shared" si="328"/>
        <v>41</v>
      </c>
      <c r="E5295">
        <v>60.499000000000002</v>
      </c>
      <c r="F5295">
        <f t="shared" si="329"/>
        <v>-19.499000000000002</v>
      </c>
      <c r="G5295">
        <v>27.05</v>
      </c>
      <c r="H5295">
        <v>0.68700000000000006</v>
      </c>
      <c r="I5295">
        <v>2.5339999999999998</v>
      </c>
      <c r="J5295">
        <v>6</v>
      </c>
      <c r="K5295">
        <v>10</v>
      </c>
      <c r="L5295">
        <v>5</v>
      </c>
      <c r="M5295">
        <v>1.556</v>
      </c>
    </row>
    <row r="5296" spans="1:13" ht="15" customHeight="1">
      <c r="A5296" t="s">
        <v>57</v>
      </c>
      <c r="B5296">
        <f t="shared" si="326"/>
        <v>33.698672999999999</v>
      </c>
      <c r="C5296">
        <f t="shared" si="327"/>
        <v>-117.849908</v>
      </c>
      <c r="D5296">
        <f t="shared" si="328"/>
        <v>41</v>
      </c>
      <c r="E5296">
        <v>61.499000000000002</v>
      </c>
      <c r="F5296">
        <f t="shared" si="329"/>
        <v>-20.499000000000002</v>
      </c>
      <c r="G5296">
        <v>26.4</v>
      </c>
      <c r="H5296">
        <v>0.745</v>
      </c>
      <c r="I5296">
        <v>2.7919999999999998</v>
      </c>
      <c r="J5296">
        <v>5</v>
      </c>
      <c r="K5296">
        <v>13</v>
      </c>
      <c r="L5296">
        <v>7</v>
      </c>
      <c r="M5296">
        <v>1.524</v>
      </c>
    </row>
    <row r="5297" spans="1:13" ht="15" customHeight="1">
      <c r="A5297" t="s">
        <v>57</v>
      </c>
      <c r="B5297">
        <f t="shared" si="326"/>
        <v>33.698672999999999</v>
      </c>
      <c r="C5297">
        <f t="shared" si="327"/>
        <v>-117.849908</v>
      </c>
      <c r="D5297">
        <f t="shared" si="328"/>
        <v>41</v>
      </c>
      <c r="E5297">
        <v>62.499000000000002</v>
      </c>
      <c r="F5297">
        <f t="shared" si="329"/>
        <v>-21.499000000000002</v>
      </c>
      <c r="G5297">
        <v>32.670999999999999</v>
      </c>
      <c r="H5297">
        <v>1.0669999999999999</v>
      </c>
      <c r="I5297">
        <v>3.218</v>
      </c>
      <c r="J5297">
        <v>5</v>
      </c>
      <c r="K5297">
        <v>16</v>
      </c>
      <c r="L5297">
        <v>8</v>
      </c>
      <c r="M5297">
        <v>1.952</v>
      </c>
    </row>
    <row r="5298" spans="1:13" ht="15" customHeight="1">
      <c r="A5298" t="s">
        <v>57</v>
      </c>
      <c r="B5298">
        <f t="shared" si="326"/>
        <v>33.698672999999999</v>
      </c>
      <c r="C5298">
        <f t="shared" si="327"/>
        <v>-117.849908</v>
      </c>
      <c r="D5298">
        <f t="shared" si="328"/>
        <v>41</v>
      </c>
      <c r="E5298">
        <v>63.499000000000002</v>
      </c>
      <c r="F5298">
        <f t="shared" si="329"/>
        <v>-22.499000000000002</v>
      </c>
      <c r="G5298">
        <v>30.483000000000001</v>
      </c>
      <c r="H5298">
        <v>0.91</v>
      </c>
      <c r="I5298">
        <v>2.92</v>
      </c>
      <c r="J5298">
        <v>5</v>
      </c>
      <c r="K5298">
        <v>15</v>
      </c>
      <c r="L5298">
        <v>8</v>
      </c>
      <c r="M5298">
        <v>1.8149999999999999</v>
      </c>
    </row>
    <row r="5299" spans="1:13" ht="15" customHeight="1">
      <c r="A5299" t="s">
        <v>57</v>
      </c>
      <c r="B5299">
        <f t="shared" si="326"/>
        <v>33.698672999999999</v>
      </c>
      <c r="C5299">
        <f t="shared" si="327"/>
        <v>-117.849908</v>
      </c>
      <c r="D5299">
        <f t="shared" si="328"/>
        <v>41</v>
      </c>
      <c r="E5299">
        <v>64.498999999999995</v>
      </c>
      <c r="F5299">
        <f t="shared" si="329"/>
        <v>-23.498999999999995</v>
      </c>
      <c r="G5299">
        <v>31.183</v>
      </c>
      <c r="H5299">
        <v>1.1970000000000001</v>
      </c>
      <c r="I5299">
        <v>3.7909999999999999</v>
      </c>
      <c r="J5299">
        <v>5</v>
      </c>
      <c r="K5299">
        <v>15</v>
      </c>
      <c r="L5299">
        <v>8</v>
      </c>
      <c r="M5299">
        <v>1.837</v>
      </c>
    </row>
    <row r="5300" spans="1:13" ht="15" customHeight="1">
      <c r="A5300" t="s">
        <v>57</v>
      </c>
      <c r="B5300">
        <f t="shared" si="326"/>
        <v>33.698672999999999</v>
      </c>
      <c r="C5300">
        <f t="shared" si="327"/>
        <v>-117.849908</v>
      </c>
      <c r="D5300">
        <f t="shared" si="328"/>
        <v>41</v>
      </c>
      <c r="E5300">
        <v>65.498999999999995</v>
      </c>
      <c r="F5300">
        <f t="shared" si="329"/>
        <v>-24.498999999999995</v>
      </c>
      <c r="G5300">
        <v>29.683</v>
      </c>
      <c r="H5300">
        <v>0.85199999999999998</v>
      </c>
      <c r="I5300">
        <v>2.8420000000000001</v>
      </c>
      <c r="J5300">
        <v>5</v>
      </c>
      <c r="K5300">
        <v>14</v>
      </c>
      <c r="L5300">
        <v>7</v>
      </c>
      <c r="M5300">
        <v>1.7270000000000001</v>
      </c>
    </row>
    <row r="5301" spans="1:13" ht="15" customHeight="1">
      <c r="A5301" t="s">
        <v>57</v>
      </c>
      <c r="B5301">
        <f t="shared" si="326"/>
        <v>33.698672999999999</v>
      </c>
      <c r="C5301">
        <f t="shared" si="327"/>
        <v>-117.849908</v>
      </c>
      <c r="D5301">
        <f t="shared" si="328"/>
        <v>41</v>
      </c>
      <c r="E5301">
        <v>66.498999999999995</v>
      </c>
      <c r="F5301">
        <f t="shared" si="329"/>
        <v>-25.498999999999995</v>
      </c>
      <c r="G5301">
        <v>25.067</v>
      </c>
      <c r="H5301">
        <v>0.70699999999999996</v>
      </c>
      <c r="I5301">
        <v>2.7890000000000001</v>
      </c>
      <c r="J5301">
        <v>5</v>
      </c>
      <c r="K5301">
        <v>12</v>
      </c>
      <c r="L5301">
        <v>6</v>
      </c>
      <c r="M5301">
        <v>1.4139999999999999</v>
      </c>
    </row>
    <row r="5302" spans="1:13" ht="15" customHeight="1">
      <c r="A5302" t="s">
        <v>57</v>
      </c>
      <c r="B5302">
        <f t="shared" si="326"/>
        <v>33.698672999999999</v>
      </c>
      <c r="C5302">
        <f t="shared" si="327"/>
        <v>-117.849908</v>
      </c>
      <c r="D5302">
        <f t="shared" si="328"/>
        <v>41</v>
      </c>
      <c r="E5302">
        <v>67.498999999999995</v>
      </c>
      <c r="F5302">
        <f t="shared" si="329"/>
        <v>-26.498999999999995</v>
      </c>
      <c r="G5302">
        <v>42.433</v>
      </c>
      <c r="H5302">
        <v>1.373</v>
      </c>
      <c r="I5302">
        <v>3.2090000000000001</v>
      </c>
      <c r="J5302">
        <v>5</v>
      </c>
      <c r="K5302">
        <v>20</v>
      </c>
      <c r="L5302">
        <v>10</v>
      </c>
      <c r="M5302">
        <v>2.5739999999999998</v>
      </c>
    </row>
    <row r="5303" spans="1:13" ht="15" customHeight="1">
      <c r="A5303" t="s">
        <v>57</v>
      </c>
      <c r="B5303">
        <f t="shared" si="326"/>
        <v>33.698672999999999</v>
      </c>
      <c r="C5303">
        <f t="shared" si="327"/>
        <v>-117.849908</v>
      </c>
      <c r="D5303">
        <f t="shared" si="328"/>
        <v>41</v>
      </c>
      <c r="E5303">
        <v>68.498999999999995</v>
      </c>
      <c r="F5303">
        <f t="shared" si="329"/>
        <v>-27.498999999999995</v>
      </c>
      <c r="G5303">
        <v>90.933000000000007</v>
      </c>
      <c r="H5303">
        <v>2.468</v>
      </c>
      <c r="I5303">
        <v>2.7149999999999999</v>
      </c>
      <c r="J5303">
        <v>6</v>
      </c>
      <c r="K5303">
        <v>35</v>
      </c>
      <c r="L5303">
        <v>18</v>
      </c>
      <c r="M5303">
        <v>5.7770000000000001</v>
      </c>
    </row>
    <row r="5304" spans="1:13" ht="15" customHeight="1">
      <c r="A5304" t="s">
        <v>57</v>
      </c>
      <c r="B5304">
        <f t="shared" si="326"/>
        <v>33.698672999999999</v>
      </c>
      <c r="C5304">
        <f t="shared" si="327"/>
        <v>-117.849908</v>
      </c>
      <c r="D5304">
        <f t="shared" si="328"/>
        <v>41</v>
      </c>
      <c r="E5304">
        <v>69.498999999999995</v>
      </c>
      <c r="F5304">
        <f t="shared" si="329"/>
        <v>-28.498999999999995</v>
      </c>
      <c r="G5304">
        <v>26.3</v>
      </c>
      <c r="H5304">
        <v>0.69</v>
      </c>
      <c r="I5304">
        <v>2.6240000000000001</v>
      </c>
      <c r="J5304">
        <v>6</v>
      </c>
      <c r="K5304">
        <v>10</v>
      </c>
      <c r="L5304">
        <v>5</v>
      </c>
      <c r="M5304">
        <v>1.4650000000000001</v>
      </c>
    </row>
    <row r="5305" spans="1:13" ht="15" customHeight="1">
      <c r="A5305" t="s">
        <v>57</v>
      </c>
      <c r="B5305">
        <f t="shared" si="326"/>
        <v>33.698672999999999</v>
      </c>
      <c r="C5305">
        <f t="shared" si="327"/>
        <v>-117.849908</v>
      </c>
      <c r="D5305">
        <f t="shared" si="328"/>
        <v>41</v>
      </c>
      <c r="E5305">
        <v>70.498999999999995</v>
      </c>
      <c r="F5305">
        <f t="shared" si="329"/>
        <v>-29.498999999999995</v>
      </c>
      <c r="G5305">
        <v>26.733000000000001</v>
      </c>
      <c r="H5305">
        <v>0.77200000000000002</v>
      </c>
      <c r="I5305">
        <v>2.8809999999999998</v>
      </c>
      <c r="J5305">
        <v>5</v>
      </c>
      <c r="K5305">
        <v>13</v>
      </c>
      <c r="L5305">
        <v>7</v>
      </c>
      <c r="M5305">
        <v>1.494</v>
      </c>
    </row>
    <row r="5306" spans="1:13" ht="15" customHeight="1">
      <c r="A5306" t="s">
        <v>57</v>
      </c>
      <c r="B5306">
        <f t="shared" si="326"/>
        <v>33.698672999999999</v>
      </c>
      <c r="C5306">
        <f t="shared" si="327"/>
        <v>-117.849908</v>
      </c>
      <c r="D5306">
        <f t="shared" si="328"/>
        <v>41</v>
      </c>
      <c r="E5306">
        <v>71.498999999999995</v>
      </c>
      <c r="F5306">
        <f t="shared" si="329"/>
        <v>-30.498999999999995</v>
      </c>
      <c r="G5306">
        <v>30.483000000000001</v>
      </c>
      <c r="H5306">
        <v>0.99199999999999999</v>
      </c>
      <c r="I5306">
        <v>3.2480000000000002</v>
      </c>
      <c r="J5306">
        <v>5</v>
      </c>
      <c r="K5306">
        <v>15</v>
      </c>
      <c r="L5306">
        <v>8</v>
      </c>
      <c r="M5306">
        <v>1.7390000000000001</v>
      </c>
    </row>
    <row r="5307" spans="1:13" ht="15" customHeight="1">
      <c r="A5307" t="s">
        <v>57</v>
      </c>
      <c r="B5307">
        <f t="shared" si="326"/>
        <v>33.698672999999999</v>
      </c>
      <c r="C5307">
        <f t="shared" si="327"/>
        <v>-117.849908</v>
      </c>
      <c r="D5307">
        <f t="shared" si="328"/>
        <v>41</v>
      </c>
      <c r="E5307">
        <v>72.498999999999995</v>
      </c>
      <c r="F5307">
        <f t="shared" si="329"/>
        <v>-31.498999999999995</v>
      </c>
      <c r="G5307">
        <v>28.443000000000001</v>
      </c>
      <c r="H5307">
        <v>0.94599999999999995</v>
      </c>
      <c r="I5307">
        <v>3.3149999999999999</v>
      </c>
      <c r="J5307">
        <v>5</v>
      </c>
      <c r="K5307">
        <v>14</v>
      </c>
      <c r="L5307">
        <v>7</v>
      </c>
      <c r="M5307">
        <v>1.6020000000000001</v>
      </c>
    </row>
    <row r="5308" spans="1:13" ht="15" customHeight="1">
      <c r="A5308" t="s">
        <v>57</v>
      </c>
      <c r="B5308">
        <f t="shared" si="326"/>
        <v>33.698672999999999</v>
      </c>
      <c r="C5308">
        <f t="shared" si="327"/>
        <v>-117.849908</v>
      </c>
      <c r="D5308">
        <f t="shared" si="328"/>
        <v>41</v>
      </c>
      <c r="E5308">
        <v>73.498999999999995</v>
      </c>
      <c r="F5308">
        <f t="shared" si="329"/>
        <v>-32.498999999999995</v>
      </c>
      <c r="G5308">
        <v>50.033000000000001</v>
      </c>
      <c r="H5308">
        <v>1.887</v>
      </c>
      <c r="I5308">
        <v>3.738</v>
      </c>
      <c r="J5308">
        <v>5</v>
      </c>
      <c r="K5308">
        <v>24</v>
      </c>
      <c r="L5308">
        <v>12</v>
      </c>
      <c r="M5308">
        <v>3.06</v>
      </c>
    </row>
    <row r="5309" spans="1:13" ht="15" customHeight="1">
      <c r="A5309" t="s">
        <v>57</v>
      </c>
      <c r="B5309">
        <f t="shared" si="326"/>
        <v>33.698672999999999</v>
      </c>
      <c r="C5309">
        <f t="shared" si="327"/>
        <v>-117.849908</v>
      </c>
      <c r="D5309">
        <f t="shared" si="328"/>
        <v>41</v>
      </c>
      <c r="E5309">
        <v>74.498999999999995</v>
      </c>
      <c r="F5309">
        <f t="shared" si="329"/>
        <v>-33.498999999999995</v>
      </c>
      <c r="G5309">
        <v>269.41699999999997</v>
      </c>
      <c r="H5309">
        <v>5.7050000000000001</v>
      </c>
      <c r="I5309">
        <v>2.1179999999999999</v>
      </c>
      <c r="J5309">
        <v>8</v>
      </c>
      <c r="K5309">
        <v>65</v>
      </c>
      <c r="L5309">
        <v>33</v>
      </c>
      <c r="M5309" s="1">
        <v>9000000000</v>
      </c>
    </row>
    <row r="5310" spans="1:13" ht="15" customHeight="1">
      <c r="A5310" t="s">
        <v>57</v>
      </c>
      <c r="B5310">
        <f t="shared" si="326"/>
        <v>33.698672999999999</v>
      </c>
      <c r="C5310">
        <f t="shared" si="327"/>
        <v>-117.849908</v>
      </c>
      <c r="D5310">
        <f t="shared" si="328"/>
        <v>41</v>
      </c>
      <c r="E5310">
        <v>75.498999999999995</v>
      </c>
      <c r="F5310">
        <f t="shared" si="329"/>
        <v>-34.498999999999995</v>
      </c>
      <c r="G5310">
        <v>33.383000000000003</v>
      </c>
      <c r="H5310">
        <v>1.3149999999999999</v>
      </c>
      <c r="I5310">
        <v>3.9409999999999998</v>
      </c>
      <c r="J5310">
        <v>4</v>
      </c>
      <c r="K5310">
        <v>21</v>
      </c>
      <c r="L5310">
        <v>11</v>
      </c>
      <c r="M5310">
        <v>1.9119999999999999</v>
      </c>
    </row>
    <row r="5311" spans="1:13" ht="15" customHeight="1">
      <c r="A5311" t="s">
        <v>57</v>
      </c>
      <c r="B5311">
        <f t="shared" si="326"/>
        <v>33.698672999999999</v>
      </c>
      <c r="C5311">
        <f t="shared" si="327"/>
        <v>-117.849908</v>
      </c>
      <c r="D5311">
        <f t="shared" si="328"/>
        <v>41</v>
      </c>
      <c r="E5311">
        <v>76.498999999999995</v>
      </c>
      <c r="F5311">
        <f t="shared" si="329"/>
        <v>-35.498999999999995</v>
      </c>
      <c r="G5311">
        <v>28.466999999999999</v>
      </c>
      <c r="H5311">
        <v>0.752</v>
      </c>
      <c r="I5311">
        <v>2.641</v>
      </c>
      <c r="J5311">
        <v>6</v>
      </c>
      <c r="K5311">
        <v>11</v>
      </c>
      <c r="L5311">
        <v>6</v>
      </c>
      <c r="M5311">
        <v>1.581</v>
      </c>
    </row>
    <row r="5312" spans="1:13" ht="15" customHeight="1">
      <c r="A5312" t="s">
        <v>57</v>
      </c>
      <c r="B5312">
        <f t="shared" si="326"/>
        <v>33.698672999999999</v>
      </c>
      <c r="C5312">
        <f t="shared" si="327"/>
        <v>-117.849908</v>
      </c>
      <c r="D5312">
        <f t="shared" si="328"/>
        <v>41</v>
      </c>
      <c r="E5312">
        <v>77.498999999999995</v>
      </c>
      <c r="F5312">
        <f t="shared" si="329"/>
        <v>-36.498999999999995</v>
      </c>
      <c r="G5312">
        <v>29.8</v>
      </c>
      <c r="H5312">
        <v>1.1100000000000001</v>
      </c>
      <c r="I5312">
        <v>3.7210000000000001</v>
      </c>
      <c r="J5312">
        <v>5</v>
      </c>
      <c r="K5312">
        <v>14</v>
      </c>
      <c r="L5312">
        <v>7</v>
      </c>
      <c r="M5312">
        <v>1.6679999999999999</v>
      </c>
    </row>
    <row r="5313" spans="1:13" ht="15" customHeight="1">
      <c r="A5313" t="s">
        <v>57</v>
      </c>
      <c r="B5313">
        <f t="shared" si="326"/>
        <v>33.698672999999999</v>
      </c>
      <c r="C5313">
        <f t="shared" si="327"/>
        <v>-117.849908</v>
      </c>
      <c r="D5313">
        <f t="shared" si="328"/>
        <v>41</v>
      </c>
      <c r="E5313">
        <v>78.498999999999995</v>
      </c>
      <c r="F5313">
        <f t="shared" si="329"/>
        <v>-37.498999999999995</v>
      </c>
      <c r="G5313">
        <v>30.317</v>
      </c>
      <c r="H5313">
        <v>1.0169999999999999</v>
      </c>
      <c r="I5313">
        <v>3.3439999999999999</v>
      </c>
      <c r="J5313">
        <v>5</v>
      </c>
      <c r="K5313">
        <v>15</v>
      </c>
      <c r="L5313">
        <v>8</v>
      </c>
      <c r="M5313">
        <v>1.7010000000000001</v>
      </c>
    </row>
    <row r="5314" spans="1:13" ht="15" customHeight="1">
      <c r="A5314" t="s">
        <v>57</v>
      </c>
      <c r="B5314">
        <f t="shared" ref="B5314:B5377" si="330">VLOOKUP(A5314,XYdata,3,FALSE)</f>
        <v>33.698672999999999</v>
      </c>
      <c r="C5314">
        <f t="shared" ref="C5314:C5377" si="331">VLOOKUP(A5314,XYdata,2,FALSE)</f>
        <v>-117.849908</v>
      </c>
      <c r="D5314">
        <f t="shared" ref="D5314:D5377" si="332">VLOOKUP(A5314,Elevation,2,FALSE)</f>
        <v>41</v>
      </c>
      <c r="E5314">
        <v>79.498999999999995</v>
      </c>
      <c r="F5314">
        <f t="shared" si="329"/>
        <v>-38.498999999999995</v>
      </c>
      <c r="G5314">
        <v>41.082999999999998</v>
      </c>
      <c r="H5314">
        <v>1.423</v>
      </c>
      <c r="I5314">
        <v>3.4510000000000001</v>
      </c>
      <c r="J5314">
        <v>5</v>
      </c>
      <c r="K5314">
        <v>20</v>
      </c>
      <c r="L5314">
        <v>10</v>
      </c>
      <c r="M5314">
        <v>2.42</v>
      </c>
    </row>
    <row r="5315" spans="1:13" ht="15" customHeight="1">
      <c r="A5315" t="s">
        <v>57</v>
      </c>
      <c r="B5315">
        <f t="shared" si="330"/>
        <v>33.698672999999999</v>
      </c>
      <c r="C5315">
        <f t="shared" si="331"/>
        <v>-117.849908</v>
      </c>
      <c r="D5315">
        <f t="shared" si="332"/>
        <v>41</v>
      </c>
      <c r="E5315">
        <v>80.498999999999995</v>
      </c>
      <c r="F5315">
        <f t="shared" ref="F5315:F5378" si="333">D5315-E5315</f>
        <v>-39.498999999999995</v>
      </c>
      <c r="G5315">
        <v>52.366999999999997</v>
      </c>
      <c r="H5315">
        <v>2.99</v>
      </c>
      <c r="I5315">
        <v>5.6829999999999998</v>
      </c>
      <c r="J5315">
        <v>3</v>
      </c>
      <c r="K5315">
        <v>50</v>
      </c>
      <c r="L5315">
        <v>25</v>
      </c>
      <c r="M5315">
        <v>3.1739999999999999</v>
      </c>
    </row>
    <row r="5316" spans="1:13" ht="15" customHeight="1">
      <c r="A5316" t="s">
        <v>57</v>
      </c>
      <c r="B5316">
        <f t="shared" si="330"/>
        <v>33.698672999999999</v>
      </c>
      <c r="C5316">
        <f t="shared" si="331"/>
        <v>-117.849908</v>
      </c>
      <c r="D5316">
        <f t="shared" si="332"/>
        <v>41</v>
      </c>
      <c r="E5316">
        <v>81.498999999999995</v>
      </c>
      <c r="F5316">
        <f t="shared" si="333"/>
        <v>-40.498999999999995</v>
      </c>
      <c r="G5316">
        <v>166.03299999999999</v>
      </c>
      <c r="H5316">
        <v>6.6950000000000003</v>
      </c>
      <c r="I5316">
        <v>4.032</v>
      </c>
      <c r="J5316">
        <v>12</v>
      </c>
      <c r="K5316">
        <v>80</v>
      </c>
      <c r="L5316">
        <v>40</v>
      </c>
      <c r="M5316" s="1">
        <v>9000000000</v>
      </c>
    </row>
    <row r="5317" spans="1:13" ht="15" customHeight="1">
      <c r="A5317" t="s">
        <v>57</v>
      </c>
      <c r="B5317">
        <f t="shared" si="330"/>
        <v>33.698672999999999</v>
      </c>
      <c r="C5317">
        <f t="shared" si="331"/>
        <v>-117.849908</v>
      </c>
      <c r="D5317">
        <f t="shared" si="332"/>
        <v>41</v>
      </c>
      <c r="E5317">
        <v>82.498999999999995</v>
      </c>
      <c r="F5317">
        <f t="shared" si="333"/>
        <v>-41.498999999999995</v>
      </c>
      <c r="G5317">
        <v>417.86700000000002</v>
      </c>
      <c r="H5317">
        <v>6.1029999999999998</v>
      </c>
      <c r="I5317">
        <v>1.4610000000000001</v>
      </c>
      <c r="J5317">
        <v>9</v>
      </c>
      <c r="K5317">
        <v>80</v>
      </c>
      <c r="L5317">
        <v>40</v>
      </c>
      <c r="M5317" s="1">
        <v>9000000000</v>
      </c>
    </row>
    <row r="5318" spans="1:13" ht="15" customHeight="1">
      <c r="A5318" t="s">
        <v>57</v>
      </c>
      <c r="B5318">
        <f t="shared" si="330"/>
        <v>33.698672999999999</v>
      </c>
      <c r="C5318">
        <f t="shared" si="331"/>
        <v>-117.849908</v>
      </c>
      <c r="D5318">
        <f t="shared" si="332"/>
        <v>41</v>
      </c>
      <c r="E5318">
        <v>83.498999999999995</v>
      </c>
      <c r="F5318">
        <f t="shared" si="333"/>
        <v>-42.498999999999995</v>
      </c>
      <c r="G5318">
        <v>317.471</v>
      </c>
      <c r="H5318">
        <v>4.7590000000000003</v>
      </c>
      <c r="I5318">
        <v>1.4990000000000001</v>
      </c>
      <c r="J5318">
        <v>8</v>
      </c>
      <c r="K5318">
        <v>76</v>
      </c>
      <c r="L5318">
        <v>38</v>
      </c>
      <c r="M5318" s="1">
        <v>9000000000</v>
      </c>
    </row>
    <row r="5319" spans="1:13" ht="15" customHeight="1">
      <c r="A5319" t="s">
        <v>57</v>
      </c>
      <c r="B5319">
        <f t="shared" si="330"/>
        <v>33.698672999999999</v>
      </c>
      <c r="C5319">
        <f t="shared" si="331"/>
        <v>-117.849908</v>
      </c>
      <c r="D5319">
        <f t="shared" si="332"/>
        <v>41</v>
      </c>
      <c r="E5319">
        <v>84.498999999999995</v>
      </c>
      <c r="F5319">
        <f t="shared" si="333"/>
        <v>-43.498999999999995</v>
      </c>
      <c r="G5319">
        <v>279.89999999999998</v>
      </c>
      <c r="H5319">
        <v>5.8529999999999998</v>
      </c>
      <c r="I5319">
        <v>2.09</v>
      </c>
      <c r="J5319">
        <v>8</v>
      </c>
      <c r="K5319">
        <v>67</v>
      </c>
      <c r="L5319">
        <v>34</v>
      </c>
      <c r="M5319" s="1">
        <v>9000000000</v>
      </c>
    </row>
    <row r="5320" spans="1:13" ht="15" customHeight="1">
      <c r="A5320" t="s">
        <v>57</v>
      </c>
      <c r="B5320">
        <f t="shared" si="330"/>
        <v>33.698672999999999</v>
      </c>
      <c r="C5320">
        <f t="shared" si="331"/>
        <v>-117.849908</v>
      </c>
      <c r="D5320">
        <f t="shared" si="332"/>
        <v>41</v>
      </c>
      <c r="E5320">
        <v>85.498999999999995</v>
      </c>
      <c r="F5320">
        <f t="shared" si="333"/>
        <v>-44.498999999999995</v>
      </c>
      <c r="G5320">
        <v>275.83300000000003</v>
      </c>
      <c r="H5320">
        <v>5.7270000000000003</v>
      </c>
      <c r="I5320">
        <v>2.073</v>
      </c>
      <c r="J5320">
        <v>8</v>
      </c>
      <c r="K5320">
        <v>66</v>
      </c>
      <c r="L5320">
        <v>33</v>
      </c>
      <c r="M5320" s="1">
        <v>9000000000</v>
      </c>
    </row>
    <row r="5321" spans="1:13" ht="15" customHeight="1">
      <c r="A5321" t="s">
        <v>57</v>
      </c>
      <c r="B5321">
        <f t="shared" si="330"/>
        <v>33.698672999999999</v>
      </c>
      <c r="C5321">
        <f t="shared" si="331"/>
        <v>-117.849908</v>
      </c>
      <c r="D5321">
        <f t="shared" si="332"/>
        <v>41</v>
      </c>
      <c r="E5321">
        <v>86.498999999999995</v>
      </c>
      <c r="F5321">
        <f t="shared" si="333"/>
        <v>-45.498999999999995</v>
      </c>
      <c r="G5321">
        <v>359.983</v>
      </c>
      <c r="H5321">
        <v>7.0629999999999997</v>
      </c>
      <c r="I5321">
        <v>1.9590000000000001</v>
      </c>
      <c r="J5321">
        <v>8</v>
      </c>
      <c r="K5321">
        <v>86</v>
      </c>
      <c r="L5321">
        <v>43</v>
      </c>
      <c r="M5321" s="1">
        <v>9000000000</v>
      </c>
    </row>
    <row r="5322" spans="1:13" ht="15" customHeight="1">
      <c r="A5322" t="s">
        <v>57</v>
      </c>
      <c r="B5322">
        <f t="shared" si="330"/>
        <v>33.698672999999999</v>
      </c>
      <c r="C5322">
        <f t="shared" si="331"/>
        <v>-117.849908</v>
      </c>
      <c r="D5322">
        <f t="shared" si="332"/>
        <v>41</v>
      </c>
      <c r="E5322">
        <v>87.498999999999995</v>
      </c>
      <c r="F5322">
        <f t="shared" si="333"/>
        <v>-46.498999999999995</v>
      </c>
      <c r="G5322">
        <v>339.55</v>
      </c>
      <c r="H5322">
        <v>6.3079999999999998</v>
      </c>
      <c r="I5322">
        <v>1.855</v>
      </c>
      <c r="J5322">
        <v>8</v>
      </c>
      <c r="K5322">
        <v>81</v>
      </c>
      <c r="L5322">
        <v>41</v>
      </c>
      <c r="M5322" s="1">
        <v>9000000000</v>
      </c>
    </row>
    <row r="5323" spans="1:13" ht="15" customHeight="1">
      <c r="A5323" t="s">
        <v>57</v>
      </c>
      <c r="B5323">
        <f t="shared" si="330"/>
        <v>33.698672999999999</v>
      </c>
      <c r="C5323">
        <f t="shared" si="331"/>
        <v>-117.849908</v>
      </c>
      <c r="D5323">
        <f t="shared" si="332"/>
        <v>41</v>
      </c>
      <c r="E5323">
        <v>88.498999999999995</v>
      </c>
      <c r="F5323">
        <f t="shared" si="333"/>
        <v>-47.498999999999995</v>
      </c>
      <c r="G5323">
        <v>308.71699999999998</v>
      </c>
      <c r="H5323">
        <v>6.1470000000000002</v>
      </c>
      <c r="I5323">
        <v>1.988</v>
      </c>
      <c r="J5323">
        <v>8</v>
      </c>
      <c r="K5323">
        <v>74</v>
      </c>
      <c r="L5323">
        <v>37</v>
      </c>
      <c r="M5323" s="1">
        <v>9000000000</v>
      </c>
    </row>
    <row r="5324" spans="1:13" ht="15" customHeight="1">
      <c r="A5324" t="s">
        <v>57</v>
      </c>
      <c r="B5324">
        <f t="shared" si="330"/>
        <v>33.698672999999999</v>
      </c>
      <c r="C5324">
        <f t="shared" si="331"/>
        <v>-117.849908</v>
      </c>
      <c r="D5324">
        <f t="shared" si="332"/>
        <v>41</v>
      </c>
      <c r="E5324">
        <v>89.498999999999995</v>
      </c>
      <c r="F5324">
        <f t="shared" si="333"/>
        <v>-48.498999999999995</v>
      </c>
      <c r="G5324">
        <v>240.96700000000001</v>
      </c>
      <c r="H5324">
        <v>5.1449999999999996</v>
      </c>
      <c r="I5324">
        <v>2.1320000000000001</v>
      </c>
      <c r="J5324">
        <v>7</v>
      </c>
      <c r="K5324">
        <v>77</v>
      </c>
      <c r="L5324">
        <v>39</v>
      </c>
      <c r="M5324" s="1">
        <v>9000000000</v>
      </c>
    </row>
    <row r="5325" spans="1:13" ht="15" customHeight="1">
      <c r="A5325" t="s">
        <v>57</v>
      </c>
      <c r="B5325">
        <f t="shared" si="330"/>
        <v>33.698672999999999</v>
      </c>
      <c r="C5325">
        <f t="shared" si="331"/>
        <v>-117.849908</v>
      </c>
      <c r="D5325">
        <f t="shared" si="332"/>
        <v>41</v>
      </c>
      <c r="E5325">
        <v>90.498999999999995</v>
      </c>
      <c r="F5325">
        <f t="shared" si="333"/>
        <v>-49.498999999999995</v>
      </c>
      <c r="G5325">
        <v>309.017</v>
      </c>
      <c r="H5325">
        <v>5.5730000000000004</v>
      </c>
      <c r="I5325">
        <v>1.802</v>
      </c>
      <c r="J5325">
        <v>8</v>
      </c>
      <c r="K5325">
        <v>74</v>
      </c>
      <c r="L5325">
        <v>37</v>
      </c>
      <c r="M5325" s="1">
        <v>9000000000</v>
      </c>
    </row>
    <row r="5326" spans="1:13" ht="15" customHeight="1">
      <c r="A5326" t="s">
        <v>57</v>
      </c>
      <c r="B5326">
        <f t="shared" si="330"/>
        <v>33.698672999999999</v>
      </c>
      <c r="C5326">
        <f t="shared" si="331"/>
        <v>-117.849908</v>
      </c>
      <c r="D5326">
        <f t="shared" si="332"/>
        <v>41</v>
      </c>
      <c r="E5326">
        <v>91.498999999999995</v>
      </c>
      <c r="F5326">
        <f t="shared" si="333"/>
        <v>-50.498999999999995</v>
      </c>
      <c r="G5326">
        <v>259.10000000000002</v>
      </c>
      <c r="H5326">
        <v>7.3970000000000002</v>
      </c>
      <c r="I5326">
        <v>2.8519999999999999</v>
      </c>
      <c r="J5326">
        <v>7</v>
      </c>
      <c r="K5326">
        <v>83</v>
      </c>
      <c r="L5326">
        <v>42</v>
      </c>
      <c r="M5326" s="1">
        <v>9000000000</v>
      </c>
    </row>
    <row r="5327" spans="1:13" ht="15" customHeight="1">
      <c r="A5327" t="s">
        <v>57</v>
      </c>
      <c r="B5327">
        <f t="shared" si="330"/>
        <v>33.698672999999999</v>
      </c>
      <c r="C5327">
        <f t="shared" si="331"/>
        <v>-117.849908</v>
      </c>
      <c r="D5327">
        <f t="shared" si="332"/>
        <v>41</v>
      </c>
      <c r="E5327">
        <v>92.498999999999995</v>
      </c>
      <c r="F5327">
        <f t="shared" si="333"/>
        <v>-51.498999999999995</v>
      </c>
      <c r="G5327">
        <v>121.167</v>
      </c>
      <c r="H5327">
        <v>4.5430000000000001</v>
      </c>
      <c r="I5327">
        <v>3.75</v>
      </c>
      <c r="J5327">
        <v>6</v>
      </c>
      <c r="K5327">
        <v>46</v>
      </c>
      <c r="L5327">
        <v>23</v>
      </c>
      <c r="M5327">
        <v>7.694</v>
      </c>
    </row>
    <row r="5328" spans="1:13" ht="15" customHeight="1">
      <c r="A5328" t="s">
        <v>57</v>
      </c>
      <c r="B5328">
        <f t="shared" si="330"/>
        <v>33.698672999999999</v>
      </c>
      <c r="C5328">
        <f t="shared" si="331"/>
        <v>-117.849908</v>
      </c>
      <c r="D5328">
        <f t="shared" si="332"/>
        <v>41</v>
      </c>
      <c r="E5328">
        <v>93.498999999999995</v>
      </c>
      <c r="F5328">
        <f t="shared" si="333"/>
        <v>-52.498999999999995</v>
      </c>
      <c r="G5328">
        <v>178.75700000000001</v>
      </c>
      <c r="H5328">
        <v>6.3239999999999998</v>
      </c>
      <c r="I5328">
        <v>3.54</v>
      </c>
      <c r="J5328">
        <v>12</v>
      </c>
      <c r="K5328">
        <v>86</v>
      </c>
      <c r="L5328">
        <v>43</v>
      </c>
      <c r="M5328" s="1">
        <v>9000000000</v>
      </c>
    </row>
    <row r="5329" spans="1:13" ht="15" customHeight="1">
      <c r="A5329" t="s">
        <v>57</v>
      </c>
      <c r="B5329">
        <f t="shared" si="330"/>
        <v>33.698672999999999</v>
      </c>
      <c r="C5329">
        <f t="shared" si="331"/>
        <v>-117.849908</v>
      </c>
      <c r="D5329">
        <f t="shared" si="332"/>
        <v>41</v>
      </c>
      <c r="E5329">
        <v>94.498999999999995</v>
      </c>
      <c r="F5329">
        <f t="shared" si="333"/>
        <v>-53.498999999999995</v>
      </c>
      <c r="G5329">
        <v>298.45</v>
      </c>
      <c r="H5329">
        <v>6.42</v>
      </c>
      <c r="I5329">
        <v>2.1520000000000001</v>
      </c>
      <c r="J5329">
        <v>8</v>
      </c>
      <c r="K5329">
        <v>71</v>
      </c>
      <c r="L5329">
        <v>36</v>
      </c>
      <c r="M5329" s="1">
        <v>9000000000</v>
      </c>
    </row>
    <row r="5330" spans="1:13" ht="15" customHeight="1">
      <c r="A5330" t="s">
        <v>57</v>
      </c>
      <c r="B5330">
        <f t="shared" si="330"/>
        <v>33.698672999999999</v>
      </c>
      <c r="C5330">
        <f t="shared" si="331"/>
        <v>-117.849908</v>
      </c>
      <c r="D5330">
        <f t="shared" si="332"/>
        <v>41</v>
      </c>
      <c r="E5330">
        <v>95.498999999999995</v>
      </c>
      <c r="F5330">
        <f t="shared" si="333"/>
        <v>-54.498999999999995</v>
      </c>
      <c r="G5330">
        <v>308.483</v>
      </c>
      <c r="H5330">
        <v>7.6379999999999999</v>
      </c>
      <c r="I5330">
        <v>2.4769999999999999</v>
      </c>
      <c r="J5330">
        <v>7</v>
      </c>
      <c r="K5330">
        <v>98</v>
      </c>
      <c r="L5330">
        <v>49</v>
      </c>
      <c r="M5330" s="1">
        <v>9000000000</v>
      </c>
    </row>
    <row r="5331" spans="1:13" ht="15" customHeight="1">
      <c r="A5331" t="s">
        <v>57</v>
      </c>
      <c r="B5331">
        <f t="shared" si="330"/>
        <v>33.698672999999999</v>
      </c>
      <c r="C5331">
        <f t="shared" si="331"/>
        <v>-117.849908</v>
      </c>
      <c r="D5331">
        <f t="shared" si="332"/>
        <v>41</v>
      </c>
      <c r="E5331">
        <v>96.498999999999995</v>
      </c>
      <c r="F5331">
        <f t="shared" si="333"/>
        <v>-55.498999999999995</v>
      </c>
      <c r="G5331">
        <v>290.2</v>
      </c>
      <c r="H5331">
        <v>8.2780000000000005</v>
      </c>
      <c r="I5331">
        <v>2.8530000000000002</v>
      </c>
      <c r="J5331">
        <v>12</v>
      </c>
      <c r="K5331">
        <v>139</v>
      </c>
      <c r="L5331">
        <v>70</v>
      </c>
      <c r="M5331" s="1">
        <v>9000000000</v>
      </c>
    </row>
    <row r="5332" spans="1:13" ht="15" customHeight="1">
      <c r="A5332" t="s">
        <v>57</v>
      </c>
      <c r="B5332">
        <f t="shared" si="330"/>
        <v>33.698672999999999</v>
      </c>
      <c r="C5332">
        <f t="shared" si="331"/>
        <v>-117.849908</v>
      </c>
      <c r="D5332">
        <f t="shared" si="332"/>
        <v>41</v>
      </c>
      <c r="E5332">
        <v>97.498999999999995</v>
      </c>
      <c r="F5332">
        <f t="shared" si="333"/>
        <v>-56.498999999999995</v>
      </c>
      <c r="G5332">
        <v>299.36700000000002</v>
      </c>
      <c r="H5332">
        <v>6.8849999999999998</v>
      </c>
      <c r="I5332">
        <v>2.2999999999999998</v>
      </c>
      <c r="J5332">
        <v>7</v>
      </c>
      <c r="K5332">
        <v>96</v>
      </c>
      <c r="L5332">
        <v>48</v>
      </c>
      <c r="M5332" s="1">
        <v>9000000000</v>
      </c>
    </row>
    <row r="5333" spans="1:13" ht="15" customHeight="1">
      <c r="A5333" t="s">
        <v>57</v>
      </c>
      <c r="B5333">
        <f t="shared" si="330"/>
        <v>33.698672999999999</v>
      </c>
      <c r="C5333">
        <f t="shared" si="331"/>
        <v>-117.849908</v>
      </c>
      <c r="D5333">
        <f t="shared" si="332"/>
        <v>41</v>
      </c>
      <c r="E5333">
        <v>98.498999999999995</v>
      </c>
      <c r="F5333">
        <f t="shared" si="333"/>
        <v>-57.498999999999995</v>
      </c>
      <c r="G5333">
        <v>286.75</v>
      </c>
      <c r="H5333">
        <v>5.49</v>
      </c>
      <c r="I5333">
        <v>1.9139999999999999</v>
      </c>
      <c r="J5333">
        <v>8</v>
      </c>
      <c r="K5333">
        <v>69</v>
      </c>
      <c r="L5333">
        <v>35</v>
      </c>
      <c r="M5333" s="1">
        <v>9000000000</v>
      </c>
    </row>
    <row r="5334" spans="1:13" ht="15" customHeight="1">
      <c r="A5334" t="s">
        <v>57</v>
      </c>
      <c r="B5334">
        <f t="shared" si="330"/>
        <v>33.698672999999999</v>
      </c>
      <c r="C5334">
        <f t="shared" si="331"/>
        <v>-117.849908</v>
      </c>
      <c r="D5334">
        <f t="shared" si="332"/>
        <v>41</v>
      </c>
      <c r="E5334">
        <v>99.498999999999995</v>
      </c>
      <c r="F5334">
        <f t="shared" si="333"/>
        <v>-58.498999999999995</v>
      </c>
      <c r="G5334">
        <v>321.78300000000002</v>
      </c>
      <c r="H5334">
        <v>6.2770000000000001</v>
      </c>
      <c r="I5334">
        <v>1.948</v>
      </c>
      <c r="J5334">
        <v>8</v>
      </c>
      <c r="K5334">
        <v>77</v>
      </c>
      <c r="L5334">
        <v>39</v>
      </c>
      <c r="M5334" s="1">
        <v>9000000000</v>
      </c>
    </row>
    <row r="5335" spans="1:13" ht="15" customHeight="1">
      <c r="A5335" t="s">
        <v>57</v>
      </c>
      <c r="B5335">
        <f t="shared" si="330"/>
        <v>33.698672999999999</v>
      </c>
      <c r="C5335">
        <f t="shared" si="331"/>
        <v>-117.849908</v>
      </c>
      <c r="D5335">
        <f t="shared" si="332"/>
        <v>41</v>
      </c>
      <c r="E5335">
        <v>100.499</v>
      </c>
      <c r="F5335">
        <f t="shared" si="333"/>
        <v>-59.498999999999995</v>
      </c>
      <c r="G5335">
        <v>393.65</v>
      </c>
      <c r="H5335">
        <v>7.7549999999999999</v>
      </c>
      <c r="I5335">
        <v>1.9670000000000001</v>
      </c>
      <c r="J5335">
        <v>8</v>
      </c>
      <c r="K5335">
        <v>94</v>
      </c>
      <c r="L5335">
        <v>47</v>
      </c>
      <c r="M5335" s="1">
        <v>9000000000</v>
      </c>
    </row>
    <row r="5336" spans="1:13" ht="15" customHeight="1">
      <c r="A5336" t="s">
        <v>57</v>
      </c>
      <c r="B5336">
        <f t="shared" si="330"/>
        <v>33.698672999999999</v>
      </c>
      <c r="C5336">
        <f t="shared" si="331"/>
        <v>-117.849908</v>
      </c>
      <c r="D5336">
        <f t="shared" si="332"/>
        <v>41</v>
      </c>
      <c r="E5336">
        <v>101.499</v>
      </c>
      <c r="F5336">
        <f t="shared" si="333"/>
        <v>-60.498999999999995</v>
      </c>
      <c r="G5336">
        <v>388.983</v>
      </c>
      <c r="H5336">
        <v>8.9420000000000002</v>
      </c>
      <c r="I5336">
        <v>2.2949999999999999</v>
      </c>
      <c r="J5336">
        <v>8</v>
      </c>
      <c r="K5336">
        <v>93</v>
      </c>
      <c r="L5336">
        <v>47</v>
      </c>
      <c r="M5336" s="1">
        <v>9000000000</v>
      </c>
    </row>
    <row r="5337" spans="1:13" ht="15" customHeight="1">
      <c r="A5337" t="s">
        <v>57</v>
      </c>
      <c r="B5337">
        <f t="shared" si="330"/>
        <v>33.698672999999999</v>
      </c>
      <c r="C5337">
        <f t="shared" si="331"/>
        <v>-117.849908</v>
      </c>
      <c r="D5337">
        <f t="shared" si="332"/>
        <v>41</v>
      </c>
      <c r="E5337">
        <v>102.499</v>
      </c>
      <c r="F5337">
        <f t="shared" si="333"/>
        <v>-61.498999999999995</v>
      </c>
      <c r="G5337">
        <v>367.06700000000001</v>
      </c>
      <c r="H5337">
        <v>7.4649999999999999</v>
      </c>
      <c r="I5337">
        <v>2.0310000000000001</v>
      </c>
      <c r="J5337">
        <v>8</v>
      </c>
      <c r="K5337">
        <v>88</v>
      </c>
      <c r="L5337">
        <v>44</v>
      </c>
      <c r="M5337" s="1">
        <v>9000000000</v>
      </c>
    </row>
    <row r="5338" spans="1:13" ht="15" customHeight="1">
      <c r="A5338" t="s">
        <v>57</v>
      </c>
      <c r="B5338">
        <f t="shared" si="330"/>
        <v>33.698672999999999</v>
      </c>
      <c r="C5338">
        <f t="shared" si="331"/>
        <v>-117.849908</v>
      </c>
      <c r="D5338">
        <f t="shared" si="332"/>
        <v>41</v>
      </c>
      <c r="E5338">
        <v>103.499</v>
      </c>
      <c r="F5338">
        <f t="shared" si="333"/>
        <v>-62.498999999999995</v>
      </c>
      <c r="G5338">
        <v>359.2</v>
      </c>
      <c r="H5338">
        <v>0</v>
      </c>
      <c r="I5338">
        <v>0</v>
      </c>
      <c r="J5338">
        <v>10</v>
      </c>
      <c r="K5338" s="1">
        <v>9000000000</v>
      </c>
      <c r="L5338" s="1">
        <v>9000000000</v>
      </c>
      <c r="M5338" s="1">
        <v>9000000000</v>
      </c>
    </row>
    <row r="5339" spans="1:13" ht="15" customHeight="1">
      <c r="A5339" t="s">
        <v>58</v>
      </c>
      <c r="B5339">
        <f t="shared" si="330"/>
        <v>33.700488999999997</v>
      </c>
      <c r="C5339">
        <f t="shared" si="331"/>
        <v>-117.849701</v>
      </c>
      <c r="D5339">
        <f t="shared" si="332"/>
        <v>42</v>
      </c>
      <c r="E5339">
        <v>0.5</v>
      </c>
      <c r="F5339">
        <f t="shared" si="333"/>
        <v>41.5</v>
      </c>
      <c r="G5339">
        <v>0.66700000000000004</v>
      </c>
      <c r="H5339">
        <v>1.2999999999999999E-2</v>
      </c>
      <c r="I5339">
        <v>2.9630000000000001</v>
      </c>
      <c r="J5339">
        <v>2</v>
      </c>
      <c r="K5339">
        <v>0</v>
      </c>
      <c r="L5339">
        <v>0</v>
      </c>
      <c r="M5339">
        <v>2.9000000000000001E-2</v>
      </c>
    </row>
    <row r="5340" spans="1:13" ht="15" customHeight="1">
      <c r="A5340" t="s">
        <v>58</v>
      </c>
      <c r="B5340">
        <f t="shared" si="330"/>
        <v>33.700488999999997</v>
      </c>
      <c r="C5340">
        <f t="shared" si="331"/>
        <v>-117.849701</v>
      </c>
      <c r="D5340">
        <f t="shared" si="332"/>
        <v>42</v>
      </c>
      <c r="E5340">
        <v>1.5</v>
      </c>
      <c r="F5340">
        <f t="shared" si="333"/>
        <v>40.5</v>
      </c>
      <c r="G5340">
        <v>27.483000000000001</v>
      </c>
      <c r="H5340">
        <v>0.158</v>
      </c>
      <c r="I5340">
        <v>0.57999999999999996</v>
      </c>
      <c r="J5340">
        <v>7</v>
      </c>
      <c r="K5340">
        <v>9</v>
      </c>
      <c r="L5340">
        <v>14</v>
      </c>
      <c r="M5340" s="1">
        <v>9000000000</v>
      </c>
    </row>
    <row r="5341" spans="1:13" ht="15" customHeight="1">
      <c r="A5341" t="s">
        <v>58</v>
      </c>
      <c r="B5341">
        <f t="shared" si="330"/>
        <v>33.700488999999997</v>
      </c>
      <c r="C5341">
        <f t="shared" si="331"/>
        <v>-117.849701</v>
      </c>
      <c r="D5341">
        <f t="shared" si="332"/>
        <v>42</v>
      </c>
      <c r="E5341">
        <v>2.5</v>
      </c>
      <c r="F5341">
        <f t="shared" si="333"/>
        <v>39.5</v>
      </c>
      <c r="G5341">
        <v>9.7669999999999995</v>
      </c>
      <c r="H5341">
        <v>0.38700000000000001</v>
      </c>
      <c r="I5341">
        <v>3.88</v>
      </c>
      <c r="J5341">
        <v>3</v>
      </c>
      <c r="K5341">
        <v>10</v>
      </c>
      <c r="L5341">
        <v>15</v>
      </c>
      <c r="M5341">
        <v>0.65600000000000003</v>
      </c>
    </row>
    <row r="5342" spans="1:13" ht="15" customHeight="1">
      <c r="A5342" t="s">
        <v>58</v>
      </c>
      <c r="B5342">
        <f t="shared" si="330"/>
        <v>33.700488999999997</v>
      </c>
      <c r="C5342">
        <f t="shared" si="331"/>
        <v>-117.849701</v>
      </c>
      <c r="D5342">
        <f t="shared" si="332"/>
        <v>42</v>
      </c>
      <c r="E5342">
        <v>3.5</v>
      </c>
      <c r="F5342">
        <f t="shared" si="333"/>
        <v>38.5</v>
      </c>
      <c r="G5342">
        <v>6.3330000000000002</v>
      </c>
      <c r="H5342">
        <v>0.16300000000000001</v>
      </c>
      <c r="I5342">
        <v>2.2429999999999999</v>
      </c>
      <c r="J5342">
        <v>4</v>
      </c>
      <c r="K5342">
        <v>5</v>
      </c>
      <c r="L5342">
        <v>8</v>
      </c>
      <c r="M5342">
        <v>0.47299999999999998</v>
      </c>
    </row>
    <row r="5343" spans="1:13" ht="15" customHeight="1">
      <c r="A5343" t="s">
        <v>58</v>
      </c>
      <c r="B5343">
        <f t="shared" si="330"/>
        <v>33.700488999999997</v>
      </c>
      <c r="C5343">
        <f t="shared" si="331"/>
        <v>-117.849701</v>
      </c>
      <c r="D5343">
        <f t="shared" si="332"/>
        <v>42</v>
      </c>
      <c r="E5343">
        <v>4.5</v>
      </c>
      <c r="F5343">
        <f t="shared" si="333"/>
        <v>37.5</v>
      </c>
      <c r="G5343">
        <v>6.617</v>
      </c>
      <c r="H5343">
        <v>0.17199999999999999</v>
      </c>
      <c r="I5343">
        <v>1.085</v>
      </c>
      <c r="J5343">
        <v>6</v>
      </c>
      <c r="K5343">
        <v>6</v>
      </c>
      <c r="L5343">
        <v>9</v>
      </c>
      <c r="M5343">
        <v>1.038</v>
      </c>
    </row>
    <row r="5344" spans="1:13" ht="15" customHeight="1">
      <c r="A5344" t="s">
        <v>58</v>
      </c>
      <c r="B5344">
        <f t="shared" si="330"/>
        <v>33.700488999999997</v>
      </c>
      <c r="C5344">
        <f t="shared" si="331"/>
        <v>-117.849701</v>
      </c>
      <c r="D5344">
        <f t="shared" si="332"/>
        <v>42</v>
      </c>
      <c r="E5344">
        <v>5.5</v>
      </c>
      <c r="F5344">
        <f t="shared" si="333"/>
        <v>36.5</v>
      </c>
      <c r="G5344">
        <v>5.5</v>
      </c>
      <c r="H5344">
        <v>0.16800000000000001</v>
      </c>
      <c r="I5344">
        <v>2.2389999999999999</v>
      </c>
      <c r="J5344">
        <v>4</v>
      </c>
      <c r="K5344">
        <v>5</v>
      </c>
      <c r="L5344">
        <v>8</v>
      </c>
      <c r="M5344">
        <v>0.48</v>
      </c>
    </row>
    <row r="5345" spans="1:13" ht="15" customHeight="1">
      <c r="A5345" t="s">
        <v>58</v>
      </c>
      <c r="B5345">
        <f t="shared" si="330"/>
        <v>33.700488999999997</v>
      </c>
      <c r="C5345">
        <f t="shared" si="331"/>
        <v>-117.849701</v>
      </c>
      <c r="D5345">
        <f t="shared" si="332"/>
        <v>42</v>
      </c>
      <c r="E5345">
        <v>6.5</v>
      </c>
      <c r="F5345">
        <f t="shared" si="333"/>
        <v>35.5</v>
      </c>
      <c r="G5345">
        <v>5.25</v>
      </c>
      <c r="H5345">
        <v>0.153</v>
      </c>
      <c r="I5345">
        <v>2.7629999999999999</v>
      </c>
      <c r="J5345">
        <v>3</v>
      </c>
      <c r="K5345">
        <v>5</v>
      </c>
      <c r="L5345">
        <v>8</v>
      </c>
      <c r="M5345">
        <v>0.34499999999999997</v>
      </c>
    </row>
    <row r="5346" spans="1:13" ht="15" customHeight="1">
      <c r="A5346" t="s">
        <v>58</v>
      </c>
      <c r="B5346">
        <f t="shared" si="330"/>
        <v>33.700488999999997</v>
      </c>
      <c r="C5346">
        <f t="shared" si="331"/>
        <v>-117.849701</v>
      </c>
      <c r="D5346">
        <f t="shared" si="332"/>
        <v>42</v>
      </c>
      <c r="E5346">
        <v>7.5</v>
      </c>
      <c r="F5346">
        <f t="shared" si="333"/>
        <v>34.5</v>
      </c>
      <c r="G5346">
        <v>8.0830000000000002</v>
      </c>
      <c r="H5346">
        <v>0.22</v>
      </c>
      <c r="I5346">
        <v>2.762</v>
      </c>
      <c r="J5346">
        <v>4</v>
      </c>
      <c r="K5346">
        <v>5</v>
      </c>
      <c r="L5346">
        <v>8</v>
      </c>
      <c r="M5346">
        <v>0.502</v>
      </c>
    </row>
    <row r="5347" spans="1:13" ht="15" customHeight="1">
      <c r="A5347" t="s">
        <v>58</v>
      </c>
      <c r="B5347">
        <f t="shared" si="330"/>
        <v>33.700488999999997</v>
      </c>
      <c r="C5347">
        <f t="shared" si="331"/>
        <v>-117.849701</v>
      </c>
      <c r="D5347">
        <f t="shared" si="332"/>
        <v>42</v>
      </c>
      <c r="E5347">
        <v>8.5</v>
      </c>
      <c r="F5347">
        <f t="shared" si="333"/>
        <v>33.5</v>
      </c>
      <c r="G5347">
        <v>12.933</v>
      </c>
      <c r="H5347">
        <v>0.373</v>
      </c>
      <c r="I5347">
        <v>2.92</v>
      </c>
      <c r="J5347">
        <v>4</v>
      </c>
      <c r="K5347">
        <v>8</v>
      </c>
      <c r="L5347">
        <v>12</v>
      </c>
      <c r="M5347">
        <v>0.81899999999999995</v>
      </c>
    </row>
    <row r="5348" spans="1:13" ht="15" customHeight="1">
      <c r="A5348" t="s">
        <v>58</v>
      </c>
      <c r="B5348">
        <f t="shared" si="330"/>
        <v>33.700488999999997</v>
      </c>
      <c r="C5348">
        <f t="shared" si="331"/>
        <v>-117.849701</v>
      </c>
      <c r="D5348">
        <f t="shared" si="332"/>
        <v>42</v>
      </c>
      <c r="E5348">
        <v>9.5</v>
      </c>
      <c r="F5348">
        <f t="shared" si="333"/>
        <v>32.5</v>
      </c>
      <c r="G5348">
        <v>10.532999999999999</v>
      </c>
      <c r="H5348">
        <v>0.26200000000000001</v>
      </c>
      <c r="I5348">
        <v>1.508</v>
      </c>
      <c r="J5348">
        <v>6</v>
      </c>
      <c r="K5348">
        <v>7</v>
      </c>
      <c r="L5348">
        <v>11</v>
      </c>
      <c r="M5348">
        <v>1.1200000000000001</v>
      </c>
    </row>
    <row r="5349" spans="1:13" ht="15" customHeight="1">
      <c r="A5349" t="s">
        <v>58</v>
      </c>
      <c r="B5349">
        <f t="shared" si="330"/>
        <v>33.700488999999997</v>
      </c>
      <c r="C5349">
        <f t="shared" si="331"/>
        <v>-117.849701</v>
      </c>
      <c r="D5349">
        <f t="shared" si="332"/>
        <v>42</v>
      </c>
      <c r="E5349">
        <v>10.5</v>
      </c>
      <c r="F5349">
        <f t="shared" si="333"/>
        <v>31.5</v>
      </c>
      <c r="G5349">
        <v>8.5570000000000004</v>
      </c>
      <c r="H5349">
        <v>0.316</v>
      </c>
      <c r="I5349">
        <v>2.9159999999999999</v>
      </c>
      <c r="J5349">
        <v>4</v>
      </c>
      <c r="K5349">
        <v>7</v>
      </c>
      <c r="L5349">
        <v>10</v>
      </c>
      <c r="M5349">
        <v>0.68100000000000005</v>
      </c>
    </row>
    <row r="5350" spans="1:13" ht="15" customHeight="1">
      <c r="A5350" t="s">
        <v>58</v>
      </c>
      <c r="B5350">
        <f t="shared" si="330"/>
        <v>33.700488999999997</v>
      </c>
      <c r="C5350">
        <f t="shared" si="331"/>
        <v>-117.849701</v>
      </c>
      <c r="D5350">
        <f t="shared" si="332"/>
        <v>42</v>
      </c>
      <c r="E5350">
        <v>11.5</v>
      </c>
      <c r="F5350">
        <f t="shared" si="333"/>
        <v>30.5</v>
      </c>
      <c r="G5350">
        <v>9.4</v>
      </c>
      <c r="H5350">
        <v>0.28799999999999998</v>
      </c>
      <c r="I5350">
        <v>2.653</v>
      </c>
      <c r="J5350">
        <v>4</v>
      </c>
      <c r="K5350">
        <v>7</v>
      </c>
      <c r="L5350">
        <v>9</v>
      </c>
      <c r="M5350">
        <v>0.68</v>
      </c>
    </row>
    <row r="5351" spans="1:13" ht="15" customHeight="1">
      <c r="A5351" t="s">
        <v>58</v>
      </c>
      <c r="B5351">
        <f t="shared" si="330"/>
        <v>33.700488999999997</v>
      </c>
      <c r="C5351">
        <f t="shared" si="331"/>
        <v>-117.849701</v>
      </c>
      <c r="D5351">
        <f t="shared" si="332"/>
        <v>42</v>
      </c>
      <c r="E5351">
        <v>12.5</v>
      </c>
      <c r="F5351">
        <f t="shared" si="333"/>
        <v>29.5</v>
      </c>
      <c r="G5351">
        <v>9</v>
      </c>
      <c r="H5351">
        <v>0.23799999999999999</v>
      </c>
      <c r="I5351">
        <v>2.407</v>
      </c>
      <c r="J5351">
        <v>4</v>
      </c>
      <c r="K5351">
        <v>6</v>
      </c>
      <c r="L5351">
        <v>8</v>
      </c>
      <c r="M5351">
        <v>0.61099999999999999</v>
      </c>
    </row>
    <row r="5352" spans="1:13" ht="15" customHeight="1">
      <c r="A5352" t="s">
        <v>58</v>
      </c>
      <c r="B5352">
        <f t="shared" si="330"/>
        <v>33.700488999999997</v>
      </c>
      <c r="C5352">
        <f t="shared" si="331"/>
        <v>-117.849701</v>
      </c>
      <c r="D5352">
        <f t="shared" si="332"/>
        <v>42</v>
      </c>
      <c r="E5352">
        <v>13.5</v>
      </c>
      <c r="F5352">
        <f t="shared" si="333"/>
        <v>28.5</v>
      </c>
      <c r="G5352">
        <v>8.7669999999999995</v>
      </c>
      <c r="H5352">
        <v>0.20799999999999999</v>
      </c>
      <c r="I5352">
        <v>2.3759999999999999</v>
      </c>
      <c r="J5352">
        <v>4</v>
      </c>
      <c r="K5352">
        <v>6</v>
      </c>
      <c r="L5352">
        <v>7</v>
      </c>
      <c r="M5352">
        <v>0.53200000000000003</v>
      </c>
    </row>
    <row r="5353" spans="1:13" ht="15" customHeight="1">
      <c r="A5353" t="s">
        <v>58</v>
      </c>
      <c r="B5353">
        <f t="shared" si="330"/>
        <v>33.700488999999997</v>
      </c>
      <c r="C5353">
        <f t="shared" si="331"/>
        <v>-117.849701</v>
      </c>
      <c r="D5353">
        <f t="shared" si="332"/>
        <v>42</v>
      </c>
      <c r="E5353">
        <v>14.5</v>
      </c>
      <c r="F5353">
        <f t="shared" si="333"/>
        <v>27.5</v>
      </c>
      <c r="G5353">
        <v>8.8000000000000007</v>
      </c>
      <c r="H5353">
        <v>0.22800000000000001</v>
      </c>
      <c r="I5353">
        <v>2.702</v>
      </c>
      <c r="J5353">
        <v>4</v>
      </c>
      <c r="K5353">
        <v>5</v>
      </c>
      <c r="L5353">
        <v>6</v>
      </c>
      <c r="M5353">
        <v>0.50600000000000001</v>
      </c>
    </row>
    <row r="5354" spans="1:13" ht="15" customHeight="1">
      <c r="A5354" t="s">
        <v>58</v>
      </c>
      <c r="B5354">
        <f t="shared" si="330"/>
        <v>33.700488999999997</v>
      </c>
      <c r="C5354">
        <f t="shared" si="331"/>
        <v>-117.849701</v>
      </c>
      <c r="D5354">
        <f t="shared" si="332"/>
        <v>42</v>
      </c>
      <c r="E5354">
        <v>15.5</v>
      </c>
      <c r="F5354">
        <f t="shared" si="333"/>
        <v>26.5</v>
      </c>
      <c r="G5354">
        <v>11.75</v>
      </c>
      <c r="H5354">
        <v>0.26300000000000001</v>
      </c>
      <c r="I5354">
        <v>2.3239999999999998</v>
      </c>
      <c r="J5354">
        <v>5</v>
      </c>
      <c r="K5354">
        <v>5</v>
      </c>
      <c r="L5354">
        <v>5</v>
      </c>
      <c r="M5354">
        <v>0.69499999999999995</v>
      </c>
    </row>
    <row r="5355" spans="1:13" ht="15" customHeight="1">
      <c r="A5355" t="s">
        <v>58</v>
      </c>
      <c r="B5355">
        <f t="shared" si="330"/>
        <v>33.700488999999997</v>
      </c>
      <c r="C5355">
        <f t="shared" si="331"/>
        <v>-117.849701</v>
      </c>
      <c r="D5355">
        <f t="shared" si="332"/>
        <v>42</v>
      </c>
      <c r="E5355">
        <v>16.5</v>
      </c>
      <c r="F5355">
        <f t="shared" si="333"/>
        <v>25.5</v>
      </c>
      <c r="G5355">
        <v>17.933</v>
      </c>
      <c r="H5355">
        <v>0.53</v>
      </c>
      <c r="I5355">
        <v>3.0259999999999998</v>
      </c>
      <c r="J5355">
        <v>5</v>
      </c>
      <c r="K5355">
        <v>8</v>
      </c>
      <c r="L5355">
        <v>8</v>
      </c>
      <c r="M5355">
        <v>1.103</v>
      </c>
    </row>
    <row r="5356" spans="1:13" ht="15" customHeight="1">
      <c r="A5356" t="s">
        <v>58</v>
      </c>
      <c r="B5356">
        <f t="shared" si="330"/>
        <v>33.700488999999997</v>
      </c>
      <c r="C5356">
        <f t="shared" si="331"/>
        <v>-117.849701</v>
      </c>
      <c r="D5356">
        <f t="shared" si="332"/>
        <v>42</v>
      </c>
      <c r="E5356">
        <v>17.5</v>
      </c>
      <c r="F5356">
        <f t="shared" si="333"/>
        <v>24.5</v>
      </c>
      <c r="G5356">
        <v>17.783000000000001</v>
      </c>
      <c r="H5356">
        <v>0.65800000000000003</v>
      </c>
      <c r="I5356">
        <v>3.794</v>
      </c>
      <c r="J5356">
        <v>4</v>
      </c>
      <c r="K5356">
        <v>11</v>
      </c>
      <c r="L5356">
        <v>11</v>
      </c>
      <c r="M5356">
        <v>1.0880000000000001</v>
      </c>
    </row>
    <row r="5357" spans="1:13" ht="15" customHeight="1">
      <c r="A5357" t="s">
        <v>58</v>
      </c>
      <c r="B5357">
        <f t="shared" si="330"/>
        <v>33.700488999999997</v>
      </c>
      <c r="C5357">
        <f t="shared" si="331"/>
        <v>-117.849701</v>
      </c>
      <c r="D5357">
        <f t="shared" si="332"/>
        <v>42</v>
      </c>
      <c r="E5357">
        <v>18.5</v>
      </c>
      <c r="F5357">
        <f t="shared" si="333"/>
        <v>23.5</v>
      </c>
      <c r="G5357">
        <v>26.082999999999998</v>
      </c>
      <c r="H5357">
        <v>0.98699999999999999</v>
      </c>
      <c r="I5357">
        <v>3.8420000000000001</v>
      </c>
      <c r="J5357">
        <v>4</v>
      </c>
      <c r="K5357">
        <v>16</v>
      </c>
      <c r="L5357">
        <v>15</v>
      </c>
      <c r="M5357">
        <v>1.639</v>
      </c>
    </row>
    <row r="5358" spans="1:13" ht="15" customHeight="1">
      <c r="A5358" t="s">
        <v>58</v>
      </c>
      <c r="B5358">
        <f t="shared" si="330"/>
        <v>33.700488999999997</v>
      </c>
      <c r="C5358">
        <f t="shared" si="331"/>
        <v>-117.849701</v>
      </c>
      <c r="D5358">
        <f t="shared" si="332"/>
        <v>42</v>
      </c>
      <c r="E5358">
        <v>19.5</v>
      </c>
      <c r="F5358">
        <f t="shared" si="333"/>
        <v>22.5</v>
      </c>
      <c r="G5358">
        <v>56.45</v>
      </c>
      <c r="H5358">
        <v>1.4430000000000001</v>
      </c>
      <c r="I5358">
        <v>2.5760000000000001</v>
      </c>
      <c r="J5358">
        <v>6</v>
      </c>
      <c r="K5358">
        <v>21</v>
      </c>
      <c r="L5358">
        <v>19</v>
      </c>
      <c r="M5358">
        <v>3.6579999999999999</v>
      </c>
    </row>
    <row r="5359" spans="1:13" ht="15" customHeight="1">
      <c r="A5359" t="s">
        <v>58</v>
      </c>
      <c r="B5359">
        <f t="shared" si="330"/>
        <v>33.700488999999997</v>
      </c>
      <c r="C5359">
        <f t="shared" si="331"/>
        <v>-117.849701</v>
      </c>
      <c r="D5359">
        <f t="shared" si="332"/>
        <v>42</v>
      </c>
      <c r="E5359">
        <v>20.5</v>
      </c>
      <c r="F5359">
        <f t="shared" si="333"/>
        <v>21.5</v>
      </c>
      <c r="G5359">
        <v>50.829000000000001</v>
      </c>
      <c r="H5359">
        <v>1.6439999999999999</v>
      </c>
      <c r="I5359">
        <v>3.262</v>
      </c>
      <c r="J5359">
        <v>5</v>
      </c>
      <c r="K5359">
        <v>24</v>
      </c>
      <c r="L5359">
        <v>21</v>
      </c>
      <c r="M5359">
        <v>3.28</v>
      </c>
    </row>
    <row r="5360" spans="1:13" ht="15" customHeight="1">
      <c r="A5360" t="s">
        <v>58</v>
      </c>
      <c r="B5360">
        <f t="shared" si="330"/>
        <v>33.700488999999997</v>
      </c>
      <c r="C5360">
        <f t="shared" si="331"/>
        <v>-117.849701</v>
      </c>
      <c r="D5360">
        <f t="shared" si="332"/>
        <v>42</v>
      </c>
      <c r="E5360">
        <v>21.5</v>
      </c>
      <c r="F5360">
        <f t="shared" si="333"/>
        <v>20.5</v>
      </c>
      <c r="G5360">
        <v>44.6</v>
      </c>
      <c r="H5360">
        <v>1.778</v>
      </c>
      <c r="I5360">
        <v>4.0259999999999998</v>
      </c>
      <c r="J5360">
        <v>5</v>
      </c>
      <c r="K5360">
        <v>21</v>
      </c>
      <c r="L5360">
        <v>17</v>
      </c>
      <c r="M5360">
        <v>2.859</v>
      </c>
    </row>
    <row r="5361" spans="1:13" ht="15" customHeight="1">
      <c r="A5361" t="s">
        <v>58</v>
      </c>
      <c r="B5361">
        <f t="shared" si="330"/>
        <v>33.700488999999997</v>
      </c>
      <c r="C5361">
        <f t="shared" si="331"/>
        <v>-117.849701</v>
      </c>
      <c r="D5361">
        <f t="shared" si="332"/>
        <v>42</v>
      </c>
      <c r="E5361">
        <v>22.5</v>
      </c>
      <c r="F5361">
        <f t="shared" si="333"/>
        <v>19.5</v>
      </c>
      <c r="G5361">
        <v>39.200000000000003</v>
      </c>
      <c r="H5361">
        <v>2.3279999999999998</v>
      </c>
      <c r="I5361">
        <v>6.0090000000000003</v>
      </c>
      <c r="J5361">
        <v>3</v>
      </c>
      <c r="K5361">
        <v>37</v>
      </c>
      <c r="L5361">
        <v>29</v>
      </c>
      <c r="M5361">
        <v>2.4940000000000002</v>
      </c>
    </row>
    <row r="5362" spans="1:13" ht="15" customHeight="1">
      <c r="A5362" t="s">
        <v>58</v>
      </c>
      <c r="B5362">
        <f t="shared" si="330"/>
        <v>33.700488999999997</v>
      </c>
      <c r="C5362">
        <f t="shared" si="331"/>
        <v>-117.849701</v>
      </c>
      <c r="D5362">
        <f t="shared" si="332"/>
        <v>42</v>
      </c>
      <c r="E5362">
        <v>23.5</v>
      </c>
      <c r="F5362">
        <f t="shared" si="333"/>
        <v>18.5</v>
      </c>
      <c r="G5362">
        <v>40.216999999999999</v>
      </c>
      <c r="H5362">
        <v>2.3279999999999998</v>
      </c>
      <c r="I5362">
        <v>5.8529999999999998</v>
      </c>
      <c r="J5362">
        <v>3</v>
      </c>
      <c r="K5362">
        <v>38</v>
      </c>
      <c r="L5362">
        <v>29</v>
      </c>
      <c r="M5362">
        <v>2.5579999999999998</v>
      </c>
    </row>
    <row r="5363" spans="1:13" ht="15" customHeight="1">
      <c r="A5363" t="s">
        <v>58</v>
      </c>
      <c r="B5363">
        <f t="shared" si="330"/>
        <v>33.700488999999997</v>
      </c>
      <c r="C5363">
        <f t="shared" si="331"/>
        <v>-117.849701</v>
      </c>
      <c r="D5363">
        <f t="shared" si="332"/>
        <v>42</v>
      </c>
      <c r="E5363">
        <v>24.5</v>
      </c>
      <c r="F5363">
        <f t="shared" si="333"/>
        <v>17.5</v>
      </c>
      <c r="G5363">
        <v>228.483</v>
      </c>
      <c r="H5363">
        <v>1.82</v>
      </c>
      <c r="I5363">
        <v>0.79800000000000004</v>
      </c>
      <c r="J5363">
        <v>9</v>
      </c>
      <c r="K5363">
        <v>44</v>
      </c>
      <c r="L5363">
        <v>33</v>
      </c>
      <c r="M5363" s="1">
        <v>9000000000</v>
      </c>
    </row>
    <row r="5364" spans="1:13" ht="15" customHeight="1">
      <c r="A5364" t="s">
        <v>58</v>
      </c>
      <c r="B5364">
        <f t="shared" si="330"/>
        <v>33.700488999999997</v>
      </c>
      <c r="C5364">
        <f t="shared" si="331"/>
        <v>-117.849701</v>
      </c>
      <c r="D5364">
        <f t="shared" si="332"/>
        <v>42</v>
      </c>
      <c r="E5364">
        <v>25.5</v>
      </c>
      <c r="F5364">
        <f t="shared" si="333"/>
        <v>16.5</v>
      </c>
      <c r="G5364">
        <v>199.55</v>
      </c>
      <c r="H5364">
        <v>4.6849999999999996</v>
      </c>
      <c r="I5364">
        <v>2.3519999999999999</v>
      </c>
      <c r="J5364">
        <v>7</v>
      </c>
      <c r="K5364">
        <v>64</v>
      </c>
      <c r="L5364">
        <v>46</v>
      </c>
      <c r="M5364" s="1">
        <v>9000000000</v>
      </c>
    </row>
    <row r="5365" spans="1:13" ht="15" customHeight="1">
      <c r="A5365" t="s">
        <v>58</v>
      </c>
      <c r="B5365">
        <f t="shared" si="330"/>
        <v>33.700488999999997</v>
      </c>
      <c r="C5365">
        <f t="shared" si="331"/>
        <v>-117.849701</v>
      </c>
      <c r="D5365">
        <f t="shared" si="332"/>
        <v>42</v>
      </c>
      <c r="E5365">
        <v>26.5</v>
      </c>
      <c r="F5365">
        <f t="shared" si="333"/>
        <v>15.5</v>
      </c>
      <c r="G5365">
        <v>256.10000000000002</v>
      </c>
      <c r="H5365">
        <v>5.1680000000000001</v>
      </c>
      <c r="I5365">
        <v>2.02</v>
      </c>
      <c r="J5365">
        <v>8</v>
      </c>
      <c r="K5365">
        <v>61</v>
      </c>
      <c r="L5365">
        <v>44</v>
      </c>
      <c r="M5365" s="1">
        <v>9000000000</v>
      </c>
    </row>
    <row r="5366" spans="1:13" ht="15" customHeight="1">
      <c r="A5366" t="s">
        <v>58</v>
      </c>
      <c r="B5366">
        <f t="shared" si="330"/>
        <v>33.700488999999997</v>
      </c>
      <c r="C5366">
        <f t="shared" si="331"/>
        <v>-117.849701</v>
      </c>
      <c r="D5366">
        <f t="shared" si="332"/>
        <v>42</v>
      </c>
      <c r="E5366">
        <v>27.5</v>
      </c>
      <c r="F5366">
        <f t="shared" si="333"/>
        <v>14.5</v>
      </c>
      <c r="G5366">
        <v>263.66699999999997</v>
      </c>
      <c r="H5366">
        <v>3.91</v>
      </c>
      <c r="I5366">
        <v>1.484</v>
      </c>
      <c r="J5366">
        <v>8</v>
      </c>
      <c r="K5366">
        <v>63</v>
      </c>
      <c r="L5366">
        <v>44</v>
      </c>
      <c r="M5366" s="1">
        <v>9000000000</v>
      </c>
    </row>
    <row r="5367" spans="1:13" ht="15" customHeight="1">
      <c r="A5367" t="s">
        <v>58</v>
      </c>
      <c r="B5367">
        <f t="shared" si="330"/>
        <v>33.700488999999997</v>
      </c>
      <c r="C5367">
        <f t="shared" si="331"/>
        <v>-117.849701</v>
      </c>
      <c r="D5367">
        <f t="shared" si="332"/>
        <v>42</v>
      </c>
      <c r="E5367">
        <v>28.5</v>
      </c>
      <c r="F5367">
        <f t="shared" si="333"/>
        <v>13.5</v>
      </c>
      <c r="G5367">
        <v>260.14999999999998</v>
      </c>
      <c r="H5367">
        <v>1.7769999999999999</v>
      </c>
      <c r="I5367">
        <v>0.68400000000000005</v>
      </c>
      <c r="J5367">
        <v>9</v>
      </c>
      <c r="K5367">
        <v>50</v>
      </c>
      <c r="L5367">
        <v>35</v>
      </c>
      <c r="M5367" s="1">
        <v>9000000000</v>
      </c>
    </row>
    <row r="5368" spans="1:13" ht="15" customHeight="1">
      <c r="A5368" t="s">
        <v>58</v>
      </c>
      <c r="B5368">
        <f t="shared" si="330"/>
        <v>33.700488999999997</v>
      </c>
      <c r="C5368">
        <f t="shared" si="331"/>
        <v>-117.849701</v>
      </c>
      <c r="D5368">
        <f t="shared" si="332"/>
        <v>42</v>
      </c>
      <c r="E5368">
        <v>29.5</v>
      </c>
      <c r="F5368">
        <f t="shared" si="333"/>
        <v>12.5</v>
      </c>
      <c r="G5368">
        <v>268</v>
      </c>
      <c r="H5368">
        <v>1.097</v>
      </c>
      <c r="I5368">
        <v>0.40799999999999997</v>
      </c>
      <c r="J5368">
        <v>10</v>
      </c>
      <c r="K5368">
        <v>43</v>
      </c>
      <c r="L5368">
        <v>29</v>
      </c>
      <c r="M5368" s="1">
        <v>9000000000</v>
      </c>
    </row>
    <row r="5369" spans="1:13" ht="15" customHeight="1">
      <c r="A5369" t="s">
        <v>58</v>
      </c>
      <c r="B5369">
        <f t="shared" si="330"/>
        <v>33.700488999999997</v>
      </c>
      <c r="C5369">
        <f t="shared" si="331"/>
        <v>-117.849701</v>
      </c>
      <c r="D5369">
        <f t="shared" si="332"/>
        <v>42</v>
      </c>
      <c r="E5369">
        <v>30.5</v>
      </c>
      <c r="F5369">
        <f t="shared" si="333"/>
        <v>11.5</v>
      </c>
      <c r="G5369">
        <v>293.91699999999997</v>
      </c>
      <c r="H5369">
        <v>1.41</v>
      </c>
      <c r="I5369">
        <v>0.47599999999999998</v>
      </c>
      <c r="J5369">
        <v>10</v>
      </c>
      <c r="K5369">
        <v>47</v>
      </c>
      <c r="L5369">
        <v>32</v>
      </c>
      <c r="M5369" s="1">
        <v>9000000000</v>
      </c>
    </row>
    <row r="5370" spans="1:13" ht="15" customHeight="1">
      <c r="A5370" t="s">
        <v>58</v>
      </c>
      <c r="B5370">
        <f t="shared" si="330"/>
        <v>33.700488999999997</v>
      </c>
      <c r="C5370">
        <f t="shared" si="331"/>
        <v>-117.849701</v>
      </c>
      <c r="D5370">
        <f t="shared" si="332"/>
        <v>42</v>
      </c>
      <c r="E5370">
        <v>31.5</v>
      </c>
      <c r="F5370">
        <f t="shared" si="333"/>
        <v>10.5</v>
      </c>
      <c r="G5370">
        <v>324.87099999999998</v>
      </c>
      <c r="H5370">
        <v>1.4910000000000001</v>
      </c>
      <c r="I5370">
        <v>0.45400000000000001</v>
      </c>
      <c r="J5370">
        <v>10</v>
      </c>
      <c r="K5370">
        <v>52</v>
      </c>
      <c r="L5370">
        <v>34</v>
      </c>
      <c r="M5370" s="1">
        <v>9000000000</v>
      </c>
    </row>
    <row r="5371" spans="1:13" ht="15" customHeight="1">
      <c r="A5371" t="s">
        <v>58</v>
      </c>
      <c r="B5371">
        <f t="shared" si="330"/>
        <v>33.700488999999997</v>
      </c>
      <c r="C5371">
        <f t="shared" si="331"/>
        <v>-117.849701</v>
      </c>
      <c r="D5371">
        <f t="shared" si="332"/>
        <v>42</v>
      </c>
      <c r="E5371">
        <v>32.5</v>
      </c>
      <c r="F5371">
        <f t="shared" si="333"/>
        <v>9.5</v>
      </c>
      <c r="G5371">
        <v>330.41699999999997</v>
      </c>
      <c r="H5371">
        <v>1.5149999999999999</v>
      </c>
      <c r="I5371">
        <v>0.45400000000000001</v>
      </c>
      <c r="J5371">
        <v>10</v>
      </c>
      <c r="K5371">
        <v>53</v>
      </c>
      <c r="L5371">
        <v>35</v>
      </c>
      <c r="M5371" s="1">
        <v>9000000000</v>
      </c>
    </row>
    <row r="5372" spans="1:13" ht="15" customHeight="1">
      <c r="A5372" t="s">
        <v>58</v>
      </c>
      <c r="B5372">
        <f t="shared" si="330"/>
        <v>33.700488999999997</v>
      </c>
      <c r="C5372">
        <f t="shared" si="331"/>
        <v>-117.849701</v>
      </c>
      <c r="D5372">
        <f t="shared" si="332"/>
        <v>42</v>
      </c>
      <c r="E5372">
        <v>33.5</v>
      </c>
      <c r="F5372">
        <f t="shared" si="333"/>
        <v>8.5</v>
      </c>
      <c r="G5372">
        <v>264.46699999999998</v>
      </c>
      <c r="H5372">
        <v>1.895</v>
      </c>
      <c r="I5372">
        <v>0.70799999999999996</v>
      </c>
      <c r="J5372">
        <v>9</v>
      </c>
      <c r="K5372">
        <v>51</v>
      </c>
      <c r="L5372">
        <v>33</v>
      </c>
      <c r="M5372" s="1">
        <v>9000000000</v>
      </c>
    </row>
    <row r="5373" spans="1:13" ht="15" customHeight="1">
      <c r="A5373" t="s">
        <v>58</v>
      </c>
      <c r="B5373">
        <f t="shared" si="330"/>
        <v>33.700488999999997</v>
      </c>
      <c r="C5373">
        <f t="shared" si="331"/>
        <v>-117.849701</v>
      </c>
      <c r="D5373">
        <f t="shared" si="332"/>
        <v>42</v>
      </c>
      <c r="E5373">
        <v>34.5</v>
      </c>
      <c r="F5373">
        <f t="shared" si="333"/>
        <v>7.5</v>
      </c>
      <c r="G5373">
        <v>228.11699999999999</v>
      </c>
      <c r="H5373">
        <v>2.3769999999999998</v>
      </c>
      <c r="I5373">
        <v>1.0289999999999999</v>
      </c>
      <c r="J5373">
        <v>9</v>
      </c>
      <c r="K5373">
        <v>44</v>
      </c>
      <c r="L5373">
        <v>28</v>
      </c>
      <c r="M5373" s="1">
        <v>9000000000</v>
      </c>
    </row>
    <row r="5374" spans="1:13" ht="15" customHeight="1">
      <c r="A5374" t="s">
        <v>58</v>
      </c>
      <c r="B5374">
        <f t="shared" si="330"/>
        <v>33.700488999999997</v>
      </c>
      <c r="C5374">
        <f t="shared" si="331"/>
        <v>-117.849701</v>
      </c>
      <c r="D5374">
        <f t="shared" si="332"/>
        <v>42</v>
      </c>
      <c r="E5374">
        <v>35.5</v>
      </c>
      <c r="F5374">
        <f t="shared" si="333"/>
        <v>6.5</v>
      </c>
      <c r="G5374">
        <v>234.68299999999999</v>
      </c>
      <c r="H5374">
        <v>2.6869999999999998</v>
      </c>
      <c r="I5374">
        <v>1.131</v>
      </c>
      <c r="J5374">
        <v>9</v>
      </c>
      <c r="K5374">
        <v>46</v>
      </c>
      <c r="L5374">
        <v>29</v>
      </c>
      <c r="M5374" s="1">
        <v>9000000000</v>
      </c>
    </row>
    <row r="5375" spans="1:13" ht="15" customHeight="1">
      <c r="A5375" t="s">
        <v>58</v>
      </c>
      <c r="B5375">
        <f t="shared" si="330"/>
        <v>33.700488999999997</v>
      </c>
      <c r="C5375">
        <f t="shared" si="331"/>
        <v>-117.849701</v>
      </c>
      <c r="D5375">
        <f t="shared" si="332"/>
        <v>42</v>
      </c>
      <c r="E5375">
        <v>36.5</v>
      </c>
      <c r="F5375">
        <f t="shared" si="333"/>
        <v>5.5</v>
      </c>
      <c r="G5375">
        <v>258.16699999999997</v>
      </c>
      <c r="H5375">
        <v>2.4900000000000002</v>
      </c>
      <c r="I5375">
        <v>0.94699999999999995</v>
      </c>
      <c r="J5375">
        <v>9</v>
      </c>
      <c r="K5375">
        <v>50</v>
      </c>
      <c r="L5375">
        <v>31</v>
      </c>
      <c r="M5375" s="1">
        <v>9000000000</v>
      </c>
    </row>
    <row r="5376" spans="1:13" ht="15" customHeight="1">
      <c r="A5376" t="s">
        <v>58</v>
      </c>
      <c r="B5376">
        <f t="shared" si="330"/>
        <v>33.700488999999997</v>
      </c>
      <c r="C5376">
        <f t="shared" si="331"/>
        <v>-117.849701</v>
      </c>
      <c r="D5376">
        <f t="shared" si="332"/>
        <v>42</v>
      </c>
      <c r="E5376">
        <v>37.5</v>
      </c>
      <c r="F5376">
        <f t="shared" si="333"/>
        <v>4.5</v>
      </c>
      <c r="G5376">
        <v>273.66699999999997</v>
      </c>
      <c r="H5376">
        <v>1.992</v>
      </c>
      <c r="I5376">
        <v>0.71</v>
      </c>
      <c r="J5376">
        <v>9</v>
      </c>
      <c r="K5376">
        <v>54</v>
      </c>
      <c r="L5376">
        <v>33</v>
      </c>
      <c r="M5376" s="1">
        <v>9000000000</v>
      </c>
    </row>
    <row r="5377" spans="1:13" ht="15" customHeight="1">
      <c r="A5377" t="s">
        <v>58</v>
      </c>
      <c r="B5377">
        <f t="shared" si="330"/>
        <v>33.700488999999997</v>
      </c>
      <c r="C5377">
        <f t="shared" si="331"/>
        <v>-117.849701</v>
      </c>
      <c r="D5377">
        <f t="shared" si="332"/>
        <v>42</v>
      </c>
      <c r="E5377">
        <v>38.5</v>
      </c>
      <c r="F5377">
        <f t="shared" si="333"/>
        <v>3.5</v>
      </c>
      <c r="G5377">
        <v>264.88299999999998</v>
      </c>
      <c r="H5377">
        <v>2.7170000000000001</v>
      </c>
      <c r="I5377">
        <v>0.95299999999999996</v>
      </c>
      <c r="J5377">
        <v>9</v>
      </c>
      <c r="K5377">
        <v>55</v>
      </c>
      <c r="L5377">
        <v>33</v>
      </c>
      <c r="M5377" s="1">
        <v>9000000000</v>
      </c>
    </row>
    <row r="5378" spans="1:13" ht="15" customHeight="1">
      <c r="A5378" t="s">
        <v>58</v>
      </c>
      <c r="B5378">
        <f t="shared" ref="B5378:B5441" si="334">VLOOKUP(A5378,XYdata,3,FALSE)</f>
        <v>33.700488999999997</v>
      </c>
      <c r="C5378">
        <f t="shared" ref="C5378:C5441" si="335">VLOOKUP(A5378,XYdata,2,FALSE)</f>
        <v>-117.849701</v>
      </c>
      <c r="D5378">
        <f t="shared" ref="D5378:D5441" si="336">VLOOKUP(A5378,Elevation,2,FALSE)</f>
        <v>42</v>
      </c>
      <c r="E5378">
        <v>39.5</v>
      </c>
      <c r="F5378">
        <f t="shared" si="333"/>
        <v>2.5</v>
      </c>
      <c r="G5378">
        <v>270.95</v>
      </c>
      <c r="H5378">
        <v>2.887</v>
      </c>
      <c r="I5378">
        <v>0.92400000000000004</v>
      </c>
      <c r="J5378">
        <v>9</v>
      </c>
      <c r="K5378">
        <v>60</v>
      </c>
      <c r="L5378">
        <v>36</v>
      </c>
      <c r="M5378" s="1">
        <v>9000000000</v>
      </c>
    </row>
    <row r="5379" spans="1:13" ht="15" customHeight="1">
      <c r="A5379" t="s">
        <v>58</v>
      </c>
      <c r="B5379">
        <f t="shared" si="334"/>
        <v>33.700488999999997</v>
      </c>
      <c r="C5379">
        <f t="shared" si="335"/>
        <v>-117.849701</v>
      </c>
      <c r="D5379">
        <f t="shared" si="336"/>
        <v>42</v>
      </c>
      <c r="E5379">
        <v>40.5</v>
      </c>
      <c r="F5379">
        <f t="shared" ref="F5379:F5442" si="337">D5379-E5379</f>
        <v>1.5</v>
      </c>
      <c r="G5379">
        <v>280.91699999999997</v>
      </c>
      <c r="H5379">
        <v>3.01</v>
      </c>
      <c r="I5379">
        <v>0.90800000000000003</v>
      </c>
      <c r="J5379">
        <v>9</v>
      </c>
      <c r="K5379">
        <v>63</v>
      </c>
      <c r="L5379">
        <v>37</v>
      </c>
      <c r="M5379" s="1">
        <v>9000000000</v>
      </c>
    </row>
    <row r="5380" spans="1:13" ht="15" customHeight="1">
      <c r="A5380" t="s">
        <v>58</v>
      </c>
      <c r="B5380">
        <f t="shared" si="334"/>
        <v>33.700488999999997</v>
      </c>
      <c r="C5380">
        <f t="shared" si="335"/>
        <v>-117.849701</v>
      </c>
      <c r="D5380">
        <f t="shared" si="336"/>
        <v>42</v>
      </c>
      <c r="E5380">
        <v>41.499000000000002</v>
      </c>
      <c r="F5380">
        <f t="shared" si="337"/>
        <v>0.50099999999999767</v>
      </c>
      <c r="G5380">
        <v>284.24299999999999</v>
      </c>
      <c r="H5380">
        <v>2.714</v>
      </c>
      <c r="I5380">
        <v>0.80200000000000005</v>
      </c>
      <c r="J5380">
        <v>9</v>
      </c>
      <c r="K5380">
        <v>65</v>
      </c>
      <c r="L5380">
        <v>38</v>
      </c>
      <c r="M5380" s="1">
        <v>9000000000</v>
      </c>
    </row>
    <row r="5381" spans="1:13" ht="15" customHeight="1">
      <c r="A5381" t="s">
        <v>58</v>
      </c>
      <c r="B5381">
        <f t="shared" si="334"/>
        <v>33.700488999999997</v>
      </c>
      <c r="C5381">
        <f t="shared" si="335"/>
        <v>-117.849701</v>
      </c>
      <c r="D5381">
        <f t="shared" si="336"/>
        <v>42</v>
      </c>
      <c r="E5381">
        <v>42.499000000000002</v>
      </c>
      <c r="F5381">
        <f t="shared" si="337"/>
        <v>-0.49900000000000233</v>
      </c>
      <c r="G5381">
        <v>296.36700000000002</v>
      </c>
      <c r="H5381">
        <v>2.4449999999999998</v>
      </c>
      <c r="I5381">
        <v>0.69699999999999995</v>
      </c>
      <c r="J5381">
        <v>10</v>
      </c>
      <c r="K5381">
        <v>56</v>
      </c>
      <c r="L5381">
        <v>32</v>
      </c>
      <c r="M5381" s="1">
        <v>9000000000</v>
      </c>
    </row>
    <row r="5382" spans="1:13" ht="15" customHeight="1">
      <c r="A5382" t="s">
        <v>58</v>
      </c>
      <c r="B5382">
        <f t="shared" si="334"/>
        <v>33.700488999999997</v>
      </c>
      <c r="C5382">
        <f t="shared" si="335"/>
        <v>-117.849701</v>
      </c>
      <c r="D5382">
        <f t="shared" si="336"/>
        <v>42</v>
      </c>
      <c r="E5382">
        <v>43.499000000000002</v>
      </c>
      <c r="F5382">
        <f t="shared" si="337"/>
        <v>-1.4990000000000023</v>
      </c>
      <c r="G5382">
        <v>333</v>
      </c>
      <c r="H5382">
        <v>2.4</v>
      </c>
      <c r="I5382">
        <v>0.61899999999999999</v>
      </c>
      <c r="J5382">
        <v>10</v>
      </c>
      <c r="K5382">
        <v>62</v>
      </c>
      <c r="L5382">
        <v>35</v>
      </c>
      <c r="M5382" s="1">
        <v>9000000000</v>
      </c>
    </row>
    <row r="5383" spans="1:13" ht="15" customHeight="1">
      <c r="A5383" t="s">
        <v>58</v>
      </c>
      <c r="B5383">
        <f t="shared" si="334"/>
        <v>33.700488999999997</v>
      </c>
      <c r="C5383">
        <f t="shared" si="335"/>
        <v>-117.849701</v>
      </c>
      <c r="D5383">
        <f t="shared" si="336"/>
        <v>42</v>
      </c>
      <c r="E5383">
        <v>44.499000000000002</v>
      </c>
      <c r="F5383">
        <f t="shared" si="337"/>
        <v>-2.4990000000000023</v>
      </c>
      <c r="G5383">
        <v>309.767</v>
      </c>
      <c r="H5383">
        <v>2.605</v>
      </c>
      <c r="I5383">
        <v>0.71499999999999997</v>
      </c>
      <c r="J5383">
        <v>10</v>
      </c>
      <c r="K5383">
        <v>58</v>
      </c>
      <c r="L5383">
        <v>32</v>
      </c>
      <c r="M5383" s="1">
        <v>9000000000</v>
      </c>
    </row>
    <row r="5384" spans="1:13" ht="15" customHeight="1">
      <c r="A5384" t="s">
        <v>58</v>
      </c>
      <c r="B5384">
        <f t="shared" si="334"/>
        <v>33.700488999999997</v>
      </c>
      <c r="C5384">
        <f t="shared" si="335"/>
        <v>-117.849701</v>
      </c>
      <c r="D5384">
        <f t="shared" si="336"/>
        <v>42</v>
      </c>
      <c r="E5384">
        <v>45.499000000000002</v>
      </c>
      <c r="F5384">
        <f t="shared" si="337"/>
        <v>-3.4990000000000023</v>
      </c>
      <c r="G5384">
        <v>264.16699999999997</v>
      </c>
      <c r="H5384">
        <v>2.3479999999999999</v>
      </c>
      <c r="I5384">
        <v>0.73699999999999999</v>
      </c>
      <c r="J5384">
        <v>9</v>
      </c>
      <c r="K5384">
        <v>61</v>
      </c>
      <c r="L5384">
        <v>34</v>
      </c>
      <c r="M5384" s="1">
        <v>9000000000</v>
      </c>
    </row>
    <row r="5385" spans="1:13" ht="15" customHeight="1">
      <c r="A5385" t="s">
        <v>58</v>
      </c>
      <c r="B5385">
        <f t="shared" si="334"/>
        <v>33.700488999999997</v>
      </c>
      <c r="C5385">
        <f t="shared" si="335"/>
        <v>-117.849701</v>
      </c>
      <c r="D5385">
        <f t="shared" si="336"/>
        <v>42</v>
      </c>
      <c r="E5385">
        <v>46.499000000000002</v>
      </c>
      <c r="F5385">
        <f t="shared" si="337"/>
        <v>-4.4990000000000023</v>
      </c>
      <c r="G5385">
        <v>58.966999999999999</v>
      </c>
      <c r="H5385">
        <v>1.4530000000000001</v>
      </c>
      <c r="I5385">
        <v>1.2809999999999999</v>
      </c>
      <c r="J5385">
        <v>8</v>
      </c>
      <c r="K5385">
        <v>27</v>
      </c>
      <c r="L5385">
        <v>15</v>
      </c>
      <c r="M5385" s="1">
        <v>9000000000</v>
      </c>
    </row>
    <row r="5386" spans="1:13" ht="15" customHeight="1">
      <c r="A5386" t="s">
        <v>58</v>
      </c>
      <c r="B5386">
        <f t="shared" si="334"/>
        <v>33.700488999999997</v>
      </c>
      <c r="C5386">
        <f t="shared" si="335"/>
        <v>-117.849701</v>
      </c>
      <c r="D5386">
        <f t="shared" si="336"/>
        <v>42</v>
      </c>
      <c r="E5386">
        <v>47.499000000000002</v>
      </c>
      <c r="F5386">
        <f t="shared" si="337"/>
        <v>-5.4990000000000023</v>
      </c>
      <c r="G5386">
        <v>27.983000000000001</v>
      </c>
      <c r="H5386">
        <v>0.27</v>
      </c>
      <c r="I5386">
        <v>0.32700000000000001</v>
      </c>
      <c r="J5386">
        <v>8</v>
      </c>
      <c r="K5386">
        <v>20</v>
      </c>
      <c r="L5386">
        <v>11</v>
      </c>
      <c r="M5386" s="1">
        <v>9000000000</v>
      </c>
    </row>
    <row r="5387" spans="1:13" ht="15" customHeight="1">
      <c r="A5387" t="s">
        <v>58</v>
      </c>
      <c r="B5387">
        <f t="shared" si="334"/>
        <v>33.700488999999997</v>
      </c>
      <c r="C5387">
        <f t="shared" si="335"/>
        <v>-117.849701</v>
      </c>
      <c r="D5387">
        <f t="shared" si="336"/>
        <v>42</v>
      </c>
      <c r="E5387">
        <v>48.499000000000002</v>
      </c>
      <c r="F5387">
        <f t="shared" si="337"/>
        <v>-6.4990000000000023</v>
      </c>
      <c r="G5387">
        <v>42.517000000000003</v>
      </c>
      <c r="H5387">
        <v>1.0369999999999999</v>
      </c>
      <c r="I5387">
        <v>1.069</v>
      </c>
      <c r="J5387">
        <v>8</v>
      </c>
      <c r="K5387">
        <v>23</v>
      </c>
      <c r="L5387">
        <v>12</v>
      </c>
      <c r="M5387" s="1">
        <v>9000000000</v>
      </c>
    </row>
    <row r="5388" spans="1:13" ht="15" customHeight="1">
      <c r="A5388" t="s">
        <v>58</v>
      </c>
      <c r="B5388">
        <f t="shared" si="334"/>
        <v>33.700488999999997</v>
      </c>
      <c r="C5388">
        <f t="shared" si="335"/>
        <v>-117.849701</v>
      </c>
      <c r="D5388">
        <f t="shared" si="336"/>
        <v>42</v>
      </c>
      <c r="E5388">
        <v>49.499000000000002</v>
      </c>
      <c r="F5388">
        <f t="shared" si="337"/>
        <v>-7.4990000000000023</v>
      </c>
      <c r="G5388">
        <v>76.900000000000006</v>
      </c>
      <c r="H5388">
        <v>1.7050000000000001</v>
      </c>
      <c r="I5388">
        <v>1.2989999999999999</v>
      </c>
      <c r="J5388">
        <v>8</v>
      </c>
      <c r="K5388">
        <v>31</v>
      </c>
      <c r="L5388">
        <v>16</v>
      </c>
      <c r="M5388" s="1">
        <v>9000000000</v>
      </c>
    </row>
    <row r="5389" spans="1:13" ht="15" customHeight="1">
      <c r="A5389" t="s">
        <v>58</v>
      </c>
      <c r="B5389">
        <f t="shared" si="334"/>
        <v>33.700488999999997</v>
      </c>
      <c r="C5389">
        <f t="shared" si="335"/>
        <v>-117.849701</v>
      </c>
      <c r="D5389">
        <f t="shared" si="336"/>
        <v>42</v>
      </c>
      <c r="E5389">
        <v>50.499000000000002</v>
      </c>
      <c r="F5389">
        <f t="shared" si="337"/>
        <v>-8.4990000000000023</v>
      </c>
      <c r="G5389">
        <v>172</v>
      </c>
      <c r="H5389">
        <v>3.7930000000000001</v>
      </c>
      <c r="I5389">
        <v>1.675</v>
      </c>
      <c r="J5389">
        <v>8</v>
      </c>
      <c r="K5389">
        <v>54</v>
      </c>
      <c r="L5389">
        <v>28</v>
      </c>
      <c r="M5389" s="1">
        <v>9000000000</v>
      </c>
    </row>
    <row r="5390" spans="1:13" ht="15" customHeight="1">
      <c r="A5390" t="s">
        <v>58</v>
      </c>
      <c r="B5390">
        <f t="shared" si="334"/>
        <v>33.700488999999997</v>
      </c>
      <c r="C5390">
        <f t="shared" si="335"/>
        <v>-117.849701</v>
      </c>
      <c r="D5390">
        <f t="shared" si="336"/>
        <v>42</v>
      </c>
      <c r="E5390">
        <v>51.499000000000002</v>
      </c>
      <c r="F5390">
        <f t="shared" si="337"/>
        <v>-9.4990000000000023</v>
      </c>
      <c r="G5390">
        <v>146.80000000000001</v>
      </c>
      <c r="H5390">
        <v>3.18</v>
      </c>
      <c r="I5390">
        <v>1.591</v>
      </c>
      <c r="J5390">
        <v>8</v>
      </c>
      <c r="K5390">
        <v>48</v>
      </c>
      <c r="L5390">
        <v>25</v>
      </c>
      <c r="M5390" s="1">
        <v>9000000000</v>
      </c>
    </row>
    <row r="5391" spans="1:13" ht="15" customHeight="1">
      <c r="A5391" t="s">
        <v>58</v>
      </c>
      <c r="B5391">
        <f t="shared" si="334"/>
        <v>33.700488999999997</v>
      </c>
      <c r="C5391">
        <f t="shared" si="335"/>
        <v>-117.849701</v>
      </c>
      <c r="D5391">
        <f t="shared" si="336"/>
        <v>42</v>
      </c>
      <c r="E5391">
        <v>52.499000000000002</v>
      </c>
      <c r="F5391">
        <f t="shared" si="337"/>
        <v>-10.499000000000002</v>
      </c>
      <c r="G5391">
        <v>79.242999999999995</v>
      </c>
      <c r="H5391">
        <v>3</v>
      </c>
      <c r="I5391">
        <v>2.3119999999999998</v>
      </c>
      <c r="J5391">
        <v>7</v>
      </c>
      <c r="K5391">
        <v>41</v>
      </c>
      <c r="L5391">
        <v>21</v>
      </c>
      <c r="M5391" s="1">
        <v>9000000000</v>
      </c>
    </row>
    <row r="5392" spans="1:13" ht="15" customHeight="1">
      <c r="A5392" t="s">
        <v>58</v>
      </c>
      <c r="B5392">
        <f t="shared" si="334"/>
        <v>33.700488999999997</v>
      </c>
      <c r="C5392">
        <f t="shared" si="335"/>
        <v>-117.849701</v>
      </c>
      <c r="D5392">
        <f t="shared" si="336"/>
        <v>42</v>
      </c>
      <c r="E5392">
        <v>53.499000000000002</v>
      </c>
      <c r="F5392">
        <f t="shared" si="337"/>
        <v>-11.499000000000002</v>
      </c>
      <c r="G5392">
        <v>63.082999999999998</v>
      </c>
      <c r="H5392">
        <v>2.677</v>
      </c>
      <c r="I5392">
        <v>2.3780000000000001</v>
      </c>
      <c r="J5392">
        <v>7</v>
      </c>
      <c r="K5392">
        <v>36</v>
      </c>
      <c r="L5392">
        <v>18</v>
      </c>
      <c r="M5392" s="1">
        <v>9000000000</v>
      </c>
    </row>
    <row r="5393" spans="1:13" ht="15" customHeight="1">
      <c r="A5393" t="s">
        <v>58</v>
      </c>
      <c r="B5393">
        <f t="shared" si="334"/>
        <v>33.700488999999997</v>
      </c>
      <c r="C5393">
        <f t="shared" si="335"/>
        <v>-117.849701</v>
      </c>
      <c r="D5393">
        <f t="shared" si="336"/>
        <v>42</v>
      </c>
      <c r="E5393">
        <v>54.499000000000002</v>
      </c>
      <c r="F5393">
        <f t="shared" si="337"/>
        <v>-12.499000000000002</v>
      </c>
      <c r="G5393">
        <v>58.616999999999997</v>
      </c>
      <c r="H5393">
        <v>2.1120000000000001</v>
      </c>
      <c r="I5393">
        <v>2.2029999999999998</v>
      </c>
      <c r="J5393">
        <v>7</v>
      </c>
      <c r="K5393">
        <v>31</v>
      </c>
      <c r="L5393">
        <v>16</v>
      </c>
      <c r="M5393" s="1">
        <v>9000000000</v>
      </c>
    </row>
    <row r="5394" spans="1:13" ht="15" customHeight="1">
      <c r="A5394" t="s">
        <v>58</v>
      </c>
      <c r="B5394">
        <f t="shared" si="334"/>
        <v>33.700488999999997</v>
      </c>
      <c r="C5394">
        <f t="shared" si="335"/>
        <v>-117.849701</v>
      </c>
      <c r="D5394">
        <f t="shared" si="336"/>
        <v>42</v>
      </c>
      <c r="E5394">
        <v>55.499000000000002</v>
      </c>
      <c r="F5394">
        <f t="shared" si="337"/>
        <v>-13.499000000000002</v>
      </c>
      <c r="G5394">
        <v>58.433</v>
      </c>
      <c r="H5394">
        <v>2.29</v>
      </c>
      <c r="I5394">
        <v>2.9780000000000002</v>
      </c>
      <c r="J5394">
        <v>6</v>
      </c>
      <c r="K5394">
        <v>29</v>
      </c>
      <c r="L5394">
        <v>15</v>
      </c>
      <c r="M5394">
        <v>4.899</v>
      </c>
    </row>
    <row r="5395" spans="1:13" ht="15" customHeight="1">
      <c r="A5395" t="s">
        <v>58</v>
      </c>
      <c r="B5395">
        <f t="shared" si="334"/>
        <v>33.700488999999997</v>
      </c>
      <c r="C5395">
        <f t="shared" si="335"/>
        <v>-117.849701</v>
      </c>
      <c r="D5395">
        <f t="shared" si="336"/>
        <v>42</v>
      </c>
      <c r="E5395">
        <v>56.499000000000002</v>
      </c>
      <c r="F5395">
        <f t="shared" si="337"/>
        <v>-14.499000000000002</v>
      </c>
      <c r="G5395">
        <v>28.15</v>
      </c>
      <c r="H5395">
        <v>0.86</v>
      </c>
      <c r="I5395">
        <v>1.9259999999999999</v>
      </c>
      <c r="J5395">
        <v>6</v>
      </c>
      <c r="K5395">
        <v>17</v>
      </c>
      <c r="L5395">
        <v>9</v>
      </c>
      <c r="M5395">
        <v>2.7450000000000001</v>
      </c>
    </row>
    <row r="5396" spans="1:13" ht="15" customHeight="1">
      <c r="A5396" t="s">
        <v>58</v>
      </c>
      <c r="B5396">
        <f t="shared" si="334"/>
        <v>33.700488999999997</v>
      </c>
      <c r="C5396">
        <f t="shared" si="335"/>
        <v>-117.849701</v>
      </c>
      <c r="D5396">
        <f t="shared" si="336"/>
        <v>42</v>
      </c>
      <c r="E5396">
        <v>57.499000000000002</v>
      </c>
      <c r="F5396">
        <f t="shared" si="337"/>
        <v>-15.499000000000002</v>
      </c>
      <c r="G5396">
        <v>32.433</v>
      </c>
      <c r="H5396">
        <v>1.073</v>
      </c>
      <c r="I5396">
        <v>2.3029999999999999</v>
      </c>
      <c r="J5396">
        <v>6</v>
      </c>
      <c r="K5396">
        <v>18</v>
      </c>
      <c r="L5396">
        <v>9</v>
      </c>
      <c r="M5396">
        <v>2.871</v>
      </c>
    </row>
    <row r="5397" spans="1:13" ht="15" customHeight="1">
      <c r="A5397" t="s">
        <v>58</v>
      </c>
      <c r="B5397">
        <f t="shared" si="334"/>
        <v>33.700488999999997</v>
      </c>
      <c r="C5397">
        <f t="shared" si="335"/>
        <v>-117.849701</v>
      </c>
      <c r="D5397">
        <f t="shared" si="336"/>
        <v>42</v>
      </c>
      <c r="E5397">
        <v>58.499000000000002</v>
      </c>
      <c r="F5397">
        <f t="shared" si="337"/>
        <v>-16.499000000000002</v>
      </c>
      <c r="G5397">
        <v>25.466999999999999</v>
      </c>
      <c r="H5397">
        <v>0.748</v>
      </c>
      <c r="I5397">
        <v>2.1179999999999999</v>
      </c>
      <c r="J5397">
        <v>6</v>
      </c>
      <c r="K5397">
        <v>14</v>
      </c>
      <c r="L5397">
        <v>7</v>
      </c>
      <c r="M5397">
        <v>2.1150000000000002</v>
      </c>
    </row>
    <row r="5398" spans="1:13" ht="15" customHeight="1">
      <c r="A5398" t="s">
        <v>58</v>
      </c>
      <c r="B5398">
        <f t="shared" si="334"/>
        <v>33.700488999999997</v>
      </c>
      <c r="C5398">
        <f t="shared" si="335"/>
        <v>-117.849701</v>
      </c>
      <c r="D5398">
        <f t="shared" si="336"/>
        <v>42</v>
      </c>
      <c r="E5398">
        <v>59.499000000000002</v>
      </c>
      <c r="F5398">
        <f t="shared" si="337"/>
        <v>-17.499000000000002</v>
      </c>
      <c r="G5398">
        <v>24.2</v>
      </c>
      <c r="H5398">
        <v>0.71199999999999997</v>
      </c>
      <c r="I5398">
        <v>2.218</v>
      </c>
      <c r="J5398">
        <v>6</v>
      </c>
      <c r="K5398">
        <v>12</v>
      </c>
      <c r="L5398">
        <v>6</v>
      </c>
      <c r="M5398">
        <v>1.895</v>
      </c>
    </row>
    <row r="5399" spans="1:13" ht="15" customHeight="1">
      <c r="A5399" t="s">
        <v>58</v>
      </c>
      <c r="B5399">
        <f t="shared" si="334"/>
        <v>33.700488999999997</v>
      </c>
      <c r="C5399">
        <f t="shared" si="335"/>
        <v>-117.849701</v>
      </c>
      <c r="D5399">
        <f t="shared" si="336"/>
        <v>42</v>
      </c>
      <c r="E5399">
        <v>60.499000000000002</v>
      </c>
      <c r="F5399">
        <f t="shared" si="337"/>
        <v>-18.499000000000002</v>
      </c>
      <c r="G5399">
        <v>28.233000000000001</v>
      </c>
      <c r="H5399">
        <v>0.95</v>
      </c>
      <c r="I5399">
        <v>2.7229999999999999</v>
      </c>
      <c r="J5399">
        <v>6</v>
      </c>
      <c r="K5399">
        <v>13</v>
      </c>
      <c r="L5399">
        <v>7</v>
      </c>
      <c r="M5399">
        <v>2.077</v>
      </c>
    </row>
    <row r="5400" spans="1:13" ht="15" customHeight="1">
      <c r="A5400" t="s">
        <v>58</v>
      </c>
      <c r="B5400">
        <f t="shared" si="334"/>
        <v>33.700488999999997</v>
      </c>
      <c r="C5400">
        <f t="shared" si="335"/>
        <v>-117.849701</v>
      </c>
      <c r="D5400">
        <f t="shared" si="336"/>
        <v>42</v>
      </c>
      <c r="E5400">
        <v>61.499000000000002</v>
      </c>
      <c r="F5400">
        <f t="shared" si="337"/>
        <v>-19.499000000000002</v>
      </c>
      <c r="G5400">
        <v>26.516999999999999</v>
      </c>
      <c r="H5400">
        <v>0.9</v>
      </c>
      <c r="I5400">
        <v>2.7949999999999999</v>
      </c>
      <c r="J5400">
        <v>6</v>
      </c>
      <c r="K5400">
        <v>12</v>
      </c>
      <c r="L5400">
        <v>6</v>
      </c>
      <c r="M5400">
        <v>1.8939999999999999</v>
      </c>
    </row>
    <row r="5401" spans="1:13" ht="15" customHeight="1">
      <c r="A5401" t="s">
        <v>58</v>
      </c>
      <c r="B5401">
        <f t="shared" si="334"/>
        <v>33.700488999999997</v>
      </c>
      <c r="C5401">
        <f t="shared" si="335"/>
        <v>-117.849701</v>
      </c>
      <c r="D5401">
        <f t="shared" si="336"/>
        <v>42</v>
      </c>
      <c r="E5401">
        <v>62.499000000000002</v>
      </c>
      <c r="F5401">
        <f t="shared" si="337"/>
        <v>-20.499000000000002</v>
      </c>
      <c r="G5401">
        <v>27.471</v>
      </c>
      <c r="H5401">
        <v>0.754</v>
      </c>
      <c r="I5401">
        <v>2.3039999999999998</v>
      </c>
      <c r="J5401">
        <v>6</v>
      </c>
      <c r="K5401">
        <v>13</v>
      </c>
      <c r="L5401">
        <v>7</v>
      </c>
      <c r="M5401">
        <v>1.9259999999999999</v>
      </c>
    </row>
    <row r="5402" spans="1:13" ht="15" customHeight="1">
      <c r="A5402" t="s">
        <v>58</v>
      </c>
      <c r="B5402">
        <f t="shared" si="334"/>
        <v>33.700488999999997</v>
      </c>
      <c r="C5402">
        <f t="shared" si="335"/>
        <v>-117.849701</v>
      </c>
      <c r="D5402">
        <f t="shared" si="336"/>
        <v>42</v>
      </c>
      <c r="E5402">
        <v>63.499000000000002</v>
      </c>
      <c r="F5402">
        <f t="shared" si="337"/>
        <v>-21.499000000000002</v>
      </c>
      <c r="G5402">
        <v>26</v>
      </c>
      <c r="H5402">
        <v>0.78200000000000003</v>
      </c>
      <c r="I5402">
        <v>2.4830000000000001</v>
      </c>
      <c r="J5402">
        <v>6</v>
      </c>
      <c r="K5402">
        <v>12</v>
      </c>
      <c r="L5402">
        <v>6</v>
      </c>
      <c r="M5402">
        <v>1.8380000000000001</v>
      </c>
    </row>
    <row r="5403" spans="1:13" ht="15" customHeight="1">
      <c r="A5403" t="s">
        <v>58</v>
      </c>
      <c r="B5403">
        <f t="shared" si="334"/>
        <v>33.700488999999997</v>
      </c>
      <c r="C5403">
        <f t="shared" si="335"/>
        <v>-117.849701</v>
      </c>
      <c r="D5403">
        <f t="shared" si="336"/>
        <v>42</v>
      </c>
      <c r="E5403">
        <v>64.498999999999995</v>
      </c>
      <c r="F5403">
        <f t="shared" si="337"/>
        <v>-22.498999999999995</v>
      </c>
      <c r="G5403">
        <v>29.25</v>
      </c>
      <c r="H5403">
        <v>0.80300000000000005</v>
      </c>
      <c r="I5403">
        <v>2.3069999999999999</v>
      </c>
      <c r="J5403">
        <v>6</v>
      </c>
      <c r="K5403">
        <v>13</v>
      </c>
      <c r="L5403">
        <v>7</v>
      </c>
      <c r="M5403">
        <v>2.056</v>
      </c>
    </row>
    <row r="5404" spans="1:13" ht="15" customHeight="1">
      <c r="A5404" t="s">
        <v>58</v>
      </c>
      <c r="B5404">
        <f t="shared" si="334"/>
        <v>33.700488999999997</v>
      </c>
      <c r="C5404">
        <f t="shared" si="335"/>
        <v>-117.849701</v>
      </c>
      <c r="D5404">
        <f t="shared" si="336"/>
        <v>42</v>
      </c>
      <c r="E5404">
        <v>65.498999999999995</v>
      </c>
      <c r="F5404">
        <f t="shared" si="337"/>
        <v>-23.498999999999995</v>
      </c>
      <c r="G5404">
        <v>26.933</v>
      </c>
      <c r="H5404">
        <v>0.51800000000000002</v>
      </c>
      <c r="I5404">
        <v>1.597</v>
      </c>
      <c r="J5404">
        <v>6</v>
      </c>
      <c r="K5404">
        <v>12</v>
      </c>
      <c r="L5404">
        <v>6</v>
      </c>
      <c r="M5404">
        <v>1.895</v>
      </c>
    </row>
    <row r="5405" spans="1:13" ht="15" customHeight="1">
      <c r="A5405" t="s">
        <v>58</v>
      </c>
      <c r="B5405">
        <f t="shared" si="334"/>
        <v>33.700488999999997</v>
      </c>
      <c r="C5405">
        <f t="shared" si="335"/>
        <v>-117.849701</v>
      </c>
      <c r="D5405">
        <f t="shared" si="336"/>
        <v>42</v>
      </c>
      <c r="E5405">
        <v>66.498999999999995</v>
      </c>
      <c r="F5405">
        <f t="shared" si="337"/>
        <v>-24.498999999999995</v>
      </c>
      <c r="G5405">
        <v>29.6</v>
      </c>
      <c r="H5405">
        <v>0.81299999999999994</v>
      </c>
      <c r="I5405">
        <v>2.3109999999999999</v>
      </c>
      <c r="J5405">
        <v>6</v>
      </c>
      <c r="K5405">
        <v>13</v>
      </c>
      <c r="L5405">
        <v>7</v>
      </c>
      <c r="M5405">
        <v>2.073</v>
      </c>
    </row>
    <row r="5406" spans="1:13" ht="15" customHeight="1">
      <c r="A5406" t="s">
        <v>58</v>
      </c>
      <c r="B5406">
        <f t="shared" si="334"/>
        <v>33.700488999999997</v>
      </c>
      <c r="C5406">
        <f t="shared" si="335"/>
        <v>-117.849701</v>
      </c>
      <c r="D5406">
        <f t="shared" si="336"/>
        <v>42</v>
      </c>
      <c r="E5406">
        <v>67.498999999999995</v>
      </c>
      <c r="F5406">
        <f t="shared" si="337"/>
        <v>-25.498999999999995</v>
      </c>
      <c r="G5406">
        <v>31.233000000000001</v>
      </c>
      <c r="H5406">
        <v>1.0980000000000001</v>
      </c>
      <c r="I5406">
        <v>2.9969999999999999</v>
      </c>
      <c r="J5406">
        <v>5</v>
      </c>
      <c r="K5406">
        <v>18</v>
      </c>
      <c r="L5406">
        <v>9</v>
      </c>
      <c r="M5406">
        <v>2.1659999999999999</v>
      </c>
    </row>
    <row r="5407" spans="1:13" ht="15" customHeight="1">
      <c r="A5407" t="s">
        <v>58</v>
      </c>
      <c r="B5407">
        <f t="shared" si="334"/>
        <v>33.700488999999997</v>
      </c>
      <c r="C5407">
        <f t="shared" si="335"/>
        <v>-117.849701</v>
      </c>
      <c r="D5407">
        <f t="shared" si="336"/>
        <v>42</v>
      </c>
      <c r="E5407">
        <v>68.498999999999995</v>
      </c>
      <c r="F5407">
        <f t="shared" si="337"/>
        <v>-26.498999999999995</v>
      </c>
      <c r="G5407">
        <v>37.549999999999997</v>
      </c>
      <c r="H5407">
        <v>1.2649999999999999</v>
      </c>
      <c r="I5407">
        <v>2.9529999999999998</v>
      </c>
      <c r="J5407">
        <v>6</v>
      </c>
      <c r="K5407">
        <v>16</v>
      </c>
      <c r="L5407">
        <v>8</v>
      </c>
      <c r="M5407">
        <v>2.5739999999999998</v>
      </c>
    </row>
    <row r="5408" spans="1:13" ht="15" customHeight="1">
      <c r="A5408" t="s">
        <v>58</v>
      </c>
      <c r="B5408">
        <f t="shared" si="334"/>
        <v>33.700488999999997</v>
      </c>
      <c r="C5408">
        <f t="shared" si="335"/>
        <v>-117.849701</v>
      </c>
      <c r="D5408">
        <f t="shared" si="336"/>
        <v>42</v>
      </c>
      <c r="E5408">
        <v>69.498999999999995</v>
      </c>
      <c r="F5408">
        <f t="shared" si="337"/>
        <v>-27.498999999999995</v>
      </c>
      <c r="G5408">
        <v>27.882999999999999</v>
      </c>
      <c r="H5408">
        <v>0.90800000000000003</v>
      </c>
      <c r="I5408">
        <v>2.7509999999999999</v>
      </c>
      <c r="J5408">
        <v>6</v>
      </c>
      <c r="K5408">
        <v>13</v>
      </c>
      <c r="L5408">
        <v>7</v>
      </c>
      <c r="M5408">
        <v>1.915</v>
      </c>
    </row>
    <row r="5409" spans="1:13" ht="15" customHeight="1">
      <c r="A5409" t="s">
        <v>58</v>
      </c>
      <c r="B5409">
        <f t="shared" si="334"/>
        <v>33.700488999999997</v>
      </c>
      <c r="C5409">
        <f t="shared" si="335"/>
        <v>-117.849701</v>
      </c>
      <c r="D5409">
        <f t="shared" si="336"/>
        <v>42</v>
      </c>
      <c r="E5409">
        <v>70.498999999999995</v>
      </c>
      <c r="F5409">
        <f t="shared" si="337"/>
        <v>-28.498999999999995</v>
      </c>
      <c r="G5409">
        <v>32.267000000000003</v>
      </c>
      <c r="H5409">
        <v>1.08</v>
      </c>
      <c r="I5409">
        <v>2.8690000000000002</v>
      </c>
      <c r="J5409">
        <v>6</v>
      </c>
      <c r="K5409">
        <v>14</v>
      </c>
      <c r="L5409">
        <v>7</v>
      </c>
      <c r="M5409">
        <v>2.2200000000000002</v>
      </c>
    </row>
    <row r="5410" spans="1:13" ht="15" customHeight="1">
      <c r="A5410" t="s">
        <v>58</v>
      </c>
      <c r="B5410">
        <f t="shared" si="334"/>
        <v>33.700488999999997</v>
      </c>
      <c r="C5410">
        <f t="shared" si="335"/>
        <v>-117.849701</v>
      </c>
      <c r="D5410">
        <f t="shared" si="336"/>
        <v>42</v>
      </c>
      <c r="E5410">
        <v>71.498999999999995</v>
      </c>
      <c r="F5410">
        <f t="shared" si="337"/>
        <v>-29.498999999999995</v>
      </c>
      <c r="G5410">
        <v>66.367000000000004</v>
      </c>
      <c r="H5410">
        <v>1.675</v>
      </c>
      <c r="I5410">
        <v>2.319</v>
      </c>
      <c r="J5410">
        <v>6</v>
      </c>
      <c r="K5410">
        <v>28</v>
      </c>
      <c r="L5410">
        <v>14</v>
      </c>
      <c r="M5410">
        <v>4.5209999999999999</v>
      </c>
    </row>
    <row r="5411" spans="1:13" ht="15" customHeight="1">
      <c r="A5411" t="s">
        <v>58</v>
      </c>
      <c r="B5411">
        <f t="shared" si="334"/>
        <v>33.700488999999997</v>
      </c>
      <c r="C5411">
        <f t="shared" si="335"/>
        <v>-117.849701</v>
      </c>
      <c r="D5411">
        <f t="shared" si="336"/>
        <v>42</v>
      </c>
      <c r="E5411">
        <v>72.498999999999995</v>
      </c>
      <c r="F5411">
        <f t="shared" si="337"/>
        <v>-30.498999999999995</v>
      </c>
      <c r="G5411">
        <v>49.128999999999998</v>
      </c>
      <c r="H5411">
        <v>1.6459999999999999</v>
      </c>
      <c r="I5411">
        <v>3.052</v>
      </c>
      <c r="J5411">
        <v>6</v>
      </c>
      <c r="K5411">
        <v>21</v>
      </c>
      <c r="L5411">
        <v>11</v>
      </c>
      <c r="M5411">
        <v>3.2970000000000002</v>
      </c>
    </row>
    <row r="5412" spans="1:13" ht="15" customHeight="1">
      <c r="A5412" t="s">
        <v>58</v>
      </c>
      <c r="B5412">
        <f t="shared" si="334"/>
        <v>33.700488999999997</v>
      </c>
      <c r="C5412">
        <f t="shared" si="335"/>
        <v>-117.849701</v>
      </c>
      <c r="D5412">
        <f t="shared" si="336"/>
        <v>42</v>
      </c>
      <c r="E5412">
        <v>73.498999999999995</v>
      </c>
      <c r="F5412">
        <f t="shared" si="337"/>
        <v>-31.498999999999995</v>
      </c>
      <c r="G5412">
        <v>27.7</v>
      </c>
      <c r="H5412">
        <v>1.038</v>
      </c>
      <c r="I5412">
        <v>3.27</v>
      </c>
      <c r="J5412">
        <v>5</v>
      </c>
      <c r="K5412">
        <v>15</v>
      </c>
      <c r="L5412">
        <v>8</v>
      </c>
      <c r="M5412">
        <v>1.8140000000000001</v>
      </c>
    </row>
    <row r="5413" spans="1:13" ht="15" customHeight="1">
      <c r="A5413" t="s">
        <v>58</v>
      </c>
      <c r="B5413">
        <f t="shared" si="334"/>
        <v>33.700488999999997</v>
      </c>
      <c r="C5413">
        <f t="shared" si="335"/>
        <v>-117.849701</v>
      </c>
      <c r="D5413">
        <f t="shared" si="336"/>
        <v>42</v>
      </c>
      <c r="E5413">
        <v>74.498999999999995</v>
      </c>
      <c r="F5413">
        <f t="shared" si="337"/>
        <v>-32.498999999999995</v>
      </c>
      <c r="G5413">
        <v>26.917000000000002</v>
      </c>
      <c r="H5413">
        <v>0.89</v>
      </c>
      <c r="I5413">
        <v>2.9359999999999999</v>
      </c>
      <c r="J5413">
        <v>5</v>
      </c>
      <c r="K5413">
        <v>15</v>
      </c>
      <c r="L5413">
        <v>8</v>
      </c>
      <c r="M5413">
        <v>1.714</v>
      </c>
    </row>
    <row r="5414" spans="1:13" ht="15" customHeight="1">
      <c r="A5414" t="s">
        <v>58</v>
      </c>
      <c r="B5414">
        <f t="shared" si="334"/>
        <v>33.700488999999997</v>
      </c>
      <c r="C5414">
        <f t="shared" si="335"/>
        <v>-117.849701</v>
      </c>
      <c r="D5414">
        <f t="shared" si="336"/>
        <v>42</v>
      </c>
      <c r="E5414">
        <v>75.498999999999995</v>
      </c>
      <c r="F5414">
        <f t="shared" si="337"/>
        <v>-33.498999999999995</v>
      </c>
      <c r="G5414">
        <v>47.75</v>
      </c>
      <c r="H5414">
        <v>1.5880000000000001</v>
      </c>
      <c r="I5414">
        <v>3.1120000000000001</v>
      </c>
      <c r="J5414">
        <v>6</v>
      </c>
      <c r="K5414">
        <v>20</v>
      </c>
      <c r="L5414">
        <v>10</v>
      </c>
      <c r="M5414">
        <v>3.0910000000000002</v>
      </c>
    </row>
    <row r="5415" spans="1:13" ht="15" customHeight="1">
      <c r="A5415" t="s">
        <v>58</v>
      </c>
      <c r="B5415">
        <f t="shared" si="334"/>
        <v>33.700488999999997</v>
      </c>
      <c r="C5415">
        <f t="shared" si="335"/>
        <v>-117.849701</v>
      </c>
      <c r="D5415">
        <f t="shared" si="336"/>
        <v>42</v>
      </c>
      <c r="E5415">
        <v>76.498999999999995</v>
      </c>
      <c r="F5415">
        <f t="shared" si="337"/>
        <v>-34.498999999999995</v>
      </c>
      <c r="G5415">
        <v>239.06700000000001</v>
      </c>
      <c r="H5415">
        <v>4.43</v>
      </c>
      <c r="I5415">
        <v>1.8280000000000001</v>
      </c>
      <c r="J5415">
        <v>8</v>
      </c>
      <c r="K5415">
        <v>58</v>
      </c>
      <c r="L5415">
        <v>29</v>
      </c>
      <c r="M5415" s="1">
        <v>9000000000</v>
      </c>
    </row>
    <row r="5416" spans="1:13" ht="15" customHeight="1">
      <c r="A5416" t="s">
        <v>58</v>
      </c>
      <c r="B5416">
        <f t="shared" si="334"/>
        <v>33.700488999999997</v>
      </c>
      <c r="C5416">
        <f t="shared" si="335"/>
        <v>-117.849701</v>
      </c>
      <c r="D5416">
        <f t="shared" si="336"/>
        <v>42</v>
      </c>
      <c r="E5416">
        <v>77.498999999999995</v>
      </c>
      <c r="F5416">
        <f t="shared" si="337"/>
        <v>-35.498999999999995</v>
      </c>
      <c r="G5416">
        <v>324.88299999999998</v>
      </c>
      <c r="H5416">
        <v>4.2949999999999999</v>
      </c>
      <c r="I5416">
        <v>1.3089999999999999</v>
      </c>
      <c r="J5416">
        <v>9</v>
      </c>
      <c r="K5416">
        <v>63</v>
      </c>
      <c r="L5416">
        <v>32</v>
      </c>
      <c r="M5416" s="1">
        <v>9000000000</v>
      </c>
    </row>
    <row r="5417" spans="1:13" ht="15" customHeight="1">
      <c r="A5417" t="s">
        <v>58</v>
      </c>
      <c r="B5417">
        <f t="shared" si="334"/>
        <v>33.700488999999997</v>
      </c>
      <c r="C5417">
        <f t="shared" si="335"/>
        <v>-117.849701</v>
      </c>
      <c r="D5417">
        <f t="shared" si="336"/>
        <v>42</v>
      </c>
      <c r="E5417">
        <v>78.498999999999995</v>
      </c>
      <c r="F5417">
        <f t="shared" si="337"/>
        <v>-36.498999999999995</v>
      </c>
      <c r="G5417">
        <v>103.9</v>
      </c>
      <c r="H5417">
        <v>2.9529999999999998</v>
      </c>
      <c r="I5417">
        <v>2.7690000000000001</v>
      </c>
      <c r="J5417">
        <v>6</v>
      </c>
      <c r="K5417">
        <v>41</v>
      </c>
      <c r="L5417">
        <v>21</v>
      </c>
      <c r="M5417">
        <v>6.7880000000000003</v>
      </c>
    </row>
    <row r="5418" spans="1:13" ht="15" customHeight="1">
      <c r="A5418" t="s">
        <v>58</v>
      </c>
      <c r="B5418">
        <f t="shared" si="334"/>
        <v>33.700488999999997</v>
      </c>
      <c r="C5418">
        <f t="shared" si="335"/>
        <v>-117.849701</v>
      </c>
      <c r="D5418">
        <f t="shared" si="336"/>
        <v>42</v>
      </c>
      <c r="E5418">
        <v>79.498999999999995</v>
      </c>
      <c r="F5418">
        <f t="shared" si="337"/>
        <v>-37.498999999999995</v>
      </c>
      <c r="G5418">
        <v>34.567</v>
      </c>
      <c r="H5418">
        <v>0.99</v>
      </c>
      <c r="I5418">
        <v>2.6339999999999999</v>
      </c>
      <c r="J5418">
        <v>6</v>
      </c>
      <c r="K5418">
        <v>14</v>
      </c>
      <c r="L5418">
        <v>7</v>
      </c>
      <c r="M5418">
        <v>2.1779999999999999</v>
      </c>
    </row>
    <row r="5419" spans="1:13" ht="15" customHeight="1">
      <c r="A5419" t="s">
        <v>58</v>
      </c>
      <c r="B5419">
        <f t="shared" si="334"/>
        <v>33.700488999999997</v>
      </c>
      <c r="C5419">
        <f t="shared" si="335"/>
        <v>-117.849701</v>
      </c>
      <c r="D5419">
        <f t="shared" si="336"/>
        <v>42</v>
      </c>
      <c r="E5419">
        <v>80.498999999999995</v>
      </c>
      <c r="F5419">
        <f t="shared" si="337"/>
        <v>-38.498999999999995</v>
      </c>
      <c r="G5419">
        <v>31.216999999999999</v>
      </c>
      <c r="H5419">
        <v>0.85799999999999998</v>
      </c>
      <c r="I5419">
        <v>2.468</v>
      </c>
      <c r="J5419">
        <v>6</v>
      </c>
      <c r="K5419">
        <v>13</v>
      </c>
      <c r="L5419">
        <v>7</v>
      </c>
      <c r="M5419">
        <v>1.9870000000000001</v>
      </c>
    </row>
    <row r="5420" spans="1:13" ht="15" customHeight="1">
      <c r="A5420" t="s">
        <v>58</v>
      </c>
      <c r="B5420">
        <f t="shared" si="334"/>
        <v>33.700488999999997</v>
      </c>
      <c r="C5420">
        <f t="shared" si="335"/>
        <v>-117.849701</v>
      </c>
      <c r="D5420">
        <f t="shared" si="336"/>
        <v>42</v>
      </c>
      <c r="E5420">
        <v>81.498999999999995</v>
      </c>
      <c r="F5420">
        <f t="shared" si="337"/>
        <v>-39.498999999999995</v>
      </c>
      <c r="G5420">
        <v>42.033000000000001</v>
      </c>
      <c r="H5420">
        <v>1.52</v>
      </c>
      <c r="I5420">
        <v>3.335</v>
      </c>
      <c r="J5420">
        <v>5</v>
      </c>
      <c r="K5420">
        <v>22</v>
      </c>
      <c r="L5420">
        <v>11</v>
      </c>
      <c r="M5420">
        <v>2.7029999999999998</v>
      </c>
    </row>
    <row r="5421" spans="1:13" ht="15" customHeight="1">
      <c r="A5421" t="s">
        <v>58</v>
      </c>
      <c r="B5421">
        <f t="shared" si="334"/>
        <v>33.700488999999997</v>
      </c>
      <c r="C5421">
        <f t="shared" si="335"/>
        <v>-117.849701</v>
      </c>
      <c r="D5421">
        <f t="shared" si="336"/>
        <v>42</v>
      </c>
      <c r="E5421">
        <v>82.498999999999995</v>
      </c>
      <c r="F5421">
        <f t="shared" si="337"/>
        <v>-40.498999999999995</v>
      </c>
      <c r="G5421">
        <v>52.383000000000003</v>
      </c>
      <c r="H5421">
        <v>2.0819999999999999</v>
      </c>
      <c r="I5421">
        <v>3.7549999999999999</v>
      </c>
      <c r="J5421">
        <v>5</v>
      </c>
      <c r="K5421">
        <v>27</v>
      </c>
      <c r="L5421">
        <v>14</v>
      </c>
      <c r="M5421">
        <v>3.355</v>
      </c>
    </row>
    <row r="5422" spans="1:13" ht="15" customHeight="1">
      <c r="A5422" t="s">
        <v>58</v>
      </c>
      <c r="B5422">
        <f t="shared" si="334"/>
        <v>33.700488999999997</v>
      </c>
      <c r="C5422">
        <f t="shared" si="335"/>
        <v>-117.849701</v>
      </c>
      <c r="D5422">
        <f t="shared" si="336"/>
        <v>42</v>
      </c>
      <c r="E5422">
        <v>83.498999999999995</v>
      </c>
      <c r="F5422">
        <f t="shared" si="337"/>
        <v>-41.498999999999995</v>
      </c>
      <c r="G5422">
        <v>51.356999999999999</v>
      </c>
      <c r="H5422">
        <v>2.0739999999999998</v>
      </c>
      <c r="I5422">
        <v>3.8260000000000001</v>
      </c>
      <c r="J5422">
        <v>5</v>
      </c>
      <c r="K5422">
        <v>26</v>
      </c>
      <c r="L5422">
        <v>13</v>
      </c>
      <c r="M5422">
        <v>3.27</v>
      </c>
    </row>
    <row r="5423" spans="1:13" ht="15" customHeight="1">
      <c r="A5423" t="s">
        <v>58</v>
      </c>
      <c r="B5423">
        <f t="shared" si="334"/>
        <v>33.700488999999997</v>
      </c>
      <c r="C5423">
        <f t="shared" si="335"/>
        <v>-117.849701</v>
      </c>
      <c r="D5423">
        <f t="shared" si="336"/>
        <v>42</v>
      </c>
      <c r="E5423">
        <v>84.498999999999995</v>
      </c>
      <c r="F5423">
        <f t="shared" si="337"/>
        <v>-42.498999999999995</v>
      </c>
      <c r="G5423">
        <v>175.3</v>
      </c>
      <c r="H5423">
        <v>7.6929999999999996</v>
      </c>
      <c r="I5423">
        <v>4.3090000000000002</v>
      </c>
      <c r="J5423">
        <v>11</v>
      </c>
      <c r="K5423">
        <v>171</v>
      </c>
      <c r="L5423">
        <v>86</v>
      </c>
      <c r="M5423" s="1">
        <v>9000000000</v>
      </c>
    </row>
    <row r="5424" spans="1:13" ht="15" customHeight="1">
      <c r="A5424" t="s">
        <v>58</v>
      </c>
      <c r="B5424">
        <f t="shared" si="334"/>
        <v>33.700488999999997</v>
      </c>
      <c r="C5424">
        <f t="shared" si="335"/>
        <v>-117.849701</v>
      </c>
      <c r="D5424">
        <f t="shared" si="336"/>
        <v>42</v>
      </c>
      <c r="E5424">
        <v>85.498999999999995</v>
      </c>
      <c r="F5424">
        <f t="shared" si="337"/>
        <v>-43.498999999999995</v>
      </c>
      <c r="G5424">
        <v>517.04999999999995</v>
      </c>
      <c r="H5424">
        <v>5.92</v>
      </c>
      <c r="I5424">
        <v>1.139</v>
      </c>
      <c r="J5424">
        <v>9</v>
      </c>
      <c r="K5424">
        <v>100</v>
      </c>
      <c r="L5424">
        <v>50</v>
      </c>
      <c r="M5424" s="1">
        <v>9000000000</v>
      </c>
    </row>
    <row r="5425" spans="1:13" ht="15" customHeight="1">
      <c r="A5425" t="s">
        <v>59</v>
      </c>
      <c r="B5425">
        <f t="shared" si="334"/>
        <v>33.697482000000001</v>
      </c>
      <c r="C5425">
        <f t="shared" si="335"/>
        <v>-117.851108</v>
      </c>
      <c r="D5425">
        <f t="shared" si="336"/>
        <v>40</v>
      </c>
      <c r="E5425">
        <v>0.5</v>
      </c>
      <c r="F5425">
        <f t="shared" si="337"/>
        <v>39.5</v>
      </c>
      <c r="G5425">
        <v>5.0330000000000004</v>
      </c>
      <c r="H5425">
        <v>0.17799999999999999</v>
      </c>
      <c r="I5425">
        <v>3.52</v>
      </c>
      <c r="J5425">
        <v>3</v>
      </c>
      <c r="K5425">
        <v>5</v>
      </c>
      <c r="L5425">
        <v>8</v>
      </c>
      <c r="M5425">
        <v>0.33600000000000002</v>
      </c>
    </row>
    <row r="5426" spans="1:13" ht="15" customHeight="1">
      <c r="A5426" t="s">
        <v>59</v>
      </c>
      <c r="B5426">
        <f t="shared" si="334"/>
        <v>33.697482000000001</v>
      </c>
      <c r="C5426">
        <f t="shared" si="335"/>
        <v>-117.851108</v>
      </c>
      <c r="D5426">
        <f t="shared" si="336"/>
        <v>40</v>
      </c>
      <c r="E5426">
        <v>1.5</v>
      </c>
      <c r="F5426">
        <f t="shared" si="337"/>
        <v>38.5</v>
      </c>
      <c r="G5426">
        <v>124.417</v>
      </c>
      <c r="H5426">
        <v>4.9320000000000004</v>
      </c>
      <c r="I5426">
        <v>3.956</v>
      </c>
      <c r="J5426">
        <v>11</v>
      </c>
      <c r="K5426">
        <v>119</v>
      </c>
      <c r="L5426">
        <v>179</v>
      </c>
      <c r="M5426" s="1">
        <v>9000000000</v>
      </c>
    </row>
    <row r="5427" spans="1:13" ht="15" customHeight="1">
      <c r="A5427" t="s">
        <v>59</v>
      </c>
      <c r="B5427">
        <f t="shared" si="334"/>
        <v>33.697482000000001</v>
      </c>
      <c r="C5427">
        <f t="shared" si="335"/>
        <v>-117.851108</v>
      </c>
      <c r="D5427">
        <f t="shared" si="336"/>
        <v>40</v>
      </c>
      <c r="E5427">
        <v>2.5</v>
      </c>
      <c r="F5427">
        <f t="shared" si="337"/>
        <v>37.5</v>
      </c>
      <c r="G5427">
        <v>25.983000000000001</v>
      </c>
      <c r="H5427">
        <v>1.502</v>
      </c>
      <c r="I5427">
        <v>5.7460000000000004</v>
      </c>
      <c r="J5427">
        <v>3</v>
      </c>
      <c r="K5427">
        <v>25</v>
      </c>
      <c r="L5427">
        <v>38</v>
      </c>
      <c r="M5427">
        <v>1.732</v>
      </c>
    </row>
    <row r="5428" spans="1:13" ht="15" customHeight="1">
      <c r="A5428" t="s">
        <v>59</v>
      </c>
      <c r="B5428">
        <f t="shared" si="334"/>
        <v>33.697482000000001</v>
      </c>
      <c r="C5428">
        <f t="shared" si="335"/>
        <v>-117.851108</v>
      </c>
      <c r="D5428">
        <f t="shared" si="336"/>
        <v>40</v>
      </c>
      <c r="E5428">
        <v>3.5</v>
      </c>
      <c r="F5428">
        <f t="shared" si="337"/>
        <v>36.5</v>
      </c>
      <c r="G5428">
        <v>14.05</v>
      </c>
      <c r="H5428">
        <v>0.433</v>
      </c>
      <c r="I5428">
        <v>3.0840000000000001</v>
      </c>
      <c r="J5428">
        <v>4</v>
      </c>
      <c r="K5428">
        <v>9</v>
      </c>
      <c r="L5428">
        <v>14</v>
      </c>
      <c r="M5428">
        <v>0.92200000000000004</v>
      </c>
    </row>
    <row r="5429" spans="1:13" ht="15" customHeight="1">
      <c r="A5429" t="s">
        <v>59</v>
      </c>
      <c r="B5429">
        <f t="shared" si="334"/>
        <v>33.697482000000001</v>
      </c>
      <c r="C5429">
        <f t="shared" si="335"/>
        <v>-117.851108</v>
      </c>
      <c r="D5429">
        <f t="shared" si="336"/>
        <v>40</v>
      </c>
      <c r="E5429">
        <v>4.5</v>
      </c>
      <c r="F5429">
        <f t="shared" si="337"/>
        <v>35.5</v>
      </c>
      <c r="G5429">
        <v>16.067</v>
      </c>
      <c r="H5429">
        <v>0.76300000000000001</v>
      </c>
      <c r="I5429">
        <v>4.7510000000000003</v>
      </c>
      <c r="J5429">
        <v>3</v>
      </c>
      <c r="K5429">
        <v>15</v>
      </c>
      <c r="L5429">
        <v>23</v>
      </c>
      <c r="M5429">
        <v>1.052</v>
      </c>
    </row>
    <row r="5430" spans="1:13" ht="15" customHeight="1">
      <c r="A5430" t="s">
        <v>59</v>
      </c>
      <c r="B5430">
        <f t="shared" si="334"/>
        <v>33.697482000000001</v>
      </c>
      <c r="C5430">
        <f t="shared" si="335"/>
        <v>-117.851108</v>
      </c>
      <c r="D5430">
        <f t="shared" si="336"/>
        <v>40</v>
      </c>
      <c r="E5430">
        <v>5.5</v>
      </c>
      <c r="F5430">
        <f t="shared" si="337"/>
        <v>34.5</v>
      </c>
      <c r="G5430">
        <v>12.333</v>
      </c>
      <c r="H5430">
        <v>0.56499999999999995</v>
      </c>
      <c r="I5430">
        <v>4.5810000000000004</v>
      </c>
      <c r="J5430">
        <v>3</v>
      </c>
      <c r="K5430">
        <v>12</v>
      </c>
      <c r="L5430">
        <v>18</v>
      </c>
      <c r="M5430">
        <v>0.79900000000000004</v>
      </c>
    </row>
    <row r="5431" spans="1:13" ht="15" customHeight="1">
      <c r="A5431" t="s">
        <v>59</v>
      </c>
      <c r="B5431">
        <f t="shared" si="334"/>
        <v>33.697482000000001</v>
      </c>
      <c r="C5431">
        <f t="shared" si="335"/>
        <v>-117.851108</v>
      </c>
      <c r="D5431">
        <f t="shared" si="336"/>
        <v>40</v>
      </c>
      <c r="E5431">
        <v>6.5</v>
      </c>
      <c r="F5431">
        <f t="shared" si="337"/>
        <v>33.5</v>
      </c>
      <c r="G5431">
        <v>18.067</v>
      </c>
      <c r="H5431">
        <v>0.92300000000000004</v>
      </c>
      <c r="I5431">
        <v>5.1109999999999998</v>
      </c>
      <c r="J5431">
        <v>3</v>
      </c>
      <c r="K5431">
        <v>17</v>
      </c>
      <c r="L5431">
        <v>26</v>
      </c>
      <c r="M5431">
        <v>1.177</v>
      </c>
    </row>
    <row r="5432" spans="1:13" ht="15" customHeight="1">
      <c r="A5432" t="s">
        <v>59</v>
      </c>
      <c r="B5432">
        <f t="shared" si="334"/>
        <v>33.697482000000001</v>
      </c>
      <c r="C5432">
        <f t="shared" si="335"/>
        <v>-117.851108</v>
      </c>
      <c r="D5432">
        <f t="shared" si="336"/>
        <v>40</v>
      </c>
      <c r="E5432">
        <v>7.5</v>
      </c>
      <c r="F5432">
        <f t="shared" si="337"/>
        <v>32.5</v>
      </c>
      <c r="G5432">
        <v>11.95</v>
      </c>
      <c r="H5432">
        <v>0.437</v>
      </c>
      <c r="I5432">
        <v>3.649</v>
      </c>
      <c r="J5432">
        <v>4</v>
      </c>
      <c r="K5432">
        <v>8</v>
      </c>
      <c r="L5432">
        <v>12</v>
      </c>
      <c r="M5432">
        <v>0.76700000000000002</v>
      </c>
    </row>
    <row r="5433" spans="1:13" ht="15" customHeight="1">
      <c r="A5433" t="s">
        <v>59</v>
      </c>
      <c r="B5433">
        <f t="shared" si="334"/>
        <v>33.697482000000001</v>
      </c>
      <c r="C5433">
        <f t="shared" si="335"/>
        <v>-117.851108</v>
      </c>
      <c r="D5433">
        <f t="shared" si="336"/>
        <v>40</v>
      </c>
      <c r="E5433">
        <v>8.5</v>
      </c>
      <c r="F5433">
        <f t="shared" si="337"/>
        <v>31.5</v>
      </c>
      <c r="G5433">
        <v>10.132999999999999</v>
      </c>
      <c r="H5433">
        <v>0.36199999999999999</v>
      </c>
      <c r="I5433">
        <v>3.5569999999999999</v>
      </c>
      <c r="J5433">
        <v>3</v>
      </c>
      <c r="K5433">
        <v>10</v>
      </c>
      <c r="L5433">
        <v>15</v>
      </c>
      <c r="M5433">
        <v>0.64300000000000002</v>
      </c>
    </row>
    <row r="5434" spans="1:13" ht="15" customHeight="1">
      <c r="A5434" t="s">
        <v>59</v>
      </c>
      <c r="B5434">
        <f t="shared" si="334"/>
        <v>33.697482000000001</v>
      </c>
      <c r="C5434">
        <f t="shared" si="335"/>
        <v>-117.851108</v>
      </c>
      <c r="D5434">
        <f t="shared" si="336"/>
        <v>40</v>
      </c>
      <c r="E5434">
        <v>9.5</v>
      </c>
      <c r="F5434">
        <f t="shared" si="337"/>
        <v>30.5</v>
      </c>
      <c r="G5434">
        <v>9.9</v>
      </c>
      <c r="H5434">
        <v>0.36499999999999999</v>
      </c>
      <c r="I5434">
        <v>3.6869999999999998</v>
      </c>
      <c r="J5434">
        <v>3</v>
      </c>
      <c r="K5434">
        <v>9</v>
      </c>
      <c r="L5434">
        <v>14</v>
      </c>
      <c r="M5434">
        <v>0.621</v>
      </c>
    </row>
    <row r="5435" spans="1:13" ht="15" customHeight="1">
      <c r="A5435" t="s">
        <v>59</v>
      </c>
      <c r="B5435">
        <f t="shared" si="334"/>
        <v>33.697482000000001</v>
      </c>
      <c r="C5435">
        <f t="shared" si="335"/>
        <v>-117.851108</v>
      </c>
      <c r="D5435">
        <f t="shared" si="336"/>
        <v>40</v>
      </c>
      <c r="E5435">
        <v>10.5</v>
      </c>
      <c r="F5435">
        <f t="shared" si="337"/>
        <v>29.5</v>
      </c>
      <c r="G5435">
        <v>13.129</v>
      </c>
      <c r="H5435">
        <v>0.59299999999999997</v>
      </c>
      <c r="I5435">
        <v>4.4960000000000004</v>
      </c>
      <c r="J5435">
        <v>3</v>
      </c>
      <c r="K5435">
        <v>13</v>
      </c>
      <c r="L5435">
        <v>18</v>
      </c>
      <c r="M5435">
        <v>0.83599999999999997</v>
      </c>
    </row>
    <row r="5436" spans="1:13" ht="15" customHeight="1">
      <c r="A5436" t="s">
        <v>59</v>
      </c>
      <c r="B5436">
        <f t="shared" si="334"/>
        <v>33.697482000000001</v>
      </c>
      <c r="C5436">
        <f t="shared" si="335"/>
        <v>-117.851108</v>
      </c>
      <c r="D5436">
        <f t="shared" si="336"/>
        <v>40</v>
      </c>
      <c r="E5436">
        <v>11.5</v>
      </c>
      <c r="F5436">
        <f t="shared" si="337"/>
        <v>28.5</v>
      </c>
      <c r="G5436">
        <v>13.183</v>
      </c>
      <c r="H5436">
        <v>0.59799999999999998</v>
      </c>
      <c r="I5436">
        <v>4.5330000000000004</v>
      </c>
      <c r="J5436">
        <v>3</v>
      </c>
      <c r="K5436">
        <v>13</v>
      </c>
      <c r="L5436">
        <v>17</v>
      </c>
      <c r="M5436">
        <v>0.83299999999999996</v>
      </c>
    </row>
    <row r="5437" spans="1:13" ht="15" customHeight="1">
      <c r="A5437" t="s">
        <v>59</v>
      </c>
      <c r="B5437">
        <f t="shared" si="334"/>
        <v>33.697482000000001</v>
      </c>
      <c r="C5437">
        <f t="shared" si="335"/>
        <v>-117.851108</v>
      </c>
      <c r="D5437">
        <f t="shared" si="336"/>
        <v>40</v>
      </c>
      <c r="E5437">
        <v>12.5</v>
      </c>
      <c r="F5437">
        <f t="shared" si="337"/>
        <v>27.5</v>
      </c>
      <c r="G5437">
        <v>14.367000000000001</v>
      </c>
      <c r="H5437">
        <v>0.59699999999999998</v>
      </c>
      <c r="I5437">
        <v>4.1580000000000004</v>
      </c>
      <c r="J5437">
        <v>3</v>
      </c>
      <c r="K5437">
        <v>14</v>
      </c>
      <c r="L5437">
        <v>17</v>
      </c>
      <c r="M5437">
        <v>0.90500000000000003</v>
      </c>
    </row>
    <row r="5438" spans="1:13" ht="15" customHeight="1">
      <c r="A5438" t="s">
        <v>59</v>
      </c>
      <c r="B5438">
        <f t="shared" si="334"/>
        <v>33.697482000000001</v>
      </c>
      <c r="C5438">
        <f t="shared" si="335"/>
        <v>-117.851108</v>
      </c>
      <c r="D5438">
        <f t="shared" si="336"/>
        <v>40</v>
      </c>
      <c r="E5438">
        <v>13.5</v>
      </c>
      <c r="F5438">
        <f t="shared" si="337"/>
        <v>26.5</v>
      </c>
      <c r="G5438">
        <v>11.75</v>
      </c>
      <c r="H5438">
        <v>0.52300000000000002</v>
      </c>
      <c r="I5438">
        <v>4.46</v>
      </c>
      <c r="J5438">
        <v>3</v>
      </c>
      <c r="K5438">
        <v>11</v>
      </c>
      <c r="L5438">
        <v>13</v>
      </c>
      <c r="M5438">
        <v>0.72599999999999998</v>
      </c>
    </row>
    <row r="5439" spans="1:13" ht="15" customHeight="1">
      <c r="A5439" t="s">
        <v>59</v>
      </c>
      <c r="B5439">
        <f t="shared" si="334"/>
        <v>33.697482000000001</v>
      </c>
      <c r="C5439">
        <f t="shared" si="335"/>
        <v>-117.851108</v>
      </c>
      <c r="D5439">
        <f t="shared" si="336"/>
        <v>40</v>
      </c>
      <c r="E5439">
        <v>14.5</v>
      </c>
      <c r="F5439">
        <f t="shared" si="337"/>
        <v>25.5</v>
      </c>
      <c r="G5439">
        <v>15.782999999999999</v>
      </c>
      <c r="H5439">
        <v>0.56000000000000005</v>
      </c>
      <c r="I5439">
        <v>3.548</v>
      </c>
      <c r="J5439">
        <v>4</v>
      </c>
      <c r="K5439">
        <v>10</v>
      </c>
      <c r="L5439">
        <v>11</v>
      </c>
      <c r="M5439">
        <v>0.99199999999999999</v>
      </c>
    </row>
    <row r="5440" spans="1:13" ht="15" customHeight="1">
      <c r="A5440" t="s">
        <v>59</v>
      </c>
      <c r="B5440">
        <f t="shared" si="334"/>
        <v>33.697482000000001</v>
      </c>
      <c r="C5440">
        <f t="shared" si="335"/>
        <v>-117.851108</v>
      </c>
      <c r="D5440">
        <f t="shared" si="336"/>
        <v>40</v>
      </c>
      <c r="E5440">
        <v>15.5</v>
      </c>
      <c r="F5440">
        <f t="shared" si="337"/>
        <v>24.5</v>
      </c>
      <c r="G5440">
        <v>20.350000000000001</v>
      </c>
      <c r="H5440">
        <v>0.86299999999999999</v>
      </c>
      <c r="I5440">
        <v>4.2460000000000004</v>
      </c>
      <c r="J5440">
        <v>4</v>
      </c>
      <c r="K5440">
        <v>13</v>
      </c>
      <c r="L5440">
        <v>13</v>
      </c>
      <c r="M5440">
        <v>1.292</v>
      </c>
    </row>
    <row r="5441" spans="1:13" ht="15" customHeight="1">
      <c r="A5441" t="s">
        <v>59</v>
      </c>
      <c r="B5441">
        <f t="shared" si="334"/>
        <v>33.697482000000001</v>
      </c>
      <c r="C5441">
        <f t="shared" si="335"/>
        <v>-117.851108</v>
      </c>
      <c r="D5441">
        <f t="shared" si="336"/>
        <v>40</v>
      </c>
      <c r="E5441">
        <v>16.5</v>
      </c>
      <c r="F5441">
        <f t="shared" si="337"/>
        <v>23.5</v>
      </c>
      <c r="G5441">
        <v>23.45</v>
      </c>
      <c r="H5441">
        <v>0.98199999999999998</v>
      </c>
      <c r="I5441">
        <v>4.1890000000000001</v>
      </c>
      <c r="J5441">
        <v>4</v>
      </c>
      <c r="K5441">
        <v>15</v>
      </c>
      <c r="L5441">
        <v>15</v>
      </c>
      <c r="M5441">
        <v>1.494</v>
      </c>
    </row>
    <row r="5442" spans="1:13" ht="15" customHeight="1">
      <c r="A5442" t="s">
        <v>59</v>
      </c>
      <c r="B5442">
        <f t="shared" ref="B5442:B5505" si="338">VLOOKUP(A5442,XYdata,3,FALSE)</f>
        <v>33.697482000000001</v>
      </c>
      <c r="C5442">
        <f t="shared" ref="C5442:C5505" si="339">VLOOKUP(A5442,XYdata,2,FALSE)</f>
        <v>-117.851108</v>
      </c>
      <c r="D5442">
        <f t="shared" ref="D5442:D5505" si="340">VLOOKUP(A5442,Elevation,2,FALSE)</f>
        <v>40</v>
      </c>
      <c r="E5442">
        <v>17.5</v>
      </c>
      <c r="F5442">
        <f t="shared" si="337"/>
        <v>22.5</v>
      </c>
      <c r="G5442">
        <v>44.067</v>
      </c>
      <c r="H5442">
        <v>1.53</v>
      </c>
      <c r="I5442">
        <v>3.4710000000000001</v>
      </c>
      <c r="J5442">
        <v>5</v>
      </c>
      <c r="K5442">
        <v>21</v>
      </c>
      <c r="L5442">
        <v>20</v>
      </c>
      <c r="M5442">
        <v>2.867</v>
      </c>
    </row>
    <row r="5443" spans="1:13" ht="15" customHeight="1">
      <c r="A5443" t="s">
        <v>59</v>
      </c>
      <c r="B5443">
        <f t="shared" si="338"/>
        <v>33.697482000000001</v>
      </c>
      <c r="C5443">
        <f t="shared" si="339"/>
        <v>-117.851108</v>
      </c>
      <c r="D5443">
        <f t="shared" si="340"/>
        <v>40</v>
      </c>
      <c r="E5443">
        <v>18.5</v>
      </c>
      <c r="F5443">
        <f t="shared" ref="F5443:F5506" si="341">D5443-E5443</f>
        <v>21.5</v>
      </c>
      <c r="G5443">
        <v>64.716999999999999</v>
      </c>
      <c r="H5443">
        <v>2.84</v>
      </c>
      <c r="I5443">
        <v>4.3860000000000001</v>
      </c>
      <c r="J5443">
        <v>5</v>
      </c>
      <c r="K5443">
        <v>31</v>
      </c>
      <c r="L5443">
        <v>28</v>
      </c>
      <c r="M5443">
        <v>4.24</v>
      </c>
    </row>
    <row r="5444" spans="1:13" ht="15" customHeight="1">
      <c r="A5444" t="s">
        <v>59</v>
      </c>
      <c r="B5444">
        <f t="shared" si="338"/>
        <v>33.697482000000001</v>
      </c>
      <c r="C5444">
        <f t="shared" si="339"/>
        <v>-117.851108</v>
      </c>
      <c r="D5444">
        <f t="shared" si="340"/>
        <v>40</v>
      </c>
      <c r="E5444">
        <v>19.5</v>
      </c>
      <c r="F5444">
        <f t="shared" si="341"/>
        <v>20.5</v>
      </c>
      <c r="G5444">
        <v>62</v>
      </c>
      <c r="H5444">
        <v>2.778</v>
      </c>
      <c r="I5444">
        <v>4.4809999999999999</v>
      </c>
      <c r="J5444">
        <v>4</v>
      </c>
      <c r="K5444">
        <v>40</v>
      </c>
      <c r="L5444">
        <v>35</v>
      </c>
      <c r="M5444">
        <v>4.0529999999999999</v>
      </c>
    </row>
    <row r="5445" spans="1:13" ht="15" customHeight="1">
      <c r="A5445" t="s">
        <v>59</v>
      </c>
      <c r="B5445">
        <f t="shared" si="338"/>
        <v>33.697482000000001</v>
      </c>
      <c r="C5445">
        <f t="shared" si="339"/>
        <v>-117.851108</v>
      </c>
      <c r="D5445">
        <f t="shared" si="340"/>
        <v>40</v>
      </c>
      <c r="E5445">
        <v>20.5</v>
      </c>
      <c r="F5445">
        <f t="shared" si="341"/>
        <v>19.5</v>
      </c>
      <c r="G5445">
        <v>65.570999999999998</v>
      </c>
      <c r="H5445">
        <v>3.093</v>
      </c>
      <c r="I5445">
        <v>4.7140000000000004</v>
      </c>
      <c r="J5445">
        <v>4</v>
      </c>
      <c r="K5445">
        <v>42</v>
      </c>
      <c r="L5445">
        <v>35</v>
      </c>
      <c r="M5445">
        <v>4.29</v>
      </c>
    </row>
    <row r="5446" spans="1:13" ht="15" customHeight="1">
      <c r="A5446" t="s">
        <v>59</v>
      </c>
      <c r="B5446">
        <f t="shared" si="338"/>
        <v>33.697482000000001</v>
      </c>
      <c r="C5446">
        <f t="shared" si="339"/>
        <v>-117.851108</v>
      </c>
      <c r="D5446">
        <f t="shared" si="340"/>
        <v>40</v>
      </c>
      <c r="E5446">
        <v>21.5</v>
      </c>
      <c r="F5446">
        <f t="shared" si="341"/>
        <v>18.5</v>
      </c>
      <c r="G5446">
        <v>80.599999999999994</v>
      </c>
      <c r="H5446">
        <v>3.25</v>
      </c>
      <c r="I5446">
        <v>4.0339999999999998</v>
      </c>
      <c r="J5446">
        <v>5</v>
      </c>
      <c r="K5446">
        <v>39</v>
      </c>
      <c r="L5446">
        <v>31</v>
      </c>
      <c r="M5446">
        <v>5.282</v>
      </c>
    </row>
    <row r="5447" spans="1:13" ht="15" customHeight="1">
      <c r="A5447" t="s">
        <v>59</v>
      </c>
      <c r="B5447">
        <f t="shared" si="338"/>
        <v>33.697482000000001</v>
      </c>
      <c r="C5447">
        <f t="shared" si="339"/>
        <v>-117.851108</v>
      </c>
      <c r="D5447">
        <f t="shared" si="340"/>
        <v>40</v>
      </c>
      <c r="E5447">
        <v>22.5</v>
      </c>
      <c r="F5447">
        <f t="shared" si="341"/>
        <v>17.5</v>
      </c>
      <c r="G5447">
        <v>148.05000000000001</v>
      </c>
      <c r="H5447">
        <v>0.88800000000000001</v>
      </c>
      <c r="I5447">
        <v>0.6</v>
      </c>
      <c r="J5447">
        <v>9</v>
      </c>
      <c r="K5447">
        <v>28</v>
      </c>
      <c r="L5447">
        <v>22</v>
      </c>
      <c r="M5447" s="1">
        <v>9000000000</v>
      </c>
    </row>
    <row r="5448" spans="1:13" ht="15" customHeight="1">
      <c r="A5448" t="s">
        <v>59</v>
      </c>
      <c r="B5448">
        <f t="shared" si="338"/>
        <v>33.697482000000001</v>
      </c>
      <c r="C5448">
        <f t="shared" si="339"/>
        <v>-117.851108</v>
      </c>
      <c r="D5448">
        <f t="shared" si="340"/>
        <v>40</v>
      </c>
      <c r="E5448">
        <v>23.5</v>
      </c>
      <c r="F5448">
        <f t="shared" si="341"/>
        <v>16.5</v>
      </c>
      <c r="G5448">
        <v>181.93299999999999</v>
      </c>
      <c r="H5448">
        <v>1.095</v>
      </c>
      <c r="I5448">
        <v>0.60199999999999998</v>
      </c>
      <c r="J5448">
        <v>9</v>
      </c>
      <c r="K5448">
        <v>35</v>
      </c>
      <c r="L5448">
        <v>26</v>
      </c>
      <c r="M5448" s="1">
        <v>9000000000</v>
      </c>
    </row>
    <row r="5449" spans="1:13" ht="15" customHeight="1">
      <c r="A5449" t="s">
        <v>59</v>
      </c>
      <c r="B5449">
        <f t="shared" si="338"/>
        <v>33.697482000000001</v>
      </c>
      <c r="C5449">
        <f t="shared" si="339"/>
        <v>-117.851108</v>
      </c>
      <c r="D5449">
        <f t="shared" si="340"/>
        <v>40</v>
      </c>
      <c r="E5449">
        <v>24.5</v>
      </c>
      <c r="F5449">
        <f t="shared" si="341"/>
        <v>15.5</v>
      </c>
      <c r="G5449">
        <v>219.71700000000001</v>
      </c>
      <c r="H5449">
        <v>1.04</v>
      </c>
      <c r="I5449">
        <v>0.47399999999999998</v>
      </c>
      <c r="J5449">
        <v>9</v>
      </c>
      <c r="K5449">
        <v>42</v>
      </c>
      <c r="L5449">
        <v>30</v>
      </c>
      <c r="M5449" s="1">
        <v>9000000000</v>
      </c>
    </row>
    <row r="5450" spans="1:13" ht="15" customHeight="1">
      <c r="A5450" t="s">
        <v>59</v>
      </c>
      <c r="B5450">
        <f t="shared" si="338"/>
        <v>33.697482000000001</v>
      </c>
      <c r="C5450">
        <f t="shared" si="339"/>
        <v>-117.851108</v>
      </c>
      <c r="D5450">
        <f t="shared" si="340"/>
        <v>40</v>
      </c>
      <c r="E5450">
        <v>25.5</v>
      </c>
      <c r="F5450">
        <f t="shared" si="341"/>
        <v>14.5</v>
      </c>
      <c r="G5450">
        <v>205.11699999999999</v>
      </c>
      <c r="H5450">
        <v>1.655</v>
      </c>
      <c r="I5450">
        <v>0.80800000000000005</v>
      </c>
      <c r="J5450">
        <v>9</v>
      </c>
      <c r="K5450">
        <v>39</v>
      </c>
      <c r="L5450">
        <v>28</v>
      </c>
      <c r="M5450" s="1">
        <v>9000000000</v>
      </c>
    </row>
    <row r="5451" spans="1:13" ht="15" customHeight="1">
      <c r="A5451" t="s">
        <v>59</v>
      </c>
      <c r="B5451">
        <f t="shared" si="338"/>
        <v>33.697482000000001</v>
      </c>
      <c r="C5451">
        <f t="shared" si="339"/>
        <v>-117.851108</v>
      </c>
      <c r="D5451">
        <f t="shared" si="340"/>
        <v>40</v>
      </c>
      <c r="E5451">
        <v>26.5</v>
      </c>
      <c r="F5451">
        <f t="shared" si="341"/>
        <v>13.5</v>
      </c>
      <c r="G5451">
        <v>190.017</v>
      </c>
      <c r="H5451">
        <v>1.35</v>
      </c>
      <c r="I5451">
        <v>0.71099999999999997</v>
      </c>
      <c r="J5451">
        <v>9</v>
      </c>
      <c r="K5451">
        <v>36</v>
      </c>
      <c r="L5451">
        <v>25</v>
      </c>
      <c r="M5451" s="1">
        <v>9000000000</v>
      </c>
    </row>
    <row r="5452" spans="1:13" ht="15" customHeight="1">
      <c r="A5452" t="s">
        <v>59</v>
      </c>
      <c r="B5452">
        <f t="shared" si="338"/>
        <v>33.697482000000001</v>
      </c>
      <c r="C5452">
        <f t="shared" si="339"/>
        <v>-117.851108</v>
      </c>
      <c r="D5452">
        <f t="shared" si="340"/>
        <v>40</v>
      </c>
      <c r="E5452">
        <v>27.5</v>
      </c>
      <c r="F5452">
        <f t="shared" si="341"/>
        <v>12.5</v>
      </c>
      <c r="G5452">
        <v>161.833</v>
      </c>
      <c r="H5452">
        <v>0.84499999999999997</v>
      </c>
      <c r="I5452">
        <v>0.52300000000000002</v>
      </c>
      <c r="J5452">
        <v>9</v>
      </c>
      <c r="K5452">
        <v>31</v>
      </c>
      <c r="L5452">
        <v>21</v>
      </c>
      <c r="M5452" s="1">
        <v>9000000000</v>
      </c>
    </row>
    <row r="5453" spans="1:13" ht="15" customHeight="1">
      <c r="A5453" t="s">
        <v>59</v>
      </c>
      <c r="B5453">
        <f t="shared" si="338"/>
        <v>33.697482000000001</v>
      </c>
      <c r="C5453">
        <f t="shared" si="339"/>
        <v>-117.851108</v>
      </c>
      <c r="D5453">
        <f t="shared" si="340"/>
        <v>40</v>
      </c>
      <c r="E5453">
        <v>28.5</v>
      </c>
      <c r="F5453">
        <f t="shared" si="341"/>
        <v>11.5</v>
      </c>
      <c r="G5453">
        <v>79.466999999999999</v>
      </c>
      <c r="H5453">
        <v>1.992</v>
      </c>
      <c r="I5453">
        <v>2.5110000000000001</v>
      </c>
      <c r="J5453">
        <v>6</v>
      </c>
      <c r="K5453">
        <v>30</v>
      </c>
      <c r="L5453">
        <v>20</v>
      </c>
      <c r="M5453">
        <v>5.17</v>
      </c>
    </row>
    <row r="5454" spans="1:13" ht="15" customHeight="1">
      <c r="A5454" t="s">
        <v>59</v>
      </c>
      <c r="B5454">
        <f t="shared" si="338"/>
        <v>33.697482000000001</v>
      </c>
      <c r="C5454">
        <f t="shared" si="339"/>
        <v>-117.851108</v>
      </c>
      <c r="D5454">
        <f t="shared" si="340"/>
        <v>40</v>
      </c>
      <c r="E5454">
        <v>29.5</v>
      </c>
      <c r="F5454">
        <f t="shared" si="341"/>
        <v>10.5</v>
      </c>
      <c r="G5454">
        <v>183.583</v>
      </c>
      <c r="H5454">
        <v>2.3119999999999998</v>
      </c>
      <c r="I5454">
        <v>1.26</v>
      </c>
      <c r="J5454">
        <v>8</v>
      </c>
      <c r="K5454">
        <v>44</v>
      </c>
      <c r="L5454">
        <v>29</v>
      </c>
      <c r="M5454" s="1">
        <v>9000000000</v>
      </c>
    </row>
    <row r="5455" spans="1:13" ht="15" customHeight="1">
      <c r="A5455" t="s">
        <v>59</v>
      </c>
      <c r="B5455">
        <f t="shared" si="338"/>
        <v>33.697482000000001</v>
      </c>
      <c r="C5455">
        <f t="shared" si="339"/>
        <v>-117.851108</v>
      </c>
      <c r="D5455">
        <f t="shared" si="340"/>
        <v>40</v>
      </c>
      <c r="E5455">
        <v>30.5</v>
      </c>
      <c r="F5455">
        <f t="shared" si="341"/>
        <v>9.5</v>
      </c>
      <c r="G5455">
        <v>202.6</v>
      </c>
      <c r="H5455">
        <v>2.6469999999999998</v>
      </c>
      <c r="I5455">
        <v>1.3069999999999999</v>
      </c>
      <c r="J5455">
        <v>8</v>
      </c>
      <c r="K5455">
        <v>48</v>
      </c>
      <c r="L5455">
        <v>32</v>
      </c>
      <c r="M5455" s="1">
        <v>9000000000</v>
      </c>
    </row>
    <row r="5456" spans="1:13" ht="15" customHeight="1">
      <c r="A5456" t="s">
        <v>59</v>
      </c>
      <c r="B5456">
        <f t="shared" si="338"/>
        <v>33.697482000000001</v>
      </c>
      <c r="C5456">
        <f t="shared" si="339"/>
        <v>-117.851108</v>
      </c>
      <c r="D5456">
        <f t="shared" si="340"/>
        <v>40</v>
      </c>
      <c r="E5456">
        <v>31.5</v>
      </c>
      <c r="F5456">
        <f t="shared" si="341"/>
        <v>8.5</v>
      </c>
      <c r="G5456">
        <v>236.45699999999999</v>
      </c>
      <c r="H5456">
        <v>3.254</v>
      </c>
      <c r="I5456">
        <v>1.3759999999999999</v>
      </c>
      <c r="J5456">
        <v>8</v>
      </c>
      <c r="K5456">
        <v>57</v>
      </c>
      <c r="L5456">
        <v>37</v>
      </c>
      <c r="M5456" s="1">
        <v>9000000000</v>
      </c>
    </row>
    <row r="5457" spans="1:13" ht="15" customHeight="1">
      <c r="A5457" t="s">
        <v>59</v>
      </c>
      <c r="B5457">
        <f t="shared" si="338"/>
        <v>33.697482000000001</v>
      </c>
      <c r="C5457">
        <f t="shared" si="339"/>
        <v>-117.851108</v>
      </c>
      <c r="D5457">
        <f t="shared" si="340"/>
        <v>40</v>
      </c>
      <c r="E5457">
        <v>32.5</v>
      </c>
      <c r="F5457">
        <f t="shared" si="341"/>
        <v>7.5</v>
      </c>
      <c r="G5457">
        <v>227.53299999999999</v>
      </c>
      <c r="H5457">
        <v>2.782</v>
      </c>
      <c r="I5457">
        <v>1.222</v>
      </c>
      <c r="J5457">
        <v>9</v>
      </c>
      <c r="K5457">
        <v>44</v>
      </c>
      <c r="L5457">
        <v>28</v>
      </c>
      <c r="M5457" s="1">
        <v>9000000000</v>
      </c>
    </row>
    <row r="5458" spans="1:13" ht="15" customHeight="1">
      <c r="A5458" t="s">
        <v>59</v>
      </c>
      <c r="B5458">
        <f t="shared" si="338"/>
        <v>33.697482000000001</v>
      </c>
      <c r="C5458">
        <f t="shared" si="339"/>
        <v>-117.851108</v>
      </c>
      <c r="D5458">
        <f t="shared" si="340"/>
        <v>40</v>
      </c>
      <c r="E5458">
        <v>33.5</v>
      </c>
      <c r="F5458">
        <f t="shared" si="341"/>
        <v>6.5</v>
      </c>
      <c r="G5458">
        <v>47.383000000000003</v>
      </c>
      <c r="H5458">
        <v>1.7270000000000001</v>
      </c>
      <c r="I5458">
        <v>3.597</v>
      </c>
      <c r="J5458">
        <v>5</v>
      </c>
      <c r="K5458">
        <v>23</v>
      </c>
      <c r="L5458">
        <v>15</v>
      </c>
      <c r="M5458">
        <v>3.0609999999999999</v>
      </c>
    </row>
    <row r="5459" spans="1:13" ht="15" customHeight="1">
      <c r="A5459" t="s">
        <v>59</v>
      </c>
      <c r="B5459">
        <f t="shared" si="338"/>
        <v>33.697482000000001</v>
      </c>
      <c r="C5459">
        <f t="shared" si="339"/>
        <v>-117.851108</v>
      </c>
      <c r="D5459">
        <f t="shared" si="340"/>
        <v>40</v>
      </c>
      <c r="E5459">
        <v>34.5</v>
      </c>
      <c r="F5459">
        <f t="shared" si="341"/>
        <v>5.5</v>
      </c>
      <c r="G5459">
        <v>36.049999999999997</v>
      </c>
      <c r="H5459">
        <v>1.508</v>
      </c>
      <c r="I5459">
        <v>4.0990000000000002</v>
      </c>
      <c r="J5459">
        <v>4</v>
      </c>
      <c r="K5459">
        <v>23</v>
      </c>
      <c r="L5459">
        <v>14</v>
      </c>
      <c r="M5459">
        <v>2.31</v>
      </c>
    </row>
    <row r="5460" spans="1:13" ht="15" customHeight="1">
      <c r="A5460" t="s">
        <v>59</v>
      </c>
      <c r="B5460">
        <f t="shared" si="338"/>
        <v>33.697482000000001</v>
      </c>
      <c r="C5460">
        <f t="shared" si="339"/>
        <v>-117.851108</v>
      </c>
      <c r="D5460">
        <f t="shared" si="340"/>
        <v>40</v>
      </c>
      <c r="E5460">
        <v>35.5</v>
      </c>
      <c r="F5460">
        <f t="shared" si="341"/>
        <v>4.5</v>
      </c>
      <c r="G5460">
        <v>38.232999999999997</v>
      </c>
      <c r="H5460">
        <v>1.925</v>
      </c>
      <c r="I5460">
        <v>4.9660000000000002</v>
      </c>
      <c r="J5460">
        <v>3</v>
      </c>
      <c r="K5460">
        <v>37</v>
      </c>
      <c r="L5460">
        <v>23</v>
      </c>
      <c r="M5460">
        <v>2.4369999999999998</v>
      </c>
    </row>
    <row r="5461" spans="1:13" ht="15" customHeight="1">
      <c r="A5461" t="s">
        <v>59</v>
      </c>
      <c r="B5461">
        <f t="shared" si="338"/>
        <v>33.697482000000001</v>
      </c>
      <c r="C5461">
        <f t="shared" si="339"/>
        <v>-117.851108</v>
      </c>
      <c r="D5461">
        <f t="shared" si="340"/>
        <v>40</v>
      </c>
      <c r="E5461">
        <v>36.5</v>
      </c>
      <c r="F5461">
        <f t="shared" si="341"/>
        <v>3.5</v>
      </c>
      <c r="G5461">
        <v>111.783</v>
      </c>
      <c r="H5461">
        <v>3.23</v>
      </c>
      <c r="I5461">
        <v>2.8839999999999999</v>
      </c>
      <c r="J5461">
        <v>6</v>
      </c>
      <c r="K5461">
        <v>43</v>
      </c>
      <c r="L5461">
        <v>26</v>
      </c>
      <c r="M5461">
        <v>7.3140000000000001</v>
      </c>
    </row>
    <row r="5462" spans="1:13" ht="15" customHeight="1">
      <c r="A5462" t="s">
        <v>59</v>
      </c>
      <c r="B5462">
        <f t="shared" si="338"/>
        <v>33.697482000000001</v>
      </c>
      <c r="C5462">
        <f t="shared" si="339"/>
        <v>-117.851108</v>
      </c>
      <c r="D5462">
        <f t="shared" si="340"/>
        <v>40</v>
      </c>
      <c r="E5462">
        <v>37.5</v>
      </c>
      <c r="F5462">
        <f t="shared" si="341"/>
        <v>2.5</v>
      </c>
      <c r="G5462">
        <v>133.767</v>
      </c>
      <c r="H5462">
        <v>3.5329999999999999</v>
      </c>
      <c r="I5462">
        <v>2.645</v>
      </c>
      <c r="J5462">
        <v>7</v>
      </c>
      <c r="K5462">
        <v>43</v>
      </c>
      <c r="L5462">
        <v>26</v>
      </c>
      <c r="M5462" s="1">
        <v>9000000000</v>
      </c>
    </row>
    <row r="5463" spans="1:13" ht="15" customHeight="1">
      <c r="A5463" t="s">
        <v>59</v>
      </c>
      <c r="B5463">
        <f t="shared" si="338"/>
        <v>33.697482000000001</v>
      </c>
      <c r="C5463">
        <f t="shared" si="339"/>
        <v>-117.851108</v>
      </c>
      <c r="D5463">
        <f t="shared" si="340"/>
        <v>40</v>
      </c>
      <c r="E5463">
        <v>38.5</v>
      </c>
      <c r="F5463">
        <f t="shared" si="341"/>
        <v>1.5</v>
      </c>
      <c r="G5463">
        <v>66.582999999999998</v>
      </c>
      <c r="H5463">
        <v>3.298</v>
      </c>
      <c r="I5463">
        <v>4.9610000000000003</v>
      </c>
      <c r="J5463">
        <v>11</v>
      </c>
      <c r="K5463">
        <v>64</v>
      </c>
      <c r="L5463">
        <v>38</v>
      </c>
      <c r="M5463" s="1">
        <v>9000000000</v>
      </c>
    </row>
    <row r="5464" spans="1:13" ht="15" customHeight="1">
      <c r="A5464" t="s">
        <v>59</v>
      </c>
      <c r="B5464">
        <f t="shared" si="338"/>
        <v>33.697482000000001</v>
      </c>
      <c r="C5464">
        <f t="shared" si="339"/>
        <v>-117.851108</v>
      </c>
      <c r="D5464">
        <f t="shared" si="340"/>
        <v>40</v>
      </c>
      <c r="E5464">
        <v>39.5</v>
      </c>
      <c r="F5464">
        <f t="shared" si="341"/>
        <v>0.5</v>
      </c>
      <c r="G5464">
        <v>237.15</v>
      </c>
      <c r="H5464">
        <v>6.56</v>
      </c>
      <c r="I5464">
        <v>2.7679999999999998</v>
      </c>
      <c r="J5464">
        <v>7</v>
      </c>
      <c r="K5464">
        <v>76</v>
      </c>
      <c r="L5464">
        <v>44</v>
      </c>
      <c r="M5464" s="1">
        <v>9000000000</v>
      </c>
    </row>
    <row r="5465" spans="1:13" ht="15" customHeight="1">
      <c r="A5465" t="s">
        <v>59</v>
      </c>
      <c r="B5465">
        <f t="shared" si="338"/>
        <v>33.697482000000001</v>
      </c>
      <c r="C5465">
        <f t="shared" si="339"/>
        <v>-117.851108</v>
      </c>
      <c r="D5465">
        <f t="shared" si="340"/>
        <v>40</v>
      </c>
      <c r="E5465">
        <v>40.5</v>
      </c>
      <c r="F5465">
        <f t="shared" si="341"/>
        <v>-0.5</v>
      </c>
      <c r="G5465">
        <v>347.68299999999999</v>
      </c>
      <c r="H5465">
        <v>9.0329999999999995</v>
      </c>
      <c r="I5465">
        <v>2.5990000000000002</v>
      </c>
      <c r="J5465">
        <v>12</v>
      </c>
      <c r="K5465">
        <v>166</v>
      </c>
      <c r="L5465">
        <v>96</v>
      </c>
      <c r="M5465" s="1">
        <v>9000000000</v>
      </c>
    </row>
    <row r="5466" spans="1:13" ht="15" customHeight="1">
      <c r="A5466" t="s">
        <v>59</v>
      </c>
      <c r="B5466">
        <f t="shared" si="338"/>
        <v>33.697482000000001</v>
      </c>
      <c r="C5466">
        <f t="shared" si="339"/>
        <v>-117.851108</v>
      </c>
      <c r="D5466">
        <f t="shared" si="340"/>
        <v>40</v>
      </c>
      <c r="E5466">
        <v>41.499000000000002</v>
      </c>
      <c r="F5466">
        <f t="shared" si="341"/>
        <v>-1.4990000000000023</v>
      </c>
      <c r="G5466">
        <v>329.15699999999998</v>
      </c>
      <c r="H5466">
        <v>8.2040000000000006</v>
      </c>
      <c r="I5466">
        <v>2.4929999999999999</v>
      </c>
      <c r="J5466">
        <v>7</v>
      </c>
      <c r="K5466">
        <v>105</v>
      </c>
      <c r="L5466">
        <v>60</v>
      </c>
      <c r="M5466" s="1">
        <v>9000000000</v>
      </c>
    </row>
    <row r="5467" spans="1:13" ht="15" customHeight="1">
      <c r="A5467" t="s">
        <v>59</v>
      </c>
      <c r="B5467">
        <f t="shared" si="338"/>
        <v>33.697482000000001</v>
      </c>
      <c r="C5467">
        <f t="shared" si="339"/>
        <v>-117.851108</v>
      </c>
      <c r="D5467">
        <f t="shared" si="340"/>
        <v>40</v>
      </c>
      <c r="E5467">
        <v>42.499000000000002</v>
      </c>
      <c r="F5467">
        <f t="shared" si="341"/>
        <v>-2.4990000000000023</v>
      </c>
      <c r="G5467">
        <v>344.8</v>
      </c>
      <c r="H5467">
        <v>8.1980000000000004</v>
      </c>
      <c r="I5467">
        <v>2.3759999999999999</v>
      </c>
      <c r="J5467">
        <v>7</v>
      </c>
      <c r="K5467">
        <v>110</v>
      </c>
      <c r="L5467">
        <v>62</v>
      </c>
      <c r="M5467" s="1">
        <v>9000000000</v>
      </c>
    </row>
    <row r="5468" spans="1:13" ht="15" customHeight="1">
      <c r="A5468" t="s">
        <v>59</v>
      </c>
      <c r="B5468">
        <f t="shared" si="338"/>
        <v>33.697482000000001</v>
      </c>
      <c r="C5468">
        <f t="shared" si="339"/>
        <v>-117.851108</v>
      </c>
      <c r="D5468">
        <f t="shared" si="340"/>
        <v>40</v>
      </c>
      <c r="E5468">
        <v>43.499000000000002</v>
      </c>
      <c r="F5468">
        <f t="shared" si="341"/>
        <v>-3.4990000000000023</v>
      </c>
      <c r="G5468">
        <v>359.85</v>
      </c>
      <c r="H5468">
        <v>6.9850000000000003</v>
      </c>
      <c r="I5468">
        <v>1.94</v>
      </c>
      <c r="J5468">
        <v>8</v>
      </c>
      <c r="K5468">
        <v>86</v>
      </c>
      <c r="L5468">
        <v>48</v>
      </c>
      <c r="M5468" s="1">
        <v>9000000000</v>
      </c>
    </row>
    <row r="5469" spans="1:13" ht="15" customHeight="1">
      <c r="A5469" t="s">
        <v>59</v>
      </c>
      <c r="B5469">
        <f t="shared" si="338"/>
        <v>33.697482000000001</v>
      </c>
      <c r="C5469">
        <f t="shared" si="339"/>
        <v>-117.851108</v>
      </c>
      <c r="D5469">
        <f t="shared" si="340"/>
        <v>40</v>
      </c>
      <c r="E5469">
        <v>44.499000000000002</v>
      </c>
      <c r="F5469">
        <f t="shared" si="341"/>
        <v>-4.4990000000000023</v>
      </c>
      <c r="G5469">
        <v>275.233</v>
      </c>
      <c r="H5469">
        <v>4.8280000000000003</v>
      </c>
      <c r="I5469">
        <v>1.7529999999999999</v>
      </c>
      <c r="J5469">
        <v>8</v>
      </c>
      <c r="K5469">
        <v>66</v>
      </c>
      <c r="L5469">
        <v>36</v>
      </c>
      <c r="M5469" s="1">
        <v>9000000000</v>
      </c>
    </row>
    <row r="5470" spans="1:13" ht="15" customHeight="1">
      <c r="A5470" t="s">
        <v>59</v>
      </c>
      <c r="B5470">
        <f t="shared" si="338"/>
        <v>33.697482000000001</v>
      </c>
      <c r="C5470">
        <f t="shared" si="339"/>
        <v>-117.851108</v>
      </c>
      <c r="D5470">
        <f t="shared" si="340"/>
        <v>40</v>
      </c>
      <c r="E5470">
        <v>45.499000000000002</v>
      </c>
      <c r="F5470">
        <f t="shared" si="341"/>
        <v>-5.4990000000000023</v>
      </c>
      <c r="G5470">
        <v>57.167000000000002</v>
      </c>
      <c r="H5470">
        <v>1.3720000000000001</v>
      </c>
      <c r="I5470">
        <v>2.37</v>
      </c>
      <c r="J5470">
        <v>6</v>
      </c>
      <c r="K5470">
        <v>22</v>
      </c>
      <c r="L5470">
        <v>12</v>
      </c>
      <c r="M5470">
        <v>3.67</v>
      </c>
    </row>
    <row r="5471" spans="1:13" ht="15" customHeight="1">
      <c r="A5471" t="s">
        <v>59</v>
      </c>
      <c r="B5471">
        <f t="shared" si="338"/>
        <v>33.697482000000001</v>
      </c>
      <c r="C5471">
        <f t="shared" si="339"/>
        <v>-117.851108</v>
      </c>
      <c r="D5471">
        <f t="shared" si="340"/>
        <v>40</v>
      </c>
      <c r="E5471">
        <v>46.499000000000002</v>
      </c>
      <c r="F5471">
        <f t="shared" si="341"/>
        <v>-6.4990000000000023</v>
      </c>
      <c r="G5471">
        <v>27.367000000000001</v>
      </c>
      <c r="H5471">
        <v>0.44</v>
      </c>
      <c r="I5471">
        <v>1.542</v>
      </c>
      <c r="J5471">
        <v>6</v>
      </c>
      <c r="K5471">
        <v>11</v>
      </c>
      <c r="L5471">
        <v>6</v>
      </c>
      <c r="M5471">
        <v>1.7090000000000001</v>
      </c>
    </row>
    <row r="5472" spans="1:13" ht="15" customHeight="1">
      <c r="A5472" t="s">
        <v>59</v>
      </c>
      <c r="B5472">
        <f t="shared" si="338"/>
        <v>33.697482000000001</v>
      </c>
      <c r="C5472">
        <f t="shared" si="339"/>
        <v>-117.851108</v>
      </c>
      <c r="D5472">
        <f t="shared" si="340"/>
        <v>40</v>
      </c>
      <c r="E5472">
        <v>47.499000000000002</v>
      </c>
      <c r="F5472">
        <f t="shared" si="341"/>
        <v>-7.4990000000000023</v>
      </c>
      <c r="G5472">
        <v>27.882999999999999</v>
      </c>
      <c r="H5472">
        <v>0.63300000000000001</v>
      </c>
      <c r="I5472">
        <v>2.1989999999999998</v>
      </c>
      <c r="J5472">
        <v>6</v>
      </c>
      <c r="K5472">
        <v>11</v>
      </c>
      <c r="L5472">
        <v>6</v>
      </c>
      <c r="M5472">
        <v>1.7230000000000001</v>
      </c>
    </row>
    <row r="5473" spans="1:13" ht="15" customHeight="1">
      <c r="A5473" t="s">
        <v>59</v>
      </c>
      <c r="B5473">
        <f t="shared" si="338"/>
        <v>33.697482000000001</v>
      </c>
      <c r="C5473">
        <f t="shared" si="339"/>
        <v>-117.851108</v>
      </c>
      <c r="D5473">
        <f t="shared" si="340"/>
        <v>40</v>
      </c>
      <c r="E5473">
        <v>48.499000000000002</v>
      </c>
      <c r="F5473">
        <f t="shared" si="341"/>
        <v>-8.4990000000000023</v>
      </c>
      <c r="G5473">
        <v>68.316999999999993</v>
      </c>
      <c r="H5473">
        <v>2.6850000000000001</v>
      </c>
      <c r="I5473">
        <v>3.9089999999999998</v>
      </c>
      <c r="J5473">
        <v>5</v>
      </c>
      <c r="K5473">
        <v>33</v>
      </c>
      <c r="L5473">
        <v>17</v>
      </c>
      <c r="M5473">
        <v>4.3780000000000001</v>
      </c>
    </row>
    <row r="5474" spans="1:13" ht="15" customHeight="1">
      <c r="A5474" t="s">
        <v>59</v>
      </c>
      <c r="B5474">
        <f t="shared" si="338"/>
        <v>33.697482000000001</v>
      </c>
      <c r="C5474">
        <f t="shared" si="339"/>
        <v>-117.851108</v>
      </c>
      <c r="D5474">
        <f t="shared" si="340"/>
        <v>40</v>
      </c>
      <c r="E5474">
        <v>49.499000000000002</v>
      </c>
      <c r="F5474">
        <f t="shared" si="341"/>
        <v>-9.4990000000000023</v>
      </c>
      <c r="G5474">
        <v>151.6</v>
      </c>
      <c r="H5474">
        <v>2.7069999999999999</v>
      </c>
      <c r="I5474">
        <v>1.788</v>
      </c>
      <c r="J5474">
        <v>8</v>
      </c>
      <c r="K5474">
        <v>36</v>
      </c>
      <c r="L5474">
        <v>19</v>
      </c>
      <c r="M5474" s="1">
        <v>9000000000</v>
      </c>
    </row>
    <row r="5475" spans="1:13" ht="15" customHeight="1">
      <c r="A5475" t="s">
        <v>59</v>
      </c>
      <c r="B5475">
        <f t="shared" si="338"/>
        <v>33.697482000000001</v>
      </c>
      <c r="C5475">
        <f t="shared" si="339"/>
        <v>-117.851108</v>
      </c>
      <c r="D5475">
        <f t="shared" si="340"/>
        <v>40</v>
      </c>
      <c r="E5475">
        <v>50.499000000000002</v>
      </c>
      <c r="F5475">
        <f t="shared" si="341"/>
        <v>-10.499000000000002</v>
      </c>
      <c r="G5475">
        <v>51.533000000000001</v>
      </c>
      <c r="H5475">
        <v>1.8149999999999999</v>
      </c>
      <c r="I5475">
        <v>3.5329999999999999</v>
      </c>
      <c r="J5475">
        <v>5</v>
      </c>
      <c r="K5475">
        <v>25</v>
      </c>
      <c r="L5475">
        <v>13</v>
      </c>
      <c r="M5475">
        <v>3.2149999999999999</v>
      </c>
    </row>
    <row r="5476" spans="1:13" ht="15" customHeight="1">
      <c r="A5476" t="s">
        <v>59</v>
      </c>
      <c r="B5476">
        <f t="shared" si="338"/>
        <v>33.697482000000001</v>
      </c>
      <c r="C5476">
        <f t="shared" si="339"/>
        <v>-117.851108</v>
      </c>
      <c r="D5476">
        <f t="shared" si="340"/>
        <v>40</v>
      </c>
      <c r="E5476">
        <v>51.499000000000002</v>
      </c>
      <c r="F5476">
        <f t="shared" si="341"/>
        <v>-11.499000000000002</v>
      </c>
      <c r="G5476">
        <v>46.317</v>
      </c>
      <c r="H5476">
        <v>1.968</v>
      </c>
      <c r="I5476">
        <v>4.2640000000000002</v>
      </c>
      <c r="J5476">
        <v>4</v>
      </c>
      <c r="K5476">
        <v>29</v>
      </c>
      <c r="L5476">
        <v>15</v>
      </c>
      <c r="M5476">
        <v>2.8639999999999999</v>
      </c>
    </row>
    <row r="5477" spans="1:13" ht="15" customHeight="1">
      <c r="A5477" t="s">
        <v>59</v>
      </c>
      <c r="B5477">
        <f t="shared" si="338"/>
        <v>33.697482000000001</v>
      </c>
      <c r="C5477">
        <f t="shared" si="339"/>
        <v>-117.851108</v>
      </c>
      <c r="D5477">
        <f t="shared" si="340"/>
        <v>40</v>
      </c>
      <c r="E5477">
        <v>52.499000000000002</v>
      </c>
      <c r="F5477">
        <f t="shared" si="341"/>
        <v>-12.499000000000002</v>
      </c>
      <c r="G5477">
        <v>28.085999999999999</v>
      </c>
      <c r="H5477">
        <v>0.92600000000000005</v>
      </c>
      <c r="I5477">
        <v>3.3090000000000002</v>
      </c>
      <c r="J5477">
        <v>5</v>
      </c>
      <c r="K5477">
        <v>13</v>
      </c>
      <c r="L5477">
        <v>7</v>
      </c>
      <c r="M5477">
        <v>1.647</v>
      </c>
    </row>
    <row r="5478" spans="1:13" ht="15" customHeight="1">
      <c r="A5478" t="s">
        <v>59</v>
      </c>
      <c r="B5478">
        <f t="shared" si="338"/>
        <v>33.697482000000001</v>
      </c>
      <c r="C5478">
        <f t="shared" si="339"/>
        <v>-117.851108</v>
      </c>
      <c r="D5478">
        <f t="shared" si="340"/>
        <v>40</v>
      </c>
      <c r="E5478">
        <v>53.499000000000002</v>
      </c>
      <c r="F5478">
        <f t="shared" si="341"/>
        <v>-13.499000000000002</v>
      </c>
      <c r="G5478">
        <v>22.582999999999998</v>
      </c>
      <c r="H5478">
        <v>0.84299999999999997</v>
      </c>
      <c r="I5478">
        <v>3.7480000000000002</v>
      </c>
      <c r="J5478">
        <v>4</v>
      </c>
      <c r="K5478">
        <v>14</v>
      </c>
      <c r="L5478">
        <v>7</v>
      </c>
      <c r="M5478">
        <v>1.278</v>
      </c>
    </row>
    <row r="5479" spans="1:13" ht="15" customHeight="1">
      <c r="A5479" t="s">
        <v>59</v>
      </c>
      <c r="B5479">
        <f t="shared" si="338"/>
        <v>33.697482000000001</v>
      </c>
      <c r="C5479">
        <f t="shared" si="339"/>
        <v>-117.851108</v>
      </c>
      <c r="D5479">
        <f t="shared" si="340"/>
        <v>40</v>
      </c>
      <c r="E5479">
        <v>54.499000000000002</v>
      </c>
      <c r="F5479">
        <f t="shared" si="341"/>
        <v>-14.499000000000002</v>
      </c>
      <c r="G5479">
        <v>22.7</v>
      </c>
      <c r="H5479">
        <v>0.82699999999999996</v>
      </c>
      <c r="I5479">
        <v>3.6469999999999998</v>
      </c>
      <c r="J5479">
        <v>4</v>
      </c>
      <c r="K5479">
        <v>14</v>
      </c>
      <c r="L5479">
        <v>7</v>
      </c>
      <c r="M5479">
        <v>1.2849999999999999</v>
      </c>
    </row>
    <row r="5480" spans="1:13" ht="15" customHeight="1">
      <c r="A5480" t="s">
        <v>59</v>
      </c>
      <c r="B5480">
        <f t="shared" si="338"/>
        <v>33.697482000000001</v>
      </c>
      <c r="C5480">
        <f t="shared" si="339"/>
        <v>-117.851108</v>
      </c>
      <c r="D5480">
        <f t="shared" si="340"/>
        <v>40</v>
      </c>
      <c r="E5480">
        <v>55.499000000000002</v>
      </c>
      <c r="F5480">
        <f t="shared" si="341"/>
        <v>-15.499000000000002</v>
      </c>
      <c r="G5480">
        <v>24.4</v>
      </c>
      <c r="H5480">
        <v>0.89500000000000002</v>
      </c>
      <c r="I5480">
        <v>3.6709999999999998</v>
      </c>
      <c r="J5480">
        <v>4</v>
      </c>
      <c r="K5480">
        <v>16</v>
      </c>
      <c r="L5480">
        <v>8</v>
      </c>
      <c r="M5480">
        <v>1.395</v>
      </c>
    </row>
    <row r="5481" spans="1:13" ht="15" customHeight="1">
      <c r="A5481" t="s">
        <v>59</v>
      </c>
      <c r="B5481">
        <f t="shared" si="338"/>
        <v>33.697482000000001</v>
      </c>
      <c r="C5481">
        <f t="shared" si="339"/>
        <v>-117.851108</v>
      </c>
      <c r="D5481">
        <f t="shared" si="340"/>
        <v>40</v>
      </c>
      <c r="E5481">
        <v>56.499000000000002</v>
      </c>
      <c r="F5481">
        <f t="shared" si="341"/>
        <v>-16.499000000000002</v>
      </c>
      <c r="G5481">
        <v>24.016999999999999</v>
      </c>
      <c r="H5481">
        <v>0.84199999999999997</v>
      </c>
      <c r="I5481">
        <v>3.5089999999999999</v>
      </c>
      <c r="J5481">
        <v>5</v>
      </c>
      <c r="K5481">
        <v>11</v>
      </c>
      <c r="L5481">
        <v>6</v>
      </c>
      <c r="M5481">
        <v>1.3640000000000001</v>
      </c>
    </row>
    <row r="5482" spans="1:13" ht="15" customHeight="1">
      <c r="A5482" t="s">
        <v>59</v>
      </c>
      <c r="B5482">
        <f t="shared" si="338"/>
        <v>33.697482000000001</v>
      </c>
      <c r="C5482">
        <f t="shared" si="339"/>
        <v>-117.851108</v>
      </c>
      <c r="D5482">
        <f t="shared" si="340"/>
        <v>40</v>
      </c>
      <c r="E5482">
        <v>57.499000000000002</v>
      </c>
      <c r="F5482">
        <f t="shared" si="341"/>
        <v>-17.499000000000002</v>
      </c>
      <c r="G5482">
        <v>23.783000000000001</v>
      </c>
      <c r="H5482">
        <v>0.82299999999999995</v>
      </c>
      <c r="I5482">
        <v>3.4790000000000001</v>
      </c>
      <c r="J5482">
        <v>5</v>
      </c>
      <c r="K5482">
        <v>11</v>
      </c>
      <c r="L5482">
        <v>6</v>
      </c>
      <c r="M5482">
        <v>1.339</v>
      </c>
    </row>
    <row r="5483" spans="1:13" ht="15" customHeight="1">
      <c r="A5483" t="s">
        <v>59</v>
      </c>
      <c r="B5483">
        <f t="shared" si="338"/>
        <v>33.697482000000001</v>
      </c>
      <c r="C5483">
        <f t="shared" si="339"/>
        <v>-117.851108</v>
      </c>
      <c r="D5483">
        <f t="shared" si="340"/>
        <v>40</v>
      </c>
      <c r="E5483">
        <v>58.499000000000002</v>
      </c>
      <c r="F5483">
        <f t="shared" si="341"/>
        <v>-18.499000000000002</v>
      </c>
      <c r="G5483">
        <v>32.216999999999999</v>
      </c>
      <c r="H5483">
        <v>1.29</v>
      </c>
      <c r="I5483">
        <v>4.0039999999999996</v>
      </c>
      <c r="J5483">
        <v>4</v>
      </c>
      <c r="K5483">
        <v>21</v>
      </c>
      <c r="L5483">
        <v>11</v>
      </c>
      <c r="M5483">
        <v>1.905</v>
      </c>
    </row>
    <row r="5484" spans="1:13" ht="15" customHeight="1">
      <c r="A5484" t="s">
        <v>59</v>
      </c>
      <c r="B5484">
        <f t="shared" si="338"/>
        <v>33.697482000000001</v>
      </c>
      <c r="C5484">
        <f t="shared" si="339"/>
        <v>-117.851108</v>
      </c>
      <c r="D5484">
        <f t="shared" si="340"/>
        <v>40</v>
      </c>
      <c r="E5484">
        <v>59.499000000000002</v>
      </c>
      <c r="F5484">
        <f t="shared" si="341"/>
        <v>-19.499000000000002</v>
      </c>
      <c r="G5484">
        <v>25.033000000000001</v>
      </c>
      <c r="H5484">
        <v>0.94499999999999995</v>
      </c>
      <c r="I5484">
        <v>3.7749999999999999</v>
      </c>
      <c r="J5484">
        <v>4</v>
      </c>
      <c r="K5484">
        <v>16</v>
      </c>
      <c r="L5484">
        <v>8</v>
      </c>
      <c r="M5484">
        <v>1.4219999999999999</v>
      </c>
    </row>
    <row r="5485" spans="1:13" ht="15" customHeight="1">
      <c r="A5485" t="s">
        <v>59</v>
      </c>
      <c r="B5485">
        <f t="shared" si="338"/>
        <v>33.697482000000001</v>
      </c>
      <c r="C5485">
        <f t="shared" si="339"/>
        <v>-117.851108</v>
      </c>
      <c r="D5485">
        <f t="shared" si="340"/>
        <v>40</v>
      </c>
      <c r="E5485">
        <v>60.499000000000002</v>
      </c>
      <c r="F5485">
        <f t="shared" si="341"/>
        <v>-20.499000000000002</v>
      </c>
      <c r="G5485">
        <v>22.367000000000001</v>
      </c>
      <c r="H5485">
        <v>0.76800000000000002</v>
      </c>
      <c r="I5485">
        <v>3.4350000000000001</v>
      </c>
      <c r="J5485">
        <v>5</v>
      </c>
      <c r="K5485">
        <v>11</v>
      </c>
      <c r="L5485">
        <v>6</v>
      </c>
      <c r="M5485">
        <v>1.24</v>
      </c>
    </row>
    <row r="5486" spans="1:13" ht="15" customHeight="1">
      <c r="A5486" t="s">
        <v>59</v>
      </c>
      <c r="B5486">
        <f t="shared" si="338"/>
        <v>33.697482000000001</v>
      </c>
      <c r="C5486">
        <f t="shared" si="339"/>
        <v>-117.851108</v>
      </c>
      <c r="D5486">
        <f t="shared" si="340"/>
        <v>40</v>
      </c>
      <c r="E5486">
        <v>61.499000000000002</v>
      </c>
      <c r="F5486">
        <f t="shared" si="341"/>
        <v>-21.499000000000002</v>
      </c>
      <c r="G5486">
        <v>25.6</v>
      </c>
      <c r="H5486">
        <v>1.1020000000000001</v>
      </c>
      <c r="I5486">
        <v>4.3010000000000002</v>
      </c>
      <c r="J5486">
        <v>4</v>
      </c>
      <c r="K5486">
        <v>16</v>
      </c>
      <c r="L5486">
        <v>8</v>
      </c>
      <c r="M5486">
        <v>1.452</v>
      </c>
    </row>
    <row r="5487" spans="1:13" ht="15" customHeight="1">
      <c r="A5487" t="s">
        <v>59</v>
      </c>
      <c r="B5487">
        <f t="shared" si="338"/>
        <v>33.697482000000001</v>
      </c>
      <c r="C5487">
        <f t="shared" si="339"/>
        <v>-117.851108</v>
      </c>
      <c r="D5487">
        <f t="shared" si="340"/>
        <v>40</v>
      </c>
      <c r="E5487">
        <v>62.499000000000002</v>
      </c>
      <c r="F5487">
        <f t="shared" si="341"/>
        <v>-22.499000000000002</v>
      </c>
      <c r="G5487">
        <v>22.657</v>
      </c>
      <c r="H5487">
        <v>0.67700000000000005</v>
      </c>
      <c r="I5487">
        <v>2.9849999999999999</v>
      </c>
      <c r="J5487">
        <v>5</v>
      </c>
      <c r="K5487">
        <v>11</v>
      </c>
      <c r="L5487">
        <v>6</v>
      </c>
      <c r="M5487">
        <v>1.2529999999999999</v>
      </c>
    </row>
    <row r="5488" spans="1:13" ht="15" customHeight="1">
      <c r="A5488" t="s">
        <v>59</v>
      </c>
      <c r="B5488">
        <f t="shared" si="338"/>
        <v>33.697482000000001</v>
      </c>
      <c r="C5488">
        <f t="shared" si="339"/>
        <v>-117.851108</v>
      </c>
      <c r="D5488">
        <f t="shared" si="340"/>
        <v>40</v>
      </c>
      <c r="E5488">
        <v>63.499000000000002</v>
      </c>
      <c r="F5488">
        <f t="shared" si="341"/>
        <v>-23.499000000000002</v>
      </c>
      <c r="G5488">
        <v>23.266999999999999</v>
      </c>
      <c r="H5488">
        <v>0.67500000000000004</v>
      </c>
      <c r="I5488">
        <v>2.8849999999999998</v>
      </c>
      <c r="J5488">
        <v>5</v>
      </c>
      <c r="K5488">
        <v>11</v>
      </c>
      <c r="L5488">
        <v>6</v>
      </c>
      <c r="M5488">
        <v>1.296</v>
      </c>
    </row>
    <row r="5489" spans="1:13" ht="15" customHeight="1">
      <c r="A5489" t="s">
        <v>59</v>
      </c>
      <c r="B5489">
        <f t="shared" si="338"/>
        <v>33.697482000000001</v>
      </c>
      <c r="C5489">
        <f t="shared" si="339"/>
        <v>-117.851108</v>
      </c>
      <c r="D5489">
        <f t="shared" si="340"/>
        <v>40</v>
      </c>
      <c r="E5489">
        <v>64.498999999999995</v>
      </c>
      <c r="F5489">
        <f t="shared" si="341"/>
        <v>-24.498999999999995</v>
      </c>
      <c r="G5489">
        <v>21.2</v>
      </c>
      <c r="H5489">
        <v>0.66500000000000004</v>
      </c>
      <c r="I5489">
        <v>3.0430000000000001</v>
      </c>
      <c r="J5489">
        <v>5</v>
      </c>
      <c r="K5489">
        <v>10</v>
      </c>
      <c r="L5489">
        <v>5</v>
      </c>
      <c r="M5489">
        <v>1.1890000000000001</v>
      </c>
    </row>
    <row r="5490" spans="1:13" ht="15" customHeight="1">
      <c r="A5490" t="s">
        <v>59</v>
      </c>
      <c r="B5490">
        <f t="shared" si="338"/>
        <v>33.697482000000001</v>
      </c>
      <c r="C5490">
        <f t="shared" si="339"/>
        <v>-117.851108</v>
      </c>
      <c r="D5490">
        <f t="shared" si="340"/>
        <v>40</v>
      </c>
      <c r="E5490">
        <v>65.498999999999995</v>
      </c>
      <c r="F5490">
        <f t="shared" si="341"/>
        <v>-25.498999999999995</v>
      </c>
      <c r="G5490">
        <v>23.483000000000001</v>
      </c>
      <c r="H5490">
        <v>0.73199999999999998</v>
      </c>
      <c r="I5490">
        <v>3.0110000000000001</v>
      </c>
      <c r="J5490">
        <v>5</v>
      </c>
      <c r="K5490">
        <v>12</v>
      </c>
      <c r="L5490">
        <v>6</v>
      </c>
      <c r="M5490">
        <v>1.3480000000000001</v>
      </c>
    </row>
    <row r="5491" spans="1:13" ht="15" customHeight="1">
      <c r="A5491" t="s">
        <v>59</v>
      </c>
      <c r="B5491">
        <f t="shared" si="338"/>
        <v>33.697482000000001</v>
      </c>
      <c r="C5491">
        <f t="shared" si="339"/>
        <v>-117.851108</v>
      </c>
      <c r="D5491">
        <f t="shared" si="340"/>
        <v>40</v>
      </c>
      <c r="E5491">
        <v>66.498999999999995</v>
      </c>
      <c r="F5491">
        <f t="shared" si="341"/>
        <v>-26.498999999999995</v>
      </c>
      <c r="G5491">
        <v>23.332999999999998</v>
      </c>
      <c r="H5491">
        <v>0.67800000000000005</v>
      </c>
      <c r="I5491">
        <v>2.78</v>
      </c>
      <c r="J5491">
        <v>5</v>
      </c>
      <c r="K5491">
        <v>12</v>
      </c>
      <c r="L5491">
        <v>6</v>
      </c>
      <c r="M5491">
        <v>1.35</v>
      </c>
    </row>
    <row r="5492" spans="1:13" ht="15" customHeight="1">
      <c r="A5492" t="s">
        <v>59</v>
      </c>
      <c r="B5492">
        <f t="shared" si="338"/>
        <v>33.697482000000001</v>
      </c>
      <c r="C5492">
        <f t="shared" si="339"/>
        <v>-117.851108</v>
      </c>
      <c r="D5492">
        <f t="shared" si="340"/>
        <v>40</v>
      </c>
      <c r="E5492">
        <v>67.498999999999995</v>
      </c>
      <c r="F5492">
        <f t="shared" si="341"/>
        <v>-27.498999999999995</v>
      </c>
      <c r="G5492">
        <v>24.5</v>
      </c>
      <c r="H5492">
        <v>0.65800000000000003</v>
      </c>
      <c r="I5492">
        <v>2.552</v>
      </c>
      <c r="J5492">
        <v>6</v>
      </c>
      <c r="K5492">
        <v>10</v>
      </c>
      <c r="L5492">
        <v>5</v>
      </c>
      <c r="M5492">
        <v>1.4390000000000001</v>
      </c>
    </row>
    <row r="5493" spans="1:13" ht="15" customHeight="1">
      <c r="A5493" t="s">
        <v>59</v>
      </c>
      <c r="B5493">
        <f t="shared" si="338"/>
        <v>33.697482000000001</v>
      </c>
      <c r="C5493">
        <f t="shared" si="339"/>
        <v>-117.851108</v>
      </c>
      <c r="D5493">
        <f t="shared" si="340"/>
        <v>40</v>
      </c>
      <c r="E5493">
        <v>68.498999999999995</v>
      </c>
      <c r="F5493">
        <f t="shared" si="341"/>
        <v>-28.498999999999995</v>
      </c>
      <c r="G5493">
        <v>46.232999999999997</v>
      </c>
      <c r="H5493">
        <v>1.42</v>
      </c>
      <c r="I5493">
        <v>3.02</v>
      </c>
      <c r="J5493">
        <v>6</v>
      </c>
      <c r="K5493">
        <v>18</v>
      </c>
      <c r="L5493">
        <v>9</v>
      </c>
      <c r="M5493">
        <v>2.85</v>
      </c>
    </row>
    <row r="5494" spans="1:13" ht="15" customHeight="1">
      <c r="A5494" t="s">
        <v>59</v>
      </c>
      <c r="B5494">
        <f t="shared" si="338"/>
        <v>33.697482000000001</v>
      </c>
      <c r="C5494">
        <f t="shared" si="339"/>
        <v>-117.851108</v>
      </c>
      <c r="D5494">
        <f t="shared" si="340"/>
        <v>40</v>
      </c>
      <c r="E5494">
        <v>69.498999999999995</v>
      </c>
      <c r="F5494">
        <f t="shared" si="341"/>
        <v>-29.498999999999995</v>
      </c>
      <c r="G5494">
        <v>44.25</v>
      </c>
      <c r="H5494">
        <v>1.907</v>
      </c>
      <c r="I5494">
        <v>4.306</v>
      </c>
      <c r="J5494">
        <v>4</v>
      </c>
      <c r="K5494">
        <v>28</v>
      </c>
      <c r="L5494">
        <v>14</v>
      </c>
      <c r="M5494">
        <v>2.6629999999999998</v>
      </c>
    </row>
    <row r="5495" spans="1:13" ht="15" customHeight="1">
      <c r="A5495" t="s">
        <v>59</v>
      </c>
      <c r="B5495">
        <f t="shared" si="338"/>
        <v>33.697482000000001</v>
      </c>
      <c r="C5495">
        <f t="shared" si="339"/>
        <v>-117.851108</v>
      </c>
      <c r="D5495">
        <f t="shared" si="340"/>
        <v>40</v>
      </c>
      <c r="E5495">
        <v>70.498999999999995</v>
      </c>
      <c r="F5495">
        <f t="shared" si="341"/>
        <v>-30.498999999999995</v>
      </c>
      <c r="G5495">
        <v>42.5</v>
      </c>
      <c r="H5495">
        <v>1.498</v>
      </c>
      <c r="I5495">
        <v>3.5139999999999998</v>
      </c>
      <c r="J5495">
        <v>5</v>
      </c>
      <c r="K5495">
        <v>20</v>
      </c>
      <c r="L5495">
        <v>10</v>
      </c>
      <c r="M5495">
        <v>2.5489999999999999</v>
      </c>
    </row>
    <row r="5496" spans="1:13" ht="15" customHeight="1">
      <c r="A5496" t="s">
        <v>59</v>
      </c>
      <c r="B5496">
        <f t="shared" si="338"/>
        <v>33.697482000000001</v>
      </c>
      <c r="C5496">
        <f t="shared" si="339"/>
        <v>-117.851108</v>
      </c>
      <c r="D5496">
        <f t="shared" si="340"/>
        <v>40</v>
      </c>
      <c r="E5496">
        <v>71.498999999999995</v>
      </c>
      <c r="F5496">
        <f t="shared" si="341"/>
        <v>-31.498999999999995</v>
      </c>
      <c r="G5496">
        <v>37.067</v>
      </c>
      <c r="H5496">
        <v>1.3779999999999999</v>
      </c>
      <c r="I5496">
        <v>3.6949999999999998</v>
      </c>
      <c r="J5496">
        <v>5</v>
      </c>
      <c r="K5496">
        <v>18</v>
      </c>
      <c r="L5496">
        <v>9</v>
      </c>
      <c r="M5496">
        <v>2.1890000000000001</v>
      </c>
    </row>
    <row r="5497" spans="1:13" ht="15" customHeight="1">
      <c r="A5497" t="s">
        <v>59</v>
      </c>
      <c r="B5497">
        <f t="shared" si="338"/>
        <v>33.697482000000001</v>
      </c>
      <c r="C5497">
        <f t="shared" si="339"/>
        <v>-117.851108</v>
      </c>
      <c r="D5497">
        <f t="shared" si="340"/>
        <v>40</v>
      </c>
      <c r="E5497">
        <v>72.498999999999995</v>
      </c>
      <c r="F5497">
        <f t="shared" si="341"/>
        <v>-32.498999999999995</v>
      </c>
      <c r="G5497">
        <v>34.371000000000002</v>
      </c>
      <c r="H5497">
        <v>1.1839999999999999</v>
      </c>
      <c r="I5497">
        <v>3.4049999999999998</v>
      </c>
      <c r="J5497">
        <v>5</v>
      </c>
      <c r="K5497">
        <v>17</v>
      </c>
      <c r="L5497">
        <v>9</v>
      </c>
      <c r="M5497">
        <v>2.0179999999999998</v>
      </c>
    </row>
    <row r="5498" spans="1:13" ht="15" customHeight="1">
      <c r="A5498" t="s">
        <v>59</v>
      </c>
      <c r="B5498">
        <f t="shared" si="338"/>
        <v>33.697482000000001</v>
      </c>
      <c r="C5498">
        <f t="shared" si="339"/>
        <v>-117.851108</v>
      </c>
      <c r="D5498">
        <f t="shared" si="340"/>
        <v>40</v>
      </c>
      <c r="E5498">
        <v>73.498999999999995</v>
      </c>
      <c r="F5498">
        <f t="shared" si="341"/>
        <v>-33.498999999999995</v>
      </c>
      <c r="G5498">
        <v>210.86699999999999</v>
      </c>
      <c r="H5498">
        <v>4.37</v>
      </c>
      <c r="I5498">
        <v>2.0699999999999998</v>
      </c>
      <c r="J5498">
        <v>7</v>
      </c>
      <c r="K5498">
        <v>67</v>
      </c>
      <c r="L5498">
        <v>34</v>
      </c>
      <c r="M5498" s="1">
        <v>9000000000</v>
      </c>
    </row>
    <row r="5499" spans="1:13" ht="15" customHeight="1">
      <c r="A5499" t="s">
        <v>59</v>
      </c>
      <c r="B5499">
        <f t="shared" si="338"/>
        <v>33.697482000000001</v>
      </c>
      <c r="C5499">
        <f t="shared" si="339"/>
        <v>-117.851108</v>
      </c>
      <c r="D5499">
        <f t="shared" si="340"/>
        <v>40</v>
      </c>
      <c r="E5499">
        <v>74.498999999999995</v>
      </c>
      <c r="F5499">
        <f t="shared" si="341"/>
        <v>-34.498999999999995</v>
      </c>
      <c r="G5499">
        <v>421.9</v>
      </c>
      <c r="H5499">
        <v>4.633</v>
      </c>
      <c r="I5499">
        <v>1.099</v>
      </c>
      <c r="J5499">
        <v>9</v>
      </c>
      <c r="K5499">
        <v>81</v>
      </c>
      <c r="L5499">
        <v>41</v>
      </c>
      <c r="M5499" s="1">
        <v>9000000000</v>
      </c>
    </row>
    <row r="5500" spans="1:13" ht="15" customHeight="1">
      <c r="A5500" t="s">
        <v>59</v>
      </c>
      <c r="B5500">
        <f t="shared" si="338"/>
        <v>33.697482000000001</v>
      </c>
      <c r="C5500">
        <f t="shared" si="339"/>
        <v>-117.851108</v>
      </c>
      <c r="D5500">
        <f t="shared" si="340"/>
        <v>40</v>
      </c>
      <c r="E5500">
        <v>75.498999999999995</v>
      </c>
      <c r="F5500">
        <f t="shared" si="341"/>
        <v>-35.498999999999995</v>
      </c>
      <c r="G5500">
        <v>403.93299999999999</v>
      </c>
      <c r="H5500">
        <v>5.3170000000000002</v>
      </c>
      <c r="I5500">
        <v>1.3160000000000001</v>
      </c>
      <c r="J5500">
        <v>9</v>
      </c>
      <c r="K5500">
        <v>77</v>
      </c>
      <c r="L5500">
        <v>39</v>
      </c>
      <c r="M5500" s="1">
        <v>9000000000</v>
      </c>
    </row>
    <row r="5501" spans="1:13" ht="15" customHeight="1">
      <c r="A5501" t="s">
        <v>59</v>
      </c>
      <c r="B5501">
        <f t="shared" si="338"/>
        <v>33.697482000000001</v>
      </c>
      <c r="C5501">
        <f t="shared" si="339"/>
        <v>-117.851108</v>
      </c>
      <c r="D5501">
        <f t="shared" si="340"/>
        <v>40</v>
      </c>
      <c r="E5501">
        <v>76.498999999999995</v>
      </c>
      <c r="F5501">
        <f t="shared" si="341"/>
        <v>-36.498999999999995</v>
      </c>
      <c r="G5501">
        <v>325.13299999999998</v>
      </c>
      <c r="H5501">
        <v>5.6029999999999998</v>
      </c>
      <c r="I5501">
        <v>1.7210000000000001</v>
      </c>
      <c r="J5501">
        <v>8</v>
      </c>
      <c r="K5501">
        <v>78</v>
      </c>
      <c r="L5501">
        <v>39</v>
      </c>
      <c r="M5501" s="1">
        <v>9000000000</v>
      </c>
    </row>
    <row r="5502" spans="1:13" ht="15" customHeight="1">
      <c r="A5502" t="s">
        <v>59</v>
      </c>
      <c r="B5502">
        <f t="shared" si="338"/>
        <v>33.697482000000001</v>
      </c>
      <c r="C5502">
        <f t="shared" si="339"/>
        <v>-117.851108</v>
      </c>
      <c r="D5502">
        <f t="shared" si="340"/>
        <v>40</v>
      </c>
      <c r="E5502">
        <v>77.498999999999995</v>
      </c>
      <c r="F5502">
        <f t="shared" si="341"/>
        <v>-37.498999999999995</v>
      </c>
      <c r="G5502">
        <v>62.517000000000003</v>
      </c>
      <c r="H5502">
        <v>1.5980000000000001</v>
      </c>
      <c r="I5502">
        <v>2.5169999999999999</v>
      </c>
      <c r="J5502">
        <v>6</v>
      </c>
      <c r="K5502">
        <v>24</v>
      </c>
      <c r="L5502">
        <v>12</v>
      </c>
      <c r="M5502">
        <v>3.911</v>
      </c>
    </row>
    <row r="5503" spans="1:13" ht="15" customHeight="1">
      <c r="A5503" t="s">
        <v>59</v>
      </c>
      <c r="B5503">
        <f t="shared" si="338"/>
        <v>33.697482000000001</v>
      </c>
      <c r="C5503">
        <f t="shared" si="339"/>
        <v>-117.851108</v>
      </c>
      <c r="D5503">
        <f t="shared" si="340"/>
        <v>40</v>
      </c>
      <c r="E5503">
        <v>78.498999999999995</v>
      </c>
      <c r="F5503">
        <f t="shared" si="341"/>
        <v>-38.498999999999995</v>
      </c>
      <c r="G5503">
        <v>29.65</v>
      </c>
      <c r="H5503">
        <v>0.73799999999999999</v>
      </c>
      <c r="I5503">
        <v>2.34</v>
      </c>
      <c r="J5503">
        <v>6</v>
      </c>
      <c r="K5503">
        <v>12</v>
      </c>
      <c r="L5503">
        <v>6</v>
      </c>
      <c r="M5503">
        <v>1.7769999999999999</v>
      </c>
    </row>
    <row r="5504" spans="1:13" ht="15" customHeight="1">
      <c r="A5504" t="s">
        <v>59</v>
      </c>
      <c r="B5504">
        <f t="shared" si="338"/>
        <v>33.697482000000001</v>
      </c>
      <c r="C5504">
        <f t="shared" si="339"/>
        <v>-117.851108</v>
      </c>
      <c r="D5504">
        <f t="shared" si="340"/>
        <v>40</v>
      </c>
      <c r="E5504">
        <v>79.498999999999995</v>
      </c>
      <c r="F5504">
        <f t="shared" si="341"/>
        <v>-39.498999999999995</v>
      </c>
      <c r="G5504">
        <v>39.017000000000003</v>
      </c>
      <c r="H5504">
        <v>1.38</v>
      </c>
      <c r="I5504">
        <v>3.4020000000000001</v>
      </c>
      <c r="J5504">
        <v>5</v>
      </c>
      <c r="K5504">
        <v>19</v>
      </c>
      <c r="L5504">
        <v>10</v>
      </c>
      <c r="M5504">
        <v>2.3740000000000001</v>
      </c>
    </row>
    <row r="5505" spans="1:13" ht="15" customHeight="1">
      <c r="A5505" t="s">
        <v>59</v>
      </c>
      <c r="B5505">
        <f t="shared" si="338"/>
        <v>33.697482000000001</v>
      </c>
      <c r="C5505">
        <f t="shared" si="339"/>
        <v>-117.851108</v>
      </c>
      <c r="D5505">
        <f t="shared" si="340"/>
        <v>40</v>
      </c>
      <c r="E5505">
        <v>80.498999999999995</v>
      </c>
      <c r="F5505">
        <f t="shared" si="341"/>
        <v>-40.498999999999995</v>
      </c>
      <c r="G5505">
        <v>40.317</v>
      </c>
      <c r="H5505">
        <v>1.4279999999999999</v>
      </c>
      <c r="I5505">
        <v>3.3809999999999998</v>
      </c>
      <c r="J5505">
        <v>5</v>
      </c>
      <c r="K5505">
        <v>20</v>
      </c>
      <c r="L5505">
        <v>10</v>
      </c>
      <c r="M5505">
        <v>2.4820000000000002</v>
      </c>
    </row>
    <row r="5506" spans="1:13" ht="15" customHeight="1">
      <c r="A5506" t="s">
        <v>59</v>
      </c>
      <c r="B5506">
        <f t="shared" ref="B5506:B5569" si="342">VLOOKUP(A5506,XYdata,3,FALSE)</f>
        <v>33.697482000000001</v>
      </c>
      <c r="C5506">
        <f t="shared" ref="C5506:C5569" si="343">VLOOKUP(A5506,XYdata,2,FALSE)</f>
        <v>-117.851108</v>
      </c>
      <c r="D5506">
        <f t="shared" ref="D5506:D5569" si="344">VLOOKUP(A5506,Elevation,2,FALSE)</f>
        <v>40</v>
      </c>
      <c r="E5506">
        <v>81.498999999999995</v>
      </c>
      <c r="F5506">
        <f t="shared" si="341"/>
        <v>-41.498999999999995</v>
      </c>
      <c r="G5506">
        <v>50.95</v>
      </c>
      <c r="H5506">
        <v>1.8169999999999999</v>
      </c>
      <c r="I5506">
        <v>3.4319999999999999</v>
      </c>
      <c r="J5506">
        <v>5</v>
      </c>
      <c r="K5506">
        <v>25</v>
      </c>
      <c r="L5506">
        <v>13</v>
      </c>
      <c r="M5506">
        <v>3.19</v>
      </c>
    </row>
    <row r="5507" spans="1:13" ht="15" customHeight="1">
      <c r="A5507" t="s">
        <v>59</v>
      </c>
      <c r="B5507">
        <f t="shared" si="342"/>
        <v>33.697482000000001</v>
      </c>
      <c r="C5507">
        <f t="shared" si="343"/>
        <v>-117.851108</v>
      </c>
      <c r="D5507">
        <f t="shared" si="344"/>
        <v>40</v>
      </c>
      <c r="E5507">
        <v>82.498999999999995</v>
      </c>
      <c r="F5507">
        <f t="shared" ref="F5507:F5570" si="345">D5507-E5507</f>
        <v>-42.498999999999995</v>
      </c>
      <c r="G5507">
        <v>48.767000000000003</v>
      </c>
      <c r="H5507">
        <v>2.2549999999999999</v>
      </c>
      <c r="I5507">
        <v>4.6020000000000003</v>
      </c>
      <c r="J5507">
        <v>4</v>
      </c>
      <c r="K5507">
        <v>31</v>
      </c>
      <c r="L5507">
        <v>16</v>
      </c>
      <c r="M5507">
        <v>2.9239999999999999</v>
      </c>
    </row>
    <row r="5508" spans="1:13" ht="15" customHeight="1">
      <c r="A5508" t="s">
        <v>59</v>
      </c>
      <c r="B5508">
        <f t="shared" si="342"/>
        <v>33.697482000000001</v>
      </c>
      <c r="C5508">
        <f t="shared" si="343"/>
        <v>-117.851108</v>
      </c>
      <c r="D5508">
        <f t="shared" si="344"/>
        <v>40</v>
      </c>
      <c r="E5508">
        <v>83.498999999999995</v>
      </c>
      <c r="F5508">
        <f t="shared" si="345"/>
        <v>-43.498999999999995</v>
      </c>
      <c r="G5508">
        <v>23.042999999999999</v>
      </c>
      <c r="H5508">
        <v>0.76900000000000002</v>
      </c>
      <c r="I5508">
        <v>3.222</v>
      </c>
      <c r="J5508">
        <v>5</v>
      </c>
      <c r="K5508">
        <v>11</v>
      </c>
      <c r="L5508">
        <v>6</v>
      </c>
      <c r="M5508">
        <v>1.2430000000000001</v>
      </c>
    </row>
    <row r="5509" spans="1:13" ht="15" customHeight="1">
      <c r="A5509" t="s">
        <v>59</v>
      </c>
      <c r="B5509">
        <f t="shared" si="342"/>
        <v>33.697482000000001</v>
      </c>
      <c r="C5509">
        <f t="shared" si="343"/>
        <v>-117.851108</v>
      </c>
      <c r="D5509">
        <f t="shared" si="344"/>
        <v>40</v>
      </c>
      <c r="E5509">
        <v>84.498999999999995</v>
      </c>
      <c r="F5509">
        <f t="shared" si="345"/>
        <v>-44.498999999999995</v>
      </c>
      <c r="G5509">
        <v>59.732999999999997</v>
      </c>
      <c r="H5509">
        <v>2.5</v>
      </c>
      <c r="I5509">
        <v>4.1779999999999999</v>
      </c>
      <c r="J5509">
        <v>5</v>
      </c>
      <c r="K5509">
        <v>29</v>
      </c>
      <c r="L5509">
        <v>15</v>
      </c>
      <c r="M5509">
        <v>3.6379999999999999</v>
      </c>
    </row>
    <row r="5510" spans="1:13" ht="15" customHeight="1">
      <c r="A5510" t="s">
        <v>59</v>
      </c>
      <c r="B5510">
        <f t="shared" si="342"/>
        <v>33.697482000000001</v>
      </c>
      <c r="C5510">
        <f t="shared" si="343"/>
        <v>-117.851108</v>
      </c>
      <c r="D5510">
        <f t="shared" si="344"/>
        <v>40</v>
      </c>
      <c r="E5510">
        <v>85.498999999999995</v>
      </c>
      <c r="F5510">
        <f t="shared" si="345"/>
        <v>-45.498999999999995</v>
      </c>
      <c r="G5510">
        <v>45.433</v>
      </c>
      <c r="H5510">
        <v>2.0670000000000002</v>
      </c>
      <c r="I5510">
        <v>4.5570000000000004</v>
      </c>
      <c r="J5510">
        <v>4</v>
      </c>
      <c r="K5510">
        <v>29</v>
      </c>
      <c r="L5510">
        <v>15</v>
      </c>
      <c r="M5510">
        <v>2.6680000000000001</v>
      </c>
    </row>
    <row r="5511" spans="1:13" ht="15" customHeight="1">
      <c r="A5511" t="s">
        <v>59</v>
      </c>
      <c r="B5511">
        <f t="shared" si="342"/>
        <v>33.697482000000001</v>
      </c>
      <c r="C5511">
        <f t="shared" si="343"/>
        <v>-117.851108</v>
      </c>
      <c r="D5511">
        <f t="shared" si="344"/>
        <v>40</v>
      </c>
      <c r="E5511">
        <v>86.498999999999995</v>
      </c>
      <c r="F5511">
        <f t="shared" si="345"/>
        <v>-46.498999999999995</v>
      </c>
      <c r="G5511">
        <v>155.417</v>
      </c>
      <c r="H5511">
        <v>5.32</v>
      </c>
      <c r="I5511">
        <v>3.4239999999999999</v>
      </c>
      <c r="J5511">
        <v>6</v>
      </c>
      <c r="K5511">
        <v>60</v>
      </c>
      <c r="L5511">
        <v>30</v>
      </c>
      <c r="M5511">
        <v>9.9979999999999993</v>
      </c>
    </row>
    <row r="5512" spans="1:13" ht="15" customHeight="1">
      <c r="A5512" t="s">
        <v>59</v>
      </c>
      <c r="B5512">
        <f t="shared" si="342"/>
        <v>33.697482000000001</v>
      </c>
      <c r="C5512">
        <f t="shared" si="343"/>
        <v>-117.851108</v>
      </c>
      <c r="D5512">
        <f t="shared" si="344"/>
        <v>40</v>
      </c>
      <c r="E5512">
        <v>87.498999999999995</v>
      </c>
      <c r="F5512">
        <f t="shared" si="345"/>
        <v>-47.498999999999995</v>
      </c>
      <c r="G5512">
        <v>269.267</v>
      </c>
      <c r="H5512">
        <v>9.3870000000000005</v>
      </c>
      <c r="I5512">
        <v>3.488</v>
      </c>
      <c r="J5512">
        <v>12</v>
      </c>
      <c r="K5512">
        <v>129</v>
      </c>
      <c r="L5512">
        <v>65</v>
      </c>
      <c r="M5512" s="1">
        <v>9000000000</v>
      </c>
    </row>
    <row r="5513" spans="1:13" ht="15" customHeight="1">
      <c r="A5513" t="s">
        <v>59</v>
      </c>
      <c r="B5513">
        <f t="shared" si="342"/>
        <v>33.697482000000001</v>
      </c>
      <c r="C5513">
        <f t="shared" si="343"/>
        <v>-117.851108</v>
      </c>
      <c r="D5513">
        <f t="shared" si="344"/>
        <v>40</v>
      </c>
      <c r="E5513">
        <v>88.498999999999995</v>
      </c>
      <c r="F5513">
        <f t="shared" si="345"/>
        <v>-48.498999999999995</v>
      </c>
      <c r="G5513">
        <v>427.05</v>
      </c>
      <c r="H5513">
        <v>5.39</v>
      </c>
      <c r="I5513">
        <v>1.2629999999999999</v>
      </c>
      <c r="J5513">
        <v>9</v>
      </c>
      <c r="K5513">
        <v>82</v>
      </c>
      <c r="L5513">
        <v>41</v>
      </c>
      <c r="M5513" s="1">
        <v>9000000000</v>
      </c>
    </row>
    <row r="5514" spans="1:13" ht="15" customHeight="1">
      <c r="A5514" t="s">
        <v>59</v>
      </c>
      <c r="B5514">
        <f t="shared" si="342"/>
        <v>33.697482000000001</v>
      </c>
      <c r="C5514">
        <f t="shared" si="343"/>
        <v>-117.851108</v>
      </c>
      <c r="D5514">
        <f t="shared" si="344"/>
        <v>40</v>
      </c>
      <c r="E5514">
        <v>89.498999999999995</v>
      </c>
      <c r="F5514">
        <f t="shared" si="345"/>
        <v>-49.498999999999995</v>
      </c>
      <c r="G5514">
        <v>424.5</v>
      </c>
      <c r="H5514">
        <v>3.87</v>
      </c>
      <c r="I5514">
        <v>0.91100000000000003</v>
      </c>
      <c r="J5514">
        <v>9</v>
      </c>
      <c r="K5514">
        <v>81</v>
      </c>
      <c r="L5514">
        <v>41</v>
      </c>
      <c r="M5514" s="1">
        <v>9000000000</v>
      </c>
    </row>
    <row r="5515" spans="1:13" ht="15" customHeight="1">
      <c r="A5515" t="s">
        <v>59</v>
      </c>
      <c r="B5515">
        <f t="shared" si="342"/>
        <v>33.697482000000001</v>
      </c>
      <c r="C5515">
        <f t="shared" si="343"/>
        <v>-117.851108</v>
      </c>
      <c r="D5515">
        <f t="shared" si="344"/>
        <v>40</v>
      </c>
      <c r="E5515">
        <v>90.498999999999995</v>
      </c>
      <c r="F5515">
        <f t="shared" si="345"/>
        <v>-50.498999999999995</v>
      </c>
      <c r="G5515">
        <v>346.46699999999998</v>
      </c>
      <c r="H5515">
        <v>4.3719999999999999</v>
      </c>
      <c r="I5515">
        <v>1.26</v>
      </c>
      <c r="J5515">
        <v>9</v>
      </c>
      <c r="K5515">
        <v>66</v>
      </c>
      <c r="L5515">
        <v>33</v>
      </c>
      <c r="M5515" s="1">
        <v>9000000000</v>
      </c>
    </row>
    <row r="5516" spans="1:13" ht="15" customHeight="1">
      <c r="A5516" t="s">
        <v>59</v>
      </c>
      <c r="B5516">
        <f t="shared" si="342"/>
        <v>33.697482000000001</v>
      </c>
      <c r="C5516">
        <f t="shared" si="343"/>
        <v>-117.851108</v>
      </c>
      <c r="D5516">
        <f t="shared" si="344"/>
        <v>40</v>
      </c>
      <c r="E5516">
        <v>91.498999999999995</v>
      </c>
      <c r="F5516">
        <f t="shared" si="345"/>
        <v>-51.498999999999995</v>
      </c>
      <c r="G5516">
        <v>130.11699999999999</v>
      </c>
      <c r="H5516">
        <v>3.625</v>
      </c>
      <c r="I5516">
        <v>2.7610000000000001</v>
      </c>
      <c r="J5516">
        <v>7</v>
      </c>
      <c r="K5516">
        <v>42</v>
      </c>
      <c r="L5516">
        <v>21</v>
      </c>
      <c r="M5516" s="1">
        <v>9000000000</v>
      </c>
    </row>
    <row r="5517" spans="1:13" ht="15" customHeight="1">
      <c r="A5517" t="s">
        <v>59</v>
      </c>
      <c r="B5517">
        <f t="shared" si="342"/>
        <v>33.697482000000001</v>
      </c>
      <c r="C5517">
        <f t="shared" si="343"/>
        <v>-117.851108</v>
      </c>
      <c r="D5517">
        <f t="shared" si="344"/>
        <v>40</v>
      </c>
      <c r="E5517">
        <v>92.498999999999995</v>
      </c>
      <c r="F5517">
        <f t="shared" si="345"/>
        <v>-52.498999999999995</v>
      </c>
      <c r="G5517">
        <v>138.86699999999999</v>
      </c>
      <c r="H5517">
        <v>5.43</v>
      </c>
      <c r="I5517">
        <v>3.91</v>
      </c>
      <c r="J5517">
        <v>12</v>
      </c>
      <c r="K5517">
        <v>67</v>
      </c>
      <c r="L5517">
        <v>34</v>
      </c>
      <c r="M5517" s="1">
        <v>9000000000</v>
      </c>
    </row>
    <row r="5518" spans="1:13" ht="15" customHeight="1">
      <c r="A5518" t="s">
        <v>59</v>
      </c>
      <c r="B5518">
        <f t="shared" si="342"/>
        <v>33.697482000000001</v>
      </c>
      <c r="C5518">
        <f t="shared" si="343"/>
        <v>-117.851108</v>
      </c>
      <c r="D5518">
        <f t="shared" si="344"/>
        <v>40</v>
      </c>
      <c r="E5518">
        <v>93.498999999999995</v>
      </c>
      <c r="F5518">
        <f t="shared" si="345"/>
        <v>-53.498999999999995</v>
      </c>
      <c r="G5518">
        <v>247.143</v>
      </c>
      <c r="H5518">
        <v>7.0069999999999997</v>
      </c>
      <c r="I5518">
        <v>2.8359999999999999</v>
      </c>
      <c r="J5518">
        <v>7</v>
      </c>
      <c r="K5518">
        <v>79</v>
      </c>
      <c r="L5518">
        <v>40</v>
      </c>
      <c r="M5518" s="1">
        <v>9000000000</v>
      </c>
    </row>
    <row r="5519" spans="1:13" ht="15" customHeight="1">
      <c r="A5519" t="s">
        <v>59</v>
      </c>
      <c r="B5519">
        <f t="shared" si="342"/>
        <v>33.697482000000001</v>
      </c>
      <c r="C5519">
        <f t="shared" si="343"/>
        <v>-117.851108</v>
      </c>
      <c r="D5519">
        <f t="shared" si="344"/>
        <v>40</v>
      </c>
      <c r="E5519">
        <v>94.498999999999995</v>
      </c>
      <c r="F5519">
        <f t="shared" si="345"/>
        <v>-54.498999999999995</v>
      </c>
      <c r="G5519">
        <v>321.017</v>
      </c>
      <c r="H5519">
        <v>9.48</v>
      </c>
      <c r="I5519">
        <v>2.952</v>
      </c>
      <c r="J5519">
        <v>12</v>
      </c>
      <c r="K5519">
        <v>154</v>
      </c>
      <c r="L5519">
        <v>77</v>
      </c>
      <c r="M5519" s="1">
        <v>9000000000</v>
      </c>
    </row>
    <row r="5520" spans="1:13" ht="15" customHeight="1">
      <c r="A5520" t="s">
        <v>59</v>
      </c>
      <c r="B5520">
        <f t="shared" si="342"/>
        <v>33.697482000000001</v>
      </c>
      <c r="C5520">
        <f t="shared" si="343"/>
        <v>-117.851108</v>
      </c>
      <c r="D5520">
        <f t="shared" si="344"/>
        <v>40</v>
      </c>
      <c r="E5520">
        <v>95.498999999999995</v>
      </c>
      <c r="F5520">
        <f t="shared" si="345"/>
        <v>-55.498999999999995</v>
      </c>
      <c r="G5520">
        <v>355.86700000000002</v>
      </c>
      <c r="H5520">
        <v>8.423</v>
      </c>
      <c r="I5520">
        <v>2.3639999999999999</v>
      </c>
      <c r="J5520">
        <v>8</v>
      </c>
      <c r="K5520">
        <v>85</v>
      </c>
      <c r="L5520">
        <v>43</v>
      </c>
      <c r="M5520" s="1">
        <v>9000000000</v>
      </c>
    </row>
    <row r="5521" spans="1:13" ht="15" customHeight="1">
      <c r="A5521" t="s">
        <v>59</v>
      </c>
      <c r="B5521">
        <f t="shared" si="342"/>
        <v>33.697482000000001</v>
      </c>
      <c r="C5521">
        <f t="shared" si="343"/>
        <v>-117.851108</v>
      </c>
      <c r="D5521">
        <f t="shared" si="344"/>
        <v>40</v>
      </c>
      <c r="E5521">
        <v>96.498999999999995</v>
      </c>
      <c r="F5521">
        <f t="shared" si="345"/>
        <v>-56.498999999999995</v>
      </c>
      <c r="G5521">
        <v>314.46699999999998</v>
      </c>
      <c r="H5521">
        <v>8.3000000000000007</v>
      </c>
      <c r="I5521">
        <v>2.6349999999999998</v>
      </c>
      <c r="J5521">
        <v>12</v>
      </c>
      <c r="K5521">
        <v>151</v>
      </c>
      <c r="L5521">
        <v>76</v>
      </c>
      <c r="M5521" s="1">
        <v>9000000000</v>
      </c>
    </row>
    <row r="5522" spans="1:13" ht="15" customHeight="1">
      <c r="A5522" t="s">
        <v>59</v>
      </c>
      <c r="B5522">
        <f t="shared" si="342"/>
        <v>33.697482000000001</v>
      </c>
      <c r="C5522">
        <f t="shared" si="343"/>
        <v>-117.851108</v>
      </c>
      <c r="D5522">
        <f t="shared" si="344"/>
        <v>40</v>
      </c>
      <c r="E5522">
        <v>97.498999999999995</v>
      </c>
      <c r="F5522">
        <f t="shared" si="345"/>
        <v>-57.498999999999995</v>
      </c>
      <c r="G5522">
        <v>374.25</v>
      </c>
      <c r="H5522">
        <v>9.875</v>
      </c>
      <c r="I5522">
        <v>2.6349999999999998</v>
      </c>
      <c r="J5522">
        <v>12</v>
      </c>
      <c r="K5522">
        <v>179</v>
      </c>
      <c r="L5522">
        <v>90</v>
      </c>
      <c r="M5522" s="1">
        <v>9000000000</v>
      </c>
    </row>
    <row r="5523" spans="1:13" ht="15" customHeight="1">
      <c r="A5523" t="s">
        <v>59</v>
      </c>
      <c r="B5523">
        <f t="shared" si="342"/>
        <v>33.697482000000001</v>
      </c>
      <c r="C5523">
        <f t="shared" si="343"/>
        <v>-117.851108</v>
      </c>
      <c r="D5523">
        <f t="shared" si="344"/>
        <v>40</v>
      </c>
      <c r="E5523">
        <v>98.498999999999995</v>
      </c>
      <c r="F5523">
        <f t="shared" si="345"/>
        <v>-58.498999999999995</v>
      </c>
      <c r="G5523">
        <v>264.33300000000003</v>
      </c>
      <c r="H5523">
        <v>8.7249999999999996</v>
      </c>
      <c r="I5523">
        <v>3.294</v>
      </c>
      <c r="J5523">
        <v>12</v>
      </c>
      <c r="K5523">
        <v>127</v>
      </c>
      <c r="L5523">
        <v>64</v>
      </c>
      <c r="M5523" s="1">
        <v>9000000000</v>
      </c>
    </row>
    <row r="5524" spans="1:13" ht="15" customHeight="1">
      <c r="A5524" t="s">
        <v>59</v>
      </c>
      <c r="B5524">
        <f t="shared" si="342"/>
        <v>33.697482000000001</v>
      </c>
      <c r="C5524">
        <f t="shared" si="343"/>
        <v>-117.851108</v>
      </c>
      <c r="D5524">
        <f t="shared" si="344"/>
        <v>40</v>
      </c>
      <c r="E5524">
        <v>99.498999999999995</v>
      </c>
      <c r="F5524">
        <f t="shared" si="345"/>
        <v>-59.498999999999995</v>
      </c>
      <c r="G5524">
        <v>401.75</v>
      </c>
      <c r="H5524">
        <v>10.664999999999999</v>
      </c>
      <c r="I5524">
        <v>2.6509999999999998</v>
      </c>
      <c r="J5524">
        <v>12</v>
      </c>
      <c r="K5524">
        <v>193</v>
      </c>
      <c r="L5524">
        <v>97</v>
      </c>
      <c r="M5524" s="1">
        <v>9000000000</v>
      </c>
    </row>
    <row r="5525" spans="1:13" ht="15" customHeight="1">
      <c r="A5525" t="s">
        <v>59</v>
      </c>
      <c r="B5525">
        <f t="shared" si="342"/>
        <v>33.697482000000001</v>
      </c>
      <c r="C5525">
        <f t="shared" si="343"/>
        <v>-117.851108</v>
      </c>
      <c r="D5525">
        <f t="shared" si="344"/>
        <v>40</v>
      </c>
      <c r="E5525">
        <v>100.499</v>
      </c>
      <c r="F5525">
        <f t="shared" si="345"/>
        <v>-60.498999999999995</v>
      </c>
      <c r="G5525">
        <v>111.68300000000001</v>
      </c>
      <c r="H5525">
        <v>4.6900000000000004</v>
      </c>
      <c r="I5525">
        <v>4.1630000000000003</v>
      </c>
      <c r="J5525">
        <v>11</v>
      </c>
      <c r="K5525">
        <v>108</v>
      </c>
      <c r="L5525">
        <v>54</v>
      </c>
      <c r="M5525" s="1">
        <v>9000000000</v>
      </c>
    </row>
    <row r="5526" spans="1:13" ht="15" customHeight="1">
      <c r="A5526" t="s">
        <v>59</v>
      </c>
      <c r="B5526">
        <f t="shared" si="342"/>
        <v>33.697482000000001</v>
      </c>
      <c r="C5526">
        <f t="shared" si="343"/>
        <v>-117.851108</v>
      </c>
      <c r="D5526">
        <f t="shared" si="344"/>
        <v>40</v>
      </c>
      <c r="E5526">
        <v>101.499</v>
      </c>
      <c r="F5526">
        <f t="shared" si="345"/>
        <v>-61.498999999999995</v>
      </c>
      <c r="G5526">
        <v>48.683</v>
      </c>
      <c r="H5526">
        <v>1.268</v>
      </c>
      <c r="I5526">
        <v>2.5329999999999999</v>
      </c>
      <c r="J5526">
        <v>6</v>
      </c>
      <c r="K5526">
        <v>19</v>
      </c>
      <c r="L5526">
        <v>10</v>
      </c>
      <c r="M5526">
        <v>2.9129999999999998</v>
      </c>
    </row>
    <row r="5527" spans="1:13" ht="15" customHeight="1">
      <c r="A5527" t="s">
        <v>59</v>
      </c>
      <c r="B5527">
        <f t="shared" si="342"/>
        <v>33.697482000000001</v>
      </c>
      <c r="C5527">
        <f t="shared" si="343"/>
        <v>-117.851108</v>
      </c>
      <c r="D5527">
        <f t="shared" si="344"/>
        <v>40</v>
      </c>
      <c r="E5527">
        <v>102.499</v>
      </c>
      <c r="F5527">
        <f t="shared" si="345"/>
        <v>-62.498999999999995</v>
      </c>
      <c r="G5527">
        <v>117.417</v>
      </c>
      <c r="H5527">
        <v>4.1130000000000004</v>
      </c>
      <c r="I5527">
        <v>3.504</v>
      </c>
      <c r="J5527">
        <v>6</v>
      </c>
      <c r="K5527">
        <v>45</v>
      </c>
      <c r="L5527">
        <v>23</v>
      </c>
      <c r="M5527">
        <v>7.3979999999999997</v>
      </c>
    </row>
    <row r="5528" spans="1:13" ht="15" customHeight="1">
      <c r="A5528" t="s">
        <v>59</v>
      </c>
      <c r="B5528">
        <f t="shared" si="342"/>
        <v>33.697482000000001</v>
      </c>
      <c r="C5528">
        <f t="shared" si="343"/>
        <v>-117.851108</v>
      </c>
      <c r="D5528">
        <f t="shared" si="344"/>
        <v>40</v>
      </c>
      <c r="E5528">
        <v>103.499</v>
      </c>
      <c r="F5528">
        <f t="shared" si="345"/>
        <v>-63.498999999999995</v>
      </c>
      <c r="G5528">
        <v>105.43300000000001</v>
      </c>
      <c r="H5528">
        <v>3.9220000000000002</v>
      </c>
      <c r="I5528">
        <v>3.7240000000000002</v>
      </c>
      <c r="J5528">
        <v>6</v>
      </c>
      <c r="K5528">
        <v>40</v>
      </c>
      <c r="L5528">
        <v>20</v>
      </c>
      <c r="M5528">
        <v>6.5869999999999997</v>
      </c>
    </row>
    <row r="5529" spans="1:13" ht="15" customHeight="1">
      <c r="A5529" t="s">
        <v>59</v>
      </c>
      <c r="B5529">
        <f t="shared" si="342"/>
        <v>33.697482000000001</v>
      </c>
      <c r="C5529">
        <f t="shared" si="343"/>
        <v>-117.851108</v>
      </c>
      <c r="D5529">
        <f t="shared" si="344"/>
        <v>40</v>
      </c>
      <c r="E5529">
        <v>104.499</v>
      </c>
      <c r="F5529">
        <f t="shared" si="345"/>
        <v>-64.498999999999995</v>
      </c>
      <c r="G5529">
        <v>128.071</v>
      </c>
      <c r="H5529">
        <v>4.29</v>
      </c>
      <c r="I5529">
        <v>3.351</v>
      </c>
      <c r="J5529">
        <v>6</v>
      </c>
      <c r="K5529">
        <v>49</v>
      </c>
      <c r="L5529">
        <v>25</v>
      </c>
      <c r="M5529">
        <v>8.0969999999999995</v>
      </c>
    </row>
    <row r="5530" spans="1:13" ht="15" customHeight="1">
      <c r="A5530" t="s">
        <v>59</v>
      </c>
      <c r="B5530">
        <f t="shared" si="342"/>
        <v>33.697482000000001</v>
      </c>
      <c r="C5530">
        <f t="shared" si="343"/>
        <v>-117.851108</v>
      </c>
      <c r="D5530">
        <f t="shared" si="344"/>
        <v>40</v>
      </c>
      <c r="E5530">
        <v>105.499</v>
      </c>
      <c r="F5530">
        <f t="shared" si="345"/>
        <v>-65.498999999999995</v>
      </c>
      <c r="G5530">
        <v>73.183000000000007</v>
      </c>
      <c r="H5530">
        <v>3.073</v>
      </c>
      <c r="I5530">
        <v>4.2060000000000004</v>
      </c>
      <c r="J5530">
        <v>5</v>
      </c>
      <c r="K5530">
        <v>35</v>
      </c>
      <c r="L5530">
        <v>18</v>
      </c>
      <c r="M5530">
        <v>4.43</v>
      </c>
    </row>
    <row r="5531" spans="1:13" ht="15" customHeight="1">
      <c r="A5531" t="s">
        <v>59</v>
      </c>
      <c r="B5531">
        <f t="shared" si="342"/>
        <v>33.697482000000001</v>
      </c>
      <c r="C5531">
        <f t="shared" si="343"/>
        <v>-117.851108</v>
      </c>
      <c r="D5531">
        <f t="shared" si="344"/>
        <v>40</v>
      </c>
      <c r="E5531">
        <v>106.499</v>
      </c>
      <c r="F5531">
        <f t="shared" si="345"/>
        <v>-66.498999999999995</v>
      </c>
      <c r="G5531">
        <v>38.683</v>
      </c>
      <c r="H5531">
        <v>0.90800000000000003</v>
      </c>
      <c r="I5531">
        <v>2.355</v>
      </c>
      <c r="J5531">
        <v>6</v>
      </c>
      <c r="K5531">
        <v>15</v>
      </c>
      <c r="L5531">
        <v>8</v>
      </c>
      <c r="M5531">
        <v>2.1259999999999999</v>
      </c>
    </row>
    <row r="5532" spans="1:13" ht="15" customHeight="1">
      <c r="A5532" t="s">
        <v>59</v>
      </c>
      <c r="B5532">
        <f t="shared" si="342"/>
        <v>33.697482000000001</v>
      </c>
      <c r="C5532">
        <f t="shared" si="343"/>
        <v>-117.851108</v>
      </c>
      <c r="D5532">
        <f t="shared" si="344"/>
        <v>40</v>
      </c>
      <c r="E5532">
        <v>107.499</v>
      </c>
      <c r="F5532">
        <f t="shared" si="345"/>
        <v>-67.498999999999995</v>
      </c>
      <c r="G5532">
        <v>32.517000000000003</v>
      </c>
      <c r="H5532">
        <v>0.77</v>
      </c>
      <c r="I5532">
        <v>2.3740000000000001</v>
      </c>
      <c r="J5532">
        <v>6</v>
      </c>
      <c r="K5532">
        <v>12</v>
      </c>
      <c r="L5532">
        <v>6</v>
      </c>
      <c r="M5532">
        <v>1.7130000000000001</v>
      </c>
    </row>
    <row r="5533" spans="1:13" ht="15" customHeight="1">
      <c r="A5533" t="s">
        <v>59</v>
      </c>
      <c r="B5533">
        <f t="shared" si="342"/>
        <v>33.697482000000001</v>
      </c>
      <c r="C5533">
        <f t="shared" si="343"/>
        <v>-117.851108</v>
      </c>
      <c r="D5533">
        <f t="shared" si="344"/>
        <v>40</v>
      </c>
      <c r="E5533">
        <v>108.499</v>
      </c>
      <c r="F5533">
        <f t="shared" si="345"/>
        <v>-68.498999999999995</v>
      </c>
      <c r="G5533">
        <v>30.332999999999998</v>
      </c>
      <c r="H5533">
        <v>0.79</v>
      </c>
      <c r="I5533">
        <v>2.6120000000000001</v>
      </c>
      <c r="J5533">
        <v>6</v>
      </c>
      <c r="K5533">
        <v>12</v>
      </c>
      <c r="L5533">
        <v>6</v>
      </c>
      <c r="M5533">
        <v>1.5629999999999999</v>
      </c>
    </row>
    <row r="5534" spans="1:13" ht="15" customHeight="1">
      <c r="A5534" t="s">
        <v>59</v>
      </c>
      <c r="B5534">
        <f t="shared" si="342"/>
        <v>33.697482000000001</v>
      </c>
      <c r="C5534">
        <f t="shared" si="343"/>
        <v>-117.851108</v>
      </c>
      <c r="D5534">
        <f t="shared" si="344"/>
        <v>40</v>
      </c>
      <c r="E5534">
        <v>109.499</v>
      </c>
      <c r="F5534">
        <f t="shared" si="345"/>
        <v>-69.498999999999995</v>
      </c>
      <c r="G5534">
        <v>31.283000000000001</v>
      </c>
      <c r="H5534">
        <v>0.81</v>
      </c>
      <c r="I5534">
        <v>2.5960000000000001</v>
      </c>
      <c r="J5534">
        <v>6</v>
      </c>
      <c r="K5534">
        <v>12</v>
      </c>
      <c r="L5534">
        <v>6</v>
      </c>
      <c r="M5534">
        <v>1.6220000000000001</v>
      </c>
    </row>
    <row r="5535" spans="1:13" ht="15" customHeight="1">
      <c r="A5535" t="s">
        <v>59</v>
      </c>
      <c r="B5535">
        <f t="shared" si="342"/>
        <v>33.697482000000001</v>
      </c>
      <c r="C5535">
        <f t="shared" si="343"/>
        <v>-117.851108</v>
      </c>
      <c r="D5535">
        <f t="shared" si="344"/>
        <v>40</v>
      </c>
      <c r="E5535">
        <v>110.499</v>
      </c>
      <c r="F5535">
        <f t="shared" si="345"/>
        <v>-70.498999999999995</v>
      </c>
      <c r="G5535">
        <v>44.35</v>
      </c>
      <c r="H5535">
        <v>1.5780000000000001</v>
      </c>
      <c r="I5535">
        <v>3.56</v>
      </c>
      <c r="J5535">
        <v>5</v>
      </c>
      <c r="K5535">
        <v>21</v>
      </c>
      <c r="L5535">
        <v>11</v>
      </c>
      <c r="M5535">
        <v>2.4940000000000002</v>
      </c>
    </row>
    <row r="5536" spans="1:13" ht="15" customHeight="1">
      <c r="A5536" t="s">
        <v>59</v>
      </c>
      <c r="B5536">
        <f t="shared" si="342"/>
        <v>33.697482000000001</v>
      </c>
      <c r="C5536">
        <f t="shared" si="343"/>
        <v>-117.851108</v>
      </c>
      <c r="D5536">
        <f t="shared" si="344"/>
        <v>40</v>
      </c>
      <c r="E5536">
        <v>111.499</v>
      </c>
      <c r="F5536">
        <f t="shared" si="345"/>
        <v>-71.498999999999995</v>
      </c>
      <c r="G5536">
        <v>48.45</v>
      </c>
      <c r="H5536">
        <v>2.0230000000000001</v>
      </c>
      <c r="I5536">
        <v>4.1820000000000004</v>
      </c>
      <c r="J5536">
        <v>5</v>
      </c>
      <c r="K5536">
        <v>23</v>
      </c>
      <c r="L5536">
        <v>12</v>
      </c>
      <c r="M5536">
        <v>2.7589999999999999</v>
      </c>
    </row>
    <row r="5537" spans="1:13" ht="15" customHeight="1">
      <c r="A5537" t="s">
        <v>59</v>
      </c>
      <c r="B5537">
        <f t="shared" si="342"/>
        <v>33.697482000000001</v>
      </c>
      <c r="C5537">
        <f t="shared" si="343"/>
        <v>-117.851108</v>
      </c>
      <c r="D5537">
        <f t="shared" si="344"/>
        <v>40</v>
      </c>
      <c r="E5537">
        <v>112.499</v>
      </c>
      <c r="F5537">
        <f t="shared" si="345"/>
        <v>-72.498999999999995</v>
      </c>
      <c r="G5537">
        <v>34.549999999999997</v>
      </c>
      <c r="H5537">
        <v>1.1950000000000001</v>
      </c>
      <c r="I5537">
        <v>3.4689999999999999</v>
      </c>
      <c r="J5537">
        <v>5</v>
      </c>
      <c r="K5537">
        <v>16</v>
      </c>
      <c r="L5537">
        <v>8</v>
      </c>
      <c r="M5537">
        <v>1.8260000000000001</v>
      </c>
    </row>
    <row r="5538" spans="1:13" ht="15" customHeight="1">
      <c r="A5538" t="s">
        <v>59</v>
      </c>
      <c r="B5538">
        <f t="shared" si="342"/>
        <v>33.697482000000001</v>
      </c>
      <c r="C5538">
        <f t="shared" si="343"/>
        <v>-117.851108</v>
      </c>
      <c r="D5538">
        <f t="shared" si="344"/>
        <v>40</v>
      </c>
      <c r="E5538">
        <v>113.499</v>
      </c>
      <c r="F5538">
        <f t="shared" si="345"/>
        <v>-73.498999999999995</v>
      </c>
      <c r="G5538">
        <v>34.433</v>
      </c>
      <c r="H5538">
        <v>1.25</v>
      </c>
      <c r="I5538">
        <v>3.641</v>
      </c>
      <c r="J5538">
        <v>5</v>
      </c>
      <c r="K5538">
        <v>16</v>
      </c>
      <c r="L5538">
        <v>8</v>
      </c>
      <c r="M5538">
        <v>1.8140000000000001</v>
      </c>
    </row>
    <row r="5539" spans="1:13" ht="15" customHeight="1">
      <c r="A5539" t="s">
        <v>59</v>
      </c>
      <c r="B5539">
        <f t="shared" si="342"/>
        <v>33.697482000000001</v>
      </c>
      <c r="C5539">
        <f t="shared" si="343"/>
        <v>-117.851108</v>
      </c>
      <c r="D5539">
        <f t="shared" si="344"/>
        <v>40</v>
      </c>
      <c r="E5539">
        <v>114.499</v>
      </c>
      <c r="F5539">
        <f t="shared" si="345"/>
        <v>-74.498999999999995</v>
      </c>
      <c r="G5539">
        <v>36.286000000000001</v>
      </c>
      <c r="H5539">
        <v>1.3939999999999999</v>
      </c>
      <c r="I5539">
        <v>3.8519999999999999</v>
      </c>
      <c r="J5539">
        <v>5</v>
      </c>
      <c r="K5539">
        <v>17</v>
      </c>
      <c r="L5539">
        <v>9</v>
      </c>
      <c r="M5539">
        <v>1.9350000000000001</v>
      </c>
    </row>
    <row r="5540" spans="1:13" ht="15" customHeight="1">
      <c r="A5540" t="s">
        <v>59</v>
      </c>
      <c r="B5540">
        <f t="shared" si="342"/>
        <v>33.697482000000001</v>
      </c>
      <c r="C5540">
        <f t="shared" si="343"/>
        <v>-117.851108</v>
      </c>
      <c r="D5540">
        <f t="shared" si="344"/>
        <v>40</v>
      </c>
      <c r="E5540">
        <v>115.499</v>
      </c>
      <c r="F5540">
        <f t="shared" si="345"/>
        <v>-75.498999999999995</v>
      </c>
      <c r="G5540">
        <v>37.85</v>
      </c>
      <c r="H5540">
        <v>1.5780000000000001</v>
      </c>
      <c r="I5540">
        <v>4.1790000000000003</v>
      </c>
      <c r="J5540">
        <v>4</v>
      </c>
      <c r="K5540">
        <v>24</v>
      </c>
      <c r="L5540">
        <v>12</v>
      </c>
      <c r="M5540">
        <v>2.0350000000000001</v>
      </c>
    </row>
    <row r="5541" spans="1:13" ht="15" customHeight="1">
      <c r="A5541" t="s">
        <v>59</v>
      </c>
      <c r="B5541">
        <f t="shared" si="342"/>
        <v>33.697482000000001</v>
      </c>
      <c r="C5541">
        <f t="shared" si="343"/>
        <v>-117.851108</v>
      </c>
      <c r="D5541">
        <f t="shared" si="344"/>
        <v>40</v>
      </c>
      <c r="E5541">
        <v>116.499</v>
      </c>
      <c r="F5541">
        <f t="shared" si="345"/>
        <v>-76.498999999999995</v>
      </c>
      <c r="G5541">
        <v>35.049999999999997</v>
      </c>
      <c r="H5541">
        <v>1.258</v>
      </c>
      <c r="I5541">
        <v>3.5990000000000002</v>
      </c>
      <c r="J5541">
        <v>5</v>
      </c>
      <c r="K5541">
        <v>17</v>
      </c>
      <c r="L5541">
        <v>9</v>
      </c>
      <c r="M5541">
        <v>1.8440000000000001</v>
      </c>
    </row>
    <row r="5542" spans="1:13" ht="15" customHeight="1">
      <c r="A5542" t="s">
        <v>59</v>
      </c>
      <c r="B5542">
        <f t="shared" si="342"/>
        <v>33.697482000000001</v>
      </c>
      <c r="C5542">
        <f t="shared" si="343"/>
        <v>-117.851108</v>
      </c>
      <c r="D5542">
        <f t="shared" si="344"/>
        <v>40</v>
      </c>
      <c r="E5542">
        <v>117.498</v>
      </c>
      <c r="F5542">
        <f t="shared" si="345"/>
        <v>-77.498000000000005</v>
      </c>
      <c r="G5542">
        <v>38.549999999999997</v>
      </c>
      <c r="H5542">
        <v>1.502</v>
      </c>
      <c r="I5542">
        <v>3.9020000000000001</v>
      </c>
      <c r="J5542">
        <v>5</v>
      </c>
      <c r="K5542">
        <v>18</v>
      </c>
      <c r="L5542">
        <v>9</v>
      </c>
      <c r="M5542">
        <v>2.0739999999999998</v>
      </c>
    </row>
    <row r="5543" spans="1:13" ht="15" customHeight="1">
      <c r="A5543" t="s">
        <v>59</v>
      </c>
      <c r="B5543">
        <f t="shared" si="342"/>
        <v>33.697482000000001</v>
      </c>
      <c r="C5543">
        <f t="shared" si="343"/>
        <v>-117.851108</v>
      </c>
      <c r="D5543">
        <f t="shared" si="344"/>
        <v>40</v>
      </c>
      <c r="E5543">
        <v>118.498</v>
      </c>
      <c r="F5543">
        <f t="shared" si="345"/>
        <v>-78.498000000000005</v>
      </c>
      <c r="G5543">
        <v>38.517000000000003</v>
      </c>
      <c r="H5543">
        <v>1.53</v>
      </c>
      <c r="I5543">
        <v>3.9809999999999999</v>
      </c>
      <c r="J5543">
        <v>5</v>
      </c>
      <c r="K5543">
        <v>18</v>
      </c>
      <c r="L5543">
        <v>9</v>
      </c>
      <c r="M5543">
        <v>2.0670000000000002</v>
      </c>
    </row>
    <row r="5544" spans="1:13" ht="15" customHeight="1">
      <c r="A5544" t="s">
        <v>59</v>
      </c>
      <c r="B5544">
        <f t="shared" si="342"/>
        <v>33.697482000000001</v>
      </c>
      <c r="C5544">
        <f t="shared" si="343"/>
        <v>-117.851108</v>
      </c>
      <c r="D5544">
        <f t="shared" si="344"/>
        <v>40</v>
      </c>
      <c r="E5544">
        <v>119.498</v>
      </c>
      <c r="F5544">
        <f t="shared" si="345"/>
        <v>-79.498000000000005</v>
      </c>
      <c r="G5544">
        <v>37.216999999999999</v>
      </c>
      <c r="H5544">
        <v>1.4430000000000001</v>
      </c>
      <c r="I5544">
        <v>3.8849999999999998</v>
      </c>
      <c r="J5544">
        <v>5</v>
      </c>
      <c r="K5544">
        <v>18</v>
      </c>
      <c r="L5544">
        <v>9</v>
      </c>
      <c r="M5544">
        <v>1.9770000000000001</v>
      </c>
    </row>
    <row r="5545" spans="1:13" ht="15" customHeight="1">
      <c r="A5545" t="s">
        <v>59</v>
      </c>
      <c r="B5545">
        <f t="shared" si="342"/>
        <v>33.697482000000001</v>
      </c>
      <c r="C5545">
        <f t="shared" si="343"/>
        <v>-117.851108</v>
      </c>
      <c r="D5545">
        <f t="shared" si="344"/>
        <v>40</v>
      </c>
      <c r="E5545">
        <v>120.498</v>
      </c>
      <c r="F5545">
        <f t="shared" si="345"/>
        <v>-80.498000000000005</v>
      </c>
      <c r="G5545">
        <v>38.299999999999997</v>
      </c>
      <c r="H5545">
        <v>1.143</v>
      </c>
      <c r="I5545">
        <v>2.9870000000000001</v>
      </c>
      <c r="J5545">
        <v>6</v>
      </c>
      <c r="K5545">
        <v>15</v>
      </c>
      <c r="L5545">
        <v>8</v>
      </c>
      <c r="M5545">
        <v>2.0489999999999999</v>
      </c>
    </row>
    <row r="5546" spans="1:13" ht="15" customHeight="1">
      <c r="A5546" t="s">
        <v>59</v>
      </c>
      <c r="B5546">
        <f t="shared" si="342"/>
        <v>33.697482000000001</v>
      </c>
      <c r="C5546">
        <f t="shared" si="343"/>
        <v>-117.851108</v>
      </c>
      <c r="D5546">
        <f t="shared" si="344"/>
        <v>40</v>
      </c>
      <c r="E5546">
        <v>121.498</v>
      </c>
      <c r="F5546">
        <f t="shared" si="345"/>
        <v>-81.498000000000005</v>
      </c>
      <c r="G5546">
        <v>37.15</v>
      </c>
      <c r="H5546">
        <v>1.1930000000000001</v>
      </c>
      <c r="I5546">
        <v>3.214</v>
      </c>
      <c r="J5546">
        <v>5</v>
      </c>
      <c r="K5546">
        <v>18</v>
      </c>
      <c r="L5546">
        <v>9</v>
      </c>
      <c r="M5546">
        <v>1.968</v>
      </c>
    </row>
    <row r="5547" spans="1:13" ht="15" customHeight="1">
      <c r="A5547" t="s">
        <v>59</v>
      </c>
      <c r="B5547">
        <f t="shared" si="342"/>
        <v>33.697482000000001</v>
      </c>
      <c r="C5547">
        <f t="shared" si="343"/>
        <v>-117.851108</v>
      </c>
      <c r="D5547">
        <f t="shared" si="344"/>
        <v>40</v>
      </c>
      <c r="E5547">
        <v>122.498</v>
      </c>
      <c r="F5547">
        <f t="shared" si="345"/>
        <v>-82.498000000000005</v>
      </c>
      <c r="G5547">
        <v>36.582999999999998</v>
      </c>
      <c r="H5547">
        <v>1.075</v>
      </c>
      <c r="I5547">
        <v>2.9380000000000002</v>
      </c>
      <c r="J5547">
        <v>6</v>
      </c>
      <c r="K5547">
        <v>14</v>
      </c>
      <c r="L5547">
        <v>7</v>
      </c>
      <c r="M5547">
        <v>1.927</v>
      </c>
    </row>
    <row r="5548" spans="1:13" ht="15" customHeight="1">
      <c r="A5548" t="s">
        <v>59</v>
      </c>
      <c r="B5548">
        <f t="shared" si="342"/>
        <v>33.697482000000001</v>
      </c>
      <c r="C5548">
        <f t="shared" si="343"/>
        <v>-117.851108</v>
      </c>
      <c r="D5548">
        <f t="shared" si="344"/>
        <v>40</v>
      </c>
      <c r="E5548">
        <v>123.498</v>
      </c>
      <c r="F5548">
        <f t="shared" si="345"/>
        <v>-83.498000000000005</v>
      </c>
      <c r="G5548">
        <v>36.667000000000002</v>
      </c>
      <c r="H5548">
        <v>0.92300000000000004</v>
      </c>
      <c r="I5548">
        <v>2.5179999999999998</v>
      </c>
      <c r="J5548">
        <v>6</v>
      </c>
      <c r="K5548">
        <v>14</v>
      </c>
      <c r="L5548">
        <v>7</v>
      </c>
      <c r="M5548">
        <v>1.9279999999999999</v>
      </c>
    </row>
    <row r="5549" spans="1:13" ht="15" customHeight="1">
      <c r="A5549" t="s">
        <v>59</v>
      </c>
      <c r="B5549">
        <f t="shared" si="342"/>
        <v>33.697482000000001</v>
      </c>
      <c r="C5549">
        <f t="shared" si="343"/>
        <v>-117.851108</v>
      </c>
      <c r="D5549">
        <f t="shared" si="344"/>
        <v>40</v>
      </c>
      <c r="E5549">
        <v>124.498</v>
      </c>
      <c r="F5549">
        <f t="shared" si="345"/>
        <v>-84.498000000000005</v>
      </c>
      <c r="G5549">
        <v>38.966999999999999</v>
      </c>
      <c r="H5549">
        <v>1.0169999999999999</v>
      </c>
      <c r="I5549">
        <v>2.6080000000000001</v>
      </c>
      <c r="J5549">
        <v>6</v>
      </c>
      <c r="K5549">
        <v>15</v>
      </c>
      <c r="L5549">
        <v>8</v>
      </c>
      <c r="M5549">
        <v>2.0790000000000002</v>
      </c>
    </row>
    <row r="5550" spans="1:13" ht="15" customHeight="1">
      <c r="A5550" t="s">
        <v>59</v>
      </c>
      <c r="B5550">
        <f t="shared" si="342"/>
        <v>33.697482000000001</v>
      </c>
      <c r="C5550">
        <f t="shared" si="343"/>
        <v>-117.851108</v>
      </c>
      <c r="D5550">
        <f t="shared" si="344"/>
        <v>40</v>
      </c>
      <c r="E5550">
        <v>125.498</v>
      </c>
      <c r="F5550">
        <f t="shared" si="345"/>
        <v>-85.498000000000005</v>
      </c>
      <c r="G5550">
        <v>39.057000000000002</v>
      </c>
      <c r="H5550">
        <v>1.1399999999999999</v>
      </c>
      <c r="I5550">
        <v>2.9159999999999999</v>
      </c>
      <c r="J5550">
        <v>6</v>
      </c>
      <c r="K5550">
        <v>15</v>
      </c>
      <c r="L5550">
        <v>8</v>
      </c>
      <c r="M5550">
        <v>2.0819999999999999</v>
      </c>
    </row>
    <row r="5551" spans="1:13" ht="15" customHeight="1">
      <c r="A5551" t="s">
        <v>59</v>
      </c>
      <c r="B5551">
        <f t="shared" si="342"/>
        <v>33.697482000000001</v>
      </c>
      <c r="C5551">
        <f t="shared" si="343"/>
        <v>-117.851108</v>
      </c>
      <c r="D5551">
        <f t="shared" si="344"/>
        <v>40</v>
      </c>
      <c r="E5551">
        <v>126.498</v>
      </c>
      <c r="F5551">
        <f t="shared" si="345"/>
        <v>-86.498000000000005</v>
      </c>
      <c r="G5551">
        <v>38.616999999999997</v>
      </c>
      <c r="H5551">
        <v>1.1779999999999999</v>
      </c>
      <c r="I5551">
        <v>3.0449999999999999</v>
      </c>
      <c r="J5551">
        <v>5</v>
      </c>
      <c r="K5551">
        <v>19</v>
      </c>
      <c r="L5551">
        <v>10</v>
      </c>
      <c r="M5551">
        <v>2.0510000000000002</v>
      </c>
    </row>
    <row r="5552" spans="1:13" ht="15" customHeight="1">
      <c r="A5552" t="s">
        <v>59</v>
      </c>
      <c r="B5552">
        <f t="shared" si="342"/>
        <v>33.697482000000001</v>
      </c>
      <c r="C5552">
        <f t="shared" si="343"/>
        <v>-117.851108</v>
      </c>
      <c r="D5552">
        <f t="shared" si="344"/>
        <v>40</v>
      </c>
      <c r="E5552">
        <v>127.498</v>
      </c>
      <c r="F5552">
        <f t="shared" si="345"/>
        <v>-87.498000000000005</v>
      </c>
      <c r="G5552">
        <v>39.35</v>
      </c>
      <c r="H5552">
        <v>0.99299999999999999</v>
      </c>
      <c r="I5552">
        <v>2.5179999999999998</v>
      </c>
      <c r="J5552">
        <v>6</v>
      </c>
      <c r="K5552">
        <v>15</v>
      </c>
      <c r="L5552">
        <v>8</v>
      </c>
      <c r="M5552">
        <v>2.097</v>
      </c>
    </row>
    <row r="5553" spans="1:13" ht="15" customHeight="1">
      <c r="A5553" t="s">
        <v>59</v>
      </c>
      <c r="B5553">
        <f t="shared" si="342"/>
        <v>33.697482000000001</v>
      </c>
      <c r="C5553">
        <f t="shared" si="343"/>
        <v>-117.851108</v>
      </c>
      <c r="D5553">
        <f t="shared" si="344"/>
        <v>40</v>
      </c>
      <c r="E5553">
        <v>128.49799999999999</v>
      </c>
      <c r="F5553">
        <f t="shared" si="345"/>
        <v>-88.49799999999999</v>
      </c>
      <c r="G5553">
        <v>40.4</v>
      </c>
      <c r="H5553">
        <v>1.1100000000000001</v>
      </c>
      <c r="I5553">
        <v>2.738</v>
      </c>
      <c r="J5553">
        <v>6</v>
      </c>
      <c r="K5553">
        <v>16</v>
      </c>
      <c r="L5553">
        <v>8</v>
      </c>
      <c r="M5553">
        <v>2.165</v>
      </c>
    </row>
    <row r="5554" spans="1:13" ht="15" customHeight="1">
      <c r="A5554" t="s">
        <v>59</v>
      </c>
      <c r="B5554">
        <f t="shared" si="342"/>
        <v>33.697482000000001</v>
      </c>
      <c r="C5554">
        <f t="shared" si="343"/>
        <v>-117.851108</v>
      </c>
      <c r="D5554">
        <f t="shared" si="344"/>
        <v>40</v>
      </c>
      <c r="E5554">
        <v>129.49799999999999</v>
      </c>
      <c r="F5554">
        <f t="shared" si="345"/>
        <v>-89.49799999999999</v>
      </c>
      <c r="G5554">
        <v>43.9</v>
      </c>
      <c r="H5554">
        <v>1.022</v>
      </c>
      <c r="I5554">
        <v>2.2799999999999998</v>
      </c>
      <c r="J5554">
        <v>6</v>
      </c>
      <c r="K5554">
        <v>17</v>
      </c>
      <c r="L5554">
        <v>9</v>
      </c>
      <c r="M5554">
        <v>2.4470000000000001</v>
      </c>
    </row>
    <row r="5555" spans="1:13" ht="15" customHeight="1">
      <c r="A5555" t="s">
        <v>59</v>
      </c>
      <c r="B5555">
        <f t="shared" si="342"/>
        <v>33.697482000000001</v>
      </c>
      <c r="C5555">
        <f t="shared" si="343"/>
        <v>-117.851108</v>
      </c>
      <c r="D5555">
        <f t="shared" si="344"/>
        <v>40</v>
      </c>
      <c r="E5555">
        <v>130.49799999999999</v>
      </c>
      <c r="F5555">
        <f t="shared" si="345"/>
        <v>-90.49799999999999</v>
      </c>
      <c r="G5555">
        <v>40.4</v>
      </c>
      <c r="H5555">
        <v>0</v>
      </c>
      <c r="I5555">
        <v>0</v>
      </c>
      <c r="J5555">
        <v>8</v>
      </c>
      <c r="K5555" s="1">
        <v>9000000000</v>
      </c>
      <c r="L5555" s="1">
        <v>9000000000</v>
      </c>
      <c r="M5555" s="1">
        <v>9000000000</v>
      </c>
    </row>
    <row r="5556" spans="1:13" ht="15" customHeight="1">
      <c r="A5556" t="s">
        <v>60</v>
      </c>
      <c r="B5556">
        <f t="shared" si="342"/>
        <v>33.700105000000001</v>
      </c>
      <c r="C5556">
        <f t="shared" si="343"/>
        <v>-117.849158</v>
      </c>
      <c r="D5556">
        <f t="shared" si="344"/>
        <v>42</v>
      </c>
      <c r="E5556">
        <v>0.5</v>
      </c>
      <c r="F5556">
        <f t="shared" si="345"/>
        <v>41.5</v>
      </c>
      <c r="G5556">
        <v>0.6</v>
      </c>
      <c r="H5556">
        <v>1.2999999999999999E-2</v>
      </c>
      <c r="I5556">
        <v>2.286</v>
      </c>
      <c r="J5556">
        <v>1</v>
      </c>
      <c r="K5556">
        <v>0</v>
      </c>
      <c r="L5556">
        <v>0</v>
      </c>
      <c r="M5556">
        <v>3.6999999999999998E-2</v>
      </c>
    </row>
    <row r="5557" spans="1:13" ht="15" customHeight="1">
      <c r="A5557" t="s">
        <v>60</v>
      </c>
      <c r="B5557">
        <f t="shared" si="342"/>
        <v>33.700105000000001</v>
      </c>
      <c r="C5557">
        <f t="shared" si="343"/>
        <v>-117.849158</v>
      </c>
      <c r="D5557">
        <f t="shared" si="344"/>
        <v>42</v>
      </c>
      <c r="E5557">
        <v>1.5</v>
      </c>
      <c r="F5557">
        <f t="shared" si="345"/>
        <v>40.5</v>
      </c>
      <c r="G5557">
        <v>17.667000000000002</v>
      </c>
      <c r="H5557">
        <v>0.74299999999999999</v>
      </c>
      <c r="I5557">
        <v>4.2190000000000003</v>
      </c>
      <c r="J5557">
        <v>3</v>
      </c>
      <c r="K5557">
        <v>17</v>
      </c>
      <c r="L5557">
        <v>26</v>
      </c>
      <c r="M5557">
        <v>1.169</v>
      </c>
    </row>
    <row r="5558" spans="1:13" ht="15" customHeight="1">
      <c r="A5558" t="s">
        <v>60</v>
      </c>
      <c r="B5558">
        <f t="shared" si="342"/>
        <v>33.700105000000001</v>
      </c>
      <c r="C5558">
        <f t="shared" si="343"/>
        <v>-117.849158</v>
      </c>
      <c r="D5558">
        <f t="shared" si="344"/>
        <v>42</v>
      </c>
      <c r="E5558">
        <v>2.5</v>
      </c>
      <c r="F5558">
        <f t="shared" si="345"/>
        <v>39.5</v>
      </c>
      <c r="G5558">
        <v>7.5830000000000002</v>
      </c>
      <c r="H5558">
        <v>0.32800000000000001</v>
      </c>
      <c r="I5558">
        <v>2.4660000000000002</v>
      </c>
      <c r="J5558">
        <v>5</v>
      </c>
      <c r="K5558">
        <v>6</v>
      </c>
      <c r="L5558">
        <v>9</v>
      </c>
      <c r="M5558">
        <v>0.878</v>
      </c>
    </row>
    <row r="5559" spans="1:13" ht="15" customHeight="1">
      <c r="A5559" t="s">
        <v>60</v>
      </c>
      <c r="B5559">
        <f t="shared" si="342"/>
        <v>33.700105000000001</v>
      </c>
      <c r="C5559">
        <f t="shared" si="343"/>
        <v>-117.849158</v>
      </c>
      <c r="D5559">
        <f t="shared" si="344"/>
        <v>42</v>
      </c>
      <c r="E5559">
        <v>3.5</v>
      </c>
      <c r="F5559">
        <f t="shared" si="345"/>
        <v>38.5</v>
      </c>
      <c r="G5559">
        <v>8.6329999999999991</v>
      </c>
      <c r="H5559">
        <v>0.432</v>
      </c>
      <c r="I5559">
        <v>4.5759999999999996</v>
      </c>
      <c r="J5559">
        <v>3</v>
      </c>
      <c r="K5559">
        <v>9</v>
      </c>
      <c r="L5559">
        <v>14</v>
      </c>
      <c r="M5559">
        <v>0.61499999999999999</v>
      </c>
    </row>
    <row r="5560" spans="1:13" ht="15" customHeight="1">
      <c r="A5560" t="s">
        <v>60</v>
      </c>
      <c r="B5560">
        <f t="shared" si="342"/>
        <v>33.700105000000001</v>
      </c>
      <c r="C5560">
        <f t="shared" si="343"/>
        <v>-117.849158</v>
      </c>
      <c r="D5560">
        <f t="shared" si="344"/>
        <v>42</v>
      </c>
      <c r="E5560">
        <v>4.5</v>
      </c>
      <c r="F5560">
        <f t="shared" si="345"/>
        <v>37.5</v>
      </c>
      <c r="G5560">
        <v>9.4830000000000005</v>
      </c>
      <c r="H5560">
        <v>0.45300000000000001</v>
      </c>
      <c r="I5560">
        <v>4.6660000000000004</v>
      </c>
      <c r="J5560">
        <v>3</v>
      </c>
      <c r="K5560">
        <v>9</v>
      </c>
      <c r="L5560">
        <v>14</v>
      </c>
      <c r="M5560">
        <v>0.63</v>
      </c>
    </row>
    <row r="5561" spans="1:13" ht="15" customHeight="1">
      <c r="A5561" t="s">
        <v>60</v>
      </c>
      <c r="B5561">
        <f t="shared" si="342"/>
        <v>33.700105000000001</v>
      </c>
      <c r="C5561">
        <f t="shared" si="343"/>
        <v>-117.849158</v>
      </c>
      <c r="D5561">
        <f t="shared" si="344"/>
        <v>42</v>
      </c>
      <c r="E5561">
        <v>5.5</v>
      </c>
      <c r="F5561">
        <f t="shared" si="345"/>
        <v>36.5</v>
      </c>
      <c r="G5561">
        <v>7.9829999999999997</v>
      </c>
      <c r="H5561">
        <v>0.27300000000000002</v>
      </c>
      <c r="I5561">
        <v>3.3879999999999999</v>
      </c>
      <c r="J5561">
        <v>3</v>
      </c>
      <c r="K5561">
        <v>8</v>
      </c>
      <c r="L5561">
        <v>12</v>
      </c>
      <c r="M5561">
        <v>0.51600000000000001</v>
      </c>
    </row>
    <row r="5562" spans="1:13" ht="15" customHeight="1">
      <c r="A5562" t="s">
        <v>60</v>
      </c>
      <c r="B5562">
        <f t="shared" si="342"/>
        <v>33.700105000000001</v>
      </c>
      <c r="C5562">
        <f t="shared" si="343"/>
        <v>-117.849158</v>
      </c>
      <c r="D5562">
        <f t="shared" si="344"/>
        <v>42</v>
      </c>
      <c r="E5562">
        <v>6.5</v>
      </c>
      <c r="F5562">
        <f t="shared" si="345"/>
        <v>35.5</v>
      </c>
      <c r="G5562">
        <v>13.8</v>
      </c>
      <c r="H5562">
        <v>0.625</v>
      </c>
      <c r="I5562">
        <v>4.407</v>
      </c>
      <c r="J5562">
        <v>3</v>
      </c>
      <c r="K5562">
        <v>14</v>
      </c>
      <c r="L5562">
        <v>21</v>
      </c>
      <c r="M5562">
        <v>0.92</v>
      </c>
    </row>
    <row r="5563" spans="1:13" ht="15" customHeight="1">
      <c r="A5563" t="s">
        <v>60</v>
      </c>
      <c r="B5563">
        <f t="shared" si="342"/>
        <v>33.700105000000001</v>
      </c>
      <c r="C5563">
        <f t="shared" si="343"/>
        <v>-117.849158</v>
      </c>
      <c r="D5563">
        <f t="shared" si="344"/>
        <v>42</v>
      </c>
      <c r="E5563">
        <v>7.5</v>
      </c>
      <c r="F5563">
        <f t="shared" si="345"/>
        <v>34.5</v>
      </c>
      <c r="G5563">
        <v>11.7</v>
      </c>
      <c r="H5563">
        <v>0.50800000000000001</v>
      </c>
      <c r="I5563">
        <v>4.3259999999999996</v>
      </c>
      <c r="J5563">
        <v>3</v>
      </c>
      <c r="K5563">
        <v>11</v>
      </c>
      <c r="L5563">
        <v>17</v>
      </c>
      <c r="M5563">
        <v>0.754</v>
      </c>
    </row>
    <row r="5564" spans="1:13" ht="15" customHeight="1">
      <c r="A5564" t="s">
        <v>60</v>
      </c>
      <c r="B5564">
        <f t="shared" si="342"/>
        <v>33.700105000000001</v>
      </c>
      <c r="C5564">
        <f t="shared" si="343"/>
        <v>-117.849158</v>
      </c>
      <c r="D5564">
        <f t="shared" si="344"/>
        <v>42</v>
      </c>
      <c r="E5564">
        <v>8.5</v>
      </c>
      <c r="F5564">
        <f t="shared" si="345"/>
        <v>33.5</v>
      </c>
      <c r="G5564">
        <v>9.4</v>
      </c>
      <c r="H5564">
        <v>0.36</v>
      </c>
      <c r="I5564">
        <v>3.823</v>
      </c>
      <c r="J5564">
        <v>3</v>
      </c>
      <c r="K5564">
        <v>9</v>
      </c>
      <c r="L5564">
        <v>14</v>
      </c>
      <c r="M5564">
        <v>0.59399999999999997</v>
      </c>
    </row>
    <row r="5565" spans="1:13" ht="15" customHeight="1">
      <c r="A5565" t="s">
        <v>60</v>
      </c>
      <c r="B5565">
        <f t="shared" si="342"/>
        <v>33.700105000000001</v>
      </c>
      <c r="C5565">
        <f t="shared" si="343"/>
        <v>-117.849158</v>
      </c>
      <c r="D5565">
        <f t="shared" si="344"/>
        <v>42</v>
      </c>
      <c r="E5565">
        <v>9.5</v>
      </c>
      <c r="F5565">
        <f t="shared" si="345"/>
        <v>32.5</v>
      </c>
      <c r="G5565">
        <v>9.15</v>
      </c>
      <c r="H5565">
        <v>0.27700000000000002</v>
      </c>
      <c r="I5565">
        <v>3.0179999999999998</v>
      </c>
      <c r="J5565">
        <v>4</v>
      </c>
      <c r="K5565">
        <v>6</v>
      </c>
      <c r="L5565">
        <v>9</v>
      </c>
      <c r="M5565">
        <v>0.57299999999999995</v>
      </c>
    </row>
    <row r="5566" spans="1:13" ht="15" customHeight="1">
      <c r="A5566" t="s">
        <v>60</v>
      </c>
      <c r="B5566">
        <f t="shared" si="342"/>
        <v>33.700105000000001</v>
      </c>
      <c r="C5566">
        <f t="shared" si="343"/>
        <v>-117.849158</v>
      </c>
      <c r="D5566">
        <f t="shared" si="344"/>
        <v>42</v>
      </c>
      <c r="E5566">
        <v>10.5</v>
      </c>
      <c r="F5566">
        <f t="shared" si="345"/>
        <v>31.5</v>
      </c>
      <c r="G5566">
        <v>10</v>
      </c>
      <c r="H5566">
        <v>0.313</v>
      </c>
      <c r="I5566">
        <v>3.1240000000000001</v>
      </c>
      <c r="J5566">
        <v>4</v>
      </c>
      <c r="K5566">
        <v>6</v>
      </c>
      <c r="L5566">
        <v>9</v>
      </c>
      <c r="M5566">
        <v>0.626</v>
      </c>
    </row>
    <row r="5567" spans="1:13" ht="15" customHeight="1">
      <c r="A5567" t="s">
        <v>60</v>
      </c>
      <c r="B5567">
        <f t="shared" si="342"/>
        <v>33.700105000000001</v>
      </c>
      <c r="C5567">
        <f t="shared" si="343"/>
        <v>-117.849158</v>
      </c>
      <c r="D5567">
        <f t="shared" si="344"/>
        <v>42</v>
      </c>
      <c r="E5567">
        <v>11.5</v>
      </c>
      <c r="F5567">
        <f t="shared" si="345"/>
        <v>30.5</v>
      </c>
      <c r="G5567">
        <v>8.0329999999999995</v>
      </c>
      <c r="H5567">
        <v>0.23</v>
      </c>
      <c r="I5567">
        <v>2.863</v>
      </c>
      <c r="J5567">
        <v>4</v>
      </c>
      <c r="K5567">
        <v>5</v>
      </c>
      <c r="L5567">
        <v>7</v>
      </c>
      <c r="M5567">
        <v>0.49</v>
      </c>
    </row>
    <row r="5568" spans="1:13" ht="15" customHeight="1">
      <c r="A5568" t="s">
        <v>60</v>
      </c>
      <c r="B5568">
        <f t="shared" si="342"/>
        <v>33.700105000000001</v>
      </c>
      <c r="C5568">
        <f t="shared" si="343"/>
        <v>-117.849158</v>
      </c>
      <c r="D5568">
        <f t="shared" si="344"/>
        <v>42</v>
      </c>
      <c r="E5568">
        <v>12.5</v>
      </c>
      <c r="F5568">
        <f t="shared" si="345"/>
        <v>29.5</v>
      </c>
      <c r="G5568">
        <v>6.4669999999999996</v>
      </c>
      <c r="H5568">
        <v>0.13800000000000001</v>
      </c>
      <c r="I5568">
        <v>2.1389999999999998</v>
      </c>
      <c r="J5568">
        <v>4</v>
      </c>
      <c r="K5568">
        <v>4</v>
      </c>
      <c r="L5568">
        <v>5</v>
      </c>
      <c r="M5568">
        <v>0.38100000000000001</v>
      </c>
    </row>
    <row r="5569" spans="1:13" ht="15" customHeight="1">
      <c r="A5569" t="s">
        <v>60</v>
      </c>
      <c r="B5569">
        <f t="shared" si="342"/>
        <v>33.700105000000001</v>
      </c>
      <c r="C5569">
        <f t="shared" si="343"/>
        <v>-117.849158</v>
      </c>
      <c r="D5569">
        <f t="shared" si="344"/>
        <v>42</v>
      </c>
      <c r="E5569">
        <v>13.5</v>
      </c>
      <c r="F5569">
        <f t="shared" si="345"/>
        <v>28.5</v>
      </c>
      <c r="G5569">
        <v>6.45</v>
      </c>
      <c r="H5569">
        <v>0.113</v>
      </c>
      <c r="I5569">
        <v>1.73</v>
      </c>
      <c r="J5569">
        <v>4</v>
      </c>
      <c r="K5569">
        <v>4</v>
      </c>
      <c r="L5569">
        <v>5</v>
      </c>
      <c r="M5569">
        <v>0.38300000000000001</v>
      </c>
    </row>
    <row r="5570" spans="1:13" ht="15" customHeight="1">
      <c r="A5570" t="s">
        <v>60</v>
      </c>
      <c r="B5570">
        <f t="shared" ref="B5570:B5633" si="346">VLOOKUP(A5570,XYdata,3,FALSE)</f>
        <v>33.700105000000001</v>
      </c>
      <c r="C5570">
        <f t="shared" ref="C5570:C5633" si="347">VLOOKUP(A5570,XYdata,2,FALSE)</f>
        <v>-117.849158</v>
      </c>
      <c r="D5570">
        <f t="shared" ref="D5570:D5633" si="348">VLOOKUP(A5570,Elevation,2,FALSE)</f>
        <v>42</v>
      </c>
      <c r="E5570">
        <v>14.5</v>
      </c>
      <c r="F5570">
        <f t="shared" si="345"/>
        <v>27.5</v>
      </c>
      <c r="G5570">
        <v>9.7170000000000005</v>
      </c>
      <c r="H5570">
        <v>0.33800000000000002</v>
      </c>
      <c r="I5570">
        <v>3.2170000000000001</v>
      </c>
      <c r="J5570">
        <v>4</v>
      </c>
      <c r="K5570">
        <v>7</v>
      </c>
      <c r="L5570">
        <v>8</v>
      </c>
      <c r="M5570">
        <v>0.64300000000000002</v>
      </c>
    </row>
    <row r="5571" spans="1:13" ht="15" customHeight="1">
      <c r="A5571" t="s">
        <v>60</v>
      </c>
      <c r="B5571">
        <f t="shared" si="346"/>
        <v>33.700105000000001</v>
      </c>
      <c r="C5571">
        <f t="shared" si="347"/>
        <v>-117.849158</v>
      </c>
      <c r="D5571">
        <f t="shared" si="348"/>
        <v>42</v>
      </c>
      <c r="E5571">
        <v>15.5</v>
      </c>
      <c r="F5571">
        <f t="shared" ref="F5571:F5634" si="349">D5571-E5571</f>
        <v>26.5</v>
      </c>
      <c r="G5571">
        <v>15.567</v>
      </c>
      <c r="H5571">
        <v>0.44800000000000001</v>
      </c>
      <c r="I5571">
        <v>2.65</v>
      </c>
      <c r="J5571">
        <v>5</v>
      </c>
      <c r="K5571">
        <v>8</v>
      </c>
      <c r="L5571">
        <v>8</v>
      </c>
      <c r="M5571">
        <v>1.0660000000000001</v>
      </c>
    </row>
    <row r="5572" spans="1:13" ht="15" customHeight="1">
      <c r="A5572" t="s">
        <v>60</v>
      </c>
      <c r="B5572">
        <f t="shared" si="346"/>
        <v>33.700105000000001</v>
      </c>
      <c r="C5572">
        <f t="shared" si="347"/>
        <v>-117.849158</v>
      </c>
      <c r="D5572">
        <f t="shared" si="348"/>
        <v>42</v>
      </c>
      <c r="E5572">
        <v>16.5</v>
      </c>
      <c r="F5572">
        <f t="shared" si="349"/>
        <v>25.5</v>
      </c>
      <c r="G5572">
        <v>19.667000000000002</v>
      </c>
      <c r="H5572">
        <v>0.77300000000000002</v>
      </c>
      <c r="I5572">
        <v>3.6970000000000001</v>
      </c>
      <c r="J5572">
        <v>4</v>
      </c>
      <c r="K5572">
        <v>13</v>
      </c>
      <c r="L5572">
        <v>13</v>
      </c>
      <c r="M5572">
        <v>1.329</v>
      </c>
    </row>
    <row r="5573" spans="1:13" ht="15" customHeight="1">
      <c r="A5573" t="s">
        <v>60</v>
      </c>
      <c r="B5573">
        <f t="shared" si="346"/>
        <v>33.700105000000001</v>
      </c>
      <c r="C5573">
        <f t="shared" si="347"/>
        <v>-117.849158</v>
      </c>
      <c r="D5573">
        <f t="shared" si="348"/>
        <v>42</v>
      </c>
      <c r="E5573">
        <v>17.5</v>
      </c>
      <c r="F5573">
        <f t="shared" si="349"/>
        <v>24.5</v>
      </c>
      <c r="G5573">
        <v>24.9</v>
      </c>
      <c r="H5573">
        <v>0.92700000000000005</v>
      </c>
      <c r="I5573">
        <v>3.5350000000000001</v>
      </c>
      <c r="J5573">
        <v>5</v>
      </c>
      <c r="K5573">
        <v>13</v>
      </c>
      <c r="L5573">
        <v>13</v>
      </c>
      <c r="M5573">
        <v>1.6779999999999999</v>
      </c>
    </row>
    <row r="5574" spans="1:13" ht="15" customHeight="1">
      <c r="A5574" t="s">
        <v>60</v>
      </c>
      <c r="B5574">
        <f t="shared" si="346"/>
        <v>33.700105000000001</v>
      </c>
      <c r="C5574">
        <f t="shared" si="347"/>
        <v>-117.849158</v>
      </c>
      <c r="D5574">
        <f t="shared" si="348"/>
        <v>42</v>
      </c>
      <c r="E5574">
        <v>18.5</v>
      </c>
      <c r="F5574">
        <f t="shared" si="349"/>
        <v>23.5</v>
      </c>
      <c r="G5574">
        <v>43.6</v>
      </c>
      <c r="H5574">
        <v>1.7250000000000001</v>
      </c>
      <c r="I5574">
        <v>3.843</v>
      </c>
      <c r="J5574">
        <v>5</v>
      </c>
      <c r="K5574">
        <v>21</v>
      </c>
      <c r="L5574">
        <v>19</v>
      </c>
      <c r="M5574">
        <v>2.9180000000000001</v>
      </c>
    </row>
    <row r="5575" spans="1:13" ht="15" customHeight="1">
      <c r="A5575" t="s">
        <v>60</v>
      </c>
      <c r="B5575">
        <f t="shared" si="346"/>
        <v>33.700105000000001</v>
      </c>
      <c r="C5575">
        <f t="shared" si="347"/>
        <v>-117.849158</v>
      </c>
      <c r="D5575">
        <f t="shared" si="348"/>
        <v>42</v>
      </c>
      <c r="E5575">
        <v>19.5</v>
      </c>
      <c r="F5575">
        <f t="shared" si="349"/>
        <v>22.5</v>
      </c>
      <c r="G5575">
        <v>71.099999999999994</v>
      </c>
      <c r="H5575">
        <v>3.01</v>
      </c>
      <c r="I5575">
        <v>4.2119999999999997</v>
      </c>
      <c r="J5575">
        <v>5</v>
      </c>
      <c r="K5575">
        <v>34</v>
      </c>
      <c r="L5575">
        <v>30</v>
      </c>
      <c r="M5575">
        <v>4.6859999999999999</v>
      </c>
    </row>
    <row r="5576" spans="1:13" ht="15" customHeight="1">
      <c r="A5576" t="s">
        <v>60</v>
      </c>
      <c r="B5576">
        <f t="shared" si="346"/>
        <v>33.700105000000001</v>
      </c>
      <c r="C5576">
        <f t="shared" si="347"/>
        <v>-117.849158</v>
      </c>
      <c r="D5576">
        <f t="shared" si="348"/>
        <v>42</v>
      </c>
      <c r="E5576">
        <v>20.5</v>
      </c>
      <c r="F5576">
        <f t="shared" si="349"/>
        <v>21.5</v>
      </c>
      <c r="G5576">
        <v>55.942999999999998</v>
      </c>
      <c r="H5576">
        <v>2.843</v>
      </c>
      <c r="I5576">
        <v>5.0819999999999999</v>
      </c>
      <c r="J5576">
        <v>4</v>
      </c>
      <c r="K5576">
        <v>36</v>
      </c>
      <c r="L5576">
        <v>31</v>
      </c>
      <c r="M5576">
        <v>3.6469999999999998</v>
      </c>
    </row>
    <row r="5577" spans="1:13" ht="15" customHeight="1">
      <c r="A5577" t="s">
        <v>60</v>
      </c>
      <c r="B5577">
        <f t="shared" si="346"/>
        <v>33.700105000000001</v>
      </c>
      <c r="C5577">
        <f t="shared" si="347"/>
        <v>-117.849158</v>
      </c>
      <c r="D5577">
        <f t="shared" si="348"/>
        <v>42</v>
      </c>
      <c r="E5577">
        <v>21.5</v>
      </c>
      <c r="F5577">
        <f t="shared" si="349"/>
        <v>20.5</v>
      </c>
      <c r="G5577">
        <v>25.35</v>
      </c>
      <c r="H5577">
        <v>1.1870000000000001</v>
      </c>
      <c r="I5577">
        <v>4.6840000000000002</v>
      </c>
      <c r="J5577">
        <v>3</v>
      </c>
      <c r="K5577">
        <v>24</v>
      </c>
      <c r="L5577">
        <v>20</v>
      </c>
      <c r="M5577">
        <v>1.6020000000000001</v>
      </c>
    </row>
    <row r="5578" spans="1:13" ht="15" customHeight="1">
      <c r="A5578" t="s">
        <v>60</v>
      </c>
      <c r="B5578">
        <f t="shared" si="346"/>
        <v>33.700105000000001</v>
      </c>
      <c r="C5578">
        <f t="shared" si="347"/>
        <v>-117.849158</v>
      </c>
      <c r="D5578">
        <f t="shared" si="348"/>
        <v>42</v>
      </c>
      <c r="E5578">
        <v>22.5</v>
      </c>
      <c r="F5578">
        <f t="shared" si="349"/>
        <v>19.5</v>
      </c>
      <c r="G5578">
        <v>21.966999999999999</v>
      </c>
      <c r="H5578">
        <v>1.133</v>
      </c>
      <c r="I5578">
        <v>5.1710000000000003</v>
      </c>
      <c r="J5578">
        <v>3</v>
      </c>
      <c r="K5578">
        <v>21</v>
      </c>
      <c r="L5578">
        <v>17</v>
      </c>
      <c r="M5578">
        <v>1.37</v>
      </c>
    </row>
    <row r="5579" spans="1:13" ht="15" customHeight="1">
      <c r="A5579" t="s">
        <v>60</v>
      </c>
      <c r="B5579">
        <f t="shared" si="346"/>
        <v>33.700105000000001</v>
      </c>
      <c r="C5579">
        <f t="shared" si="347"/>
        <v>-117.849158</v>
      </c>
      <c r="D5579">
        <f t="shared" si="348"/>
        <v>42</v>
      </c>
      <c r="E5579">
        <v>23.5</v>
      </c>
      <c r="F5579">
        <f t="shared" si="349"/>
        <v>18.5</v>
      </c>
      <c r="G5579">
        <v>37.700000000000003</v>
      </c>
      <c r="H5579">
        <v>1.645</v>
      </c>
      <c r="I5579">
        <v>4.3650000000000002</v>
      </c>
      <c r="J5579">
        <v>4</v>
      </c>
      <c r="K5579">
        <v>24</v>
      </c>
      <c r="L5579">
        <v>18</v>
      </c>
      <c r="M5579">
        <v>2.4169999999999998</v>
      </c>
    </row>
    <row r="5580" spans="1:13" ht="15" customHeight="1">
      <c r="A5580" t="s">
        <v>60</v>
      </c>
      <c r="B5580">
        <f t="shared" si="346"/>
        <v>33.700105000000001</v>
      </c>
      <c r="C5580">
        <f t="shared" si="347"/>
        <v>-117.849158</v>
      </c>
      <c r="D5580">
        <f t="shared" si="348"/>
        <v>42</v>
      </c>
      <c r="E5580">
        <v>24.5</v>
      </c>
      <c r="F5580">
        <f t="shared" si="349"/>
        <v>17.5</v>
      </c>
      <c r="G5580">
        <v>95.382999999999996</v>
      </c>
      <c r="H5580">
        <v>1.165</v>
      </c>
      <c r="I5580">
        <v>1.2210000000000001</v>
      </c>
      <c r="J5580">
        <v>8</v>
      </c>
      <c r="K5580">
        <v>23</v>
      </c>
      <c r="L5580">
        <v>17</v>
      </c>
      <c r="M5580" s="1">
        <v>9000000000</v>
      </c>
    </row>
    <row r="5581" spans="1:13" ht="15" customHeight="1">
      <c r="A5581" t="s">
        <v>60</v>
      </c>
      <c r="B5581">
        <f t="shared" si="346"/>
        <v>33.700105000000001</v>
      </c>
      <c r="C5581">
        <f t="shared" si="347"/>
        <v>-117.849158</v>
      </c>
      <c r="D5581">
        <f t="shared" si="348"/>
        <v>42</v>
      </c>
      <c r="E5581">
        <v>25.5</v>
      </c>
      <c r="F5581">
        <f t="shared" si="349"/>
        <v>16.5</v>
      </c>
      <c r="G5581">
        <v>78.382999999999996</v>
      </c>
      <c r="H5581">
        <v>1.153</v>
      </c>
      <c r="I5581">
        <v>1.472</v>
      </c>
      <c r="J5581">
        <v>7</v>
      </c>
      <c r="K5581">
        <v>25</v>
      </c>
      <c r="L5581">
        <v>18</v>
      </c>
      <c r="M5581" s="1">
        <v>9000000000</v>
      </c>
    </row>
    <row r="5582" spans="1:13" ht="15" customHeight="1">
      <c r="A5582" t="s">
        <v>60</v>
      </c>
      <c r="B5582">
        <f t="shared" si="346"/>
        <v>33.700105000000001</v>
      </c>
      <c r="C5582">
        <f t="shared" si="347"/>
        <v>-117.849158</v>
      </c>
      <c r="D5582">
        <f t="shared" si="348"/>
        <v>42</v>
      </c>
      <c r="E5582">
        <v>26.5</v>
      </c>
      <c r="F5582">
        <f t="shared" si="349"/>
        <v>15.5</v>
      </c>
      <c r="G5582">
        <v>160.65</v>
      </c>
      <c r="H5582">
        <v>1.115</v>
      </c>
      <c r="I5582">
        <v>0.69399999999999995</v>
      </c>
      <c r="J5582">
        <v>9</v>
      </c>
      <c r="K5582">
        <v>31</v>
      </c>
      <c r="L5582">
        <v>22</v>
      </c>
      <c r="M5582" s="1">
        <v>9000000000</v>
      </c>
    </row>
    <row r="5583" spans="1:13" ht="15" customHeight="1">
      <c r="A5583" t="s">
        <v>60</v>
      </c>
      <c r="B5583">
        <f t="shared" si="346"/>
        <v>33.700105000000001</v>
      </c>
      <c r="C5583">
        <f t="shared" si="347"/>
        <v>-117.849158</v>
      </c>
      <c r="D5583">
        <f t="shared" si="348"/>
        <v>42</v>
      </c>
      <c r="E5583">
        <v>27.5</v>
      </c>
      <c r="F5583">
        <f t="shared" si="349"/>
        <v>14.5</v>
      </c>
      <c r="G5583">
        <v>206.36699999999999</v>
      </c>
      <c r="H5583">
        <v>1.2270000000000001</v>
      </c>
      <c r="I5583">
        <v>0.59399999999999997</v>
      </c>
      <c r="J5583">
        <v>9</v>
      </c>
      <c r="K5583">
        <v>40</v>
      </c>
      <c r="L5583">
        <v>28</v>
      </c>
      <c r="M5583" s="1">
        <v>9000000000</v>
      </c>
    </row>
    <row r="5584" spans="1:13" ht="15" customHeight="1">
      <c r="A5584" t="s">
        <v>60</v>
      </c>
      <c r="B5584">
        <f t="shared" si="346"/>
        <v>33.700105000000001</v>
      </c>
      <c r="C5584">
        <f t="shared" si="347"/>
        <v>-117.849158</v>
      </c>
      <c r="D5584">
        <f t="shared" si="348"/>
        <v>42</v>
      </c>
      <c r="E5584">
        <v>28.5</v>
      </c>
      <c r="F5584">
        <f t="shared" si="349"/>
        <v>13.5</v>
      </c>
      <c r="G5584">
        <v>225.9</v>
      </c>
      <c r="H5584">
        <v>1.4419999999999999</v>
      </c>
      <c r="I5584">
        <v>0.63800000000000001</v>
      </c>
      <c r="J5584">
        <v>9</v>
      </c>
      <c r="K5584">
        <v>43</v>
      </c>
      <c r="L5584">
        <v>30</v>
      </c>
      <c r="M5584" s="1">
        <v>9000000000</v>
      </c>
    </row>
    <row r="5585" spans="1:13" ht="15" customHeight="1">
      <c r="A5585" t="s">
        <v>60</v>
      </c>
      <c r="B5585">
        <f t="shared" si="346"/>
        <v>33.700105000000001</v>
      </c>
      <c r="C5585">
        <f t="shared" si="347"/>
        <v>-117.849158</v>
      </c>
      <c r="D5585">
        <f t="shared" si="348"/>
        <v>42</v>
      </c>
      <c r="E5585">
        <v>29.5</v>
      </c>
      <c r="F5585">
        <f t="shared" si="349"/>
        <v>12.5</v>
      </c>
      <c r="G5585">
        <v>210.88300000000001</v>
      </c>
      <c r="H5585">
        <v>1.2629999999999999</v>
      </c>
      <c r="I5585">
        <v>0.59899999999999998</v>
      </c>
      <c r="J5585">
        <v>9</v>
      </c>
      <c r="K5585">
        <v>40</v>
      </c>
      <c r="L5585">
        <v>27</v>
      </c>
      <c r="M5585" s="1">
        <v>9000000000</v>
      </c>
    </row>
    <row r="5586" spans="1:13" ht="15" customHeight="1">
      <c r="A5586" t="s">
        <v>60</v>
      </c>
      <c r="B5586">
        <f t="shared" si="346"/>
        <v>33.700105000000001</v>
      </c>
      <c r="C5586">
        <f t="shared" si="347"/>
        <v>-117.849158</v>
      </c>
      <c r="D5586">
        <f t="shared" si="348"/>
        <v>42</v>
      </c>
      <c r="E5586">
        <v>30.5</v>
      </c>
      <c r="F5586">
        <f t="shared" si="349"/>
        <v>11.5</v>
      </c>
      <c r="G5586">
        <v>228.917</v>
      </c>
      <c r="H5586">
        <v>1.4930000000000001</v>
      </c>
      <c r="I5586">
        <v>0.65200000000000002</v>
      </c>
      <c r="J5586">
        <v>9</v>
      </c>
      <c r="K5586">
        <v>44</v>
      </c>
      <c r="L5586">
        <v>29</v>
      </c>
      <c r="M5586" s="1">
        <v>9000000000</v>
      </c>
    </row>
    <row r="5587" spans="1:13" ht="15" customHeight="1">
      <c r="A5587" t="s">
        <v>60</v>
      </c>
      <c r="B5587">
        <f t="shared" si="346"/>
        <v>33.700105000000001</v>
      </c>
      <c r="C5587">
        <f t="shared" si="347"/>
        <v>-117.849158</v>
      </c>
      <c r="D5587">
        <f t="shared" si="348"/>
        <v>42</v>
      </c>
      <c r="E5587">
        <v>31.5</v>
      </c>
      <c r="F5587">
        <f t="shared" si="349"/>
        <v>10.5</v>
      </c>
      <c r="G5587">
        <v>279.01400000000001</v>
      </c>
      <c r="H5587">
        <v>1.87</v>
      </c>
      <c r="I5587">
        <v>0.67</v>
      </c>
      <c r="J5587">
        <v>9</v>
      </c>
      <c r="K5587">
        <v>53</v>
      </c>
      <c r="L5587">
        <v>35</v>
      </c>
      <c r="M5587" s="1">
        <v>9000000000</v>
      </c>
    </row>
    <row r="5588" spans="1:13" ht="15" customHeight="1">
      <c r="A5588" t="s">
        <v>60</v>
      </c>
      <c r="B5588">
        <f t="shared" si="346"/>
        <v>33.700105000000001</v>
      </c>
      <c r="C5588">
        <f t="shared" si="347"/>
        <v>-117.849158</v>
      </c>
      <c r="D5588">
        <f t="shared" si="348"/>
        <v>42</v>
      </c>
      <c r="E5588">
        <v>32.5</v>
      </c>
      <c r="F5588">
        <f t="shared" si="349"/>
        <v>9.5</v>
      </c>
      <c r="G5588">
        <v>251.68299999999999</v>
      </c>
      <c r="H5588">
        <v>1.6879999999999999</v>
      </c>
      <c r="I5588">
        <v>0.67</v>
      </c>
      <c r="J5588">
        <v>9</v>
      </c>
      <c r="K5588">
        <v>48</v>
      </c>
      <c r="L5588">
        <v>31</v>
      </c>
      <c r="M5588" s="1">
        <v>9000000000</v>
      </c>
    </row>
    <row r="5589" spans="1:13" ht="15" customHeight="1">
      <c r="A5589" t="s">
        <v>60</v>
      </c>
      <c r="B5589">
        <f t="shared" si="346"/>
        <v>33.700105000000001</v>
      </c>
      <c r="C5589">
        <f t="shared" si="347"/>
        <v>-117.849158</v>
      </c>
      <c r="D5589">
        <f t="shared" si="348"/>
        <v>42</v>
      </c>
      <c r="E5589">
        <v>33.5</v>
      </c>
      <c r="F5589">
        <f t="shared" si="349"/>
        <v>8.5</v>
      </c>
      <c r="G5589">
        <v>188.917</v>
      </c>
      <c r="H5589">
        <v>1.41</v>
      </c>
      <c r="I5589">
        <v>0.746</v>
      </c>
      <c r="J5589">
        <v>9</v>
      </c>
      <c r="K5589">
        <v>36</v>
      </c>
      <c r="L5589">
        <v>23</v>
      </c>
      <c r="M5589" s="1">
        <v>9000000000</v>
      </c>
    </row>
    <row r="5590" spans="1:13" ht="15" customHeight="1">
      <c r="A5590" t="s">
        <v>60</v>
      </c>
      <c r="B5590">
        <f t="shared" si="346"/>
        <v>33.700105000000001</v>
      </c>
      <c r="C5590">
        <f t="shared" si="347"/>
        <v>-117.849158</v>
      </c>
      <c r="D5590">
        <f t="shared" si="348"/>
        <v>42</v>
      </c>
      <c r="E5590">
        <v>34.5</v>
      </c>
      <c r="F5590">
        <f t="shared" si="349"/>
        <v>7.5</v>
      </c>
      <c r="G5590">
        <v>155.917</v>
      </c>
      <c r="H5590">
        <v>0.88300000000000001</v>
      </c>
      <c r="I5590">
        <v>0.56599999999999995</v>
      </c>
      <c r="J5590">
        <v>9</v>
      </c>
      <c r="K5590">
        <v>30</v>
      </c>
      <c r="L5590">
        <v>19</v>
      </c>
      <c r="M5590" s="1">
        <v>9000000000</v>
      </c>
    </row>
    <row r="5591" spans="1:13" ht="15" customHeight="1">
      <c r="A5591" t="s">
        <v>60</v>
      </c>
      <c r="B5591">
        <f t="shared" si="346"/>
        <v>33.700105000000001</v>
      </c>
      <c r="C5591">
        <f t="shared" si="347"/>
        <v>-117.849158</v>
      </c>
      <c r="D5591">
        <f t="shared" si="348"/>
        <v>42</v>
      </c>
      <c r="E5591">
        <v>35.5</v>
      </c>
      <c r="F5591">
        <f t="shared" si="349"/>
        <v>6.5</v>
      </c>
      <c r="G5591">
        <v>210.63300000000001</v>
      </c>
      <c r="H5591">
        <v>1.7370000000000001</v>
      </c>
      <c r="I5591">
        <v>0.82399999999999995</v>
      </c>
      <c r="J5591">
        <v>9</v>
      </c>
      <c r="K5591">
        <v>40</v>
      </c>
      <c r="L5591">
        <v>25</v>
      </c>
      <c r="M5591" s="1">
        <v>9000000000</v>
      </c>
    </row>
    <row r="5592" spans="1:13" ht="15" customHeight="1">
      <c r="A5592" t="s">
        <v>60</v>
      </c>
      <c r="B5592">
        <f t="shared" si="346"/>
        <v>33.700105000000001</v>
      </c>
      <c r="C5592">
        <f t="shared" si="347"/>
        <v>-117.849158</v>
      </c>
      <c r="D5592">
        <f t="shared" si="348"/>
        <v>42</v>
      </c>
      <c r="E5592">
        <v>36.5</v>
      </c>
      <c r="F5592">
        <f t="shared" si="349"/>
        <v>5.5</v>
      </c>
      <c r="G5592">
        <v>225.13300000000001</v>
      </c>
      <c r="H5592">
        <v>2.15</v>
      </c>
      <c r="I5592">
        <v>0.95299999999999996</v>
      </c>
      <c r="J5592">
        <v>9</v>
      </c>
      <c r="K5592">
        <v>43</v>
      </c>
      <c r="L5592">
        <v>26</v>
      </c>
      <c r="M5592" s="1">
        <v>9000000000</v>
      </c>
    </row>
    <row r="5593" spans="1:13" ht="15" customHeight="1">
      <c r="A5593" t="s">
        <v>60</v>
      </c>
      <c r="B5593">
        <f t="shared" si="346"/>
        <v>33.700105000000001</v>
      </c>
      <c r="C5593">
        <f t="shared" si="347"/>
        <v>-117.849158</v>
      </c>
      <c r="D5593">
        <f t="shared" si="348"/>
        <v>42</v>
      </c>
      <c r="E5593">
        <v>37.5</v>
      </c>
      <c r="F5593">
        <f t="shared" si="349"/>
        <v>4.5</v>
      </c>
      <c r="G5593">
        <v>307.64999999999998</v>
      </c>
      <c r="H5593">
        <v>2.3969999999999998</v>
      </c>
      <c r="I5593">
        <v>0.77800000000000002</v>
      </c>
      <c r="J5593">
        <v>9</v>
      </c>
      <c r="K5593">
        <v>59</v>
      </c>
      <c r="L5593">
        <v>36</v>
      </c>
      <c r="M5593" s="1">
        <v>9000000000</v>
      </c>
    </row>
    <row r="5594" spans="1:13" ht="15" customHeight="1">
      <c r="A5594" t="s">
        <v>60</v>
      </c>
      <c r="B5594">
        <f t="shared" si="346"/>
        <v>33.700105000000001</v>
      </c>
      <c r="C5594">
        <f t="shared" si="347"/>
        <v>-117.849158</v>
      </c>
      <c r="D5594">
        <f t="shared" si="348"/>
        <v>42</v>
      </c>
      <c r="E5594">
        <v>38.5</v>
      </c>
      <c r="F5594">
        <f t="shared" si="349"/>
        <v>3.5</v>
      </c>
      <c r="G5594">
        <v>300.85000000000002</v>
      </c>
      <c r="H5594">
        <v>2.827</v>
      </c>
      <c r="I5594">
        <v>0.93799999999999994</v>
      </c>
      <c r="J5594">
        <v>9</v>
      </c>
      <c r="K5594">
        <v>58</v>
      </c>
      <c r="L5594">
        <v>35</v>
      </c>
      <c r="M5594" s="1">
        <v>9000000000</v>
      </c>
    </row>
    <row r="5595" spans="1:13" ht="15" customHeight="1">
      <c r="A5595" t="s">
        <v>60</v>
      </c>
      <c r="B5595">
        <f t="shared" si="346"/>
        <v>33.700105000000001</v>
      </c>
      <c r="C5595">
        <f t="shared" si="347"/>
        <v>-117.849158</v>
      </c>
      <c r="D5595">
        <f t="shared" si="348"/>
        <v>42</v>
      </c>
      <c r="E5595">
        <v>39.5</v>
      </c>
      <c r="F5595">
        <f t="shared" si="349"/>
        <v>2.5</v>
      </c>
      <c r="G5595">
        <v>297.16699999999997</v>
      </c>
      <c r="H5595">
        <v>3.2080000000000002</v>
      </c>
      <c r="I5595">
        <v>1.0760000000000001</v>
      </c>
      <c r="J5595">
        <v>9</v>
      </c>
      <c r="K5595">
        <v>57</v>
      </c>
      <c r="L5595">
        <v>34</v>
      </c>
      <c r="M5595" s="1">
        <v>9000000000</v>
      </c>
    </row>
    <row r="5596" spans="1:13" ht="15" customHeight="1">
      <c r="A5596" t="s">
        <v>60</v>
      </c>
      <c r="B5596">
        <f t="shared" si="346"/>
        <v>33.700105000000001</v>
      </c>
      <c r="C5596">
        <f t="shared" si="347"/>
        <v>-117.849158</v>
      </c>
      <c r="D5596">
        <f t="shared" si="348"/>
        <v>42</v>
      </c>
      <c r="E5596">
        <v>40.5</v>
      </c>
      <c r="F5596">
        <f t="shared" si="349"/>
        <v>1.5</v>
      </c>
      <c r="G5596">
        <v>303.86700000000002</v>
      </c>
      <c r="H5596">
        <v>3.4820000000000002</v>
      </c>
      <c r="I5596">
        <v>1.139</v>
      </c>
      <c r="J5596">
        <v>9</v>
      </c>
      <c r="K5596">
        <v>59</v>
      </c>
      <c r="L5596">
        <v>35</v>
      </c>
      <c r="M5596" s="1">
        <v>9000000000</v>
      </c>
    </row>
    <row r="5597" spans="1:13" ht="15" customHeight="1">
      <c r="A5597" t="s">
        <v>60</v>
      </c>
      <c r="B5597">
        <f t="shared" si="346"/>
        <v>33.700105000000001</v>
      </c>
      <c r="C5597">
        <f t="shared" si="347"/>
        <v>-117.849158</v>
      </c>
      <c r="D5597">
        <f t="shared" si="348"/>
        <v>42</v>
      </c>
      <c r="E5597">
        <v>41.499000000000002</v>
      </c>
      <c r="F5597">
        <f t="shared" si="349"/>
        <v>0.50099999999999767</v>
      </c>
      <c r="G5597">
        <v>318.81400000000002</v>
      </c>
      <c r="H5597">
        <v>3.6659999999999999</v>
      </c>
      <c r="I5597">
        <v>1.141</v>
      </c>
      <c r="J5597">
        <v>9</v>
      </c>
      <c r="K5597">
        <v>62</v>
      </c>
      <c r="L5597">
        <v>36</v>
      </c>
      <c r="M5597" s="1">
        <v>9000000000</v>
      </c>
    </row>
    <row r="5598" spans="1:13" ht="15" customHeight="1">
      <c r="A5598" t="s">
        <v>60</v>
      </c>
      <c r="B5598">
        <f t="shared" si="346"/>
        <v>33.700105000000001</v>
      </c>
      <c r="C5598">
        <f t="shared" si="347"/>
        <v>-117.849158</v>
      </c>
      <c r="D5598">
        <f t="shared" si="348"/>
        <v>42</v>
      </c>
      <c r="E5598">
        <v>42.499000000000002</v>
      </c>
      <c r="F5598">
        <f t="shared" si="349"/>
        <v>-0.49900000000000233</v>
      </c>
      <c r="G5598">
        <v>310.60000000000002</v>
      </c>
      <c r="H5598">
        <v>4.4850000000000003</v>
      </c>
      <c r="I5598">
        <v>1.4319999999999999</v>
      </c>
      <c r="J5598">
        <v>9</v>
      </c>
      <c r="K5598">
        <v>60</v>
      </c>
      <c r="L5598">
        <v>34</v>
      </c>
      <c r="M5598" s="1">
        <v>9000000000</v>
      </c>
    </row>
    <row r="5599" spans="1:13" ht="15" customHeight="1">
      <c r="A5599" t="s">
        <v>60</v>
      </c>
      <c r="B5599">
        <f t="shared" si="346"/>
        <v>33.700105000000001</v>
      </c>
      <c r="C5599">
        <f t="shared" si="347"/>
        <v>-117.849158</v>
      </c>
      <c r="D5599">
        <f t="shared" si="348"/>
        <v>42</v>
      </c>
      <c r="E5599">
        <v>43.499000000000002</v>
      </c>
      <c r="F5599">
        <f t="shared" si="349"/>
        <v>-1.4990000000000023</v>
      </c>
      <c r="G5599">
        <v>349.05</v>
      </c>
      <c r="H5599">
        <v>5.3319999999999999</v>
      </c>
      <c r="I5599">
        <v>1.4830000000000001</v>
      </c>
      <c r="J5599">
        <v>9</v>
      </c>
      <c r="K5599">
        <v>69</v>
      </c>
      <c r="L5599">
        <v>39</v>
      </c>
      <c r="M5599" s="1">
        <v>9000000000</v>
      </c>
    </row>
    <row r="5600" spans="1:13" ht="15" customHeight="1">
      <c r="A5600" t="s">
        <v>60</v>
      </c>
      <c r="B5600">
        <f t="shared" si="346"/>
        <v>33.700105000000001</v>
      </c>
      <c r="C5600">
        <f t="shared" si="347"/>
        <v>-117.849158</v>
      </c>
      <c r="D5600">
        <f t="shared" si="348"/>
        <v>42</v>
      </c>
      <c r="E5600">
        <v>44.499000000000002</v>
      </c>
      <c r="F5600">
        <f t="shared" si="349"/>
        <v>-2.4990000000000023</v>
      </c>
      <c r="G5600">
        <v>330.017</v>
      </c>
      <c r="H5600">
        <v>6.1369999999999996</v>
      </c>
      <c r="I5600">
        <v>1.7709999999999999</v>
      </c>
      <c r="J5600">
        <v>8</v>
      </c>
      <c r="K5600">
        <v>83</v>
      </c>
      <c r="L5600">
        <v>46</v>
      </c>
      <c r="M5600" s="1">
        <v>9000000000</v>
      </c>
    </row>
    <row r="5601" spans="1:13" ht="15" customHeight="1">
      <c r="A5601" t="s">
        <v>60</v>
      </c>
      <c r="B5601">
        <f t="shared" si="346"/>
        <v>33.700105000000001</v>
      </c>
      <c r="C5601">
        <f t="shared" si="347"/>
        <v>-117.849158</v>
      </c>
      <c r="D5601">
        <f t="shared" si="348"/>
        <v>42</v>
      </c>
      <c r="E5601">
        <v>45.499000000000002</v>
      </c>
      <c r="F5601">
        <f t="shared" si="349"/>
        <v>-3.4990000000000023</v>
      </c>
      <c r="G5601">
        <v>382.6</v>
      </c>
      <c r="H5601">
        <v>4.1150000000000002</v>
      </c>
      <c r="I5601">
        <v>1.0589999999999999</v>
      </c>
      <c r="J5601">
        <v>9</v>
      </c>
      <c r="K5601">
        <v>74</v>
      </c>
      <c r="L5601">
        <v>41</v>
      </c>
      <c r="M5601" s="1">
        <v>9000000000</v>
      </c>
    </row>
    <row r="5602" spans="1:13" ht="15" customHeight="1">
      <c r="A5602" t="s">
        <v>60</v>
      </c>
      <c r="B5602">
        <f t="shared" si="346"/>
        <v>33.700105000000001</v>
      </c>
      <c r="C5602">
        <f t="shared" si="347"/>
        <v>-117.849158</v>
      </c>
      <c r="D5602">
        <f t="shared" si="348"/>
        <v>42</v>
      </c>
      <c r="E5602">
        <v>46.499000000000002</v>
      </c>
      <c r="F5602">
        <f t="shared" si="349"/>
        <v>-4.4990000000000023</v>
      </c>
      <c r="G5602">
        <v>288.46699999999998</v>
      </c>
      <c r="H5602">
        <v>2.637</v>
      </c>
      <c r="I5602">
        <v>0.89700000000000002</v>
      </c>
      <c r="J5602">
        <v>9</v>
      </c>
      <c r="K5602">
        <v>56</v>
      </c>
      <c r="L5602">
        <v>31</v>
      </c>
      <c r="M5602" s="1">
        <v>9000000000</v>
      </c>
    </row>
    <row r="5603" spans="1:13" ht="15" customHeight="1">
      <c r="A5603" t="s">
        <v>60</v>
      </c>
      <c r="B5603">
        <f t="shared" si="346"/>
        <v>33.700105000000001</v>
      </c>
      <c r="C5603">
        <f t="shared" si="347"/>
        <v>-117.849158</v>
      </c>
      <c r="D5603">
        <f t="shared" si="348"/>
        <v>42</v>
      </c>
      <c r="E5603">
        <v>47.499000000000002</v>
      </c>
      <c r="F5603">
        <f t="shared" si="349"/>
        <v>-5.4990000000000023</v>
      </c>
      <c r="G5603">
        <v>133.9</v>
      </c>
      <c r="H5603">
        <v>2.113</v>
      </c>
      <c r="I5603">
        <v>1.53</v>
      </c>
      <c r="J5603">
        <v>8</v>
      </c>
      <c r="K5603">
        <v>33</v>
      </c>
      <c r="L5603">
        <v>18</v>
      </c>
      <c r="M5603" s="1">
        <v>9000000000</v>
      </c>
    </row>
    <row r="5604" spans="1:13" ht="15" customHeight="1">
      <c r="A5604" t="s">
        <v>60</v>
      </c>
      <c r="B5604">
        <f t="shared" si="346"/>
        <v>33.700105000000001</v>
      </c>
      <c r="C5604">
        <f t="shared" si="347"/>
        <v>-117.849158</v>
      </c>
      <c r="D5604">
        <f t="shared" si="348"/>
        <v>42</v>
      </c>
      <c r="E5604">
        <v>48.499000000000002</v>
      </c>
      <c r="F5604">
        <f t="shared" si="349"/>
        <v>-6.4990000000000023</v>
      </c>
      <c r="G5604">
        <v>340.88299999999998</v>
      </c>
      <c r="H5604">
        <v>2.2519999999999998</v>
      </c>
      <c r="I5604">
        <v>0.65500000000000003</v>
      </c>
      <c r="J5604">
        <v>10</v>
      </c>
      <c r="K5604">
        <v>55</v>
      </c>
      <c r="L5604">
        <v>29</v>
      </c>
      <c r="M5604" s="1">
        <v>9000000000</v>
      </c>
    </row>
    <row r="5605" spans="1:13" ht="15" customHeight="1">
      <c r="A5605" t="s">
        <v>60</v>
      </c>
      <c r="B5605">
        <f t="shared" si="346"/>
        <v>33.700105000000001</v>
      </c>
      <c r="C5605">
        <f t="shared" si="347"/>
        <v>-117.849158</v>
      </c>
      <c r="D5605">
        <f t="shared" si="348"/>
        <v>42</v>
      </c>
      <c r="E5605">
        <v>49.499000000000002</v>
      </c>
      <c r="F5605">
        <f t="shared" si="349"/>
        <v>-7.4990000000000023</v>
      </c>
      <c r="G5605">
        <v>216.71700000000001</v>
      </c>
      <c r="H5605">
        <v>1.5980000000000001</v>
      </c>
      <c r="I5605">
        <v>0.72599999999999998</v>
      </c>
      <c r="J5605">
        <v>9</v>
      </c>
      <c r="K5605">
        <v>42</v>
      </c>
      <c r="L5605">
        <v>22</v>
      </c>
      <c r="M5605" s="1">
        <v>9000000000</v>
      </c>
    </row>
    <row r="5606" spans="1:13" ht="15" customHeight="1">
      <c r="A5606" t="s">
        <v>60</v>
      </c>
      <c r="B5606">
        <f t="shared" si="346"/>
        <v>33.700105000000001</v>
      </c>
      <c r="C5606">
        <f t="shared" si="347"/>
        <v>-117.849158</v>
      </c>
      <c r="D5606">
        <f t="shared" si="348"/>
        <v>42</v>
      </c>
      <c r="E5606">
        <v>50.499000000000002</v>
      </c>
      <c r="F5606">
        <f t="shared" si="349"/>
        <v>-8.4990000000000023</v>
      </c>
      <c r="G5606">
        <v>177.583</v>
      </c>
      <c r="H5606">
        <v>1.2</v>
      </c>
      <c r="I5606">
        <v>0.67600000000000005</v>
      </c>
      <c r="J5606">
        <v>9</v>
      </c>
      <c r="K5606">
        <v>34</v>
      </c>
      <c r="L5606">
        <v>18</v>
      </c>
      <c r="M5606" s="1">
        <v>9000000000</v>
      </c>
    </row>
    <row r="5607" spans="1:13" ht="15" customHeight="1">
      <c r="A5607" t="s">
        <v>60</v>
      </c>
      <c r="B5607">
        <f t="shared" si="346"/>
        <v>33.700105000000001</v>
      </c>
      <c r="C5607">
        <f t="shared" si="347"/>
        <v>-117.849158</v>
      </c>
      <c r="D5607">
        <f t="shared" si="348"/>
        <v>42</v>
      </c>
      <c r="E5607">
        <v>51.499000000000002</v>
      </c>
      <c r="F5607">
        <f t="shared" si="349"/>
        <v>-9.4990000000000023</v>
      </c>
      <c r="G5607">
        <v>89.617000000000004</v>
      </c>
      <c r="H5607">
        <v>2.7519999999999998</v>
      </c>
      <c r="I5607">
        <v>3.1190000000000002</v>
      </c>
      <c r="J5607">
        <v>6</v>
      </c>
      <c r="K5607">
        <v>34</v>
      </c>
      <c r="L5607">
        <v>18</v>
      </c>
      <c r="M5607">
        <v>5.6689999999999996</v>
      </c>
    </row>
    <row r="5608" spans="1:13" ht="15" customHeight="1">
      <c r="A5608" t="s">
        <v>60</v>
      </c>
      <c r="B5608">
        <f t="shared" si="346"/>
        <v>33.700105000000001</v>
      </c>
      <c r="C5608">
        <f t="shared" si="347"/>
        <v>-117.849158</v>
      </c>
      <c r="D5608">
        <f t="shared" si="348"/>
        <v>42</v>
      </c>
      <c r="E5608">
        <v>52.499000000000002</v>
      </c>
      <c r="F5608">
        <f t="shared" si="349"/>
        <v>-10.499000000000002</v>
      </c>
      <c r="G5608">
        <v>60</v>
      </c>
      <c r="H5608">
        <v>2.2210000000000001</v>
      </c>
      <c r="I5608">
        <v>3.7930000000000001</v>
      </c>
      <c r="J5608">
        <v>5</v>
      </c>
      <c r="K5608">
        <v>28</v>
      </c>
      <c r="L5608">
        <v>14</v>
      </c>
      <c r="M5608">
        <v>3.6890000000000001</v>
      </c>
    </row>
    <row r="5609" spans="1:13" ht="15" customHeight="1">
      <c r="A5609" t="s">
        <v>60</v>
      </c>
      <c r="B5609">
        <f t="shared" si="346"/>
        <v>33.700105000000001</v>
      </c>
      <c r="C5609">
        <f t="shared" si="347"/>
        <v>-117.849158</v>
      </c>
      <c r="D5609">
        <f t="shared" si="348"/>
        <v>42</v>
      </c>
      <c r="E5609">
        <v>53.499000000000002</v>
      </c>
      <c r="F5609">
        <f t="shared" si="349"/>
        <v>-11.499000000000002</v>
      </c>
      <c r="G5609">
        <v>103.867</v>
      </c>
      <c r="H5609">
        <v>3.3130000000000002</v>
      </c>
      <c r="I5609">
        <v>3.2360000000000002</v>
      </c>
      <c r="J5609">
        <v>6</v>
      </c>
      <c r="K5609">
        <v>39</v>
      </c>
      <c r="L5609">
        <v>20</v>
      </c>
      <c r="M5609">
        <v>6.6059999999999999</v>
      </c>
    </row>
    <row r="5610" spans="1:13" ht="15" customHeight="1">
      <c r="A5610" t="s">
        <v>60</v>
      </c>
      <c r="B5610">
        <f t="shared" si="346"/>
        <v>33.700105000000001</v>
      </c>
      <c r="C5610">
        <f t="shared" si="347"/>
        <v>-117.849158</v>
      </c>
      <c r="D5610">
        <f t="shared" si="348"/>
        <v>42</v>
      </c>
      <c r="E5610">
        <v>54.499000000000002</v>
      </c>
      <c r="F5610">
        <f t="shared" si="349"/>
        <v>-12.499000000000002</v>
      </c>
      <c r="G5610">
        <v>74.400000000000006</v>
      </c>
      <c r="H5610">
        <v>2.802</v>
      </c>
      <c r="I5610">
        <v>3.8410000000000002</v>
      </c>
      <c r="J5610">
        <v>5</v>
      </c>
      <c r="K5610">
        <v>35</v>
      </c>
      <c r="L5610">
        <v>18</v>
      </c>
      <c r="M5610">
        <v>4.6379999999999999</v>
      </c>
    </row>
    <row r="5611" spans="1:13" ht="15" customHeight="1">
      <c r="A5611" t="s">
        <v>60</v>
      </c>
      <c r="B5611">
        <f t="shared" si="346"/>
        <v>33.700105000000001</v>
      </c>
      <c r="C5611">
        <f t="shared" si="347"/>
        <v>-117.849158</v>
      </c>
      <c r="D5611">
        <f t="shared" si="348"/>
        <v>42</v>
      </c>
      <c r="E5611">
        <v>55.499000000000002</v>
      </c>
      <c r="F5611">
        <f t="shared" si="349"/>
        <v>-13.499000000000002</v>
      </c>
      <c r="G5611">
        <v>27.832999999999998</v>
      </c>
      <c r="H5611">
        <v>0.873</v>
      </c>
      <c r="I5611">
        <v>3.3140000000000001</v>
      </c>
      <c r="J5611">
        <v>5</v>
      </c>
      <c r="K5611">
        <v>13</v>
      </c>
      <c r="L5611">
        <v>7</v>
      </c>
      <c r="M5611">
        <v>1.528</v>
      </c>
    </row>
    <row r="5612" spans="1:13" ht="15" customHeight="1">
      <c r="A5612" t="s">
        <v>60</v>
      </c>
      <c r="B5612">
        <f t="shared" si="346"/>
        <v>33.700105000000001</v>
      </c>
      <c r="C5612">
        <f t="shared" si="347"/>
        <v>-117.849158</v>
      </c>
      <c r="D5612">
        <f t="shared" si="348"/>
        <v>42</v>
      </c>
      <c r="E5612">
        <v>56.499000000000002</v>
      </c>
      <c r="F5612">
        <f t="shared" si="349"/>
        <v>-14.499000000000002</v>
      </c>
      <c r="G5612">
        <v>32.167000000000002</v>
      </c>
      <c r="H5612">
        <v>1.0169999999999999</v>
      </c>
      <c r="I5612">
        <v>3.3130000000000002</v>
      </c>
      <c r="J5612">
        <v>5</v>
      </c>
      <c r="K5612">
        <v>15</v>
      </c>
      <c r="L5612">
        <v>8</v>
      </c>
      <c r="M5612">
        <v>1.8129999999999999</v>
      </c>
    </row>
    <row r="5613" spans="1:13" ht="15" customHeight="1">
      <c r="A5613" t="s">
        <v>60</v>
      </c>
      <c r="B5613">
        <f t="shared" si="346"/>
        <v>33.700105000000001</v>
      </c>
      <c r="C5613">
        <f t="shared" si="347"/>
        <v>-117.849158</v>
      </c>
      <c r="D5613">
        <f t="shared" si="348"/>
        <v>42</v>
      </c>
      <c r="E5613">
        <v>57.499000000000002</v>
      </c>
      <c r="F5613">
        <f t="shared" si="349"/>
        <v>-15.499000000000002</v>
      </c>
      <c r="G5613">
        <v>27.367000000000001</v>
      </c>
      <c r="H5613">
        <v>0.72299999999999998</v>
      </c>
      <c r="I5613">
        <v>2.7930000000000001</v>
      </c>
      <c r="J5613">
        <v>5</v>
      </c>
      <c r="K5613">
        <v>12</v>
      </c>
      <c r="L5613">
        <v>6</v>
      </c>
      <c r="M5613">
        <v>1.49</v>
      </c>
    </row>
    <row r="5614" spans="1:13" ht="15" customHeight="1">
      <c r="A5614" t="s">
        <v>60</v>
      </c>
      <c r="B5614">
        <f t="shared" si="346"/>
        <v>33.700105000000001</v>
      </c>
      <c r="C5614">
        <f t="shared" si="347"/>
        <v>-117.849158</v>
      </c>
      <c r="D5614">
        <f t="shared" si="348"/>
        <v>42</v>
      </c>
      <c r="E5614">
        <v>58.499000000000002</v>
      </c>
      <c r="F5614">
        <f t="shared" si="349"/>
        <v>-16.499000000000002</v>
      </c>
      <c r="G5614">
        <v>27.05</v>
      </c>
      <c r="H5614">
        <v>0.78200000000000003</v>
      </c>
      <c r="I5614">
        <v>3.0529999999999999</v>
      </c>
      <c r="J5614">
        <v>5</v>
      </c>
      <c r="K5614">
        <v>12</v>
      </c>
      <c r="L5614">
        <v>6</v>
      </c>
      <c r="M5614">
        <v>1.466</v>
      </c>
    </row>
    <row r="5615" spans="1:13" ht="15" customHeight="1">
      <c r="A5615" t="s">
        <v>60</v>
      </c>
      <c r="B5615">
        <f t="shared" si="346"/>
        <v>33.700105000000001</v>
      </c>
      <c r="C5615">
        <f t="shared" si="347"/>
        <v>-117.849158</v>
      </c>
      <c r="D5615">
        <f t="shared" si="348"/>
        <v>42</v>
      </c>
      <c r="E5615">
        <v>59.499000000000002</v>
      </c>
      <c r="F5615">
        <f t="shared" si="349"/>
        <v>-17.499000000000002</v>
      </c>
      <c r="G5615">
        <v>27.582999999999998</v>
      </c>
      <c r="H5615">
        <v>0.83699999999999997</v>
      </c>
      <c r="I5615">
        <v>3.202</v>
      </c>
      <c r="J5615">
        <v>5</v>
      </c>
      <c r="K5615">
        <v>13</v>
      </c>
      <c r="L5615">
        <v>7</v>
      </c>
      <c r="M5615">
        <v>1.4970000000000001</v>
      </c>
    </row>
    <row r="5616" spans="1:13" ht="15" customHeight="1">
      <c r="A5616" t="s">
        <v>60</v>
      </c>
      <c r="B5616">
        <f t="shared" si="346"/>
        <v>33.700105000000001</v>
      </c>
      <c r="C5616">
        <f t="shared" si="347"/>
        <v>-117.849158</v>
      </c>
      <c r="D5616">
        <f t="shared" si="348"/>
        <v>42</v>
      </c>
      <c r="E5616">
        <v>60.499000000000002</v>
      </c>
      <c r="F5616">
        <f t="shared" si="349"/>
        <v>-18.499000000000002</v>
      </c>
      <c r="G5616">
        <v>28.35</v>
      </c>
      <c r="H5616">
        <v>0.80700000000000005</v>
      </c>
      <c r="I5616">
        <v>2.9969999999999999</v>
      </c>
      <c r="J5616">
        <v>5</v>
      </c>
      <c r="K5616">
        <v>13</v>
      </c>
      <c r="L5616">
        <v>7</v>
      </c>
      <c r="M5616">
        <v>1.5449999999999999</v>
      </c>
    </row>
    <row r="5617" spans="1:13" ht="15" customHeight="1">
      <c r="A5617" t="s">
        <v>60</v>
      </c>
      <c r="B5617">
        <f t="shared" si="346"/>
        <v>33.700105000000001</v>
      </c>
      <c r="C5617">
        <f t="shared" si="347"/>
        <v>-117.849158</v>
      </c>
      <c r="D5617">
        <f t="shared" si="348"/>
        <v>42</v>
      </c>
      <c r="E5617">
        <v>61.499000000000002</v>
      </c>
      <c r="F5617">
        <f t="shared" si="349"/>
        <v>-19.499000000000002</v>
      </c>
      <c r="G5617">
        <v>28.367000000000001</v>
      </c>
      <c r="H5617">
        <v>0.67700000000000005</v>
      </c>
      <c r="I5617">
        <v>2.5139999999999998</v>
      </c>
      <c r="J5617">
        <v>6</v>
      </c>
      <c r="K5617">
        <v>10</v>
      </c>
      <c r="L5617">
        <v>5</v>
      </c>
      <c r="M5617">
        <v>1.5409999999999999</v>
      </c>
    </row>
    <row r="5618" spans="1:13" ht="15" customHeight="1">
      <c r="A5618" t="s">
        <v>60</v>
      </c>
      <c r="B5618">
        <f t="shared" si="346"/>
        <v>33.700105000000001</v>
      </c>
      <c r="C5618">
        <f t="shared" si="347"/>
        <v>-117.849158</v>
      </c>
      <c r="D5618">
        <f t="shared" si="348"/>
        <v>42</v>
      </c>
      <c r="E5618">
        <v>62.499000000000002</v>
      </c>
      <c r="F5618">
        <f t="shared" si="349"/>
        <v>-20.499000000000002</v>
      </c>
      <c r="G5618">
        <v>28.486000000000001</v>
      </c>
      <c r="H5618">
        <v>0.74</v>
      </c>
      <c r="I5618">
        <v>2.7320000000000002</v>
      </c>
      <c r="J5618">
        <v>6</v>
      </c>
      <c r="K5618">
        <v>10</v>
      </c>
      <c r="L5618">
        <v>5</v>
      </c>
      <c r="M5618">
        <v>1.548</v>
      </c>
    </row>
    <row r="5619" spans="1:13" ht="15" customHeight="1">
      <c r="A5619" t="s">
        <v>60</v>
      </c>
      <c r="B5619">
        <f t="shared" si="346"/>
        <v>33.700105000000001</v>
      </c>
      <c r="C5619">
        <f t="shared" si="347"/>
        <v>-117.849158</v>
      </c>
      <c r="D5619">
        <f t="shared" si="348"/>
        <v>42</v>
      </c>
      <c r="E5619">
        <v>63.499000000000002</v>
      </c>
      <c r="F5619">
        <f t="shared" si="349"/>
        <v>-21.499000000000002</v>
      </c>
      <c r="G5619">
        <v>28.817</v>
      </c>
      <c r="H5619">
        <v>0.84499999999999997</v>
      </c>
      <c r="I5619">
        <v>3.0840000000000001</v>
      </c>
      <c r="J5619">
        <v>5</v>
      </c>
      <c r="K5619">
        <v>13</v>
      </c>
      <c r="L5619">
        <v>7</v>
      </c>
      <c r="M5619">
        <v>1.5649999999999999</v>
      </c>
    </row>
    <row r="5620" spans="1:13" ht="15" customHeight="1">
      <c r="A5620" t="s">
        <v>60</v>
      </c>
      <c r="B5620">
        <f t="shared" si="346"/>
        <v>33.700105000000001</v>
      </c>
      <c r="C5620">
        <f t="shared" si="347"/>
        <v>-117.849158</v>
      </c>
      <c r="D5620">
        <f t="shared" si="348"/>
        <v>42</v>
      </c>
      <c r="E5620">
        <v>64.498999999999995</v>
      </c>
      <c r="F5620">
        <f t="shared" si="349"/>
        <v>-22.498999999999995</v>
      </c>
      <c r="G5620">
        <v>36.716999999999999</v>
      </c>
      <c r="H5620">
        <v>1.0649999999999999</v>
      </c>
      <c r="I5620">
        <v>3.0139999999999998</v>
      </c>
      <c r="J5620">
        <v>5</v>
      </c>
      <c r="K5620">
        <v>17</v>
      </c>
      <c r="L5620">
        <v>9</v>
      </c>
      <c r="M5620">
        <v>2.09</v>
      </c>
    </row>
    <row r="5621" spans="1:13" ht="15" customHeight="1">
      <c r="A5621" t="s">
        <v>60</v>
      </c>
      <c r="B5621">
        <f t="shared" si="346"/>
        <v>33.700105000000001</v>
      </c>
      <c r="C5621">
        <f t="shared" si="347"/>
        <v>-117.849158</v>
      </c>
      <c r="D5621">
        <f t="shared" si="348"/>
        <v>42</v>
      </c>
      <c r="E5621">
        <v>65.498999999999995</v>
      </c>
      <c r="F5621">
        <f t="shared" si="349"/>
        <v>-23.498999999999995</v>
      </c>
      <c r="G5621">
        <v>28.5</v>
      </c>
      <c r="H5621">
        <v>0.84</v>
      </c>
      <c r="I5621">
        <v>3.1</v>
      </c>
      <c r="J5621">
        <v>5</v>
      </c>
      <c r="K5621">
        <v>13</v>
      </c>
      <c r="L5621">
        <v>7</v>
      </c>
      <c r="M5621">
        <v>1.536</v>
      </c>
    </row>
    <row r="5622" spans="1:13" ht="15" customHeight="1">
      <c r="A5622" t="s">
        <v>60</v>
      </c>
      <c r="B5622">
        <f t="shared" si="346"/>
        <v>33.700105000000001</v>
      </c>
      <c r="C5622">
        <f t="shared" si="347"/>
        <v>-117.849158</v>
      </c>
      <c r="D5622">
        <f t="shared" si="348"/>
        <v>42</v>
      </c>
      <c r="E5622">
        <v>66.498999999999995</v>
      </c>
      <c r="F5622">
        <f t="shared" si="349"/>
        <v>-24.498999999999995</v>
      </c>
      <c r="G5622">
        <v>28.317</v>
      </c>
      <c r="H5622">
        <v>0.93700000000000006</v>
      </c>
      <c r="I5622">
        <v>3.4780000000000002</v>
      </c>
      <c r="J5622">
        <v>5</v>
      </c>
      <c r="K5622">
        <v>13</v>
      </c>
      <c r="L5622">
        <v>7</v>
      </c>
      <c r="M5622">
        <v>1.5209999999999999</v>
      </c>
    </row>
    <row r="5623" spans="1:13" ht="15" customHeight="1">
      <c r="A5623" t="s">
        <v>60</v>
      </c>
      <c r="B5623">
        <f t="shared" si="346"/>
        <v>33.700105000000001</v>
      </c>
      <c r="C5623">
        <f t="shared" si="347"/>
        <v>-117.849158</v>
      </c>
      <c r="D5623">
        <f t="shared" si="348"/>
        <v>42</v>
      </c>
      <c r="E5623">
        <v>67.498999999999995</v>
      </c>
      <c r="F5623">
        <f t="shared" si="349"/>
        <v>-25.498999999999995</v>
      </c>
      <c r="G5623">
        <v>31</v>
      </c>
      <c r="H5623">
        <v>0.90500000000000003</v>
      </c>
      <c r="I5623">
        <v>3.0539999999999998</v>
      </c>
      <c r="J5623">
        <v>5</v>
      </c>
      <c r="K5623">
        <v>14</v>
      </c>
      <c r="L5623">
        <v>7</v>
      </c>
      <c r="M5623">
        <v>1.6970000000000001</v>
      </c>
    </row>
    <row r="5624" spans="1:13" ht="15" customHeight="1">
      <c r="A5624" t="s">
        <v>60</v>
      </c>
      <c r="B5624">
        <f t="shared" si="346"/>
        <v>33.700105000000001</v>
      </c>
      <c r="C5624">
        <f t="shared" si="347"/>
        <v>-117.849158</v>
      </c>
      <c r="D5624">
        <f t="shared" si="348"/>
        <v>42</v>
      </c>
      <c r="E5624">
        <v>68.498999999999995</v>
      </c>
      <c r="F5624">
        <f t="shared" si="349"/>
        <v>-26.498999999999995</v>
      </c>
      <c r="G5624">
        <v>23.082999999999998</v>
      </c>
      <c r="H5624">
        <v>0.64300000000000002</v>
      </c>
      <c r="I5624">
        <v>2.9620000000000002</v>
      </c>
      <c r="J5624">
        <v>5</v>
      </c>
      <c r="K5624">
        <v>10</v>
      </c>
      <c r="L5624">
        <v>5</v>
      </c>
      <c r="M5624">
        <v>1.165</v>
      </c>
    </row>
    <row r="5625" spans="1:13" ht="15" customHeight="1">
      <c r="A5625" t="s">
        <v>60</v>
      </c>
      <c r="B5625">
        <f t="shared" si="346"/>
        <v>33.700105000000001</v>
      </c>
      <c r="C5625">
        <f t="shared" si="347"/>
        <v>-117.849158</v>
      </c>
      <c r="D5625">
        <f t="shared" si="348"/>
        <v>42</v>
      </c>
      <c r="E5625">
        <v>69.498999999999995</v>
      </c>
      <c r="F5625">
        <f t="shared" si="349"/>
        <v>-27.498999999999995</v>
      </c>
      <c r="G5625">
        <v>27.317</v>
      </c>
      <c r="H5625">
        <v>0.79</v>
      </c>
      <c r="I5625">
        <v>3.04</v>
      </c>
      <c r="J5625">
        <v>5</v>
      </c>
      <c r="K5625">
        <v>12</v>
      </c>
      <c r="L5625">
        <v>6</v>
      </c>
      <c r="M5625">
        <v>1.4450000000000001</v>
      </c>
    </row>
    <row r="5626" spans="1:13" ht="15" customHeight="1">
      <c r="A5626" t="s">
        <v>60</v>
      </c>
      <c r="B5626">
        <f t="shared" si="346"/>
        <v>33.700105000000001</v>
      </c>
      <c r="C5626">
        <f t="shared" si="347"/>
        <v>-117.849158</v>
      </c>
      <c r="D5626">
        <f t="shared" si="348"/>
        <v>42</v>
      </c>
      <c r="E5626">
        <v>70.498999999999995</v>
      </c>
      <c r="F5626">
        <f t="shared" si="349"/>
        <v>-28.498999999999995</v>
      </c>
      <c r="G5626">
        <v>64.167000000000002</v>
      </c>
      <c r="H5626">
        <v>1.9330000000000001</v>
      </c>
      <c r="I5626">
        <v>3.0750000000000002</v>
      </c>
      <c r="J5626">
        <v>6</v>
      </c>
      <c r="K5626">
        <v>24</v>
      </c>
      <c r="L5626">
        <v>12</v>
      </c>
      <c r="M5626">
        <v>3.9</v>
      </c>
    </row>
    <row r="5627" spans="1:13" ht="15" customHeight="1">
      <c r="A5627" t="s">
        <v>60</v>
      </c>
      <c r="B5627">
        <f t="shared" si="346"/>
        <v>33.700105000000001</v>
      </c>
      <c r="C5627">
        <f t="shared" si="347"/>
        <v>-117.849158</v>
      </c>
      <c r="D5627">
        <f t="shared" si="348"/>
        <v>42</v>
      </c>
      <c r="E5627">
        <v>71.498999999999995</v>
      </c>
      <c r="F5627">
        <f t="shared" si="349"/>
        <v>-29.498999999999995</v>
      </c>
      <c r="G5627">
        <v>139.31700000000001</v>
      </c>
      <c r="H5627">
        <v>2.9020000000000001</v>
      </c>
      <c r="I5627">
        <v>2.1030000000000002</v>
      </c>
      <c r="J5627">
        <v>7</v>
      </c>
      <c r="K5627">
        <v>44</v>
      </c>
      <c r="L5627">
        <v>22</v>
      </c>
      <c r="M5627" s="1">
        <v>9000000000</v>
      </c>
    </row>
    <row r="5628" spans="1:13" ht="15" customHeight="1">
      <c r="A5628" t="s">
        <v>60</v>
      </c>
      <c r="B5628">
        <f t="shared" si="346"/>
        <v>33.700105000000001</v>
      </c>
      <c r="C5628">
        <f t="shared" si="347"/>
        <v>-117.849158</v>
      </c>
      <c r="D5628">
        <f t="shared" si="348"/>
        <v>42</v>
      </c>
      <c r="E5628">
        <v>72.498999999999995</v>
      </c>
      <c r="F5628">
        <f t="shared" si="349"/>
        <v>-30.498999999999995</v>
      </c>
      <c r="G5628">
        <v>31.486000000000001</v>
      </c>
      <c r="H5628">
        <v>0.95699999999999996</v>
      </c>
      <c r="I5628">
        <v>3.1680000000000001</v>
      </c>
      <c r="J5628">
        <v>5</v>
      </c>
      <c r="K5628">
        <v>14</v>
      </c>
      <c r="L5628">
        <v>7</v>
      </c>
      <c r="M5628">
        <v>1.7150000000000001</v>
      </c>
    </row>
    <row r="5629" spans="1:13" ht="15" customHeight="1">
      <c r="A5629" t="s">
        <v>60</v>
      </c>
      <c r="B5629">
        <f t="shared" si="346"/>
        <v>33.700105000000001</v>
      </c>
      <c r="C5629">
        <f t="shared" si="347"/>
        <v>-117.849158</v>
      </c>
      <c r="D5629">
        <f t="shared" si="348"/>
        <v>42</v>
      </c>
      <c r="E5629">
        <v>73.498999999999995</v>
      </c>
      <c r="F5629">
        <f t="shared" si="349"/>
        <v>-31.498999999999995</v>
      </c>
      <c r="G5629">
        <v>36.232999999999997</v>
      </c>
      <c r="H5629">
        <v>1.1200000000000001</v>
      </c>
      <c r="I5629">
        <v>3.202</v>
      </c>
      <c r="J5629">
        <v>5</v>
      </c>
      <c r="K5629">
        <v>17</v>
      </c>
      <c r="L5629">
        <v>9</v>
      </c>
      <c r="M5629">
        <v>2.0289999999999999</v>
      </c>
    </row>
    <row r="5630" spans="1:13" ht="15" customHeight="1">
      <c r="A5630" t="s">
        <v>60</v>
      </c>
      <c r="B5630">
        <f t="shared" si="346"/>
        <v>33.700105000000001</v>
      </c>
      <c r="C5630">
        <f t="shared" si="347"/>
        <v>-117.849158</v>
      </c>
      <c r="D5630">
        <f t="shared" si="348"/>
        <v>42</v>
      </c>
      <c r="E5630">
        <v>74.498999999999995</v>
      </c>
      <c r="F5630">
        <f t="shared" si="349"/>
        <v>-32.498999999999995</v>
      </c>
      <c r="G5630">
        <v>50.033000000000001</v>
      </c>
      <c r="H5630">
        <v>1.9530000000000001</v>
      </c>
      <c r="I5630">
        <v>4.01</v>
      </c>
      <c r="J5630">
        <v>5</v>
      </c>
      <c r="K5630">
        <v>23</v>
      </c>
      <c r="L5630">
        <v>12</v>
      </c>
      <c r="M5630">
        <v>2.94</v>
      </c>
    </row>
    <row r="5631" spans="1:13" ht="15" customHeight="1">
      <c r="A5631" t="s">
        <v>60</v>
      </c>
      <c r="B5631">
        <f t="shared" si="346"/>
        <v>33.700105000000001</v>
      </c>
      <c r="C5631">
        <f t="shared" si="347"/>
        <v>-117.849158</v>
      </c>
      <c r="D5631">
        <f t="shared" si="348"/>
        <v>42</v>
      </c>
      <c r="E5631">
        <v>75.498999999999995</v>
      </c>
      <c r="F5631">
        <f t="shared" si="349"/>
        <v>-33.498999999999995</v>
      </c>
      <c r="G5631">
        <v>102.31699999999999</v>
      </c>
      <c r="H5631">
        <v>2.2080000000000002</v>
      </c>
      <c r="I5631">
        <v>2.1880000000000002</v>
      </c>
      <c r="J5631">
        <v>7</v>
      </c>
      <c r="K5631">
        <v>32</v>
      </c>
      <c r="L5631">
        <v>16</v>
      </c>
      <c r="M5631" s="1">
        <v>9000000000</v>
      </c>
    </row>
    <row r="5632" spans="1:13" ht="15" customHeight="1">
      <c r="A5632" t="s">
        <v>60</v>
      </c>
      <c r="B5632">
        <f t="shared" si="346"/>
        <v>33.700105000000001</v>
      </c>
      <c r="C5632">
        <f t="shared" si="347"/>
        <v>-117.849158</v>
      </c>
      <c r="D5632">
        <f t="shared" si="348"/>
        <v>42</v>
      </c>
      <c r="E5632">
        <v>76.498999999999995</v>
      </c>
      <c r="F5632">
        <f t="shared" si="349"/>
        <v>-34.498999999999995</v>
      </c>
      <c r="G5632">
        <v>129.46700000000001</v>
      </c>
      <c r="H5632">
        <v>2.09</v>
      </c>
      <c r="I5632">
        <v>1.6319999999999999</v>
      </c>
      <c r="J5632">
        <v>8</v>
      </c>
      <c r="K5632">
        <v>31</v>
      </c>
      <c r="L5632">
        <v>16</v>
      </c>
      <c r="M5632" s="1">
        <v>9000000000</v>
      </c>
    </row>
    <row r="5633" spans="1:13" ht="15" customHeight="1">
      <c r="A5633" t="s">
        <v>60</v>
      </c>
      <c r="B5633">
        <f t="shared" si="346"/>
        <v>33.700105000000001</v>
      </c>
      <c r="C5633">
        <f t="shared" si="347"/>
        <v>-117.849158</v>
      </c>
      <c r="D5633">
        <f t="shared" si="348"/>
        <v>42</v>
      </c>
      <c r="E5633">
        <v>77.498999999999995</v>
      </c>
      <c r="F5633">
        <f t="shared" si="349"/>
        <v>-35.498999999999995</v>
      </c>
      <c r="G5633">
        <v>24.7</v>
      </c>
      <c r="H5633">
        <v>0.622</v>
      </c>
      <c r="I5633">
        <v>2.6619999999999999</v>
      </c>
      <c r="J5633">
        <v>5</v>
      </c>
      <c r="K5633">
        <v>11</v>
      </c>
      <c r="L5633">
        <v>6</v>
      </c>
      <c r="M5633">
        <v>1.2370000000000001</v>
      </c>
    </row>
    <row r="5634" spans="1:13" ht="15" customHeight="1">
      <c r="A5634" t="s">
        <v>60</v>
      </c>
      <c r="B5634">
        <f t="shared" ref="B5634:B5697" si="350">VLOOKUP(A5634,XYdata,3,FALSE)</f>
        <v>33.700105000000001</v>
      </c>
      <c r="C5634">
        <f t="shared" ref="C5634:C5697" si="351">VLOOKUP(A5634,XYdata,2,FALSE)</f>
        <v>-117.849158</v>
      </c>
      <c r="D5634">
        <f t="shared" ref="D5634:D5697" si="352">VLOOKUP(A5634,Elevation,2,FALSE)</f>
        <v>42</v>
      </c>
      <c r="E5634">
        <v>78.498999999999995</v>
      </c>
      <c r="F5634">
        <f t="shared" si="349"/>
        <v>-36.498999999999995</v>
      </c>
      <c r="G5634">
        <v>28.382999999999999</v>
      </c>
      <c r="H5634">
        <v>0.68700000000000006</v>
      </c>
      <c r="I5634">
        <v>2.5390000000000001</v>
      </c>
      <c r="J5634">
        <v>6</v>
      </c>
      <c r="K5634">
        <v>10</v>
      </c>
      <c r="L5634">
        <v>5</v>
      </c>
      <c r="M5634">
        <v>1.4790000000000001</v>
      </c>
    </row>
    <row r="5635" spans="1:13" ht="15" customHeight="1">
      <c r="A5635" t="s">
        <v>60</v>
      </c>
      <c r="B5635">
        <f t="shared" si="350"/>
        <v>33.700105000000001</v>
      </c>
      <c r="C5635">
        <f t="shared" si="351"/>
        <v>-117.849158</v>
      </c>
      <c r="D5635">
        <f t="shared" si="352"/>
        <v>42</v>
      </c>
      <c r="E5635">
        <v>79.498999999999995</v>
      </c>
      <c r="F5635">
        <f t="shared" ref="F5635:F5698" si="353">D5635-E5635</f>
        <v>-37.498999999999995</v>
      </c>
      <c r="G5635">
        <v>27.8</v>
      </c>
      <c r="H5635">
        <v>0.85</v>
      </c>
      <c r="I5635">
        <v>3.214</v>
      </c>
      <c r="J5635">
        <v>5</v>
      </c>
      <c r="K5635">
        <v>13</v>
      </c>
      <c r="L5635">
        <v>7</v>
      </c>
      <c r="M5635">
        <v>1.4350000000000001</v>
      </c>
    </row>
    <row r="5636" spans="1:13" ht="15" customHeight="1">
      <c r="A5636" t="s">
        <v>60</v>
      </c>
      <c r="B5636">
        <f t="shared" si="350"/>
        <v>33.700105000000001</v>
      </c>
      <c r="C5636">
        <f t="shared" si="351"/>
        <v>-117.849158</v>
      </c>
      <c r="D5636">
        <f t="shared" si="352"/>
        <v>42</v>
      </c>
      <c r="E5636">
        <v>80.498999999999995</v>
      </c>
      <c r="F5636">
        <f t="shared" si="353"/>
        <v>-38.498999999999995</v>
      </c>
      <c r="G5636">
        <v>32</v>
      </c>
      <c r="H5636">
        <v>1.2949999999999999</v>
      </c>
      <c r="I5636">
        <v>4.2270000000000003</v>
      </c>
      <c r="J5636">
        <v>4</v>
      </c>
      <c r="K5636">
        <v>20</v>
      </c>
      <c r="L5636">
        <v>10</v>
      </c>
      <c r="M5636">
        <v>1.71</v>
      </c>
    </row>
    <row r="5637" spans="1:13" ht="15" customHeight="1">
      <c r="A5637" t="s">
        <v>60</v>
      </c>
      <c r="B5637">
        <f t="shared" si="350"/>
        <v>33.700105000000001</v>
      </c>
      <c r="C5637">
        <f t="shared" si="351"/>
        <v>-117.849158</v>
      </c>
      <c r="D5637">
        <f t="shared" si="352"/>
        <v>42</v>
      </c>
      <c r="E5637">
        <v>81.498999999999995</v>
      </c>
      <c r="F5637">
        <f t="shared" si="353"/>
        <v>-39.498999999999995</v>
      </c>
      <c r="G5637">
        <v>37</v>
      </c>
      <c r="H5637">
        <v>1.4830000000000001</v>
      </c>
      <c r="I5637">
        <v>4.1589999999999998</v>
      </c>
      <c r="J5637">
        <v>4</v>
      </c>
      <c r="K5637">
        <v>23</v>
      </c>
      <c r="L5637">
        <v>12</v>
      </c>
      <c r="M5637">
        <v>2.0409999999999999</v>
      </c>
    </row>
    <row r="5638" spans="1:13" ht="15" customHeight="1">
      <c r="A5638" t="s">
        <v>60</v>
      </c>
      <c r="B5638">
        <f t="shared" si="350"/>
        <v>33.700105000000001</v>
      </c>
      <c r="C5638">
        <f t="shared" si="351"/>
        <v>-117.849158</v>
      </c>
      <c r="D5638">
        <f t="shared" si="352"/>
        <v>42</v>
      </c>
      <c r="E5638">
        <v>82.498999999999995</v>
      </c>
      <c r="F5638">
        <f t="shared" si="353"/>
        <v>-40.498999999999995</v>
      </c>
      <c r="G5638">
        <v>41.433</v>
      </c>
      <c r="H5638">
        <v>1.9670000000000001</v>
      </c>
      <c r="I5638">
        <v>4.9080000000000004</v>
      </c>
      <c r="J5638">
        <v>3</v>
      </c>
      <c r="K5638">
        <v>38</v>
      </c>
      <c r="L5638">
        <v>19</v>
      </c>
      <c r="M5638">
        <v>2.33</v>
      </c>
    </row>
    <row r="5639" spans="1:13" ht="15" customHeight="1">
      <c r="A5639" t="s">
        <v>60</v>
      </c>
      <c r="B5639">
        <f t="shared" si="350"/>
        <v>33.700105000000001</v>
      </c>
      <c r="C5639">
        <f t="shared" si="351"/>
        <v>-117.849158</v>
      </c>
      <c r="D5639">
        <f t="shared" si="352"/>
        <v>42</v>
      </c>
      <c r="E5639">
        <v>83.498999999999995</v>
      </c>
      <c r="F5639">
        <f t="shared" si="353"/>
        <v>-41.498999999999995</v>
      </c>
      <c r="G5639">
        <v>34.856999999999999</v>
      </c>
      <c r="H5639">
        <v>1.3009999999999999</v>
      </c>
      <c r="I5639">
        <v>3.8780000000000001</v>
      </c>
      <c r="J5639">
        <v>5</v>
      </c>
      <c r="K5639">
        <v>16</v>
      </c>
      <c r="L5639">
        <v>8</v>
      </c>
      <c r="M5639">
        <v>1.8919999999999999</v>
      </c>
    </row>
    <row r="5640" spans="1:13" ht="15" customHeight="1">
      <c r="A5640" t="s">
        <v>60</v>
      </c>
      <c r="B5640">
        <f t="shared" si="350"/>
        <v>33.700105000000001</v>
      </c>
      <c r="C5640">
        <f t="shared" si="351"/>
        <v>-117.849158</v>
      </c>
      <c r="D5640">
        <f t="shared" si="352"/>
        <v>42</v>
      </c>
      <c r="E5640">
        <v>84.498999999999995</v>
      </c>
      <c r="F5640">
        <f t="shared" si="353"/>
        <v>-42.498999999999995</v>
      </c>
      <c r="G5640">
        <v>98.9</v>
      </c>
      <c r="H5640">
        <v>3.87</v>
      </c>
      <c r="I5640">
        <v>3.9660000000000002</v>
      </c>
      <c r="J5640">
        <v>5</v>
      </c>
      <c r="K5640">
        <v>47</v>
      </c>
      <c r="L5640">
        <v>24</v>
      </c>
      <c r="M5640">
        <v>6.1559999999999997</v>
      </c>
    </row>
    <row r="5641" spans="1:13" ht="15" customHeight="1">
      <c r="A5641" t="s">
        <v>60</v>
      </c>
      <c r="B5641">
        <f t="shared" si="350"/>
        <v>33.700105000000001</v>
      </c>
      <c r="C5641">
        <f t="shared" si="351"/>
        <v>-117.849158</v>
      </c>
      <c r="D5641">
        <f t="shared" si="352"/>
        <v>42</v>
      </c>
      <c r="E5641">
        <v>85.498999999999995</v>
      </c>
      <c r="F5641">
        <f t="shared" si="353"/>
        <v>-43.498999999999995</v>
      </c>
      <c r="G5641">
        <v>431.21699999999998</v>
      </c>
      <c r="H5641">
        <v>4.9130000000000003</v>
      </c>
      <c r="I5641">
        <v>1.143</v>
      </c>
      <c r="J5641">
        <v>9</v>
      </c>
      <c r="K5641">
        <v>82</v>
      </c>
      <c r="L5641">
        <v>41</v>
      </c>
      <c r="M5641" s="1">
        <v>9000000000</v>
      </c>
    </row>
    <row r="5642" spans="1:13" ht="15" customHeight="1">
      <c r="A5642" t="s">
        <v>60</v>
      </c>
      <c r="B5642">
        <f t="shared" si="350"/>
        <v>33.700105000000001</v>
      </c>
      <c r="C5642">
        <f t="shared" si="351"/>
        <v>-117.849158</v>
      </c>
      <c r="D5642">
        <f t="shared" si="352"/>
        <v>42</v>
      </c>
      <c r="E5642">
        <v>86.498999999999995</v>
      </c>
      <c r="F5642">
        <f t="shared" si="353"/>
        <v>-44.498999999999995</v>
      </c>
      <c r="G5642">
        <v>547</v>
      </c>
      <c r="H5642">
        <v>4.84</v>
      </c>
      <c r="I5642">
        <v>0.88700000000000001</v>
      </c>
      <c r="J5642">
        <v>10</v>
      </c>
      <c r="K5642">
        <v>87</v>
      </c>
      <c r="L5642">
        <v>44</v>
      </c>
      <c r="M5642" s="1">
        <v>9000000000</v>
      </c>
    </row>
    <row r="5643" spans="1:13" ht="15" customHeight="1">
      <c r="A5643" t="s">
        <v>61</v>
      </c>
      <c r="B5643">
        <f t="shared" si="350"/>
        <v>33.698276999999997</v>
      </c>
      <c r="C5643">
        <f t="shared" si="351"/>
        <v>-117.859948</v>
      </c>
      <c r="D5643">
        <f t="shared" si="352"/>
        <v>39</v>
      </c>
      <c r="E5643">
        <v>0.5</v>
      </c>
      <c r="F5643">
        <f t="shared" si="353"/>
        <v>38.5</v>
      </c>
      <c r="G5643">
        <v>2.2330000000000001</v>
      </c>
      <c r="H5643">
        <v>8.0000000000000002E-3</v>
      </c>
      <c r="I5643">
        <v>0.36499999999999999</v>
      </c>
      <c r="J5643">
        <v>1</v>
      </c>
      <c r="K5643">
        <v>1</v>
      </c>
      <c r="L5643">
        <v>2</v>
      </c>
      <c r="M5643">
        <v>0.151</v>
      </c>
    </row>
    <row r="5644" spans="1:13" ht="15" customHeight="1">
      <c r="A5644" t="s">
        <v>61</v>
      </c>
      <c r="B5644">
        <f t="shared" si="350"/>
        <v>33.698276999999997</v>
      </c>
      <c r="C5644">
        <f t="shared" si="351"/>
        <v>-117.859948</v>
      </c>
      <c r="D5644">
        <f t="shared" si="352"/>
        <v>39</v>
      </c>
      <c r="E5644">
        <v>1.5</v>
      </c>
      <c r="F5644">
        <f t="shared" si="353"/>
        <v>37.5</v>
      </c>
      <c r="G5644">
        <v>13.3</v>
      </c>
      <c r="H5644">
        <v>0.50700000000000001</v>
      </c>
      <c r="I5644">
        <v>3.8050000000000002</v>
      </c>
      <c r="J5644">
        <v>4</v>
      </c>
      <c r="K5644">
        <v>9</v>
      </c>
      <c r="L5644">
        <v>14</v>
      </c>
      <c r="M5644">
        <v>0.88200000000000001</v>
      </c>
    </row>
    <row r="5645" spans="1:13" ht="15" customHeight="1">
      <c r="A5645" t="s">
        <v>61</v>
      </c>
      <c r="B5645">
        <f t="shared" si="350"/>
        <v>33.698276999999997</v>
      </c>
      <c r="C5645">
        <f t="shared" si="351"/>
        <v>-117.859948</v>
      </c>
      <c r="D5645">
        <f t="shared" si="352"/>
        <v>39</v>
      </c>
      <c r="E5645">
        <v>2.5</v>
      </c>
      <c r="F5645">
        <f t="shared" si="353"/>
        <v>36.5</v>
      </c>
      <c r="G5645">
        <v>41.3</v>
      </c>
      <c r="H5645">
        <v>1.833</v>
      </c>
      <c r="I5645">
        <v>4.4349999999999996</v>
      </c>
      <c r="J5645">
        <v>4</v>
      </c>
      <c r="K5645">
        <v>26</v>
      </c>
      <c r="L5645">
        <v>39</v>
      </c>
      <c r="M5645">
        <v>2.746</v>
      </c>
    </row>
    <row r="5646" spans="1:13" ht="15" customHeight="1">
      <c r="A5646" t="s">
        <v>61</v>
      </c>
      <c r="B5646">
        <f t="shared" si="350"/>
        <v>33.698276999999997</v>
      </c>
      <c r="C5646">
        <f t="shared" si="351"/>
        <v>-117.859948</v>
      </c>
      <c r="D5646">
        <f t="shared" si="352"/>
        <v>39</v>
      </c>
      <c r="E5646">
        <v>3.5</v>
      </c>
      <c r="F5646">
        <f t="shared" si="353"/>
        <v>35.5</v>
      </c>
      <c r="G5646">
        <v>26.667000000000002</v>
      </c>
      <c r="H5646">
        <v>1.32</v>
      </c>
      <c r="I5646">
        <v>4.9530000000000003</v>
      </c>
      <c r="J5646">
        <v>3</v>
      </c>
      <c r="K5646">
        <v>26</v>
      </c>
      <c r="L5646">
        <v>39</v>
      </c>
      <c r="M5646">
        <v>1.7629999999999999</v>
      </c>
    </row>
    <row r="5647" spans="1:13" ht="15" customHeight="1">
      <c r="A5647" t="s">
        <v>61</v>
      </c>
      <c r="B5647">
        <f t="shared" si="350"/>
        <v>33.698276999999997</v>
      </c>
      <c r="C5647">
        <f t="shared" si="351"/>
        <v>-117.859948</v>
      </c>
      <c r="D5647">
        <f t="shared" si="352"/>
        <v>39</v>
      </c>
      <c r="E5647">
        <v>4.5</v>
      </c>
      <c r="F5647">
        <f t="shared" si="353"/>
        <v>34.5</v>
      </c>
      <c r="G5647">
        <v>26.516999999999999</v>
      </c>
      <c r="H5647">
        <v>1.63</v>
      </c>
      <c r="I5647">
        <v>6.1429999999999998</v>
      </c>
      <c r="J5647">
        <v>3</v>
      </c>
      <c r="K5647">
        <v>25</v>
      </c>
      <c r="L5647">
        <v>38</v>
      </c>
      <c r="M5647">
        <v>1.7509999999999999</v>
      </c>
    </row>
    <row r="5648" spans="1:13" ht="15" customHeight="1">
      <c r="A5648" t="s">
        <v>61</v>
      </c>
      <c r="B5648">
        <f t="shared" si="350"/>
        <v>33.698276999999997</v>
      </c>
      <c r="C5648">
        <f t="shared" si="351"/>
        <v>-117.859948</v>
      </c>
      <c r="D5648">
        <f t="shared" si="352"/>
        <v>39</v>
      </c>
      <c r="E5648">
        <v>5.5</v>
      </c>
      <c r="F5648">
        <f t="shared" si="353"/>
        <v>33.5</v>
      </c>
      <c r="G5648">
        <v>8.2170000000000005</v>
      </c>
      <c r="H5648">
        <v>0.36799999999999999</v>
      </c>
      <c r="I5648">
        <v>4.4829999999999997</v>
      </c>
      <c r="J5648">
        <v>3</v>
      </c>
      <c r="K5648">
        <v>8</v>
      </c>
      <c r="L5648">
        <v>12</v>
      </c>
      <c r="M5648">
        <v>0.52600000000000002</v>
      </c>
    </row>
    <row r="5649" spans="1:13" ht="15" customHeight="1">
      <c r="A5649" t="s">
        <v>61</v>
      </c>
      <c r="B5649">
        <f t="shared" si="350"/>
        <v>33.698276999999997</v>
      </c>
      <c r="C5649">
        <f t="shared" si="351"/>
        <v>-117.859948</v>
      </c>
      <c r="D5649">
        <f t="shared" si="352"/>
        <v>39</v>
      </c>
      <c r="E5649">
        <v>6.5</v>
      </c>
      <c r="F5649">
        <f t="shared" si="353"/>
        <v>32.5</v>
      </c>
      <c r="G5649">
        <v>11.65</v>
      </c>
      <c r="H5649">
        <v>0.68500000000000005</v>
      </c>
      <c r="I5649">
        <v>5.88</v>
      </c>
      <c r="J5649">
        <v>3</v>
      </c>
      <c r="K5649">
        <v>11</v>
      </c>
      <c r="L5649">
        <v>17</v>
      </c>
      <c r="M5649">
        <v>0.751</v>
      </c>
    </row>
    <row r="5650" spans="1:13" ht="15" customHeight="1">
      <c r="A5650" t="s">
        <v>61</v>
      </c>
      <c r="B5650">
        <f t="shared" si="350"/>
        <v>33.698276999999997</v>
      </c>
      <c r="C5650">
        <f t="shared" si="351"/>
        <v>-117.859948</v>
      </c>
      <c r="D5650">
        <f t="shared" si="352"/>
        <v>39</v>
      </c>
      <c r="E5650">
        <v>7.5</v>
      </c>
      <c r="F5650">
        <f t="shared" si="353"/>
        <v>31.5</v>
      </c>
      <c r="G5650">
        <v>11.083</v>
      </c>
      <c r="H5650">
        <v>0.56499999999999995</v>
      </c>
      <c r="I5650">
        <v>5.09</v>
      </c>
      <c r="J5650">
        <v>3</v>
      </c>
      <c r="K5650">
        <v>11</v>
      </c>
      <c r="L5650">
        <v>17</v>
      </c>
      <c r="M5650">
        <v>0.71</v>
      </c>
    </row>
    <row r="5651" spans="1:13" ht="15" customHeight="1">
      <c r="A5651" t="s">
        <v>61</v>
      </c>
      <c r="B5651">
        <f t="shared" si="350"/>
        <v>33.698276999999997</v>
      </c>
      <c r="C5651">
        <f t="shared" si="351"/>
        <v>-117.859948</v>
      </c>
      <c r="D5651">
        <f t="shared" si="352"/>
        <v>39</v>
      </c>
      <c r="E5651">
        <v>8.5</v>
      </c>
      <c r="F5651">
        <f t="shared" si="353"/>
        <v>30.5</v>
      </c>
      <c r="G5651">
        <v>10.817</v>
      </c>
      <c r="H5651">
        <v>0.54200000000000004</v>
      </c>
      <c r="I5651">
        <v>5</v>
      </c>
      <c r="J5651">
        <v>3</v>
      </c>
      <c r="K5651">
        <v>10</v>
      </c>
      <c r="L5651">
        <v>15</v>
      </c>
      <c r="M5651">
        <v>0.68799999999999994</v>
      </c>
    </row>
    <row r="5652" spans="1:13" ht="15" customHeight="1">
      <c r="A5652" t="s">
        <v>61</v>
      </c>
      <c r="B5652">
        <f t="shared" si="350"/>
        <v>33.698276999999997</v>
      </c>
      <c r="C5652">
        <f t="shared" si="351"/>
        <v>-117.859948</v>
      </c>
      <c r="D5652">
        <f t="shared" si="352"/>
        <v>39</v>
      </c>
      <c r="E5652">
        <v>9.5</v>
      </c>
      <c r="F5652">
        <f t="shared" si="353"/>
        <v>29.5</v>
      </c>
      <c r="G5652">
        <v>9.3000000000000007</v>
      </c>
      <c r="H5652">
        <v>0.5</v>
      </c>
      <c r="I5652">
        <v>5.3479999999999999</v>
      </c>
      <c r="J5652">
        <v>3</v>
      </c>
      <c r="K5652">
        <v>9</v>
      </c>
      <c r="L5652">
        <v>14</v>
      </c>
      <c r="M5652">
        <v>0.58499999999999996</v>
      </c>
    </row>
    <row r="5653" spans="1:13" ht="15" customHeight="1">
      <c r="A5653" t="s">
        <v>61</v>
      </c>
      <c r="B5653">
        <f t="shared" si="350"/>
        <v>33.698276999999997</v>
      </c>
      <c r="C5653">
        <f t="shared" si="351"/>
        <v>-117.859948</v>
      </c>
      <c r="D5653">
        <f t="shared" si="352"/>
        <v>39</v>
      </c>
      <c r="E5653">
        <v>10.5</v>
      </c>
      <c r="F5653">
        <f t="shared" si="353"/>
        <v>28.5</v>
      </c>
      <c r="G5653">
        <v>12.329000000000001</v>
      </c>
      <c r="H5653">
        <v>0.56299999999999994</v>
      </c>
      <c r="I5653">
        <v>4.5339999999999998</v>
      </c>
      <c r="J5653">
        <v>3</v>
      </c>
      <c r="K5653">
        <v>12</v>
      </c>
      <c r="L5653">
        <v>17</v>
      </c>
      <c r="M5653">
        <v>0.78500000000000003</v>
      </c>
    </row>
    <row r="5654" spans="1:13" ht="15" customHeight="1">
      <c r="A5654" t="s">
        <v>61</v>
      </c>
      <c r="B5654">
        <f t="shared" si="350"/>
        <v>33.698276999999997</v>
      </c>
      <c r="C5654">
        <f t="shared" si="351"/>
        <v>-117.859948</v>
      </c>
      <c r="D5654">
        <f t="shared" si="352"/>
        <v>39</v>
      </c>
      <c r="E5654">
        <v>11.5</v>
      </c>
      <c r="F5654">
        <f t="shared" si="353"/>
        <v>27.5</v>
      </c>
      <c r="G5654">
        <v>12.766999999999999</v>
      </c>
      <c r="H5654">
        <v>0.61</v>
      </c>
      <c r="I5654">
        <v>4.7530000000000001</v>
      </c>
      <c r="J5654">
        <v>3</v>
      </c>
      <c r="K5654">
        <v>12</v>
      </c>
      <c r="L5654">
        <v>16</v>
      </c>
      <c r="M5654">
        <v>0.80900000000000005</v>
      </c>
    </row>
    <row r="5655" spans="1:13" ht="15" customHeight="1">
      <c r="A5655" t="s">
        <v>61</v>
      </c>
      <c r="B5655">
        <f t="shared" si="350"/>
        <v>33.698276999999997</v>
      </c>
      <c r="C5655">
        <f t="shared" si="351"/>
        <v>-117.859948</v>
      </c>
      <c r="D5655">
        <f t="shared" si="352"/>
        <v>39</v>
      </c>
      <c r="E5655">
        <v>12.5</v>
      </c>
      <c r="F5655">
        <f t="shared" si="353"/>
        <v>26.5</v>
      </c>
      <c r="G5655">
        <v>9.3170000000000002</v>
      </c>
      <c r="H5655">
        <v>0.39800000000000002</v>
      </c>
      <c r="I5655">
        <v>4.2380000000000004</v>
      </c>
      <c r="J5655">
        <v>3</v>
      </c>
      <c r="K5655">
        <v>9</v>
      </c>
      <c r="L5655">
        <v>11</v>
      </c>
      <c r="M5655">
        <v>0.57599999999999996</v>
      </c>
    </row>
    <row r="5656" spans="1:13" ht="15" customHeight="1">
      <c r="A5656" t="s">
        <v>61</v>
      </c>
      <c r="B5656">
        <f t="shared" si="350"/>
        <v>33.698276999999997</v>
      </c>
      <c r="C5656">
        <f t="shared" si="351"/>
        <v>-117.859948</v>
      </c>
      <c r="D5656">
        <f t="shared" si="352"/>
        <v>39</v>
      </c>
      <c r="E5656">
        <v>13.5</v>
      </c>
      <c r="F5656">
        <f t="shared" si="353"/>
        <v>25.5</v>
      </c>
      <c r="G5656">
        <v>9.6</v>
      </c>
      <c r="H5656">
        <v>0.432</v>
      </c>
      <c r="I5656">
        <v>4.4729999999999999</v>
      </c>
      <c r="J5656">
        <v>3</v>
      </c>
      <c r="K5656">
        <v>9</v>
      </c>
      <c r="L5656">
        <v>10</v>
      </c>
      <c r="M5656">
        <v>0.58899999999999997</v>
      </c>
    </row>
    <row r="5657" spans="1:13" ht="15" customHeight="1">
      <c r="A5657" t="s">
        <v>61</v>
      </c>
      <c r="B5657">
        <f t="shared" si="350"/>
        <v>33.698276999999997</v>
      </c>
      <c r="C5657">
        <f t="shared" si="351"/>
        <v>-117.859948</v>
      </c>
      <c r="D5657">
        <f t="shared" si="352"/>
        <v>39</v>
      </c>
      <c r="E5657">
        <v>14.5</v>
      </c>
      <c r="F5657">
        <f t="shared" si="353"/>
        <v>24.5</v>
      </c>
      <c r="G5657">
        <v>7.15</v>
      </c>
      <c r="H5657">
        <v>0.312</v>
      </c>
      <c r="I5657">
        <v>4.2990000000000004</v>
      </c>
      <c r="J5657">
        <v>3</v>
      </c>
      <c r="K5657">
        <v>7</v>
      </c>
      <c r="L5657">
        <v>8</v>
      </c>
      <c r="M5657">
        <v>0.42499999999999999</v>
      </c>
    </row>
    <row r="5658" spans="1:13" ht="15" customHeight="1">
      <c r="A5658" t="s">
        <v>61</v>
      </c>
      <c r="B5658">
        <f t="shared" si="350"/>
        <v>33.698276999999997</v>
      </c>
      <c r="C5658">
        <f t="shared" si="351"/>
        <v>-117.859948</v>
      </c>
      <c r="D5658">
        <f t="shared" si="352"/>
        <v>39</v>
      </c>
      <c r="E5658">
        <v>15.5</v>
      </c>
      <c r="F5658">
        <f t="shared" si="353"/>
        <v>23.5</v>
      </c>
      <c r="G5658">
        <v>6.883</v>
      </c>
      <c r="H5658">
        <v>0.22800000000000001</v>
      </c>
      <c r="I5658">
        <v>3.2850000000000001</v>
      </c>
      <c r="J5658">
        <v>3</v>
      </c>
      <c r="K5658">
        <v>7</v>
      </c>
      <c r="L5658">
        <v>7</v>
      </c>
      <c r="M5658">
        <v>0.40100000000000002</v>
      </c>
    </row>
    <row r="5659" spans="1:13" ht="15" customHeight="1">
      <c r="A5659" t="s">
        <v>61</v>
      </c>
      <c r="B5659">
        <f t="shared" si="350"/>
        <v>33.698276999999997</v>
      </c>
      <c r="C5659">
        <f t="shared" si="351"/>
        <v>-117.859948</v>
      </c>
      <c r="D5659">
        <f t="shared" si="352"/>
        <v>39</v>
      </c>
      <c r="E5659">
        <v>16.5</v>
      </c>
      <c r="F5659">
        <f t="shared" si="353"/>
        <v>22.5</v>
      </c>
      <c r="G5659">
        <v>7.45</v>
      </c>
      <c r="H5659">
        <v>0.28499999999999998</v>
      </c>
      <c r="I5659">
        <v>3.7829999999999999</v>
      </c>
      <c r="J5659">
        <v>3</v>
      </c>
      <c r="K5659">
        <v>7</v>
      </c>
      <c r="L5659">
        <v>7</v>
      </c>
      <c r="M5659">
        <v>0.436</v>
      </c>
    </row>
    <row r="5660" spans="1:13" ht="15" customHeight="1">
      <c r="A5660" t="s">
        <v>61</v>
      </c>
      <c r="B5660">
        <f t="shared" si="350"/>
        <v>33.698276999999997</v>
      </c>
      <c r="C5660">
        <f t="shared" si="351"/>
        <v>-117.859948</v>
      </c>
      <c r="D5660">
        <f t="shared" si="352"/>
        <v>39</v>
      </c>
      <c r="E5660">
        <v>17.5</v>
      </c>
      <c r="F5660">
        <f t="shared" si="353"/>
        <v>21.5</v>
      </c>
      <c r="G5660">
        <v>9.6829999999999998</v>
      </c>
      <c r="H5660">
        <v>0.40500000000000003</v>
      </c>
      <c r="I5660">
        <v>4.1609999999999996</v>
      </c>
      <c r="J5660">
        <v>3</v>
      </c>
      <c r="K5660">
        <v>9</v>
      </c>
      <c r="L5660">
        <v>9</v>
      </c>
      <c r="M5660">
        <v>0.57799999999999996</v>
      </c>
    </row>
    <row r="5661" spans="1:13" ht="15" customHeight="1">
      <c r="A5661" t="s">
        <v>61</v>
      </c>
      <c r="B5661">
        <f t="shared" si="350"/>
        <v>33.698276999999997</v>
      </c>
      <c r="C5661">
        <f t="shared" si="351"/>
        <v>-117.859948</v>
      </c>
      <c r="D5661">
        <f t="shared" si="352"/>
        <v>39</v>
      </c>
      <c r="E5661">
        <v>18.5</v>
      </c>
      <c r="F5661">
        <f t="shared" si="353"/>
        <v>20.5</v>
      </c>
      <c r="G5661">
        <v>27.983000000000001</v>
      </c>
      <c r="H5661">
        <v>0.89200000000000002</v>
      </c>
      <c r="I5661">
        <v>3.169</v>
      </c>
      <c r="J5661">
        <v>5</v>
      </c>
      <c r="K5661">
        <v>13</v>
      </c>
      <c r="L5661">
        <v>12</v>
      </c>
      <c r="M5661">
        <v>1.8009999999999999</v>
      </c>
    </row>
    <row r="5662" spans="1:13" ht="15" customHeight="1">
      <c r="A5662" t="s">
        <v>61</v>
      </c>
      <c r="B5662">
        <f t="shared" si="350"/>
        <v>33.698276999999997</v>
      </c>
      <c r="C5662">
        <f t="shared" si="351"/>
        <v>-117.859948</v>
      </c>
      <c r="D5662">
        <f t="shared" si="352"/>
        <v>39</v>
      </c>
      <c r="E5662">
        <v>19.5</v>
      </c>
      <c r="F5662">
        <f t="shared" si="353"/>
        <v>19.5</v>
      </c>
      <c r="G5662">
        <v>46.9</v>
      </c>
      <c r="H5662">
        <v>1.742</v>
      </c>
      <c r="I5662">
        <v>3.6869999999999998</v>
      </c>
      <c r="J5662">
        <v>5</v>
      </c>
      <c r="K5662">
        <v>23</v>
      </c>
      <c r="L5662">
        <v>20</v>
      </c>
      <c r="M5662">
        <v>3.07</v>
      </c>
    </row>
    <row r="5663" spans="1:13" ht="15" customHeight="1">
      <c r="A5663" t="s">
        <v>61</v>
      </c>
      <c r="B5663">
        <f t="shared" si="350"/>
        <v>33.698276999999997</v>
      </c>
      <c r="C5663">
        <f t="shared" si="351"/>
        <v>-117.859948</v>
      </c>
      <c r="D5663">
        <f t="shared" si="352"/>
        <v>39</v>
      </c>
      <c r="E5663">
        <v>20.5</v>
      </c>
      <c r="F5663">
        <f t="shared" si="353"/>
        <v>18.5</v>
      </c>
      <c r="G5663">
        <v>33.771000000000001</v>
      </c>
      <c r="H5663">
        <v>1.7070000000000001</v>
      </c>
      <c r="I5663">
        <v>5.0510000000000002</v>
      </c>
      <c r="J5663">
        <v>3</v>
      </c>
      <c r="K5663">
        <v>32</v>
      </c>
      <c r="L5663">
        <v>27</v>
      </c>
      <c r="M5663">
        <v>2.17</v>
      </c>
    </row>
    <row r="5664" spans="1:13" ht="15" customHeight="1">
      <c r="A5664" t="s">
        <v>61</v>
      </c>
      <c r="B5664">
        <f t="shared" si="350"/>
        <v>33.698276999999997</v>
      </c>
      <c r="C5664">
        <f t="shared" si="351"/>
        <v>-117.859948</v>
      </c>
      <c r="D5664">
        <f t="shared" si="352"/>
        <v>39</v>
      </c>
      <c r="E5664">
        <v>21.5</v>
      </c>
      <c r="F5664">
        <f t="shared" si="353"/>
        <v>17.5</v>
      </c>
      <c r="G5664">
        <v>22.882999999999999</v>
      </c>
      <c r="H5664">
        <v>1.2629999999999999</v>
      </c>
      <c r="I5664">
        <v>5.5049999999999999</v>
      </c>
      <c r="J5664">
        <v>3</v>
      </c>
      <c r="K5664">
        <v>22</v>
      </c>
      <c r="L5664">
        <v>18</v>
      </c>
      <c r="M5664">
        <v>1.4430000000000001</v>
      </c>
    </row>
    <row r="5665" spans="1:13" ht="15" customHeight="1">
      <c r="A5665" t="s">
        <v>61</v>
      </c>
      <c r="B5665">
        <f t="shared" si="350"/>
        <v>33.698276999999997</v>
      </c>
      <c r="C5665">
        <f t="shared" si="351"/>
        <v>-117.859948</v>
      </c>
      <c r="D5665">
        <f t="shared" si="352"/>
        <v>39</v>
      </c>
      <c r="E5665">
        <v>22.5</v>
      </c>
      <c r="F5665">
        <f t="shared" si="353"/>
        <v>16.5</v>
      </c>
      <c r="G5665">
        <v>25.033000000000001</v>
      </c>
      <c r="H5665">
        <v>0.72799999999999998</v>
      </c>
      <c r="I5665">
        <v>2.9060000000000001</v>
      </c>
      <c r="J5665">
        <v>5</v>
      </c>
      <c r="K5665">
        <v>12</v>
      </c>
      <c r="L5665">
        <v>9</v>
      </c>
      <c r="M5665">
        <v>1.58</v>
      </c>
    </row>
    <row r="5666" spans="1:13" ht="15" customHeight="1">
      <c r="A5666" t="s">
        <v>61</v>
      </c>
      <c r="B5666">
        <f t="shared" si="350"/>
        <v>33.698276999999997</v>
      </c>
      <c r="C5666">
        <f t="shared" si="351"/>
        <v>-117.859948</v>
      </c>
      <c r="D5666">
        <f t="shared" si="352"/>
        <v>39</v>
      </c>
      <c r="E5666">
        <v>23.5</v>
      </c>
      <c r="F5666">
        <f t="shared" si="353"/>
        <v>15.5</v>
      </c>
      <c r="G5666">
        <v>92.65</v>
      </c>
      <c r="H5666">
        <v>1.282</v>
      </c>
      <c r="I5666">
        <v>1.383</v>
      </c>
      <c r="J5666">
        <v>8</v>
      </c>
      <c r="K5666">
        <v>22</v>
      </c>
      <c r="L5666">
        <v>17</v>
      </c>
      <c r="M5666" s="1">
        <v>9000000000</v>
      </c>
    </row>
    <row r="5667" spans="1:13" ht="15" customHeight="1">
      <c r="A5667" t="s">
        <v>61</v>
      </c>
      <c r="B5667">
        <f t="shared" si="350"/>
        <v>33.698276999999997</v>
      </c>
      <c r="C5667">
        <f t="shared" si="351"/>
        <v>-117.859948</v>
      </c>
      <c r="D5667">
        <f t="shared" si="352"/>
        <v>39</v>
      </c>
      <c r="E5667">
        <v>24.5</v>
      </c>
      <c r="F5667">
        <f t="shared" si="353"/>
        <v>14.5</v>
      </c>
      <c r="G5667">
        <v>62.232999999999997</v>
      </c>
      <c r="H5667">
        <v>1.365</v>
      </c>
      <c r="I5667">
        <v>2.1949999999999998</v>
      </c>
      <c r="J5667">
        <v>6</v>
      </c>
      <c r="K5667">
        <v>24</v>
      </c>
      <c r="L5667">
        <v>18</v>
      </c>
      <c r="M5667">
        <v>4.0460000000000003</v>
      </c>
    </row>
    <row r="5668" spans="1:13" ht="15" customHeight="1">
      <c r="A5668" t="s">
        <v>61</v>
      </c>
      <c r="B5668">
        <f t="shared" si="350"/>
        <v>33.698276999999997</v>
      </c>
      <c r="C5668">
        <f t="shared" si="351"/>
        <v>-117.859948</v>
      </c>
      <c r="D5668">
        <f t="shared" si="352"/>
        <v>39</v>
      </c>
      <c r="E5668">
        <v>25.5</v>
      </c>
      <c r="F5668">
        <f t="shared" si="353"/>
        <v>13.5</v>
      </c>
      <c r="G5668">
        <v>183.43299999999999</v>
      </c>
      <c r="H5668">
        <v>1.94</v>
      </c>
      <c r="I5668">
        <v>1.0580000000000001</v>
      </c>
      <c r="J5668">
        <v>9</v>
      </c>
      <c r="K5668">
        <v>35</v>
      </c>
      <c r="L5668">
        <v>25</v>
      </c>
      <c r="M5668" s="1">
        <v>9000000000</v>
      </c>
    </row>
    <row r="5669" spans="1:13" ht="15" customHeight="1">
      <c r="A5669" t="s">
        <v>61</v>
      </c>
      <c r="B5669">
        <f t="shared" si="350"/>
        <v>33.698276999999997</v>
      </c>
      <c r="C5669">
        <f t="shared" si="351"/>
        <v>-117.859948</v>
      </c>
      <c r="D5669">
        <f t="shared" si="352"/>
        <v>39</v>
      </c>
      <c r="E5669">
        <v>26.5</v>
      </c>
      <c r="F5669">
        <f t="shared" si="353"/>
        <v>12.5</v>
      </c>
      <c r="G5669">
        <v>324.56700000000001</v>
      </c>
      <c r="H5669">
        <v>1.827</v>
      </c>
      <c r="I5669">
        <v>0.56299999999999994</v>
      </c>
      <c r="J5669">
        <v>10</v>
      </c>
      <c r="K5669">
        <v>52</v>
      </c>
      <c r="L5669">
        <v>37</v>
      </c>
      <c r="M5669" s="1">
        <v>9000000000</v>
      </c>
    </row>
    <row r="5670" spans="1:13" ht="15" customHeight="1">
      <c r="A5670" t="s">
        <v>61</v>
      </c>
      <c r="B5670">
        <f t="shared" si="350"/>
        <v>33.698276999999997</v>
      </c>
      <c r="C5670">
        <f t="shared" si="351"/>
        <v>-117.859948</v>
      </c>
      <c r="D5670">
        <f t="shared" si="352"/>
        <v>39</v>
      </c>
      <c r="E5670">
        <v>27.5</v>
      </c>
      <c r="F5670">
        <f t="shared" si="353"/>
        <v>11.5</v>
      </c>
      <c r="G5670">
        <v>220.06700000000001</v>
      </c>
      <c r="H5670">
        <v>2.1030000000000002</v>
      </c>
      <c r="I5670">
        <v>0.95699999999999996</v>
      </c>
      <c r="J5670">
        <v>9</v>
      </c>
      <c r="K5670">
        <v>42</v>
      </c>
      <c r="L5670">
        <v>29</v>
      </c>
      <c r="M5670" s="1">
        <v>9000000000</v>
      </c>
    </row>
    <row r="5671" spans="1:13" ht="15" customHeight="1">
      <c r="A5671" t="s">
        <v>61</v>
      </c>
      <c r="B5671">
        <f t="shared" si="350"/>
        <v>33.698276999999997</v>
      </c>
      <c r="C5671">
        <f t="shared" si="351"/>
        <v>-117.859948</v>
      </c>
      <c r="D5671">
        <f t="shared" si="352"/>
        <v>39</v>
      </c>
      <c r="E5671">
        <v>28.5</v>
      </c>
      <c r="F5671">
        <f t="shared" si="353"/>
        <v>10.5</v>
      </c>
      <c r="G5671">
        <v>69.566999999999993</v>
      </c>
      <c r="H5671">
        <v>2.5129999999999999</v>
      </c>
      <c r="I5671">
        <v>3.621</v>
      </c>
      <c r="J5671">
        <v>5</v>
      </c>
      <c r="K5671">
        <v>33</v>
      </c>
      <c r="L5671">
        <v>23</v>
      </c>
      <c r="M5671">
        <v>4.5110000000000001</v>
      </c>
    </row>
    <row r="5672" spans="1:13" ht="15" customHeight="1">
      <c r="A5672" t="s">
        <v>61</v>
      </c>
      <c r="B5672">
        <f t="shared" si="350"/>
        <v>33.698276999999997</v>
      </c>
      <c r="C5672">
        <f t="shared" si="351"/>
        <v>-117.859948</v>
      </c>
      <c r="D5672">
        <f t="shared" si="352"/>
        <v>39</v>
      </c>
      <c r="E5672">
        <v>29.5</v>
      </c>
      <c r="F5672">
        <f t="shared" si="353"/>
        <v>9.5</v>
      </c>
      <c r="G5672">
        <v>83.95</v>
      </c>
      <c r="H5672">
        <v>1.6970000000000001</v>
      </c>
      <c r="I5672">
        <v>2.024</v>
      </c>
      <c r="J5672">
        <v>7</v>
      </c>
      <c r="K5672">
        <v>27</v>
      </c>
      <c r="L5672">
        <v>18</v>
      </c>
      <c r="M5672" s="1">
        <v>9000000000</v>
      </c>
    </row>
    <row r="5673" spans="1:13" ht="15" customHeight="1">
      <c r="A5673" t="s">
        <v>61</v>
      </c>
      <c r="B5673">
        <f t="shared" si="350"/>
        <v>33.698276999999997</v>
      </c>
      <c r="C5673">
        <f t="shared" si="351"/>
        <v>-117.859948</v>
      </c>
      <c r="D5673">
        <f t="shared" si="352"/>
        <v>39</v>
      </c>
      <c r="E5673">
        <v>30.5</v>
      </c>
      <c r="F5673">
        <f t="shared" si="353"/>
        <v>8.5</v>
      </c>
      <c r="G5673">
        <v>50.366999999999997</v>
      </c>
      <c r="H5673">
        <v>2.25</v>
      </c>
      <c r="I5673">
        <v>4.4809999999999999</v>
      </c>
      <c r="J5673">
        <v>4</v>
      </c>
      <c r="K5673">
        <v>32</v>
      </c>
      <c r="L5673">
        <v>21</v>
      </c>
      <c r="M5673">
        <v>3.2229999999999999</v>
      </c>
    </row>
    <row r="5674" spans="1:13" ht="15" customHeight="1">
      <c r="A5674" t="s">
        <v>61</v>
      </c>
      <c r="B5674">
        <f t="shared" si="350"/>
        <v>33.698276999999997</v>
      </c>
      <c r="C5674">
        <f t="shared" si="351"/>
        <v>-117.859948</v>
      </c>
      <c r="D5674">
        <f t="shared" si="352"/>
        <v>39</v>
      </c>
      <c r="E5674">
        <v>31.5</v>
      </c>
      <c r="F5674">
        <f t="shared" si="353"/>
        <v>7.5</v>
      </c>
      <c r="G5674">
        <v>69.313999999999993</v>
      </c>
      <c r="H5674">
        <v>1.79</v>
      </c>
      <c r="I5674">
        <v>2.5880000000000001</v>
      </c>
      <c r="J5674">
        <v>6</v>
      </c>
      <c r="K5674">
        <v>27</v>
      </c>
      <c r="L5674">
        <v>18</v>
      </c>
      <c r="M5674">
        <v>4.4820000000000002</v>
      </c>
    </row>
    <row r="5675" spans="1:13" ht="15" customHeight="1">
      <c r="A5675" t="s">
        <v>61</v>
      </c>
      <c r="B5675">
        <f t="shared" si="350"/>
        <v>33.698276999999997</v>
      </c>
      <c r="C5675">
        <f t="shared" si="351"/>
        <v>-117.859948</v>
      </c>
      <c r="D5675">
        <f t="shared" si="352"/>
        <v>39</v>
      </c>
      <c r="E5675">
        <v>32.5</v>
      </c>
      <c r="F5675">
        <f t="shared" si="353"/>
        <v>6.5</v>
      </c>
      <c r="G5675">
        <v>83.4</v>
      </c>
      <c r="H5675">
        <v>2.77</v>
      </c>
      <c r="I5675">
        <v>3.3290000000000002</v>
      </c>
      <c r="J5675">
        <v>6</v>
      </c>
      <c r="K5675">
        <v>32</v>
      </c>
      <c r="L5675">
        <v>21</v>
      </c>
      <c r="M5675">
        <v>5.4139999999999997</v>
      </c>
    </row>
    <row r="5676" spans="1:13" ht="15" customHeight="1">
      <c r="A5676" t="s">
        <v>61</v>
      </c>
      <c r="B5676">
        <f t="shared" si="350"/>
        <v>33.698276999999997</v>
      </c>
      <c r="C5676">
        <f t="shared" si="351"/>
        <v>-117.859948</v>
      </c>
      <c r="D5676">
        <f t="shared" si="352"/>
        <v>39</v>
      </c>
      <c r="E5676">
        <v>33.5</v>
      </c>
      <c r="F5676">
        <f t="shared" si="353"/>
        <v>5.5</v>
      </c>
      <c r="G5676">
        <v>47.116999999999997</v>
      </c>
      <c r="H5676">
        <v>2.383</v>
      </c>
      <c r="I5676">
        <v>5.0640000000000001</v>
      </c>
      <c r="J5676">
        <v>3</v>
      </c>
      <c r="K5676">
        <v>45</v>
      </c>
      <c r="L5676">
        <v>29</v>
      </c>
      <c r="M5676">
        <v>3</v>
      </c>
    </row>
    <row r="5677" spans="1:13" ht="15" customHeight="1">
      <c r="A5677" t="s">
        <v>61</v>
      </c>
      <c r="B5677">
        <f t="shared" si="350"/>
        <v>33.698276999999997</v>
      </c>
      <c r="C5677">
        <f t="shared" si="351"/>
        <v>-117.859948</v>
      </c>
      <c r="D5677">
        <f t="shared" si="352"/>
        <v>39</v>
      </c>
      <c r="E5677">
        <v>34.5</v>
      </c>
      <c r="F5677">
        <f t="shared" si="353"/>
        <v>4.5</v>
      </c>
      <c r="G5677">
        <v>21.1</v>
      </c>
      <c r="H5677">
        <v>0.98</v>
      </c>
      <c r="I5677">
        <v>4.6559999999999997</v>
      </c>
      <c r="J5677">
        <v>3</v>
      </c>
      <c r="K5677">
        <v>20</v>
      </c>
      <c r="L5677">
        <v>13</v>
      </c>
      <c r="M5677">
        <v>1.262</v>
      </c>
    </row>
    <row r="5678" spans="1:13" ht="15" customHeight="1">
      <c r="A5678" t="s">
        <v>61</v>
      </c>
      <c r="B5678">
        <f t="shared" si="350"/>
        <v>33.698276999999997</v>
      </c>
      <c r="C5678">
        <f t="shared" si="351"/>
        <v>-117.859948</v>
      </c>
      <c r="D5678">
        <f t="shared" si="352"/>
        <v>39</v>
      </c>
      <c r="E5678">
        <v>35.5</v>
      </c>
      <c r="F5678">
        <f t="shared" si="353"/>
        <v>3.5</v>
      </c>
      <c r="G5678">
        <v>36.450000000000003</v>
      </c>
      <c r="H5678">
        <v>2.077</v>
      </c>
      <c r="I5678">
        <v>5.7030000000000003</v>
      </c>
      <c r="J5678">
        <v>3</v>
      </c>
      <c r="K5678">
        <v>35</v>
      </c>
      <c r="L5678">
        <v>22</v>
      </c>
      <c r="M5678">
        <v>2.282</v>
      </c>
    </row>
    <row r="5679" spans="1:13" ht="15" customHeight="1">
      <c r="A5679" t="s">
        <v>61</v>
      </c>
      <c r="B5679">
        <f t="shared" si="350"/>
        <v>33.698276999999997</v>
      </c>
      <c r="C5679">
        <f t="shared" si="351"/>
        <v>-117.859948</v>
      </c>
      <c r="D5679">
        <f t="shared" si="352"/>
        <v>39</v>
      </c>
      <c r="E5679">
        <v>36.5</v>
      </c>
      <c r="F5679">
        <f t="shared" si="353"/>
        <v>2.5</v>
      </c>
      <c r="G5679">
        <v>57.832999999999998</v>
      </c>
      <c r="H5679">
        <v>1.9970000000000001</v>
      </c>
      <c r="I5679">
        <v>3.4569999999999999</v>
      </c>
      <c r="J5679">
        <v>5</v>
      </c>
      <c r="K5679">
        <v>28</v>
      </c>
      <c r="L5679">
        <v>17</v>
      </c>
      <c r="M5679">
        <v>3.7</v>
      </c>
    </row>
    <row r="5680" spans="1:13" ht="15" customHeight="1">
      <c r="A5680" t="s">
        <v>61</v>
      </c>
      <c r="B5680">
        <f t="shared" si="350"/>
        <v>33.698276999999997</v>
      </c>
      <c r="C5680">
        <f t="shared" si="351"/>
        <v>-117.859948</v>
      </c>
      <c r="D5680">
        <f t="shared" si="352"/>
        <v>39</v>
      </c>
      <c r="E5680">
        <v>37.5</v>
      </c>
      <c r="F5680">
        <f t="shared" si="353"/>
        <v>1.5</v>
      </c>
      <c r="G5680">
        <v>167.06700000000001</v>
      </c>
      <c r="H5680">
        <v>1.732</v>
      </c>
      <c r="I5680">
        <v>1.0369999999999999</v>
      </c>
      <c r="J5680">
        <v>9</v>
      </c>
      <c r="K5680">
        <v>32</v>
      </c>
      <c r="L5680">
        <v>19</v>
      </c>
      <c r="M5680" s="1">
        <v>9000000000</v>
      </c>
    </row>
    <row r="5681" spans="1:13" ht="15" customHeight="1">
      <c r="A5681" t="s">
        <v>61</v>
      </c>
      <c r="B5681">
        <f t="shared" si="350"/>
        <v>33.698276999999997</v>
      </c>
      <c r="C5681">
        <f t="shared" si="351"/>
        <v>-117.859948</v>
      </c>
      <c r="D5681">
        <f t="shared" si="352"/>
        <v>39</v>
      </c>
      <c r="E5681">
        <v>38.5</v>
      </c>
      <c r="F5681">
        <f t="shared" si="353"/>
        <v>0.5</v>
      </c>
      <c r="G5681">
        <v>137.6</v>
      </c>
      <c r="H5681">
        <v>1.6519999999999999</v>
      </c>
      <c r="I5681">
        <v>1.2010000000000001</v>
      </c>
      <c r="J5681">
        <v>8</v>
      </c>
      <c r="K5681">
        <v>33</v>
      </c>
      <c r="L5681">
        <v>20</v>
      </c>
      <c r="M5681" s="1">
        <v>9000000000</v>
      </c>
    </row>
    <row r="5682" spans="1:13" ht="15" customHeight="1">
      <c r="A5682" t="s">
        <v>61</v>
      </c>
      <c r="B5682">
        <f t="shared" si="350"/>
        <v>33.698276999999997</v>
      </c>
      <c r="C5682">
        <f t="shared" si="351"/>
        <v>-117.859948</v>
      </c>
      <c r="D5682">
        <f t="shared" si="352"/>
        <v>39</v>
      </c>
      <c r="E5682">
        <v>39.5</v>
      </c>
      <c r="F5682">
        <f t="shared" si="353"/>
        <v>-0.5</v>
      </c>
      <c r="G5682">
        <v>52.8</v>
      </c>
      <c r="H5682">
        <v>2.12</v>
      </c>
      <c r="I5682">
        <v>4.0179999999999998</v>
      </c>
      <c r="J5682">
        <v>5</v>
      </c>
      <c r="K5682">
        <v>25</v>
      </c>
      <c r="L5682">
        <v>15</v>
      </c>
      <c r="M5682">
        <v>3.355</v>
      </c>
    </row>
    <row r="5683" spans="1:13" ht="15" customHeight="1">
      <c r="A5683" t="s">
        <v>61</v>
      </c>
      <c r="B5683">
        <f t="shared" si="350"/>
        <v>33.698276999999997</v>
      </c>
      <c r="C5683">
        <f t="shared" si="351"/>
        <v>-117.859948</v>
      </c>
      <c r="D5683">
        <f t="shared" si="352"/>
        <v>39</v>
      </c>
      <c r="E5683">
        <v>40.5</v>
      </c>
      <c r="F5683">
        <f t="shared" si="353"/>
        <v>-1.5</v>
      </c>
      <c r="G5683">
        <v>33.832999999999998</v>
      </c>
      <c r="H5683">
        <v>1.113</v>
      </c>
      <c r="I5683">
        <v>3.2970000000000002</v>
      </c>
      <c r="J5683">
        <v>5</v>
      </c>
      <c r="K5683">
        <v>16</v>
      </c>
      <c r="L5683">
        <v>9</v>
      </c>
      <c r="M5683">
        <v>2.085</v>
      </c>
    </row>
    <row r="5684" spans="1:13" ht="15" customHeight="1">
      <c r="A5684" t="s">
        <v>61</v>
      </c>
      <c r="B5684">
        <f t="shared" si="350"/>
        <v>33.698276999999997</v>
      </c>
      <c r="C5684">
        <f t="shared" si="351"/>
        <v>-117.859948</v>
      </c>
      <c r="D5684">
        <f t="shared" si="352"/>
        <v>39</v>
      </c>
      <c r="E5684">
        <v>41.499000000000002</v>
      </c>
      <c r="F5684">
        <f t="shared" si="353"/>
        <v>-2.4990000000000023</v>
      </c>
      <c r="G5684">
        <v>15.243</v>
      </c>
      <c r="H5684">
        <v>0.67300000000000004</v>
      </c>
      <c r="I5684">
        <v>4.4180000000000001</v>
      </c>
      <c r="J5684">
        <v>3</v>
      </c>
      <c r="K5684">
        <v>15</v>
      </c>
      <c r="L5684">
        <v>9</v>
      </c>
      <c r="M5684">
        <v>0.84499999999999997</v>
      </c>
    </row>
    <row r="5685" spans="1:13" ht="15" customHeight="1">
      <c r="A5685" t="s">
        <v>61</v>
      </c>
      <c r="B5685">
        <f t="shared" si="350"/>
        <v>33.698276999999997</v>
      </c>
      <c r="C5685">
        <f t="shared" si="351"/>
        <v>-117.859948</v>
      </c>
      <c r="D5685">
        <f t="shared" si="352"/>
        <v>39</v>
      </c>
      <c r="E5685">
        <v>42.499000000000002</v>
      </c>
      <c r="F5685">
        <f t="shared" si="353"/>
        <v>-3.4990000000000023</v>
      </c>
      <c r="G5685">
        <v>39.200000000000003</v>
      </c>
      <c r="H5685">
        <v>1.1399999999999999</v>
      </c>
      <c r="I5685">
        <v>2.9079999999999999</v>
      </c>
      <c r="J5685">
        <v>6</v>
      </c>
      <c r="K5685">
        <v>15</v>
      </c>
      <c r="L5685">
        <v>9</v>
      </c>
      <c r="M5685">
        <v>2.4390000000000001</v>
      </c>
    </row>
    <row r="5686" spans="1:13" ht="15" customHeight="1">
      <c r="A5686" t="s">
        <v>61</v>
      </c>
      <c r="B5686">
        <f t="shared" si="350"/>
        <v>33.698276999999997</v>
      </c>
      <c r="C5686">
        <f t="shared" si="351"/>
        <v>-117.859948</v>
      </c>
      <c r="D5686">
        <f t="shared" si="352"/>
        <v>39</v>
      </c>
      <c r="E5686">
        <v>43.499000000000002</v>
      </c>
      <c r="F5686">
        <f t="shared" si="353"/>
        <v>-4.4990000000000023</v>
      </c>
      <c r="G5686">
        <v>27.35</v>
      </c>
      <c r="H5686">
        <v>1.3069999999999999</v>
      </c>
      <c r="I5686">
        <v>4.7720000000000002</v>
      </c>
      <c r="J5686">
        <v>3</v>
      </c>
      <c r="K5686">
        <v>26</v>
      </c>
      <c r="L5686">
        <v>15</v>
      </c>
      <c r="M5686">
        <v>1.647</v>
      </c>
    </row>
    <row r="5687" spans="1:13" ht="15" customHeight="1">
      <c r="A5687" t="s">
        <v>61</v>
      </c>
      <c r="B5687">
        <f t="shared" si="350"/>
        <v>33.698276999999997</v>
      </c>
      <c r="C5687">
        <f t="shared" si="351"/>
        <v>-117.859948</v>
      </c>
      <c r="D5687">
        <f t="shared" si="352"/>
        <v>39</v>
      </c>
      <c r="E5687">
        <v>44.499000000000002</v>
      </c>
      <c r="F5687">
        <f t="shared" si="353"/>
        <v>-5.4990000000000023</v>
      </c>
      <c r="G5687">
        <v>13.1</v>
      </c>
      <c r="H5687">
        <v>0.51300000000000001</v>
      </c>
      <c r="I5687">
        <v>3.8839999999999999</v>
      </c>
      <c r="J5687">
        <v>3</v>
      </c>
      <c r="K5687">
        <v>13</v>
      </c>
      <c r="L5687">
        <v>7</v>
      </c>
      <c r="M5687">
        <v>0.69799999999999995</v>
      </c>
    </row>
    <row r="5688" spans="1:13" ht="15" customHeight="1">
      <c r="A5688" t="s">
        <v>61</v>
      </c>
      <c r="B5688">
        <f t="shared" si="350"/>
        <v>33.698276999999997</v>
      </c>
      <c r="C5688">
        <f t="shared" si="351"/>
        <v>-117.859948</v>
      </c>
      <c r="D5688">
        <f t="shared" si="352"/>
        <v>39</v>
      </c>
      <c r="E5688">
        <v>45.499000000000002</v>
      </c>
      <c r="F5688">
        <f t="shared" si="353"/>
        <v>-6.4990000000000023</v>
      </c>
      <c r="G5688">
        <v>15.183</v>
      </c>
      <c r="H5688">
        <v>0.628</v>
      </c>
      <c r="I5688">
        <v>4.0759999999999996</v>
      </c>
      <c r="J5688">
        <v>3</v>
      </c>
      <c r="K5688">
        <v>15</v>
      </c>
      <c r="L5688">
        <v>8</v>
      </c>
      <c r="M5688">
        <v>0.84</v>
      </c>
    </row>
    <row r="5689" spans="1:13" ht="15" customHeight="1">
      <c r="A5689" t="s">
        <v>61</v>
      </c>
      <c r="B5689">
        <f t="shared" si="350"/>
        <v>33.698276999999997</v>
      </c>
      <c r="C5689">
        <f t="shared" si="351"/>
        <v>-117.859948</v>
      </c>
      <c r="D5689">
        <f t="shared" si="352"/>
        <v>39</v>
      </c>
      <c r="E5689">
        <v>46.499000000000002</v>
      </c>
      <c r="F5689">
        <f t="shared" si="353"/>
        <v>-7.4990000000000023</v>
      </c>
      <c r="G5689">
        <v>118.7</v>
      </c>
      <c r="H5689">
        <v>1.383</v>
      </c>
      <c r="I5689">
        <v>1.1639999999999999</v>
      </c>
      <c r="J5689">
        <v>8</v>
      </c>
      <c r="K5689">
        <v>28</v>
      </c>
      <c r="L5689">
        <v>15</v>
      </c>
      <c r="M5689" s="1">
        <v>9000000000</v>
      </c>
    </row>
    <row r="5690" spans="1:13" ht="15" customHeight="1">
      <c r="A5690" t="s">
        <v>61</v>
      </c>
      <c r="B5690">
        <f t="shared" si="350"/>
        <v>33.698276999999997</v>
      </c>
      <c r="C5690">
        <f t="shared" si="351"/>
        <v>-117.859948</v>
      </c>
      <c r="D5690">
        <f t="shared" si="352"/>
        <v>39</v>
      </c>
      <c r="E5690">
        <v>47.499000000000002</v>
      </c>
      <c r="F5690">
        <f t="shared" si="353"/>
        <v>-8.4990000000000023</v>
      </c>
      <c r="G5690">
        <v>124.233</v>
      </c>
      <c r="H5690">
        <v>1.21</v>
      </c>
      <c r="I5690">
        <v>0.97199999999999998</v>
      </c>
      <c r="J5690">
        <v>8</v>
      </c>
      <c r="K5690">
        <v>30</v>
      </c>
      <c r="L5690">
        <v>16</v>
      </c>
      <c r="M5690" s="1">
        <v>9000000000</v>
      </c>
    </row>
    <row r="5691" spans="1:13" ht="15" customHeight="1">
      <c r="A5691" t="s">
        <v>61</v>
      </c>
      <c r="B5691">
        <f t="shared" si="350"/>
        <v>33.698276999999997</v>
      </c>
      <c r="C5691">
        <f t="shared" si="351"/>
        <v>-117.859948</v>
      </c>
      <c r="D5691">
        <f t="shared" si="352"/>
        <v>39</v>
      </c>
      <c r="E5691">
        <v>48.499000000000002</v>
      </c>
      <c r="F5691">
        <f t="shared" si="353"/>
        <v>-9.4990000000000023</v>
      </c>
      <c r="G5691">
        <v>19.082999999999998</v>
      </c>
      <c r="H5691">
        <v>0.60799999999999998</v>
      </c>
      <c r="I5691">
        <v>3.08</v>
      </c>
      <c r="J5691">
        <v>5</v>
      </c>
      <c r="K5691">
        <v>9</v>
      </c>
      <c r="L5691">
        <v>5</v>
      </c>
      <c r="M5691">
        <v>1.117</v>
      </c>
    </row>
    <row r="5692" spans="1:13" ht="15" customHeight="1">
      <c r="A5692" t="s">
        <v>61</v>
      </c>
      <c r="B5692">
        <f t="shared" si="350"/>
        <v>33.698276999999997</v>
      </c>
      <c r="C5692">
        <f t="shared" si="351"/>
        <v>-117.859948</v>
      </c>
      <c r="D5692">
        <f t="shared" si="352"/>
        <v>39</v>
      </c>
      <c r="E5692">
        <v>49.499000000000002</v>
      </c>
      <c r="F5692">
        <f t="shared" si="353"/>
        <v>-10.499000000000002</v>
      </c>
      <c r="G5692">
        <v>24.85</v>
      </c>
      <c r="H5692">
        <v>0.95</v>
      </c>
      <c r="I5692">
        <v>3.6139999999999999</v>
      </c>
      <c r="J5692">
        <v>5</v>
      </c>
      <c r="K5692">
        <v>13</v>
      </c>
      <c r="L5692">
        <v>7</v>
      </c>
      <c r="M5692">
        <v>1.548</v>
      </c>
    </row>
    <row r="5693" spans="1:13" ht="15" customHeight="1">
      <c r="A5693" t="s">
        <v>61</v>
      </c>
      <c r="B5693">
        <f t="shared" si="350"/>
        <v>33.698276999999997</v>
      </c>
      <c r="C5693">
        <f t="shared" si="351"/>
        <v>-117.859948</v>
      </c>
      <c r="D5693">
        <f t="shared" si="352"/>
        <v>39</v>
      </c>
      <c r="E5693">
        <v>50.499000000000002</v>
      </c>
      <c r="F5693">
        <f t="shared" si="353"/>
        <v>-11.499000000000002</v>
      </c>
      <c r="G5693">
        <v>22.9</v>
      </c>
      <c r="H5693">
        <v>0.92500000000000004</v>
      </c>
      <c r="I5693">
        <v>3.77</v>
      </c>
      <c r="J5693">
        <v>4</v>
      </c>
      <c r="K5693">
        <v>16</v>
      </c>
      <c r="L5693">
        <v>8</v>
      </c>
      <c r="M5693">
        <v>1.4279999999999999</v>
      </c>
    </row>
    <row r="5694" spans="1:13" ht="15" customHeight="1">
      <c r="A5694" t="s">
        <v>61</v>
      </c>
      <c r="B5694">
        <f t="shared" si="350"/>
        <v>33.698276999999997</v>
      </c>
      <c r="C5694">
        <f t="shared" si="351"/>
        <v>-117.859948</v>
      </c>
      <c r="D5694">
        <f t="shared" si="352"/>
        <v>39</v>
      </c>
      <c r="E5694">
        <v>51.499000000000002</v>
      </c>
      <c r="F5694">
        <f t="shared" si="353"/>
        <v>-12.499000000000002</v>
      </c>
      <c r="G5694">
        <v>16.533000000000001</v>
      </c>
      <c r="H5694">
        <v>0.57499999999999996</v>
      </c>
      <c r="I5694">
        <v>3.1909999999999998</v>
      </c>
      <c r="J5694">
        <v>5</v>
      </c>
      <c r="K5694">
        <v>9</v>
      </c>
      <c r="L5694">
        <v>5</v>
      </c>
      <c r="M5694">
        <v>0.98899999999999999</v>
      </c>
    </row>
    <row r="5695" spans="1:13" ht="15" customHeight="1">
      <c r="A5695" t="s">
        <v>61</v>
      </c>
      <c r="B5695">
        <f t="shared" si="350"/>
        <v>33.698276999999997</v>
      </c>
      <c r="C5695">
        <f t="shared" si="351"/>
        <v>-117.859948</v>
      </c>
      <c r="D5695">
        <f t="shared" si="352"/>
        <v>39</v>
      </c>
      <c r="E5695">
        <v>52.499000000000002</v>
      </c>
      <c r="F5695">
        <f t="shared" si="353"/>
        <v>-13.499000000000002</v>
      </c>
      <c r="G5695">
        <v>15.629</v>
      </c>
      <c r="H5695">
        <v>0.52400000000000002</v>
      </c>
      <c r="I5695">
        <v>3.089</v>
      </c>
      <c r="J5695">
        <v>5</v>
      </c>
      <c r="K5695">
        <v>8</v>
      </c>
      <c r="L5695">
        <v>4</v>
      </c>
      <c r="M5695">
        <v>0.91500000000000004</v>
      </c>
    </row>
    <row r="5696" spans="1:13" ht="15" customHeight="1">
      <c r="A5696" t="s">
        <v>61</v>
      </c>
      <c r="B5696">
        <f t="shared" si="350"/>
        <v>33.698276999999997</v>
      </c>
      <c r="C5696">
        <f t="shared" si="351"/>
        <v>-117.859948</v>
      </c>
      <c r="D5696">
        <f t="shared" si="352"/>
        <v>39</v>
      </c>
      <c r="E5696">
        <v>53.499000000000002</v>
      </c>
      <c r="F5696">
        <f t="shared" si="353"/>
        <v>-14.499000000000002</v>
      </c>
      <c r="G5696">
        <v>21.783000000000001</v>
      </c>
      <c r="H5696">
        <v>0.85499999999999998</v>
      </c>
      <c r="I5696">
        <v>3.6749999999999998</v>
      </c>
      <c r="J5696">
        <v>4</v>
      </c>
      <c r="K5696">
        <v>15</v>
      </c>
      <c r="L5696">
        <v>8</v>
      </c>
      <c r="M5696">
        <v>1.331</v>
      </c>
    </row>
    <row r="5697" spans="1:13" ht="15" customHeight="1">
      <c r="A5697" t="s">
        <v>61</v>
      </c>
      <c r="B5697">
        <f t="shared" si="350"/>
        <v>33.698276999999997</v>
      </c>
      <c r="C5697">
        <f t="shared" si="351"/>
        <v>-117.859948</v>
      </c>
      <c r="D5697">
        <f t="shared" si="352"/>
        <v>39</v>
      </c>
      <c r="E5697">
        <v>54.499000000000002</v>
      </c>
      <c r="F5697">
        <f t="shared" si="353"/>
        <v>-15.499000000000002</v>
      </c>
      <c r="G5697">
        <v>129.86699999999999</v>
      </c>
      <c r="H5697">
        <v>2.8450000000000002</v>
      </c>
      <c r="I5697">
        <v>2.1880000000000002</v>
      </c>
      <c r="J5697">
        <v>7</v>
      </c>
      <c r="K5697">
        <v>42</v>
      </c>
      <c r="L5697">
        <v>21</v>
      </c>
      <c r="M5697" s="1">
        <v>9000000000</v>
      </c>
    </row>
    <row r="5698" spans="1:13" ht="15" customHeight="1">
      <c r="A5698" t="s">
        <v>61</v>
      </c>
      <c r="B5698">
        <f t="shared" ref="B5698:B5761" si="354">VLOOKUP(A5698,XYdata,3,FALSE)</f>
        <v>33.698276999999997</v>
      </c>
      <c r="C5698">
        <f t="shared" ref="C5698:C5761" si="355">VLOOKUP(A5698,XYdata,2,FALSE)</f>
        <v>-117.859948</v>
      </c>
      <c r="D5698">
        <f t="shared" ref="D5698:D5761" si="356">VLOOKUP(A5698,Elevation,2,FALSE)</f>
        <v>39</v>
      </c>
      <c r="E5698">
        <v>55.499000000000002</v>
      </c>
      <c r="F5698">
        <f t="shared" si="353"/>
        <v>-16.499000000000002</v>
      </c>
      <c r="G5698">
        <v>52.05</v>
      </c>
      <c r="H5698">
        <v>1.847</v>
      </c>
      <c r="I5698">
        <v>3.556</v>
      </c>
      <c r="J5698">
        <v>5</v>
      </c>
      <c r="K5698">
        <v>25</v>
      </c>
      <c r="L5698">
        <v>13</v>
      </c>
      <c r="M5698">
        <v>3.234</v>
      </c>
    </row>
    <row r="5699" spans="1:13" ht="15" customHeight="1">
      <c r="A5699" t="s">
        <v>61</v>
      </c>
      <c r="B5699">
        <f t="shared" si="354"/>
        <v>33.698276999999997</v>
      </c>
      <c r="C5699">
        <f t="shared" si="355"/>
        <v>-117.859948</v>
      </c>
      <c r="D5699">
        <f t="shared" si="356"/>
        <v>39</v>
      </c>
      <c r="E5699">
        <v>56.499000000000002</v>
      </c>
      <c r="F5699">
        <f t="shared" ref="F5699:F5762" si="357">D5699-E5699</f>
        <v>-17.499000000000002</v>
      </c>
      <c r="G5699">
        <v>21.15</v>
      </c>
      <c r="H5699">
        <v>0.80300000000000005</v>
      </c>
      <c r="I5699">
        <v>3.8159999999999998</v>
      </c>
      <c r="J5699">
        <v>4</v>
      </c>
      <c r="K5699">
        <v>13</v>
      </c>
      <c r="L5699">
        <v>7</v>
      </c>
      <c r="M5699">
        <v>1.171</v>
      </c>
    </row>
    <row r="5700" spans="1:13" ht="15" customHeight="1">
      <c r="A5700" t="s">
        <v>61</v>
      </c>
      <c r="B5700">
        <f t="shared" si="354"/>
        <v>33.698276999999997</v>
      </c>
      <c r="C5700">
        <f t="shared" si="355"/>
        <v>-117.859948</v>
      </c>
      <c r="D5700">
        <f t="shared" si="356"/>
        <v>39</v>
      </c>
      <c r="E5700">
        <v>57.499000000000002</v>
      </c>
      <c r="F5700">
        <f t="shared" si="357"/>
        <v>-18.499000000000002</v>
      </c>
      <c r="G5700">
        <v>16.5</v>
      </c>
      <c r="H5700">
        <v>0.52200000000000002</v>
      </c>
      <c r="I5700">
        <v>3.1779999999999999</v>
      </c>
      <c r="J5700">
        <v>5</v>
      </c>
      <c r="K5700">
        <v>8</v>
      </c>
      <c r="L5700">
        <v>4</v>
      </c>
      <c r="M5700">
        <v>0.85799999999999998</v>
      </c>
    </row>
    <row r="5701" spans="1:13" ht="15" customHeight="1">
      <c r="A5701" t="s">
        <v>61</v>
      </c>
      <c r="B5701">
        <f t="shared" si="354"/>
        <v>33.698276999999997</v>
      </c>
      <c r="C5701">
        <f t="shared" si="355"/>
        <v>-117.859948</v>
      </c>
      <c r="D5701">
        <f t="shared" si="356"/>
        <v>39</v>
      </c>
      <c r="E5701">
        <v>58.499000000000002</v>
      </c>
      <c r="F5701">
        <f t="shared" si="357"/>
        <v>-19.499000000000002</v>
      </c>
      <c r="G5701">
        <v>35.1</v>
      </c>
      <c r="H5701">
        <v>1.74</v>
      </c>
      <c r="I5701">
        <v>4.9619999999999997</v>
      </c>
      <c r="J5701">
        <v>3</v>
      </c>
      <c r="K5701">
        <v>34</v>
      </c>
      <c r="L5701">
        <v>17</v>
      </c>
      <c r="M5701">
        <v>2.097</v>
      </c>
    </row>
    <row r="5702" spans="1:13" ht="15" customHeight="1">
      <c r="A5702" t="s">
        <v>61</v>
      </c>
      <c r="B5702">
        <f t="shared" si="354"/>
        <v>33.698276999999997</v>
      </c>
      <c r="C5702">
        <f t="shared" si="355"/>
        <v>-117.859948</v>
      </c>
      <c r="D5702">
        <f t="shared" si="356"/>
        <v>39</v>
      </c>
      <c r="E5702">
        <v>59.499000000000002</v>
      </c>
      <c r="F5702">
        <f t="shared" si="357"/>
        <v>-20.499000000000002</v>
      </c>
      <c r="G5702">
        <v>136.56700000000001</v>
      </c>
      <c r="H5702">
        <v>1.7669999999999999</v>
      </c>
      <c r="I5702">
        <v>1.294</v>
      </c>
      <c r="J5702">
        <v>8</v>
      </c>
      <c r="K5702">
        <v>33</v>
      </c>
      <c r="L5702">
        <v>17</v>
      </c>
      <c r="M5702" s="1">
        <v>9000000000</v>
      </c>
    </row>
    <row r="5703" spans="1:13" ht="15" customHeight="1">
      <c r="A5703" t="s">
        <v>61</v>
      </c>
      <c r="B5703">
        <f t="shared" si="354"/>
        <v>33.698276999999997</v>
      </c>
      <c r="C5703">
        <f t="shared" si="355"/>
        <v>-117.859948</v>
      </c>
      <c r="D5703">
        <f t="shared" si="356"/>
        <v>39</v>
      </c>
      <c r="E5703">
        <v>60.499000000000002</v>
      </c>
      <c r="F5703">
        <f t="shared" si="357"/>
        <v>-21.499000000000002</v>
      </c>
      <c r="G5703">
        <v>169.56700000000001</v>
      </c>
      <c r="H5703">
        <v>1.9930000000000001</v>
      </c>
      <c r="I5703">
        <v>1.1759999999999999</v>
      </c>
      <c r="J5703">
        <v>8</v>
      </c>
      <c r="K5703">
        <v>41</v>
      </c>
      <c r="L5703">
        <v>21</v>
      </c>
      <c r="M5703" s="1">
        <v>9000000000</v>
      </c>
    </row>
    <row r="5704" spans="1:13" ht="15" customHeight="1">
      <c r="A5704" t="s">
        <v>61</v>
      </c>
      <c r="B5704">
        <f t="shared" si="354"/>
        <v>33.698276999999997</v>
      </c>
      <c r="C5704">
        <f t="shared" si="355"/>
        <v>-117.859948</v>
      </c>
      <c r="D5704">
        <f t="shared" si="356"/>
        <v>39</v>
      </c>
      <c r="E5704">
        <v>61.499000000000002</v>
      </c>
      <c r="F5704">
        <f t="shared" si="357"/>
        <v>-22.499000000000002</v>
      </c>
      <c r="G5704">
        <v>157.85</v>
      </c>
      <c r="H5704">
        <v>1.84</v>
      </c>
      <c r="I5704">
        <v>1.1659999999999999</v>
      </c>
      <c r="J5704">
        <v>8</v>
      </c>
      <c r="K5704">
        <v>38</v>
      </c>
      <c r="L5704">
        <v>19</v>
      </c>
      <c r="M5704" s="1">
        <v>9000000000</v>
      </c>
    </row>
    <row r="5705" spans="1:13" ht="15" customHeight="1">
      <c r="A5705" t="s">
        <v>61</v>
      </c>
      <c r="B5705">
        <f t="shared" si="354"/>
        <v>33.698276999999997</v>
      </c>
      <c r="C5705">
        <f t="shared" si="355"/>
        <v>-117.859948</v>
      </c>
      <c r="D5705">
        <f t="shared" si="356"/>
        <v>39</v>
      </c>
      <c r="E5705">
        <v>62.499000000000002</v>
      </c>
      <c r="F5705">
        <f t="shared" si="357"/>
        <v>-23.499000000000002</v>
      </c>
      <c r="G5705">
        <v>104.643</v>
      </c>
      <c r="H5705">
        <v>2.121</v>
      </c>
      <c r="I5705">
        <v>2.028</v>
      </c>
      <c r="J5705">
        <v>7</v>
      </c>
      <c r="K5705">
        <v>33</v>
      </c>
      <c r="L5705">
        <v>17</v>
      </c>
      <c r="M5705" s="1">
        <v>9000000000</v>
      </c>
    </row>
    <row r="5706" spans="1:13" ht="15" customHeight="1">
      <c r="A5706" t="s">
        <v>61</v>
      </c>
      <c r="B5706">
        <f t="shared" si="354"/>
        <v>33.698276999999997</v>
      </c>
      <c r="C5706">
        <f t="shared" si="355"/>
        <v>-117.859948</v>
      </c>
      <c r="D5706">
        <f t="shared" si="356"/>
        <v>39</v>
      </c>
      <c r="E5706">
        <v>63.499000000000002</v>
      </c>
      <c r="F5706">
        <f t="shared" si="357"/>
        <v>-24.499000000000002</v>
      </c>
      <c r="G5706">
        <v>25.2</v>
      </c>
      <c r="H5706">
        <v>1.0620000000000001</v>
      </c>
      <c r="I5706">
        <v>4.2210000000000001</v>
      </c>
      <c r="J5706">
        <v>4</v>
      </c>
      <c r="K5706">
        <v>16</v>
      </c>
      <c r="L5706">
        <v>8</v>
      </c>
      <c r="M5706">
        <v>1.415</v>
      </c>
    </row>
    <row r="5707" spans="1:13" ht="15" customHeight="1">
      <c r="A5707" t="s">
        <v>61</v>
      </c>
      <c r="B5707">
        <f t="shared" si="354"/>
        <v>33.698276999999997</v>
      </c>
      <c r="C5707">
        <f t="shared" si="355"/>
        <v>-117.859948</v>
      </c>
      <c r="D5707">
        <f t="shared" si="356"/>
        <v>39</v>
      </c>
      <c r="E5707">
        <v>64.498999999999995</v>
      </c>
      <c r="F5707">
        <f t="shared" si="357"/>
        <v>-25.498999999999995</v>
      </c>
      <c r="G5707">
        <v>20.7</v>
      </c>
      <c r="H5707">
        <v>0.49199999999999999</v>
      </c>
      <c r="I5707">
        <v>2.3690000000000002</v>
      </c>
      <c r="J5707">
        <v>5</v>
      </c>
      <c r="K5707">
        <v>10</v>
      </c>
      <c r="L5707">
        <v>5</v>
      </c>
      <c r="M5707">
        <v>1.1180000000000001</v>
      </c>
    </row>
    <row r="5708" spans="1:13" ht="15" customHeight="1">
      <c r="A5708" t="s">
        <v>61</v>
      </c>
      <c r="B5708">
        <f t="shared" si="354"/>
        <v>33.698276999999997</v>
      </c>
      <c r="C5708">
        <f t="shared" si="355"/>
        <v>-117.859948</v>
      </c>
      <c r="D5708">
        <f t="shared" si="356"/>
        <v>39</v>
      </c>
      <c r="E5708">
        <v>65.498999999999995</v>
      </c>
      <c r="F5708">
        <f t="shared" si="357"/>
        <v>-26.498999999999995</v>
      </c>
      <c r="G5708">
        <v>28.55</v>
      </c>
      <c r="H5708">
        <v>1.0349999999999999</v>
      </c>
      <c r="I5708">
        <v>3.5649999999999999</v>
      </c>
      <c r="J5708">
        <v>5</v>
      </c>
      <c r="K5708">
        <v>14</v>
      </c>
      <c r="L5708">
        <v>7</v>
      </c>
      <c r="M5708">
        <v>1.6659999999999999</v>
      </c>
    </row>
    <row r="5709" spans="1:13" ht="15" customHeight="1">
      <c r="A5709" t="s">
        <v>61</v>
      </c>
      <c r="B5709">
        <f t="shared" si="354"/>
        <v>33.698276999999997</v>
      </c>
      <c r="C5709">
        <f t="shared" si="355"/>
        <v>-117.859948</v>
      </c>
      <c r="D5709">
        <f t="shared" si="356"/>
        <v>39</v>
      </c>
      <c r="E5709">
        <v>66.498999999999995</v>
      </c>
      <c r="F5709">
        <f t="shared" si="357"/>
        <v>-27.498999999999995</v>
      </c>
      <c r="G5709">
        <v>30.917000000000002</v>
      </c>
      <c r="H5709">
        <v>1.42</v>
      </c>
      <c r="I5709">
        <v>4.5220000000000002</v>
      </c>
      <c r="J5709">
        <v>4</v>
      </c>
      <c r="K5709">
        <v>20</v>
      </c>
      <c r="L5709">
        <v>10</v>
      </c>
      <c r="M5709">
        <v>1.82</v>
      </c>
    </row>
    <row r="5710" spans="1:13" ht="15" customHeight="1">
      <c r="A5710" t="s">
        <v>61</v>
      </c>
      <c r="B5710">
        <f t="shared" si="354"/>
        <v>33.698276999999997</v>
      </c>
      <c r="C5710">
        <f t="shared" si="355"/>
        <v>-117.859948</v>
      </c>
      <c r="D5710">
        <f t="shared" si="356"/>
        <v>39</v>
      </c>
      <c r="E5710">
        <v>67.498999999999995</v>
      </c>
      <c r="F5710">
        <f t="shared" si="357"/>
        <v>-28.498999999999995</v>
      </c>
      <c r="G5710">
        <v>25.033000000000001</v>
      </c>
      <c r="H5710">
        <v>1.073</v>
      </c>
      <c r="I5710">
        <v>4.2089999999999996</v>
      </c>
      <c r="J5710">
        <v>4</v>
      </c>
      <c r="K5710">
        <v>16</v>
      </c>
      <c r="L5710">
        <v>8</v>
      </c>
      <c r="M5710">
        <v>1.4219999999999999</v>
      </c>
    </row>
    <row r="5711" spans="1:13" ht="15" customHeight="1">
      <c r="A5711" t="s">
        <v>61</v>
      </c>
      <c r="B5711">
        <f t="shared" si="354"/>
        <v>33.698276999999997</v>
      </c>
      <c r="C5711">
        <f t="shared" si="355"/>
        <v>-117.859948</v>
      </c>
      <c r="D5711">
        <f t="shared" si="356"/>
        <v>39</v>
      </c>
      <c r="E5711">
        <v>68.498999999999995</v>
      </c>
      <c r="F5711">
        <f t="shared" si="357"/>
        <v>-29.498999999999995</v>
      </c>
      <c r="G5711">
        <v>23.4</v>
      </c>
      <c r="H5711">
        <v>0.82699999999999996</v>
      </c>
      <c r="I5711">
        <v>3.379</v>
      </c>
      <c r="J5711">
        <v>5</v>
      </c>
      <c r="K5711">
        <v>12</v>
      </c>
      <c r="L5711">
        <v>6</v>
      </c>
      <c r="M5711">
        <v>1.349</v>
      </c>
    </row>
    <row r="5712" spans="1:13" ht="15" customHeight="1">
      <c r="A5712" t="s">
        <v>61</v>
      </c>
      <c r="B5712">
        <f t="shared" si="354"/>
        <v>33.698276999999997</v>
      </c>
      <c r="C5712">
        <f t="shared" si="355"/>
        <v>-117.859948</v>
      </c>
      <c r="D5712">
        <f t="shared" si="356"/>
        <v>39</v>
      </c>
      <c r="E5712">
        <v>69.498999999999995</v>
      </c>
      <c r="F5712">
        <f t="shared" si="357"/>
        <v>-30.498999999999995</v>
      </c>
      <c r="G5712">
        <v>24.516999999999999</v>
      </c>
      <c r="H5712">
        <v>0.92500000000000004</v>
      </c>
      <c r="I5712">
        <v>3.5489999999999999</v>
      </c>
      <c r="J5712">
        <v>5</v>
      </c>
      <c r="K5712">
        <v>12</v>
      </c>
      <c r="L5712">
        <v>6</v>
      </c>
      <c r="M5712">
        <v>1.452</v>
      </c>
    </row>
    <row r="5713" spans="1:13" ht="15" customHeight="1">
      <c r="A5713" t="s">
        <v>61</v>
      </c>
      <c r="B5713">
        <f t="shared" si="354"/>
        <v>33.698276999999997</v>
      </c>
      <c r="C5713">
        <f t="shared" si="355"/>
        <v>-117.859948</v>
      </c>
      <c r="D5713">
        <f t="shared" si="356"/>
        <v>39</v>
      </c>
      <c r="E5713">
        <v>70.498999999999995</v>
      </c>
      <c r="F5713">
        <f t="shared" si="357"/>
        <v>-31.498999999999995</v>
      </c>
      <c r="G5713">
        <v>29.832999999999998</v>
      </c>
      <c r="H5713">
        <v>1.198</v>
      </c>
      <c r="I5713">
        <v>3.8159999999999998</v>
      </c>
      <c r="J5713">
        <v>5</v>
      </c>
      <c r="K5713">
        <v>15</v>
      </c>
      <c r="L5713">
        <v>8</v>
      </c>
      <c r="M5713">
        <v>1.8029999999999999</v>
      </c>
    </row>
    <row r="5714" spans="1:13" ht="15" customHeight="1">
      <c r="A5714" t="s">
        <v>61</v>
      </c>
      <c r="B5714">
        <f t="shared" si="354"/>
        <v>33.698276999999997</v>
      </c>
      <c r="C5714">
        <f t="shared" si="355"/>
        <v>-117.859948</v>
      </c>
      <c r="D5714">
        <f t="shared" si="356"/>
        <v>39</v>
      </c>
      <c r="E5714">
        <v>71.498999999999995</v>
      </c>
      <c r="F5714">
        <f t="shared" si="357"/>
        <v>-32.498999999999995</v>
      </c>
      <c r="G5714">
        <v>96.316999999999993</v>
      </c>
      <c r="H5714">
        <v>2.9580000000000002</v>
      </c>
      <c r="I5714">
        <v>3.07</v>
      </c>
      <c r="J5714">
        <v>6</v>
      </c>
      <c r="K5714">
        <v>37</v>
      </c>
      <c r="L5714">
        <v>19</v>
      </c>
      <c r="M5714">
        <v>6.13</v>
      </c>
    </row>
    <row r="5715" spans="1:13" ht="15" customHeight="1">
      <c r="A5715" t="s">
        <v>61</v>
      </c>
      <c r="B5715">
        <f t="shared" si="354"/>
        <v>33.698276999999997</v>
      </c>
      <c r="C5715">
        <f t="shared" si="355"/>
        <v>-117.859948</v>
      </c>
      <c r="D5715">
        <f t="shared" si="356"/>
        <v>39</v>
      </c>
      <c r="E5715">
        <v>72.498999999999995</v>
      </c>
      <c r="F5715">
        <f t="shared" si="357"/>
        <v>-33.498999999999995</v>
      </c>
      <c r="G5715">
        <v>71.513999999999996</v>
      </c>
      <c r="H5715">
        <v>3.6789999999999998</v>
      </c>
      <c r="I5715">
        <v>5.14</v>
      </c>
      <c r="J5715">
        <v>11</v>
      </c>
      <c r="K5715">
        <v>69</v>
      </c>
      <c r="L5715">
        <v>35</v>
      </c>
      <c r="M5715" s="1">
        <v>9000000000</v>
      </c>
    </row>
    <row r="5716" spans="1:13" ht="15" customHeight="1">
      <c r="A5716" t="s">
        <v>61</v>
      </c>
      <c r="B5716">
        <f t="shared" si="354"/>
        <v>33.698276999999997</v>
      </c>
      <c r="C5716">
        <f t="shared" si="355"/>
        <v>-117.859948</v>
      </c>
      <c r="D5716">
        <f t="shared" si="356"/>
        <v>39</v>
      </c>
      <c r="E5716">
        <v>73.498999999999995</v>
      </c>
      <c r="F5716">
        <f t="shared" si="357"/>
        <v>-34.498999999999995</v>
      </c>
      <c r="G5716">
        <v>64.016999999999996</v>
      </c>
      <c r="H5716">
        <v>2.5499999999999998</v>
      </c>
      <c r="I5716">
        <v>3.9830000000000001</v>
      </c>
      <c r="J5716">
        <v>5</v>
      </c>
      <c r="K5716">
        <v>31</v>
      </c>
      <c r="L5716">
        <v>16</v>
      </c>
      <c r="M5716">
        <v>3.9649999999999999</v>
      </c>
    </row>
    <row r="5717" spans="1:13" ht="15" customHeight="1">
      <c r="A5717" t="s">
        <v>61</v>
      </c>
      <c r="B5717">
        <f t="shared" si="354"/>
        <v>33.698276999999997</v>
      </c>
      <c r="C5717">
        <f t="shared" si="355"/>
        <v>-117.859948</v>
      </c>
      <c r="D5717">
        <f t="shared" si="356"/>
        <v>39</v>
      </c>
      <c r="E5717">
        <v>74.498999999999995</v>
      </c>
      <c r="F5717">
        <f t="shared" si="357"/>
        <v>-35.498999999999995</v>
      </c>
      <c r="G5717">
        <v>32.683</v>
      </c>
      <c r="H5717">
        <v>1.423</v>
      </c>
      <c r="I5717">
        <v>4.3499999999999996</v>
      </c>
      <c r="J5717">
        <v>4</v>
      </c>
      <c r="K5717">
        <v>21</v>
      </c>
      <c r="L5717">
        <v>11</v>
      </c>
      <c r="M5717">
        <v>1.8740000000000001</v>
      </c>
    </row>
    <row r="5718" spans="1:13" ht="15" customHeight="1">
      <c r="A5718" t="s">
        <v>61</v>
      </c>
      <c r="B5718">
        <f t="shared" si="354"/>
        <v>33.698276999999997</v>
      </c>
      <c r="C5718">
        <f t="shared" si="355"/>
        <v>-117.859948</v>
      </c>
      <c r="D5718">
        <f t="shared" si="356"/>
        <v>39</v>
      </c>
      <c r="E5718">
        <v>75.498999999999995</v>
      </c>
      <c r="F5718">
        <f t="shared" si="357"/>
        <v>-36.498999999999995</v>
      </c>
      <c r="G5718">
        <v>19.132999999999999</v>
      </c>
      <c r="H5718">
        <v>0.82799999999999996</v>
      </c>
      <c r="I5718">
        <v>4.3070000000000004</v>
      </c>
      <c r="J5718">
        <v>3</v>
      </c>
      <c r="K5718">
        <v>18</v>
      </c>
      <c r="L5718">
        <v>9</v>
      </c>
      <c r="M5718">
        <v>0.97099999999999997</v>
      </c>
    </row>
    <row r="5719" spans="1:13" ht="15" customHeight="1">
      <c r="A5719" t="s">
        <v>61</v>
      </c>
      <c r="B5719">
        <f t="shared" si="354"/>
        <v>33.698276999999997</v>
      </c>
      <c r="C5719">
        <f t="shared" si="355"/>
        <v>-117.859948</v>
      </c>
      <c r="D5719">
        <f t="shared" si="356"/>
        <v>39</v>
      </c>
      <c r="E5719">
        <v>76.498999999999995</v>
      </c>
      <c r="F5719">
        <f t="shared" si="357"/>
        <v>-37.498999999999995</v>
      </c>
      <c r="G5719">
        <v>22.15</v>
      </c>
      <c r="H5719">
        <v>0.79700000000000004</v>
      </c>
      <c r="I5719">
        <v>3.5720000000000001</v>
      </c>
      <c r="J5719">
        <v>4</v>
      </c>
      <c r="K5719">
        <v>14</v>
      </c>
      <c r="L5719">
        <v>7</v>
      </c>
      <c r="M5719">
        <v>1.171</v>
      </c>
    </row>
    <row r="5720" spans="1:13" ht="15" customHeight="1">
      <c r="A5720" t="s">
        <v>61</v>
      </c>
      <c r="B5720">
        <f t="shared" si="354"/>
        <v>33.698276999999997</v>
      </c>
      <c r="C5720">
        <f t="shared" si="355"/>
        <v>-117.859948</v>
      </c>
      <c r="D5720">
        <f t="shared" si="356"/>
        <v>39</v>
      </c>
      <c r="E5720">
        <v>77.498999999999995</v>
      </c>
      <c r="F5720">
        <f t="shared" si="357"/>
        <v>-38.498999999999995</v>
      </c>
      <c r="G5720">
        <v>88.95</v>
      </c>
      <c r="H5720">
        <v>2.29</v>
      </c>
      <c r="I5720">
        <v>2.5710000000000002</v>
      </c>
      <c r="J5720">
        <v>6</v>
      </c>
      <c r="K5720">
        <v>34</v>
      </c>
      <c r="L5720">
        <v>17</v>
      </c>
      <c r="M5720">
        <v>5.6180000000000003</v>
      </c>
    </row>
    <row r="5721" spans="1:13" ht="15" customHeight="1">
      <c r="A5721" t="s">
        <v>61</v>
      </c>
      <c r="B5721">
        <f t="shared" si="354"/>
        <v>33.698276999999997</v>
      </c>
      <c r="C5721">
        <f t="shared" si="355"/>
        <v>-117.859948</v>
      </c>
      <c r="D5721">
        <f t="shared" si="356"/>
        <v>39</v>
      </c>
      <c r="E5721">
        <v>78.498999999999995</v>
      </c>
      <c r="F5721">
        <f t="shared" si="357"/>
        <v>-39.498999999999995</v>
      </c>
      <c r="G5721">
        <v>37.783000000000001</v>
      </c>
      <c r="H5721">
        <v>1.7370000000000001</v>
      </c>
      <c r="I5721">
        <v>4.5460000000000003</v>
      </c>
      <c r="J5721">
        <v>4</v>
      </c>
      <c r="K5721">
        <v>24</v>
      </c>
      <c r="L5721">
        <v>12</v>
      </c>
      <c r="M5721">
        <v>2.2229999999999999</v>
      </c>
    </row>
    <row r="5722" spans="1:13" ht="15" customHeight="1">
      <c r="A5722" t="s">
        <v>61</v>
      </c>
      <c r="B5722">
        <f t="shared" si="354"/>
        <v>33.698276999999997</v>
      </c>
      <c r="C5722">
        <f t="shared" si="355"/>
        <v>-117.859948</v>
      </c>
      <c r="D5722">
        <f t="shared" si="356"/>
        <v>39</v>
      </c>
      <c r="E5722">
        <v>79.498999999999995</v>
      </c>
      <c r="F5722">
        <f t="shared" si="357"/>
        <v>-40.498999999999995</v>
      </c>
      <c r="G5722">
        <v>211.75</v>
      </c>
      <c r="H5722">
        <v>1.66</v>
      </c>
      <c r="I5722">
        <v>0.78300000000000003</v>
      </c>
      <c r="J5722">
        <v>9</v>
      </c>
      <c r="K5722">
        <v>41</v>
      </c>
      <c r="L5722">
        <v>21</v>
      </c>
      <c r="M5722" s="1">
        <v>9000000000</v>
      </c>
    </row>
    <row r="5723" spans="1:13" ht="15" customHeight="1">
      <c r="A5723" t="s">
        <v>61</v>
      </c>
      <c r="B5723">
        <f t="shared" si="354"/>
        <v>33.698276999999997</v>
      </c>
      <c r="C5723">
        <f t="shared" si="355"/>
        <v>-117.859948</v>
      </c>
      <c r="D5723">
        <f t="shared" si="356"/>
        <v>39</v>
      </c>
      <c r="E5723">
        <v>80.498999999999995</v>
      </c>
      <c r="F5723">
        <f t="shared" si="357"/>
        <v>-41.498999999999995</v>
      </c>
      <c r="G5723">
        <v>116.017</v>
      </c>
      <c r="H5723">
        <v>2.0569999999999999</v>
      </c>
      <c r="I5723">
        <v>1.7709999999999999</v>
      </c>
      <c r="J5723">
        <v>7</v>
      </c>
      <c r="K5723">
        <v>37</v>
      </c>
      <c r="L5723">
        <v>19</v>
      </c>
      <c r="M5723" s="1">
        <v>9000000000</v>
      </c>
    </row>
    <row r="5724" spans="1:13" ht="15" customHeight="1">
      <c r="A5724" t="s">
        <v>61</v>
      </c>
      <c r="B5724">
        <f t="shared" si="354"/>
        <v>33.698276999999997</v>
      </c>
      <c r="C5724">
        <f t="shared" si="355"/>
        <v>-117.859948</v>
      </c>
      <c r="D5724">
        <f t="shared" si="356"/>
        <v>39</v>
      </c>
      <c r="E5724">
        <v>81.498999999999995</v>
      </c>
      <c r="F5724">
        <f t="shared" si="357"/>
        <v>-42.498999999999995</v>
      </c>
      <c r="G5724">
        <v>69.900000000000006</v>
      </c>
      <c r="H5724">
        <v>2.9550000000000001</v>
      </c>
      <c r="I5724">
        <v>4.226</v>
      </c>
      <c r="J5724">
        <v>5</v>
      </c>
      <c r="K5724">
        <v>33</v>
      </c>
      <c r="L5724">
        <v>17</v>
      </c>
      <c r="M5724">
        <v>4.3250000000000002</v>
      </c>
    </row>
    <row r="5725" spans="1:13" ht="15" customHeight="1">
      <c r="A5725" t="s">
        <v>61</v>
      </c>
      <c r="B5725">
        <f t="shared" si="354"/>
        <v>33.698276999999997</v>
      </c>
      <c r="C5725">
        <f t="shared" si="355"/>
        <v>-117.859948</v>
      </c>
      <c r="D5725">
        <f t="shared" si="356"/>
        <v>39</v>
      </c>
      <c r="E5725">
        <v>82.498999999999995</v>
      </c>
      <c r="F5725">
        <f t="shared" si="357"/>
        <v>-43.498999999999995</v>
      </c>
      <c r="G5725">
        <v>43.9</v>
      </c>
      <c r="H5725">
        <v>2.17</v>
      </c>
      <c r="I5725">
        <v>4.9470000000000001</v>
      </c>
      <c r="J5725">
        <v>3</v>
      </c>
      <c r="K5725">
        <v>42</v>
      </c>
      <c r="L5725">
        <v>21</v>
      </c>
      <c r="M5725">
        <v>2.5840000000000001</v>
      </c>
    </row>
    <row r="5726" spans="1:13" ht="15" customHeight="1">
      <c r="A5726" t="s">
        <v>61</v>
      </c>
      <c r="B5726">
        <f t="shared" si="354"/>
        <v>33.698276999999997</v>
      </c>
      <c r="C5726">
        <f t="shared" si="355"/>
        <v>-117.859948</v>
      </c>
      <c r="D5726">
        <f t="shared" si="356"/>
        <v>39</v>
      </c>
      <c r="E5726">
        <v>83.498999999999995</v>
      </c>
      <c r="F5726">
        <f t="shared" si="357"/>
        <v>-44.498999999999995</v>
      </c>
      <c r="G5726">
        <v>125.786</v>
      </c>
      <c r="H5726">
        <v>4.1189999999999998</v>
      </c>
      <c r="I5726">
        <v>3.2749999999999999</v>
      </c>
      <c r="J5726">
        <v>6</v>
      </c>
      <c r="K5726">
        <v>48</v>
      </c>
      <c r="L5726">
        <v>24</v>
      </c>
      <c r="M5726">
        <v>8.0399999999999991</v>
      </c>
    </row>
    <row r="5727" spans="1:13" ht="15" customHeight="1">
      <c r="A5727" t="s">
        <v>61</v>
      </c>
      <c r="B5727">
        <f t="shared" si="354"/>
        <v>33.698276999999997</v>
      </c>
      <c r="C5727">
        <f t="shared" si="355"/>
        <v>-117.859948</v>
      </c>
      <c r="D5727">
        <f t="shared" si="356"/>
        <v>39</v>
      </c>
      <c r="E5727">
        <v>84.498999999999995</v>
      </c>
      <c r="F5727">
        <f t="shared" si="357"/>
        <v>-45.498999999999995</v>
      </c>
      <c r="G5727">
        <v>71.867000000000004</v>
      </c>
      <c r="H5727">
        <v>4.5880000000000001</v>
      </c>
      <c r="I5727">
        <v>6.3860000000000001</v>
      </c>
      <c r="J5727">
        <v>11</v>
      </c>
      <c r="K5727">
        <v>69</v>
      </c>
      <c r="L5727">
        <v>35</v>
      </c>
      <c r="M5727" s="1">
        <v>9000000000</v>
      </c>
    </row>
    <row r="5728" spans="1:13" ht="15" customHeight="1">
      <c r="A5728" t="s">
        <v>61</v>
      </c>
      <c r="B5728">
        <f t="shared" si="354"/>
        <v>33.698276999999997</v>
      </c>
      <c r="C5728">
        <f t="shared" si="355"/>
        <v>-117.859948</v>
      </c>
      <c r="D5728">
        <f t="shared" si="356"/>
        <v>39</v>
      </c>
      <c r="E5728">
        <v>85.498999999999995</v>
      </c>
      <c r="F5728">
        <f t="shared" si="357"/>
        <v>-46.498999999999995</v>
      </c>
      <c r="G5728">
        <v>45.017000000000003</v>
      </c>
      <c r="H5728">
        <v>2.7450000000000001</v>
      </c>
      <c r="I5728">
        <v>6.0979999999999999</v>
      </c>
      <c r="J5728">
        <v>3</v>
      </c>
      <c r="K5728">
        <v>43</v>
      </c>
      <c r="L5728">
        <v>22</v>
      </c>
      <c r="M5728">
        <v>2.6480000000000001</v>
      </c>
    </row>
    <row r="5729" spans="1:13" ht="15" customHeight="1">
      <c r="A5729" t="s">
        <v>61</v>
      </c>
      <c r="B5729">
        <f t="shared" si="354"/>
        <v>33.698276999999997</v>
      </c>
      <c r="C5729">
        <f t="shared" si="355"/>
        <v>-117.859948</v>
      </c>
      <c r="D5729">
        <f t="shared" si="356"/>
        <v>39</v>
      </c>
      <c r="E5729">
        <v>86.498999999999995</v>
      </c>
      <c r="F5729">
        <f t="shared" si="357"/>
        <v>-47.498999999999995</v>
      </c>
      <c r="G5729">
        <v>101.81699999999999</v>
      </c>
      <c r="H5729">
        <v>3.46</v>
      </c>
      <c r="I5729">
        <v>3.399</v>
      </c>
      <c r="J5729">
        <v>6</v>
      </c>
      <c r="K5729">
        <v>39</v>
      </c>
      <c r="L5729">
        <v>20</v>
      </c>
      <c r="M5729">
        <v>6.4290000000000003</v>
      </c>
    </row>
    <row r="5730" spans="1:13" ht="15" customHeight="1">
      <c r="A5730" t="s">
        <v>61</v>
      </c>
      <c r="B5730">
        <f t="shared" si="354"/>
        <v>33.698276999999997</v>
      </c>
      <c r="C5730">
        <f t="shared" si="355"/>
        <v>-117.859948</v>
      </c>
      <c r="D5730">
        <f t="shared" si="356"/>
        <v>39</v>
      </c>
      <c r="E5730">
        <v>87.498999999999995</v>
      </c>
      <c r="F5730">
        <f t="shared" si="357"/>
        <v>-48.498999999999995</v>
      </c>
      <c r="G5730">
        <v>70.933000000000007</v>
      </c>
      <c r="H5730">
        <v>2.9079999999999999</v>
      </c>
      <c r="I5730">
        <v>4.0999999999999996</v>
      </c>
      <c r="J5730">
        <v>5</v>
      </c>
      <c r="K5730">
        <v>34</v>
      </c>
      <c r="L5730">
        <v>17</v>
      </c>
      <c r="M5730">
        <v>4.367</v>
      </c>
    </row>
    <row r="5731" spans="1:13" ht="15" customHeight="1">
      <c r="A5731" t="s">
        <v>61</v>
      </c>
      <c r="B5731">
        <f t="shared" si="354"/>
        <v>33.698276999999997</v>
      </c>
      <c r="C5731">
        <f t="shared" si="355"/>
        <v>-117.859948</v>
      </c>
      <c r="D5731">
        <f t="shared" si="356"/>
        <v>39</v>
      </c>
      <c r="E5731">
        <v>88.498999999999995</v>
      </c>
      <c r="F5731">
        <f t="shared" si="357"/>
        <v>-49.498999999999995</v>
      </c>
      <c r="G5731">
        <v>76.382999999999996</v>
      </c>
      <c r="H5731">
        <v>2.89</v>
      </c>
      <c r="I5731">
        <v>3.7839999999999998</v>
      </c>
      <c r="J5731">
        <v>5</v>
      </c>
      <c r="K5731">
        <v>37</v>
      </c>
      <c r="L5731">
        <v>19</v>
      </c>
      <c r="M5731">
        <v>4.726</v>
      </c>
    </row>
    <row r="5732" spans="1:13" ht="15" customHeight="1">
      <c r="A5732" t="s">
        <v>61</v>
      </c>
      <c r="B5732">
        <f t="shared" si="354"/>
        <v>33.698276999999997</v>
      </c>
      <c r="C5732">
        <f t="shared" si="355"/>
        <v>-117.859948</v>
      </c>
      <c r="D5732">
        <f t="shared" si="356"/>
        <v>39</v>
      </c>
      <c r="E5732">
        <v>89.498999999999995</v>
      </c>
      <c r="F5732">
        <f t="shared" si="357"/>
        <v>-50.498999999999995</v>
      </c>
      <c r="G5732">
        <v>349.733</v>
      </c>
      <c r="H5732">
        <v>2.605</v>
      </c>
      <c r="I5732">
        <v>0.745</v>
      </c>
      <c r="J5732">
        <v>10</v>
      </c>
      <c r="K5732">
        <v>56</v>
      </c>
      <c r="L5732">
        <v>28</v>
      </c>
      <c r="M5732" s="1">
        <v>9000000000</v>
      </c>
    </row>
    <row r="5733" spans="1:13" ht="15" customHeight="1">
      <c r="A5733" t="s">
        <v>61</v>
      </c>
      <c r="B5733">
        <f t="shared" si="354"/>
        <v>33.698276999999997</v>
      </c>
      <c r="C5733">
        <f t="shared" si="355"/>
        <v>-117.859948</v>
      </c>
      <c r="D5733">
        <f t="shared" si="356"/>
        <v>39</v>
      </c>
      <c r="E5733">
        <v>90.498999999999995</v>
      </c>
      <c r="F5733">
        <f t="shared" si="357"/>
        <v>-51.498999999999995</v>
      </c>
      <c r="G5733">
        <v>326.39999999999998</v>
      </c>
      <c r="H5733">
        <v>2.04</v>
      </c>
      <c r="I5733">
        <v>0.625</v>
      </c>
      <c r="J5733">
        <v>10</v>
      </c>
      <c r="K5733">
        <v>52</v>
      </c>
      <c r="L5733">
        <v>26</v>
      </c>
      <c r="M5733" s="1">
        <v>9000000000</v>
      </c>
    </row>
    <row r="5734" spans="1:13" ht="15" customHeight="1">
      <c r="A5734" t="s">
        <v>61</v>
      </c>
      <c r="B5734">
        <f t="shared" si="354"/>
        <v>33.698276999999997</v>
      </c>
      <c r="C5734">
        <f t="shared" si="355"/>
        <v>-117.859948</v>
      </c>
      <c r="D5734">
        <f t="shared" si="356"/>
        <v>39</v>
      </c>
      <c r="E5734">
        <v>91.498999999999995</v>
      </c>
      <c r="F5734">
        <f t="shared" si="357"/>
        <v>-52.498999999999995</v>
      </c>
      <c r="G5734">
        <v>274.36700000000002</v>
      </c>
      <c r="H5734">
        <v>3.1280000000000001</v>
      </c>
      <c r="I5734">
        <v>1.1399999999999999</v>
      </c>
      <c r="J5734">
        <v>9</v>
      </c>
      <c r="K5734">
        <v>53</v>
      </c>
      <c r="L5734">
        <v>27</v>
      </c>
      <c r="M5734" s="1">
        <v>9000000000</v>
      </c>
    </row>
    <row r="5735" spans="1:13" ht="15" customHeight="1">
      <c r="A5735" t="s">
        <v>61</v>
      </c>
      <c r="B5735">
        <f t="shared" si="354"/>
        <v>33.698276999999997</v>
      </c>
      <c r="C5735">
        <f t="shared" si="355"/>
        <v>-117.859948</v>
      </c>
      <c r="D5735">
        <f t="shared" si="356"/>
        <v>39</v>
      </c>
      <c r="E5735">
        <v>92.498999999999995</v>
      </c>
      <c r="F5735">
        <f t="shared" si="357"/>
        <v>-53.498999999999995</v>
      </c>
      <c r="G5735">
        <v>271.2</v>
      </c>
      <c r="H5735">
        <v>3.3530000000000002</v>
      </c>
      <c r="I5735">
        <v>1.2370000000000001</v>
      </c>
      <c r="J5735">
        <v>9</v>
      </c>
      <c r="K5735">
        <v>52</v>
      </c>
      <c r="L5735">
        <v>26</v>
      </c>
      <c r="M5735" s="1">
        <v>9000000000</v>
      </c>
    </row>
    <row r="5736" spans="1:13" ht="15" customHeight="1">
      <c r="A5736" t="s">
        <v>61</v>
      </c>
      <c r="B5736">
        <f t="shared" si="354"/>
        <v>33.698276999999997</v>
      </c>
      <c r="C5736">
        <f t="shared" si="355"/>
        <v>-117.859948</v>
      </c>
      <c r="D5736">
        <f t="shared" si="356"/>
        <v>39</v>
      </c>
      <c r="E5736">
        <v>93.498999999999995</v>
      </c>
      <c r="F5736">
        <f t="shared" si="357"/>
        <v>-54.498999999999995</v>
      </c>
      <c r="G5736">
        <v>165.214</v>
      </c>
      <c r="H5736">
        <v>4.6070000000000002</v>
      </c>
      <c r="I5736">
        <v>2.7909999999999999</v>
      </c>
      <c r="J5736">
        <v>7</v>
      </c>
      <c r="K5736">
        <v>53</v>
      </c>
      <c r="L5736">
        <v>27</v>
      </c>
      <c r="M5736" s="1">
        <v>9000000000</v>
      </c>
    </row>
    <row r="5737" spans="1:13" ht="15" customHeight="1">
      <c r="A5737" t="s">
        <v>61</v>
      </c>
      <c r="B5737">
        <f t="shared" si="354"/>
        <v>33.698276999999997</v>
      </c>
      <c r="C5737">
        <f t="shared" si="355"/>
        <v>-117.859948</v>
      </c>
      <c r="D5737">
        <f t="shared" si="356"/>
        <v>39</v>
      </c>
      <c r="E5737">
        <v>94.498999999999995</v>
      </c>
      <c r="F5737">
        <f t="shared" si="357"/>
        <v>-55.498999999999995</v>
      </c>
      <c r="G5737">
        <v>166.7</v>
      </c>
      <c r="H5737">
        <v>3.8849999999999998</v>
      </c>
      <c r="I5737">
        <v>2.3330000000000002</v>
      </c>
      <c r="J5737">
        <v>7</v>
      </c>
      <c r="K5737">
        <v>53</v>
      </c>
      <c r="L5737">
        <v>27</v>
      </c>
      <c r="M5737" s="1">
        <v>9000000000</v>
      </c>
    </row>
    <row r="5738" spans="1:13" ht="15" customHeight="1">
      <c r="A5738" t="s">
        <v>61</v>
      </c>
      <c r="B5738">
        <f t="shared" si="354"/>
        <v>33.698276999999997</v>
      </c>
      <c r="C5738">
        <f t="shared" si="355"/>
        <v>-117.859948</v>
      </c>
      <c r="D5738">
        <f t="shared" si="356"/>
        <v>39</v>
      </c>
      <c r="E5738">
        <v>95.498999999999995</v>
      </c>
      <c r="F5738">
        <f t="shared" si="357"/>
        <v>-56.498999999999995</v>
      </c>
      <c r="G5738">
        <v>151.28299999999999</v>
      </c>
      <c r="H5738">
        <v>2.7570000000000001</v>
      </c>
      <c r="I5738">
        <v>1.8240000000000001</v>
      </c>
      <c r="J5738">
        <v>7</v>
      </c>
      <c r="K5738">
        <v>48</v>
      </c>
      <c r="L5738">
        <v>24</v>
      </c>
      <c r="M5738" s="1">
        <v>9000000000</v>
      </c>
    </row>
    <row r="5739" spans="1:13" ht="15" customHeight="1">
      <c r="A5739" t="s">
        <v>61</v>
      </c>
      <c r="B5739">
        <f t="shared" si="354"/>
        <v>33.698276999999997</v>
      </c>
      <c r="C5739">
        <f t="shared" si="355"/>
        <v>-117.859948</v>
      </c>
      <c r="D5739">
        <f t="shared" si="356"/>
        <v>39</v>
      </c>
      <c r="E5739">
        <v>96.498999999999995</v>
      </c>
      <c r="F5739">
        <f t="shared" si="357"/>
        <v>-57.498999999999995</v>
      </c>
      <c r="G5739">
        <v>118.35</v>
      </c>
      <c r="H5739">
        <v>2.5680000000000001</v>
      </c>
      <c r="I5739">
        <v>2.1720000000000002</v>
      </c>
      <c r="J5739">
        <v>7</v>
      </c>
      <c r="K5739">
        <v>38</v>
      </c>
      <c r="L5739">
        <v>19</v>
      </c>
      <c r="M5739" s="1">
        <v>9000000000</v>
      </c>
    </row>
    <row r="5740" spans="1:13" ht="15" customHeight="1">
      <c r="A5740" t="s">
        <v>61</v>
      </c>
      <c r="B5740">
        <f t="shared" si="354"/>
        <v>33.698276999999997</v>
      </c>
      <c r="C5740">
        <f t="shared" si="355"/>
        <v>-117.859948</v>
      </c>
      <c r="D5740">
        <f t="shared" si="356"/>
        <v>39</v>
      </c>
      <c r="E5740">
        <v>97.498999999999995</v>
      </c>
      <c r="F5740">
        <f t="shared" si="357"/>
        <v>-58.498999999999995</v>
      </c>
      <c r="G5740">
        <v>172.95</v>
      </c>
      <c r="H5740">
        <v>4.0919999999999996</v>
      </c>
      <c r="I5740">
        <v>2.367</v>
      </c>
      <c r="J5740">
        <v>7</v>
      </c>
      <c r="K5740">
        <v>55</v>
      </c>
      <c r="L5740">
        <v>28</v>
      </c>
      <c r="M5740" s="1">
        <v>9000000000</v>
      </c>
    </row>
    <row r="5741" spans="1:13" ht="15" customHeight="1">
      <c r="A5741" t="s">
        <v>61</v>
      </c>
      <c r="B5741">
        <f t="shared" si="354"/>
        <v>33.698276999999997</v>
      </c>
      <c r="C5741">
        <f t="shared" si="355"/>
        <v>-117.859948</v>
      </c>
      <c r="D5741">
        <f t="shared" si="356"/>
        <v>39</v>
      </c>
      <c r="E5741">
        <v>98.498999999999995</v>
      </c>
      <c r="F5741">
        <f t="shared" si="357"/>
        <v>-59.498999999999995</v>
      </c>
      <c r="G5741">
        <v>228</v>
      </c>
      <c r="H5741">
        <v>3.3849999999999998</v>
      </c>
      <c r="I5741">
        <v>1.4850000000000001</v>
      </c>
      <c r="J5741">
        <v>8</v>
      </c>
      <c r="K5741">
        <v>55</v>
      </c>
      <c r="L5741">
        <v>28</v>
      </c>
      <c r="M5741" s="1">
        <v>9000000000</v>
      </c>
    </row>
    <row r="5742" spans="1:13" ht="15" customHeight="1">
      <c r="A5742" t="s">
        <v>61</v>
      </c>
      <c r="B5742">
        <f t="shared" si="354"/>
        <v>33.698276999999997</v>
      </c>
      <c r="C5742">
        <f t="shared" si="355"/>
        <v>-117.859948</v>
      </c>
      <c r="D5742">
        <f t="shared" si="356"/>
        <v>39</v>
      </c>
      <c r="E5742">
        <v>99.498999999999995</v>
      </c>
      <c r="F5742">
        <f t="shared" si="357"/>
        <v>-60.498999999999995</v>
      </c>
      <c r="G5742">
        <v>111.367</v>
      </c>
      <c r="H5742">
        <v>3.3519999999999999</v>
      </c>
      <c r="I5742">
        <v>3.0110000000000001</v>
      </c>
      <c r="J5742">
        <v>6</v>
      </c>
      <c r="K5742">
        <v>43</v>
      </c>
      <c r="L5742">
        <v>22</v>
      </c>
      <c r="M5742">
        <v>7.01</v>
      </c>
    </row>
    <row r="5743" spans="1:13" ht="15" customHeight="1">
      <c r="A5743" t="s">
        <v>61</v>
      </c>
      <c r="B5743">
        <f t="shared" si="354"/>
        <v>33.698276999999997</v>
      </c>
      <c r="C5743">
        <f t="shared" si="355"/>
        <v>-117.859948</v>
      </c>
      <c r="D5743">
        <f t="shared" si="356"/>
        <v>39</v>
      </c>
      <c r="E5743">
        <v>100.499</v>
      </c>
      <c r="F5743">
        <f t="shared" si="357"/>
        <v>-61.498999999999995</v>
      </c>
      <c r="G5743">
        <v>162.05000000000001</v>
      </c>
      <c r="H5743">
        <v>4.4429999999999996</v>
      </c>
      <c r="I5743">
        <v>2.7429999999999999</v>
      </c>
      <c r="J5743">
        <v>7</v>
      </c>
      <c r="K5743">
        <v>52</v>
      </c>
      <c r="L5743">
        <v>26</v>
      </c>
      <c r="M5743" s="1">
        <v>9000000000</v>
      </c>
    </row>
    <row r="5744" spans="1:13" ht="15" customHeight="1">
      <c r="A5744" t="s">
        <v>61</v>
      </c>
      <c r="B5744">
        <f t="shared" si="354"/>
        <v>33.698276999999997</v>
      </c>
      <c r="C5744">
        <f t="shared" si="355"/>
        <v>-117.859948</v>
      </c>
      <c r="D5744">
        <f t="shared" si="356"/>
        <v>39</v>
      </c>
      <c r="E5744">
        <v>101.499</v>
      </c>
      <c r="F5744">
        <f t="shared" si="357"/>
        <v>-62.498999999999995</v>
      </c>
      <c r="G5744">
        <v>150.38300000000001</v>
      </c>
      <c r="H5744">
        <v>3.8029999999999999</v>
      </c>
      <c r="I5744">
        <v>2.5299999999999998</v>
      </c>
      <c r="J5744">
        <v>7</v>
      </c>
      <c r="K5744">
        <v>48</v>
      </c>
      <c r="L5744">
        <v>24</v>
      </c>
      <c r="M5744" s="1">
        <v>9000000000</v>
      </c>
    </row>
    <row r="5745" spans="1:13" ht="15" customHeight="1">
      <c r="A5745" t="s">
        <v>61</v>
      </c>
      <c r="B5745">
        <f t="shared" si="354"/>
        <v>33.698276999999997</v>
      </c>
      <c r="C5745">
        <f t="shared" si="355"/>
        <v>-117.859948</v>
      </c>
      <c r="D5745">
        <f t="shared" si="356"/>
        <v>39</v>
      </c>
      <c r="E5745">
        <v>102.499</v>
      </c>
      <c r="F5745">
        <f t="shared" si="357"/>
        <v>-63.498999999999995</v>
      </c>
      <c r="G5745">
        <v>156.31700000000001</v>
      </c>
      <c r="H5745">
        <v>3.4820000000000002</v>
      </c>
      <c r="I5745">
        <v>2.2280000000000002</v>
      </c>
      <c r="J5745">
        <v>7</v>
      </c>
      <c r="K5745">
        <v>50</v>
      </c>
      <c r="L5745">
        <v>25</v>
      </c>
      <c r="M5745" s="1">
        <v>9000000000</v>
      </c>
    </row>
    <row r="5746" spans="1:13" ht="15" customHeight="1">
      <c r="A5746" t="s">
        <v>61</v>
      </c>
      <c r="B5746">
        <f t="shared" si="354"/>
        <v>33.698276999999997</v>
      </c>
      <c r="C5746">
        <f t="shared" si="355"/>
        <v>-117.859948</v>
      </c>
      <c r="D5746">
        <f t="shared" si="356"/>
        <v>39</v>
      </c>
      <c r="E5746">
        <v>103.499</v>
      </c>
      <c r="F5746">
        <f t="shared" si="357"/>
        <v>-64.498999999999995</v>
      </c>
      <c r="G5746">
        <v>105.31699999999999</v>
      </c>
      <c r="H5746">
        <v>2.8319999999999999</v>
      </c>
      <c r="I5746">
        <v>2.69</v>
      </c>
      <c r="J5746">
        <v>6</v>
      </c>
      <c r="K5746">
        <v>40</v>
      </c>
      <c r="L5746">
        <v>20</v>
      </c>
      <c r="M5746">
        <v>6.5890000000000004</v>
      </c>
    </row>
    <row r="5747" spans="1:13" ht="15" customHeight="1">
      <c r="A5747" t="s">
        <v>61</v>
      </c>
      <c r="B5747">
        <f t="shared" si="354"/>
        <v>33.698276999999997</v>
      </c>
      <c r="C5747">
        <f t="shared" si="355"/>
        <v>-117.859948</v>
      </c>
      <c r="D5747">
        <f t="shared" si="356"/>
        <v>39</v>
      </c>
      <c r="E5747">
        <v>104.499</v>
      </c>
      <c r="F5747">
        <f t="shared" si="357"/>
        <v>-65.498999999999995</v>
      </c>
      <c r="G5747">
        <v>211.41399999999999</v>
      </c>
      <c r="H5747">
        <v>3.7410000000000001</v>
      </c>
      <c r="I5747">
        <v>1.77</v>
      </c>
      <c r="J5747">
        <v>8</v>
      </c>
      <c r="K5747">
        <v>51</v>
      </c>
      <c r="L5747">
        <v>26</v>
      </c>
      <c r="M5747" s="1">
        <v>9000000000</v>
      </c>
    </row>
    <row r="5748" spans="1:13" ht="15" customHeight="1">
      <c r="A5748" t="s">
        <v>61</v>
      </c>
      <c r="B5748">
        <f t="shared" si="354"/>
        <v>33.698276999999997</v>
      </c>
      <c r="C5748">
        <f t="shared" si="355"/>
        <v>-117.859948</v>
      </c>
      <c r="D5748">
        <f t="shared" si="356"/>
        <v>39</v>
      </c>
      <c r="E5748">
        <v>105.499</v>
      </c>
      <c r="F5748">
        <f t="shared" si="357"/>
        <v>-66.498999999999995</v>
      </c>
      <c r="G5748">
        <v>129.9</v>
      </c>
      <c r="H5748">
        <v>3.3319999999999999</v>
      </c>
      <c r="I5748">
        <v>2.5659999999999998</v>
      </c>
      <c r="J5748">
        <v>7</v>
      </c>
      <c r="K5748">
        <v>41</v>
      </c>
      <c r="L5748">
        <v>21</v>
      </c>
      <c r="M5748" s="1">
        <v>9000000000</v>
      </c>
    </row>
    <row r="5749" spans="1:13" ht="15" customHeight="1">
      <c r="A5749" t="s">
        <v>61</v>
      </c>
      <c r="B5749">
        <f t="shared" si="354"/>
        <v>33.698276999999997</v>
      </c>
      <c r="C5749">
        <f t="shared" si="355"/>
        <v>-117.859948</v>
      </c>
      <c r="D5749">
        <f t="shared" si="356"/>
        <v>39</v>
      </c>
      <c r="E5749">
        <v>106.499</v>
      </c>
      <c r="F5749">
        <f t="shared" si="357"/>
        <v>-67.498999999999995</v>
      </c>
      <c r="G5749">
        <v>76.617000000000004</v>
      </c>
      <c r="H5749">
        <v>2.3980000000000001</v>
      </c>
      <c r="I5749">
        <v>3.1320000000000001</v>
      </c>
      <c r="J5749">
        <v>6</v>
      </c>
      <c r="K5749">
        <v>29</v>
      </c>
      <c r="L5749">
        <v>15</v>
      </c>
      <c r="M5749">
        <v>4.6660000000000004</v>
      </c>
    </row>
    <row r="5750" spans="1:13" ht="15" customHeight="1">
      <c r="A5750" t="s">
        <v>61</v>
      </c>
      <c r="B5750">
        <f t="shared" si="354"/>
        <v>33.698276999999997</v>
      </c>
      <c r="C5750">
        <f t="shared" si="355"/>
        <v>-117.859948</v>
      </c>
      <c r="D5750">
        <f t="shared" si="356"/>
        <v>39</v>
      </c>
      <c r="E5750">
        <v>107.499</v>
      </c>
      <c r="F5750">
        <f t="shared" si="357"/>
        <v>-68.498999999999995</v>
      </c>
      <c r="G5750">
        <v>109.93300000000001</v>
      </c>
      <c r="H5750">
        <v>3.573</v>
      </c>
      <c r="I5750">
        <v>3.2530000000000001</v>
      </c>
      <c r="J5750">
        <v>6</v>
      </c>
      <c r="K5750">
        <v>42</v>
      </c>
      <c r="L5750">
        <v>21</v>
      </c>
      <c r="M5750">
        <v>6.8780000000000001</v>
      </c>
    </row>
    <row r="5751" spans="1:13" ht="15" customHeight="1">
      <c r="A5751" t="s">
        <v>61</v>
      </c>
      <c r="B5751">
        <f t="shared" si="354"/>
        <v>33.698276999999997</v>
      </c>
      <c r="C5751">
        <f t="shared" si="355"/>
        <v>-117.859948</v>
      </c>
      <c r="D5751">
        <f t="shared" si="356"/>
        <v>39</v>
      </c>
      <c r="E5751">
        <v>108.499</v>
      </c>
      <c r="F5751">
        <f t="shared" si="357"/>
        <v>-69.498999999999995</v>
      </c>
      <c r="G5751">
        <v>28.65</v>
      </c>
      <c r="H5751">
        <v>1.0149999999999999</v>
      </c>
      <c r="I5751">
        <v>3.5529999999999999</v>
      </c>
      <c r="J5751">
        <v>5</v>
      </c>
      <c r="K5751">
        <v>14</v>
      </c>
      <c r="L5751">
        <v>7</v>
      </c>
      <c r="M5751">
        <v>1.456</v>
      </c>
    </row>
    <row r="5752" spans="1:13" ht="15" customHeight="1">
      <c r="A5752" t="s">
        <v>61</v>
      </c>
      <c r="B5752">
        <f t="shared" si="354"/>
        <v>33.698276999999997</v>
      </c>
      <c r="C5752">
        <f t="shared" si="355"/>
        <v>-117.859948</v>
      </c>
      <c r="D5752">
        <f t="shared" si="356"/>
        <v>39</v>
      </c>
      <c r="E5752">
        <v>109.499</v>
      </c>
      <c r="F5752">
        <f t="shared" si="357"/>
        <v>-70.498999999999995</v>
      </c>
      <c r="G5752">
        <v>79.233000000000004</v>
      </c>
      <c r="H5752">
        <v>2.302</v>
      </c>
      <c r="I5752">
        <v>2.907</v>
      </c>
      <c r="J5752">
        <v>6</v>
      </c>
      <c r="K5752">
        <v>30</v>
      </c>
      <c r="L5752">
        <v>15</v>
      </c>
      <c r="M5752">
        <v>4.8259999999999996</v>
      </c>
    </row>
    <row r="5753" spans="1:13" ht="15" customHeight="1">
      <c r="A5753" t="s">
        <v>61</v>
      </c>
      <c r="B5753">
        <f t="shared" si="354"/>
        <v>33.698276999999997</v>
      </c>
      <c r="C5753">
        <f t="shared" si="355"/>
        <v>-117.859948</v>
      </c>
      <c r="D5753">
        <f t="shared" si="356"/>
        <v>39</v>
      </c>
      <c r="E5753">
        <v>110.499</v>
      </c>
      <c r="F5753">
        <f t="shared" si="357"/>
        <v>-71.498999999999995</v>
      </c>
      <c r="G5753">
        <v>92.6</v>
      </c>
      <c r="H5753">
        <v>3.39</v>
      </c>
      <c r="I5753">
        <v>3.6640000000000001</v>
      </c>
      <c r="J5753">
        <v>6</v>
      </c>
      <c r="K5753">
        <v>35</v>
      </c>
      <c r="L5753">
        <v>18</v>
      </c>
      <c r="M5753">
        <v>5.7119999999999997</v>
      </c>
    </row>
    <row r="5754" spans="1:13" ht="15" customHeight="1">
      <c r="A5754" t="s">
        <v>61</v>
      </c>
      <c r="B5754">
        <f t="shared" si="354"/>
        <v>33.698276999999997</v>
      </c>
      <c r="C5754">
        <f t="shared" si="355"/>
        <v>-117.859948</v>
      </c>
      <c r="D5754">
        <f t="shared" si="356"/>
        <v>39</v>
      </c>
      <c r="E5754">
        <v>111.499</v>
      </c>
      <c r="F5754">
        <f t="shared" si="357"/>
        <v>-72.498999999999995</v>
      </c>
      <c r="G5754">
        <v>56.667000000000002</v>
      </c>
      <c r="H5754">
        <v>2.1080000000000001</v>
      </c>
      <c r="I5754">
        <v>3.7229999999999999</v>
      </c>
      <c r="J5754">
        <v>5</v>
      </c>
      <c r="K5754">
        <v>27</v>
      </c>
      <c r="L5754">
        <v>14</v>
      </c>
      <c r="M5754">
        <v>3.3149999999999999</v>
      </c>
    </row>
    <row r="5755" spans="1:13" ht="15" customHeight="1">
      <c r="A5755" t="s">
        <v>61</v>
      </c>
      <c r="B5755">
        <f t="shared" si="354"/>
        <v>33.698276999999997</v>
      </c>
      <c r="C5755">
        <f t="shared" si="355"/>
        <v>-117.859948</v>
      </c>
      <c r="D5755">
        <f t="shared" si="356"/>
        <v>39</v>
      </c>
      <c r="E5755">
        <v>112.499</v>
      </c>
      <c r="F5755">
        <f t="shared" si="357"/>
        <v>-73.498999999999995</v>
      </c>
      <c r="G5755">
        <v>30.4</v>
      </c>
      <c r="H5755">
        <v>1.1970000000000001</v>
      </c>
      <c r="I5755">
        <v>3.9430000000000001</v>
      </c>
      <c r="J5755">
        <v>4</v>
      </c>
      <c r="K5755">
        <v>19</v>
      </c>
      <c r="L5755">
        <v>10</v>
      </c>
      <c r="M5755">
        <v>1.5589999999999999</v>
      </c>
    </row>
    <row r="5756" spans="1:13" ht="15" customHeight="1">
      <c r="A5756" t="s">
        <v>61</v>
      </c>
      <c r="B5756">
        <f t="shared" si="354"/>
        <v>33.698276999999997</v>
      </c>
      <c r="C5756">
        <f t="shared" si="355"/>
        <v>-117.859948</v>
      </c>
      <c r="D5756">
        <f t="shared" si="356"/>
        <v>39</v>
      </c>
      <c r="E5756">
        <v>113.499</v>
      </c>
      <c r="F5756">
        <f t="shared" si="357"/>
        <v>-74.498999999999995</v>
      </c>
      <c r="G5756">
        <v>31.516999999999999</v>
      </c>
      <c r="H5756">
        <v>1.165</v>
      </c>
      <c r="I5756">
        <v>3.702</v>
      </c>
      <c r="J5756">
        <v>5</v>
      </c>
      <c r="K5756">
        <v>15</v>
      </c>
      <c r="L5756">
        <v>8</v>
      </c>
      <c r="M5756">
        <v>1.629</v>
      </c>
    </row>
    <row r="5757" spans="1:13" ht="15" customHeight="1">
      <c r="A5757" t="s">
        <v>61</v>
      </c>
      <c r="B5757">
        <f t="shared" si="354"/>
        <v>33.698276999999997</v>
      </c>
      <c r="C5757">
        <f t="shared" si="355"/>
        <v>-117.859948</v>
      </c>
      <c r="D5757">
        <f t="shared" si="356"/>
        <v>39</v>
      </c>
      <c r="E5757">
        <v>114.499</v>
      </c>
      <c r="F5757">
        <f t="shared" si="357"/>
        <v>-75.498999999999995</v>
      </c>
      <c r="G5757">
        <v>31.443000000000001</v>
      </c>
      <c r="H5757">
        <v>1.357</v>
      </c>
      <c r="I5757">
        <v>4.3220000000000001</v>
      </c>
      <c r="J5757">
        <v>4</v>
      </c>
      <c r="K5757">
        <v>20</v>
      </c>
      <c r="L5757">
        <v>10</v>
      </c>
      <c r="M5757">
        <v>1.62</v>
      </c>
    </row>
    <row r="5758" spans="1:13" ht="15" customHeight="1">
      <c r="A5758" t="s">
        <v>61</v>
      </c>
      <c r="B5758">
        <f t="shared" si="354"/>
        <v>33.698276999999997</v>
      </c>
      <c r="C5758">
        <f t="shared" si="355"/>
        <v>-117.859948</v>
      </c>
      <c r="D5758">
        <f t="shared" si="356"/>
        <v>39</v>
      </c>
      <c r="E5758">
        <v>115.499</v>
      </c>
      <c r="F5758">
        <f t="shared" si="357"/>
        <v>-76.498999999999995</v>
      </c>
      <c r="G5758">
        <v>33.417000000000002</v>
      </c>
      <c r="H5758">
        <v>1.498</v>
      </c>
      <c r="I5758">
        <v>4.4859999999999998</v>
      </c>
      <c r="J5758">
        <v>4</v>
      </c>
      <c r="K5758">
        <v>21</v>
      </c>
      <c r="L5758">
        <v>11</v>
      </c>
      <c r="M5758">
        <v>1.7490000000000001</v>
      </c>
    </row>
    <row r="5759" spans="1:13" ht="15" customHeight="1">
      <c r="A5759" t="s">
        <v>61</v>
      </c>
      <c r="B5759">
        <f t="shared" si="354"/>
        <v>33.698276999999997</v>
      </c>
      <c r="C5759">
        <f t="shared" si="355"/>
        <v>-117.859948</v>
      </c>
      <c r="D5759">
        <f t="shared" si="356"/>
        <v>39</v>
      </c>
      <c r="E5759">
        <v>116.499</v>
      </c>
      <c r="F5759">
        <f t="shared" si="357"/>
        <v>-77.498999999999995</v>
      </c>
      <c r="G5759">
        <v>34.549999999999997</v>
      </c>
      <c r="H5759">
        <v>1.5780000000000001</v>
      </c>
      <c r="I5759">
        <v>4.5730000000000004</v>
      </c>
      <c r="J5759">
        <v>4</v>
      </c>
      <c r="K5759">
        <v>22</v>
      </c>
      <c r="L5759">
        <v>11</v>
      </c>
      <c r="M5759">
        <v>1.82</v>
      </c>
    </row>
    <row r="5760" spans="1:13" ht="15" customHeight="1">
      <c r="A5760" t="s">
        <v>61</v>
      </c>
      <c r="B5760">
        <f t="shared" si="354"/>
        <v>33.698276999999997</v>
      </c>
      <c r="C5760">
        <f t="shared" si="355"/>
        <v>-117.859948</v>
      </c>
      <c r="D5760">
        <f t="shared" si="356"/>
        <v>39</v>
      </c>
      <c r="E5760">
        <v>117.498</v>
      </c>
      <c r="F5760">
        <f t="shared" si="357"/>
        <v>-78.498000000000005</v>
      </c>
      <c r="G5760">
        <v>34.35</v>
      </c>
      <c r="H5760">
        <v>1.4</v>
      </c>
      <c r="I5760">
        <v>4.0780000000000003</v>
      </c>
      <c r="J5760">
        <v>4</v>
      </c>
      <c r="K5760">
        <v>22</v>
      </c>
      <c r="L5760">
        <v>11</v>
      </c>
      <c r="M5760">
        <v>1.8029999999999999</v>
      </c>
    </row>
    <row r="5761" spans="1:13" ht="15" customHeight="1">
      <c r="A5761" t="s">
        <v>61</v>
      </c>
      <c r="B5761">
        <f t="shared" si="354"/>
        <v>33.698276999999997</v>
      </c>
      <c r="C5761">
        <f t="shared" si="355"/>
        <v>-117.859948</v>
      </c>
      <c r="D5761">
        <f t="shared" si="356"/>
        <v>39</v>
      </c>
      <c r="E5761">
        <v>118.498</v>
      </c>
      <c r="F5761">
        <f t="shared" si="357"/>
        <v>-79.498000000000005</v>
      </c>
      <c r="G5761">
        <v>32.450000000000003</v>
      </c>
      <c r="H5761">
        <v>1.325</v>
      </c>
      <c r="I5761">
        <v>4.0830000000000002</v>
      </c>
      <c r="J5761">
        <v>4</v>
      </c>
      <c r="K5761">
        <v>21</v>
      </c>
      <c r="L5761">
        <v>11</v>
      </c>
      <c r="M5761">
        <v>1.6739999999999999</v>
      </c>
    </row>
    <row r="5762" spans="1:13" ht="15" customHeight="1">
      <c r="A5762" t="s">
        <v>61</v>
      </c>
      <c r="B5762">
        <f t="shared" ref="B5762:B5825" si="358">VLOOKUP(A5762,XYdata,3,FALSE)</f>
        <v>33.698276999999997</v>
      </c>
      <c r="C5762">
        <f t="shared" ref="C5762:C5825" si="359">VLOOKUP(A5762,XYdata,2,FALSE)</f>
        <v>-117.859948</v>
      </c>
      <c r="D5762">
        <f t="shared" ref="D5762:D5825" si="360">VLOOKUP(A5762,Elevation,2,FALSE)</f>
        <v>39</v>
      </c>
      <c r="E5762">
        <v>119.498</v>
      </c>
      <c r="F5762">
        <f t="shared" si="357"/>
        <v>-80.498000000000005</v>
      </c>
      <c r="G5762">
        <v>34.616999999999997</v>
      </c>
      <c r="H5762">
        <v>1.4830000000000001</v>
      </c>
      <c r="I5762">
        <v>4.2850000000000001</v>
      </c>
      <c r="J5762">
        <v>4</v>
      </c>
      <c r="K5762">
        <v>22</v>
      </c>
      <c r="L5762">
        <v>11</v>
      </c>
      <c r="M5762">
        <v>1.8140000000000001</v>
      </c>
    </row>
    <row r="5763" spans="1:13" ht="15" customHeight="1">
      <c r="A5763" t="s">
        <v>61</v>
      </c>
      <c r="B5763">
        <f t="shared" si="358"/>
        <v>33.698276999999997</v>
      </c>
      <c r="C5763">
        <f t="shared" si="359"/>
        <v>-117.859948</v>
      </c>
      <c r="D5763">
        <f t="shared" si="360"/>
        <v>39</v>
      </c>
      <c r="E5763">
        <v>120.498</v>
      </c>
      <c r="F5763">
        <f t="shared" ref="F5763:F5826" si="361">D5763-E5763</f>
        <v>-81.498000000000005</v>
      </c>
      <c r="G5763">
        <v>33.950000000000003</v>
      </c>
      <c r="H5763">
        <v>1.802</v>
      </c>
      <c r="I5763">
        <v>5.3019999999999996</v>
      </c>
      <c r="J5763">
        <v>3</v>
      </c>
      <c r="K5763">
        <v>33</v>
      </c>
      <c r="L5763">
        <v>17</v>
      </c>
      <c r="M5763">
        <v>1.7669999999999999</v>
      </c>
    </row>
    <row r="5764" spans="1:13" ht="15" customHeight="1">
      <c r="A5764" t="s">
        <v>61</v>
      </c>
      <c r="B5764">
        <f t="shared" si="358"/>
        <v>33.698276999999997</v>
      </c>
      <c r="C5764">
        <f t="shared" si="359"/>
        <v>-117.859948</v>
      </c>
      <c r="D5764">
        <f t="shared" si="360"/>
        <v>39</v>
      </c>
      <c r="E5764">
        <v>121.498</v>
      </c>
      <c r="F5764">
        <f t="shared" si="361"/>
        <v>-82.498000000000005</v>
      </c>
      <c r="G5764">
        <v>30.917000000000002</v>
      </c>
      <c r="H5764">
        <v>1.1220000000000001</v>
      </c>
      <c r="I5764">
        <v>3.6259999999999999</v>
      </c>
      <c r="J5764">
        <v>5</v>
      </c>
      <c r="K5764">
        <v>15</v>
      </c>
      <c r="L5764">
        <v>8</v>
      </c>
      <c r="M5764">
        <v>1.56</v>
      </c>
    </row>
    <row r="5765" spans="1:13" ht="15" customHeight="1">
      <c r="A5765" t="s">
        <v>61</v>
      </c>
      <c r="B5765">
        <f t="shared" si="358"/>
        <v>33.698276999999997</v>
      </c>
      <c r="C5765">
        <f t="shared" si="359"/>
        <v>-117.859948</v>
      </c>
      <c r="D5765">
        <f t="shared" si="360"/>
        <v>39</v>
      </c>
      <c r="E5765">
        <v>122.498</v>
      </c>
      <c r="F5765">
        <f t="shared" si="361"/>
        <v>-83.498000000000005</v>
      </c>
      <c r="G5765">
        <v>34.082999999999998</v>
      </c>
      <c r="H5765">
        <v>1.4970000000000001</v>
      </c>
      <c r="I5765">
        <v>4.3890000000000002</v>
      </c>
      <c r="J5765">
        <v>4</v>
      </c>
      <c r="K5765">
        <v>22</v>
      </c>
      <c r="L5765">
        <v>11</v>
      </c>
      <c r="M5765">
        <v>1.7669999999999999</v>
      </c>
    </row>
    <row r="5766" spans="1:13" ht="15" customHeight="1">
      <c r="A5766" t="s">
        <v>61</v>
      </c>
      <c r="B5766">
        <f t="shared" si="358"/>
        <v>33.698276999999997</v>
      </c>
      <c r="C5766">
        <f t="shared" si="359"/>
        <v>-117.859948</v>
      </c>
      <c r="D5766">
        <f t="shared" si="360"/>
        <v>39</v>
      </c>
      <c r="E5766">
        <v>123.498</v>
      </c>
      <c r="F5766">
        <f t="shared" si="361"/>
        <v>-84.498000000000005</v>
      </c>
      <c r="G5766">
        <v>30.167000000000002</v>
      </c>
      <c r="H5766">
        <v>1.2769999999999999</v>
      </c>
      <c r="I5766">
        <v>4.2300000000000004</v>
      </c>
      <c r="J5766">
        <v>4</v>
      </c>
      <c r="K5766">
        <v>19</v>
      </c>
      <c r="L5766">
        <v>10</v>
      </c>
      <c r="M5766">
        <v>1.502</v>
      </c>
    </row>
    <row r="5767" spans="1:13" ht="15" customHeight="1">
      <c r="A5767" t="s">
        <v>61</v>
      </c>
      <c r="B5767">
        <f t="shared" si="358"/>
        <v>33.698276999999997</v>
      </c>
      <c r="C5767">
        <f t="shared" si="359"/>
        <v>-117.859948</v>
      </c>
      <c r="D5767">
        <f t="shared" si="360"/>
        <v>39</v>
      </c>
      <c r="E5767">
        <v>124.498</v>
      </c>
      <c r="F5767">
        <f t="shared" si="361"/>
        <v>-85.498000000000005</v>
      </c>
      <c r="G5767">
        <v>32.716999999999999</v>
      </c>
      <c r="H5767">
        <v>1.407</v>
      </c>
      <c r="I5767">
        <v>4.2889999999999997</v>
      </c>
      <c r="J5767">
        <v>4</v>
      </c>
      <c r="K5767">
        <v>21</v>
      </c>
      <c r="L5767">
        <v>11</v>
      </c>
      <c r="M5767">
        <v>1.6719999999999999</v>
      </c>
    </row>
    <row r="5768" spans="1:13" ht="15" customHeight="1">
      <c r="A5768" t="s">
        <v>61</v>
      </c>
      <c r="B5768">
        <f t="shared" si="358"/>
        <v>33.698276999999997</v>
      </c>
      <c r="C5768">
        <f t="shared" si="359"/>
        <v>-117.859948</v>
      </c>
      <c r="D5768">
        <f t="shared" si="360"/>
        <v>39</v>
      </c>
      <c r="E5768">
        <v>125.498</v>
      </c>
      <c r="F5768">
        <f t="shared" si="361"/>
        <v>-86.498000000000005</v>
      </c>
      <c r="G5768">
        <v>33.113999999999997</v>
      </c>
      <c r="H5768">
        <v>1.323</v>
      </c>
      <c r="I5768">
        <v>3.9849999999999999</v>
      </c>
      <c r="J5768">
        <v>4</v>
      </c>
      <c r="K5768">
        <v>21</v>
      </c>
      <c r="L5768">
        <v>11</v>
      </c>
      <c r="M5768">
        <v>1.694</v>
      </c>
    </row>
    <row r="5769" spans="1:13" ht="15" customHeight="1">
      <c r="A5769" t="s">
        <v>61</v>
      </c>
      <c r="B5769">
        <f t="shared" si="358"/>
        <v>33.698276999999997</v>
      </c>
      <c r="C5769">
        <f t="shared" si="359"/>
        <v>-117.859948</v>
      </c>
      <c r="D5769">
        <f t="shared" si="360"/>
        <v>39</v>
      </c>
      <c r="E5769">
        <v>126.498</v>
      </c>
      <c r="F5769">
        <f t="shared" si="361"/>
        <v>-87.498000000000005</v>
      </c>
      <c r="G5769">
        <v>35.65</v>
      </c>
      <c r="H5769">
        <v>1.645</v>
      </c>
      <c r="I5769">
        <v>4.6059999999999999</v>
      </c>
      <c r="J5769">
        <v>4</v>
      </c>
      <c r="K5769">
        <v>23</v>
      </c>
      <c r="L5769">
        <v>12</v>
      </c>
      <c r="M5769">
        <v>1.8580000000000001</v>
      </c>
    </row>
    <row r="5770" spans="1:13" ht="15" customHeight="1">
      <c r="A5770" t="s">
        <v>61</v>
      </c>
      <c r="B5770">
        <f t="shared" si="358"/>
        <v>33.698276999999997</v>
      </c>
      <c r="C5770">
        <f t="shared" si="359"/>
        <v>-117.859948</v>
      </c>
      <c r="D5770">
        <f t="shared" si="360"/>
        <v>39</v>
      </c>
      <c r="E5770">
        <v>127.498</v>
      </c>
      <c r="F5770">
        <f t="shared" si="361"/>
        <v>-88.498000000000005</v>
      </c>
      <c r="G5770">
        <v>35.317</v>
      </c>
      <c r="H5770">
        <v>1.6919999999999999</v>
      </c>
      <c r="I5770">
        <v>4.7789999999999999</v>
      </c>
      <c r="J5770">
        <v>3</v>
      </c>
      <c r="K5770">
        <v>34</v>
      </c>
      <c r="L5770">
        <v>17</v>
      </c>
      <c r="M5770">
        <v>1.833</v>
      </c>
    </row>
    <row r="5771" spans="1:13" ht="15" customHeight="1">
      <c r="A5771" t="s">
        <v>61</v>
      </c>
      <c r="B5771">
        <f t="shared" si="358"/>
        <v>33.698276999999997</v>
      </c>
      <c r="C5771">
        <f t="shared" si="359"/>
        <v>-117.859948</v>
      </c>
      <c r="D5771">
        <f t="shared" si="360"/>
        <v>39</v>
      </c>
      <c r="E5771">
        <v>128.49799999999999</v>
      </c>
      <c r="F5771">
        <f t="shared" si="361"/>
        <v>-89.49799999999999</v>
      </c>
      <c r="G5771">
        <v>37.299999999999997</v>
      </c>
      <c r="H5771">
        <v>1.7729999999999999</v>
      </c>
      <c r="I5771">
        <v>4.742</v>
      </c>
      <c r="J5771">
        <v>4</v>
      </c>
      <c r="K5771">
        <v>24</v>
      </c>
      <c r="L5771">
        <v>12</v>
      </c>
      <c r="M5771">
        <v>1.962</v>
      </c>
    </row>
    <row r="5772" spans="1:13" ht="15" customHeight="1">
      <c r="A5772" t="s">
        <v>61</v>
      </c>
      <c r="B5772">
        <f t="shared" si="358"/>
        <v>33.698276999999997</v>
      </c>
      <c r="C5772">
        <f t="shared" si="359"/>
        <v>-117.859948</v>
      </c>
      <c r="D5772">
        <f t="shared" si="360"/>
        <v>39</v>
      </c>
      <c r="E5772">
        <v>129.49799999999999</v>
      </c>
      <c r="F5772">
        <f t="shared" si="361"/>
        <v>-90.49799999999999</v>
      </c>
      <c r="G5772">
        <v>35.299999999999997</v>
      </c>
      <c r="H5772">
        <v>1.8420000000000001</v>
      </c>
      <c r="I5772">
        <v>5.202</v>
      </c>
      <c r="J5772">
        <v>3</v>
      </c>
      <c r="K5772">
        <v>34</v>
      </c>
      <c r="L5772">
        <v>17</v>
      </c>
      <c r="M5772">
        <v>1.8240000000000001</v>
      </c>
    </row>
    <row r="5773" spans="1:13" ht="15" customHeight="1">
      <c r="A5773" t="s">
        <v>61</v>
      </c>
      <c r="B5773">
        <f t="shared" si="358"/>
        <v>33.698276999999997</v>
      </c>
      <c r="C5773">
        <f t="shared" si="359"/>
        <v>-117.859948</v>
      </c>
      <c r="D5773">
        <f t="shared" si="360"/>
        <v>39</v>
      </c>
      <c r="E5773">
        <v>130.49799999999999</v>
      </c>
      <c r="F5773">
        <f t="shared" si="361"/>
        <v>-91.49799999999999</v>
      </c>
      <c r="G5773">
        <v>32.4</v>
      </c>
      <c r="H5773">
        <v>0</v>
      </c>
      <c r="I5773">
        <v>0</v>
      </c>
      <c r="J5773">
        <v>8</v>
      </c>
      <c r="K5773" s="1">
        <v>9000000000</v>
      </c>
      <c r="L5773" s="1">
        <v>9000000000</v>
      </c>
      <c r="M5773" s="1">
        <v>9000000000</v>
      </c>
    </row>
    <row r="5774" spans="1:13" ht="15" customHeight="1">
      <c r="A5774" t="s">
        <v>62</v>
      </c>
      <c r="B5774">
        <f t="shared" si="358"/>
        <v>33.698998000000003</v>
      </c>
      <c r="C5774">
        <f t="shared" si="359"/>
        <v>-117.858819</v>
      </c>
      <c r="D5774">
        <f t="shared" si="360"/>
        <v>40</v>
      </c>
      <c r="E5774">
        <v>0.5</v>
      </c>
      <c r="F5774">
        <f t="shared" si="361"/>
        <v>39.5</v>
      </c>
      <c r="G5774">
        <v>2.5499999999999998</v>
      </c>
      <c r="H5774">
        <v>3.2000000000000001E-2</v>
      </c>
      <c r="I5774">
        <v>1.242</v>
      </c>
      <c r="J5774">
        <v>1</v>
      </c>
      <c r="K5774">
        <v>1</v>
      </c>
      <c r="L5774">
        <v>2</v>
      </c>
      <c r="M5774">
        <v>0.16800000000000001</v>
      </c>
    </row>
    <row r="5775" spans="1:13" ht="15" customHeight="1">
      <c r="A5775" t="s">
        <v>62</v>
      </c>
      <c r="B5775">
        <f t="shared" si="358"/>
        <v>33.698998000000003</v>
      </c>
      <c r="C5775">
        <f t="shared" si="359"/>
        <v>-117.858819</v>
      </c>
      <c r="D5775">
        <f t="shared" si="360"/>
        <v>40</v>
      </c>
      <c r="E5775">
        <v>1.5</v>
      </c>
      <c r="F5775">
        <f t="shared" si="361"/>
        <v>38.5</v>
      </c>
      <c r="G5775">
        <v>24.8</v>
      </c>
      <c r="H5775">
        <v>0.66700000000000004</v>
      </c>
      <c r="I5775">
        <v>2.69</v>
      </c>
      <c r="J5775">
        <v>5</v>
      </c>
      <c r="K5775">
        <v>12</v>
      </c>
      <c r="L5775">
        <v>18</v>
      </c>
      <c r="M5775">
        <v>1.647</v>
      </c>
    </row>
    <row r="5776" spans="1:13" ht="15" customHeight="1">
      <c r="A5776" t="s">
        <v>62</v>
      </c>
      <c r="B5776">
        <f t="shared" si="358"/>
        <v>33.698998000000003</v>
      </c>
      <c r="C5776">
        <f t="shared" si="359"/>
        <v>-117.858819</v>
      </c>
      <c r="D5776">
        <f t="shared" si="360"/>
        <v>40</v>
      </c>
      <c r="E5776">
        <v>2.5</v>
      </c>
      <c r="F5776">
        <f t="shared" si="361"/>
        <v>37.5</v>
      </c>
      <c r="G5776">
        <v>21.183</v>
      </c>
      <c r="H5776">
        <v>0.69799999999999995</v>
      </c>
      <c r="I5776">
        <v>3.2970000000000002</v>
      </c>
      <c r="J5776">
        <v>5</v>
      </c>
      <c r="K5776">
        <v>10</v>
      </c>
      <c r="L5776">
        <v>15</v>
      </c>
      <c r="M5776">
        <v>1.403</v>
      </c>
    </row>
    <row r="5777" spans="1:13" ht="15" customHeight="1">
      <c r="A5777" t="s">
        <v>62</v>
      </c>
      <c r="B5777">
        <f t="shared" si="358"/>
        <v>33.698998000000003</v>
      </c>
      <c r="C5777">
        <f t="shared" si="359"/>
        <v>-117.858819</v>
      </c>
      <c r="D5777">
        <f t="shared" si="360"/>
        <v>40</v>
      </c>
      <c r="E5777">
        <v>3.5</v>
      </c>
      <c r="F5777">
        <f t="shared" si="361"/>
        <v>36.5</v>
      </c>
      <c r="G5777">
        <v>8.7330000000000005</v>
      </c>
      <c r="H5777">
        <v>0.13700000000000001</v>
      </c>
      <c r="I5777">
        <v>1.5649999999999999</v>
      </c>
      <c r="J5777">
        <v>5</v>
      </c>
      <c r="K5777">
        <v>4</v>
      </c>
      <c r="L5777">
        <v>6</v>
      </c>
      <c r="M5777">
        <v>0.56899999999999995</v>
      </c>
    </row>
    <row r="5778" spans="1:13" ht="15" customHeight="1">
      <c r="A5778" t="s">
        <v>62</v>
      </c>
      <c r="B5778">
        <f t="shared" si="358"/>
        <v>33.698998000000003</v>
      </c>
      <c r="C5778">
        <f t="shared" si="359"/>
        <v>-117.858819</v>
      </c>
      <c r="D5778">
        <f t="shared" si="360"/>
        <v>40</v>
      </c>
      <c r="E5778">
        <v>4.5</v>
      </c>
      <c r="F5778">
        <f t="shared" si="361"/>
        <v>35.5</v>
      </c>
      <c r="G5778">
        <v>19.016999999999999</v>
      </c>
      <c r="H5778">
        <v>0.64</v>
      </c>
      <c r="I5778">
        <v>3.3650000000000002</v>
      </c>
      <c r="J5778">
        <v>5</v>
      </c>
      <c r="K5778">
        <v>9</v>
      </c>
      <c r="L5778">
        <v>14</v>
      </c>
      <c r="M5778">
        <v>1.25</v>
      </c>
    </row>
    <row r="5779" spans="1:13" ht="15" customHeight="1">
      <c r="A5779" t="s">
        <v>62</v>
      </c>
      <c r="B5779">
        <f t="shared" si="358"/>
        <v>33.698998000000003</v>
      </c>
      <c r="C5779">
        <f t="shared" si="359"/>
        <v>-117.858819</v>
      </c>
      <c r="D5779">
        <f t="shared" si="360"/>
        <v>40</v>
      </c>
      <c r="E5779">
        <v>5.5</v>
      </c>
      <c r="F5779">
        <f t="shared" si="361"/>
        <v>34.5</v>
      </c>
      <c r="G5779">
        <v>11.367000000000001</v>
      </c>
      <c r="H5779">
        <v>0.218</v>
      </c>
      <c r="I5779">
        <v>1.921</v>
      </c>
      <c r="J5779">
        <v>5</v>
      </c>
      <c r="K5779">
        <v>5</v>
      </c>
      <c r="L5779">
        <v>8</v>
      </c>
      <c r="M5779">
        <v>0.73599999999999999</v>
      </c>
    </row>
    <row r="5780" spans="1:13" ht="15" customHeight="1">
      <c r="A5780" t="s">
        <v>62</v>
      </c>
      <c r="B5780">
        <f t="shared" si="358"/>
        <v>33.698998000000003</v>
      </c>
      <c r="C5780">
        <f t="shared" si="359"/>
        <v>-117.858819</v>
      </c>
      <c r="D5780">
        <f t="shared" si="360"/>
        <v>40</v>
      </c>
      <c r="E5780">
        <v>6.5</v>
      </c>
      <c r="F5780">
        <f t="shared" si="361"/>
        <v>33.5</v>
      </c>
      <c r="G5780">
        <v>19.882999999999999</v>
      </c>
      <c r="H5780">
        <v>0.78200000000000003</v>
      </c>
      <c r="I5780">
        <v>3.9279999999999999</v>
      </c>
      <c r="J5780">
        <v>4</v>
      </c>
      <c r="K5780">
        <v>13</v>
      </c>
      <c r="L5780">
        <v>20</v>
      </c>
      <c r="M5780">
        <v>1.3009999999999999</v>
      </c>
    </row>
    <row r="5781" spans="1:13" ht="15" customHeight="1">
      <c r="A5781" t="s">
        <v>62</v>
      </c>
      <c r="B5781">
        <f t="shared" si="358"/>
        <v>33.698998000000003</v>
      </c>
      <c r="C5781">
        <f t="shared" si="359"/>
        <v>-117.858819</v>
      </c>
      <c r="D5781">
        <f t="shared" si="360"/>
        <v>40</v>
      </c>
      <c r="E5781">
        <v>7.5</v>
      </c>
      <c r="F5781">
        <f t="shared" si="361"/>
        <v>32.5</v>
      </c>
      <c r="G5781">
        <v>22.7</v>
      </c>
      <c r="H5781">
        <v>0.8</v>
      </c>
      <c r="I5781">
        <v>3.516</v>
      </c>
      <c r="J5781">
        <v>5</v>
      </c>
      <c r="K5781">
        <v>11</v>
      </c>
      <c r="L5781">
        <v>17</v>
      </c>
      <c r="M5781">
        <v>1.4870000000000001</v>
      </c>
    </row>
    <row r="5782" spans="1:13" ht="15" customHeight="1">
      <c r="A5782" t="s">
        <v>62</v>
      </c>
      <c r="B5782">
        <f t="shared" si="358"/>
        <v>33.698998000000003</v>
      </c>
      <c r="C5782">
        <f t="shared" si="359"/>
        <v>-117.858819</v>
      </c>
      <c r="D5782">
        <f t="shared" si="360"/>
        <v>40</v>
      </c>
      <c r="E5782">
        <v>8.5</v>
      </c>
      <c r="F5782">
        <f t="shared" si="361"/>
        <v>31.5</v>
      </c>
      <c r="G5782">
        <v>12.7</v>
      </c>
      <c r="H5782">
        <v>0.49299999999999999</v>
      </c>
      <c r="I5782">
        <v>3.8849999999999998</v>
      </c>
      <c r="J5782">
        <v>3</v>
      </c>
      <c r="K5782">
        <v>12</v>
      </c>
      <c r="L5782">
        <v>18</v>
      </c>
      <c r="M5782">
        <v>0.81299999999999994</v>
      </c>
    </row>
    <row r="5783" spans="1:13" ht="15" customHeight="1">
      <c r="A5783" t="s">
        <v>62</v>
      </c>
      <c r="B5783">
        <f t="shared" si="358"/>
        <v>33.698998000000003</v>
      </c>
      <c r="C5783">
        <f t="shared" si="359"/>
        <v>-117.858819</v>
      </c>
      <c r="D5783">
        <f t="shared" si="360"/>
        <v>40</v>
      </c>
      <c r="E5783">
        <v>9.5</v>
      </c>
      <c r="F5783">
        <f t="shared" si="361"/>
        <v>30.5</v>
      </c>
      <c r="G5783">
        <v>10.7</v>
      </c>
      <c r="H5783">
        <v>0.46200000000000002</v>
      </c>
      <c r="I5783">
        <v>4.3079999999999998</v>
      </c>
      <c r="J5783">
        <v>3</v>
      </c>
      <c r="K5783">
        <v>10</v>
      </c>
      <c r="L5783">
        <v>15</v>
      </c>
      <c r="M5783">
        <v>0.67600000000000005</v>
      </c>
    </row>
    <row r="5784" spans="1:13" ht="15" customHeight="1">
      <c r="A5784" t="s">
        <v>62</v>
      </c>
      <c r="B5784">
        <f t="shared" si="358"/>
        <v>33.698998000000003</v>
      </c>
      <c r="C5784">
        <f t="shared" si="359"/>
        <v>-117.858819</v>
      </c>
      <c r="D5784">
        <f t="shared" si="360"/>
        <v>40</v>
      </c>
      <c r="E5784">
        <v>10.5</v>
      </c>
      <c r="F5784">
        <f t="shared" si="361"/>
        <v>29.5</v>
      </c>
      <c r="G5784">
        <v>11.471</v>
      </c>
      <c r="H5784">
        <v>0.40300000000000002</v>
      </c>
      <c r="I5784">
        <v>3.5030000000000001</v>
      </c>
      <c r="J5784">
        <v>4</v>
      </c>
      <c r="K5784">
        <v>7</v>
      </c>
      <c r="L5784">
        <v>10</v>
      </c>
      <c r="M5784">
        <v>0.72399999999999998</v>
      </c>
    </row>
    <row r="5785" spans="1:13" ht="15" customHeight="1">
      <c r="A5785" t="s">
        <v>62</v>
      </c>
      <c r="B5785">
        <f t="shared" si="358"/>
        <v>33.698998000000003</v>
      </c>
      <c r="C5785">
        <f t="shared" si="359"/>
        <v>-117.858819</v>
      </c>
      <c r="D5785">
        <f t="shared" si="360"/>
        <v>40</v>
      </c>
      <c r="E5785">
        <v>11.5</v>
      </c>
      <c r="F5785">
        <f t="shared" si="361"/>
        <v>28.5</v>
      </c>
      <c r="G5785">
        <v>13.95</v>
      </c>
      <c r="H5785">
        <v>0.45500000000000002</v>
      </c>
      <c r="I5785">
        <v>3.246</v>
      </c>
      <c r="J5785">
        <v>4</v>
      </c>
      <c r="K5785">
        <v>9</v>
      </c>
      <c r="L5785">
        <v>12</v>
      </c>
      <c r="M5785">
        <v>0.88800000000000001</v>
      </c>
    </row>
    <row r="5786" spans="1:13" ht="15" customHeight="1">
      <c r="A5786" t="s">
        <v>62</v>
      </c>
      <c r="B5786">
        <f t="shared" si="358"/>
        <v>33.698998000000003</v>
      </c>
      <c r="C5786">
        <f t="shared" si="359"/>
        <v>-117.858819</v>
      </c>
      <c r="D5786">
        <f t="shared" si="360"/>
        <v>40</v>
      </c>
      <c r="E5786">
        <v>12.5</v>
      </c>
      <c r="F5786">
        <f t="shared" si="361"/>
        <v>27.5</v>
      </c>
      <c r="G5786">
        <v>13.782999999999999</v>
      </c>
      <c r="H5786">
        <v>0.46300000000000002</v>
      </c>
      <c r="I5786">
        <v>3.3450000000000002</v>
      </c>
      <c r="J5786">
        <v>4</v>
      </c>
      <c r="K5786">
        <v>9</v>
      </c>
      <c r="L5786">
        <v>11</v>
      </c>
      <c r="M5786">
        <v>0.873</v>
      </c>
    </row>
    <row r="5787" spans="1:13" ht="15" customHeight="1">
      <c r="A5787" t="s">
        <v>62</v>
      </c>
      <c r="B5787">
        <f t="shared" si="358"/>
        <v>33.698998000000003</v>
      </c>
      <c r="C5787">
        <f t="shared" si="359"/>
        <v>-117.858819</v>
      </c>
      <c r="D5787">
        <f t="shared" si="360"/>
        <v>40</v>
      </c>
      <c r="E5787">
        <v>13.5</v>
      </c>
      <c r="F5787">
        <f t="shared" si="361"/>
        <v>26.5</v>
      </c>
      <c r="G5787">
        <v>12.717000000000001</v>
      </c>
      <c r="H5787">
        <v>0.433</v>
      </c>
      <c r="I5787">
        <v>3.39</v>
      </c>
      <c r="J5787">
        <v>4</v>
      </c>
      <c r="K5787">
        <v>8</v>
      </c>
      <c r="L5787">
        <v>9</v>
      </c>
      <c r="M5787">
        <v>0.79800000000000004</v>
      </c>
    </row>
    <row r="5788" spans="1:13" ht="15" customHeight="1">
      <c r="A5788" t="s">
        <v>62</v>
      </c>
      <c r="B5788">
        <f t="shared" si="358"/>
        <v>33.698998000000003</v>
      </c>
      <c r="C5788">
        <f t="shared" si="359"/>
        <v>-117.858819</v>
      </c>
      <c r="D5788">
        <f t="shared" si="360"/>
        <v>40</v>
      </c>
      <c r="E5788">
        <v>14.5</v>
      </c>
      <c r="F5788">
        <f t="shared" si="361"/>
        <v>25.5</v>
      </c>
      <c r="G5788">
        <v>11.333</v>
      </c>
      <c r="H5788">
        <v>0.39500000000000002</v>
      </c>
      <c r="I5788">
        <v>3.47</v>
      </c>
      <c r="J5788">
        <v>4</v>
      </c>
      <c r="K5788">
        <v>7</v>
      </c>
      <c r="L5788">
        <v>8</v>
      </c>
      <c r="M5788">
        <v>0.70099999999999996</v>
      </c>
    </row>
    <row r="5789" spans="1:13" ht="15" customHeight="1">
      <c r="A5789" t="s">
        <v>62</v>
      </c>
      <c r="B5789">
        <f t="shared" si="358"/>
        <v>33.698998000000003</v>
      </c>
      <c r="C5789">
        <f t="shared" si="359"/>
        <v>-117.858819</v>
      </c>
      <c r="D5789">
        <f t="shared" si="360"/>
        <v>40</v>
      </c>
      <c r="E5789">
        <v>15.5</v>
      </c>
      <c r="F5789">
        <f t="shared" si="361"/>
        <v>24.5</v>
      </c>
      <c r="G5789">
        <v>9.4329999999999998</v>
      </c>
      <c r="H5789">
        <v>0.30499999999999999</v>
      </c>
      <c r="I5789">
        <v>3.2160000000000002</v>
      </c>
      <c r="J5789">
        <v>4</v>
      </c>
      <c r="K5789">
        <v>6</v>
      </c>
      <c r="L5789">
        <v>6</v>
      </c>
      <c r="M5789">
        <v>0.56999999999999995</v>
      </c>
    </row>
    <row r="5790" spans="1:13" ht="15" customHeight="1">
      <c r="A5790" t="s">
        <v>62</v>
      </c>
      <c r="B5790">
        <f t="shared" si="358"/>
        <v>33.698998000000003</v>
      </c>
      <c r="C5790">
        <f t="shared" si="359"/>
        <v>-117.858819</v>
      </c>
      <c r="D5790">
        <f t="shared" si="360"/>
        <v>40</v>
      </c>
      <c r="E5790">
        <v>16.5</v>
      </c>
      <c r="F5790">
        <f t="shared" si="361"/>
        <v>23.5</v>
      </c>
      <c r="G5790">
        <v>7.05</v>
      </c>
      <c r="H5790">
        <v>0.188</v>
      </c>
      <c r="I5790">
        <v>2.653</v>
      </c>
      <c r="J5790">
        <v>4</v>
      </c>
      <c r="K5790">
        <v>5</v>
      </c>
      <c r="L5790">
        <v>5</v>
      </c>
      <c r="M5790">
        <v>0.40699999999999997</v>
      </c>
    </row>
    <row r="5791" spans="1:13" ht="15" customHeight="1">
      <c r="A5791" t="s">
        <v>62</v>
      </c>
      <c r="B5791">
        <f t="shared" si="358"/>
        <v>33.698998000000003</v>
      </c>
      <c r="C5791">
        <f t="shared" si="359"/>
        <v>-117.858819</v>
      </c>
      <c r="D5791">
        <f t="shared" si="360"/>
        <v>40</v>
      </c>
      <c r="E5791">
        <v>17.5</v>
      </c>
      <c r="F5791">
        <f t="shared" si="361"/>
        <v>22.5</v>
      </c>
      <c r="G5791">
        <v>13.217000000000001</v>
      </c>
      <c r="H5791">
        <v>0.38500000000000001</v>
      </c>
      <c r="I5791">
        <v>2.9020000000000001</v>
      </c>
      <c r="J5791">
        <v>4</v>
      </c>
      <c r="K5791">
        <v>8</v>
      </c>
      <c r="L5791">
        <v>8</v>
      </c>
      <c r="M5791">
        <v>0.81399999999999995</v>
      </c>
    </row>
    <row r="5792" spans="1:13" ht="15" customHeight="1">
      <c r="A5792" t="s">
        <v>62</v>
      </c>
      <c r="B5792">
        <f t="shared" si="358"/>
        <v>33.698998000000003</v>
      </c>
      <c r="C5792">
        <f t="shared" si="359"/>
        <v>-117.858819</v>
      </c>
      <c r="D5792">
        <f t="shared" si="360"/>
        <v>40</v>
      </c>
      <c r="E5792">
        <v>18.5</v>
      </c>
      <c r="F5792">
        <f t="shared" si="361"/>
        <v>21.5</v>
      </c>
      <c r="G5792">
        <v>21.266999999999999</v>
      </c>
      <c r="H5792">
        <v>0.92200000000000004</v>
      </c>
      <c r="I5792">
        <v>4.32</v>
      </c>
      <c r="J5792">
        <v>3</v>
      </c>
      <c r="K5792">
        <v>20</v>
      </c>
      <c r="L5792">
        <v>18</v>
      </c>
      <c r="M5792">
        <v>1.3480000000000001</v>
      </c>
    </row>
    <row r="5793" spans="1:13" ht="15" customHeight="1">
      <c r="A5793" t="s">
        <v>62</v>
      </c>
      <c r="B5793">
        <f t="shared" si="358"/>
        <v>33.698998000000003</v>
      </c>
      <c r="C5793">
        <f t="shared" si="359"/>
        <v>-117.858819</v>
      </c>
      <c r="D5793">
        <f t="shared" si="360"/>
        <v>40</v>
      </c>
      <c r="E5793">
        <v>19.5</v>
      </c>
      <c r="F5793">
        <f t="shared" si="361"/>
        <v>20.5</v>
      </c>
      <c r="G5793">
        <v>24.582999999999998</v>
      </c>
      <c r="H5793">
        <v>1.1020000000000001</v>
      </c>
      <c r="I5793">
        <v>4.4749999999999996</v>
      </c>
      <c r="J5793">
        <v>3</v>
      </c>
      <c r="K5793">
        <v>24</v>
      </c>
      <c r="L5793">
        <v>21</v>
      </c>
      <c r="M5793">
        <v>1.5629999999999999</v>
      </c>
    </row>
    <row r="5794" spans="1:13" ht="15" customHeight="1">
      <c r="A5794" t="s">
        <v>62</v>
      </c>
      <c r="B5794">
        <f t="shared" si="358"/>
        <v>33.698998000000003</v>
      </c>
      <c r="C5794">
        <f t="shared" si="359"/>
        <v>-117.858819</v>
      </c>
      <c r="D5794">
        <f t="shared" si="360"/>
        <v>40</v>
      </c>
      <c r="E5794">
        <v>20.5</v>
      </c>
      <c r="F5794">
        <f t="shared" si="361"/>
        <v>19.5</v>
      </c>
      <c r="G5794">
        <v>25.143000000000001</v>
      </c>
      <c r="H5794">
        <v>0.98399999999999999</v>
      </c>
      <c r="I5794">
        <v>3.9079999999999999</v>
      </c>
      <c r="J5794">
        <v>4</v>
      </c>
      <c r="K5794">
        <v>16</v>
      </c>
      <c r="L5794">
        <v>14</v>
      </c>
      <c r="M5794">
        <v>1.5960000000000001</v>
      </c>
    </row>
    <row r="5795" spans="1:13" ht="15" customHeight="1">
      <c r="A5795" t="s">
        <v>62</v>
      </c>
      <c r="B5795">
        <f t="shared" si="358"/>
        <v>33.698998000000003</v>
      </c>
      <c r="C5795">
        <f t="shared" si="359"/>
        <v>-117.858819</v>
      </c>
      <c r="D5795">
        <f t="shared" si="360"/>
        <v>40</v>
      </c>
      <c r="E5795">
        <v>21.5</v>
      </c>
      <c r="F5795">
        <f t="shared" si="361"/>
        <v>18.5</v>
      </c>
      <c r="G5795">
        <v>61.167000000000002</v>
      </c>
      <c r="H5795">
        <v>2.012</v>
      </c>
      <c r="I5795">
        <v>3.2839999999999998</v>
      </c>
      <c r="J5795">
        <v>6</v>
      </c>
      <c r="K5795">
        <v>23</v>
      </c>
      <c r="L5795">
        <v>19</v>
      </c>
      <c r="M5795">
        <v>3.9969999999999999</v>
      </c>
    </row>
    <row r="5796" spans="1:13" ht="15" customHeight="1">
      <c r="A5796" t="s">
        <v>62</v>
      </c>
      <c r="B5796">
        <f t="shared" si="358"/>
        <v>33.698998000000003</v>
      </c>
      <c r="C5796">
        <f t="shared" si="359"/>
        <v>-117.858819</v>
      </c>
      <c r="D5796">
        <f t="shared" si="360"/>
        <v>40</v>
      </c>
      <c r="E5796">
        <v>22.5</v>
      </c>
      <c r="F5796">
        <f t="shared" si="361"/>
        <v>17.5</v>
      </c>
      <c r="G5796">
        <v>82.266999999999996</v>
      </c>
      <c r="H5796">
        <v>3.5619999999999998</v>
      </c>
      <c r="I5796">
        <v>4.3230000000000004</v>
      </c>
      <c r="J5796">
        <v>5</v>
      </c>
      <c r="K5796">
        <v>39</v>
      </c>
      <c r="L5796">
        <v>31</v>
      </c>
      <c r="M5796">
        <v>5.4009999999999998</v>
      </c>
    </row>
    <row r="5797" spans="1:13" ht="15" customHeight="1">
      <c r="A5797" t="s">
        <v>62</v>
      </c>
      <c r="B5797">
        <f t="shared" si="358"/>
        <v>33.698998000000003</v>
      </c>
      <c r="C5797">
        <f t="shared" si="359"/>
        <v>-117.858819</v>
      </c>
      <c r="D5797">
        <f t="shared" si="360"/>
        <v>40</v>
      </c>
      <c r="E5797">
        <v>23.5</v>
      </c>
      <c r="F5797">
        <f t="shared" si="361"/>
        <v>16.5</v>
      </c>
      <c r="G5797">
        <v>55.533000000000001</v>
      </c>
      <c r="H5797">
        <v>2.3250000000000002</v>
      </c>
      <c r="I5797">
        <v>4.1749999999999998</v>
      </c>
      <c r="J5797">
        <v>5</v>
      </c>
      <c r="K5797">
        <v>27</v>
      </c>
      <c r="L5797">
        <v>21</v>
      </c>
      <c r="M5797">
        <v>3.617</v>
      </c>
    </row>
    <row r="5798" spans="1:13" ht="15" customHeight="1">
      <c r="A5798" t="s">
        <v>62</v>
      </c>
      <c r="B5798">
        <f t="shared" si="358"/>
        <v>33.698998000000003</v>
      </c>
      <c r="C5798">
        <f t="shared" si="359"/>
        <v>-117.858819</v>
      </c>
      <c r="D5798">
        <f t="shared" si="360"/>
        <v>40</v>
      </c>
      <c r="E5798">
        <v>24.5</v>
      </c>
      <c r="F5798">
        <f t="shared" si="361"/>
        <v>15.5</v>
      </c>
      <c r="G5798">
        <v>45.683</v>
      </c>
      <c r="H5798">
        <v>1.9550000000000001</v>
      </c>
      <c r="I5798">
        <v>4.2619999999999996</v>
      </c>
      <c r="J5798">
        <v>4</v>
      </c>
      <c r="K5798">
        <v>29</v>
      </c>
      <c r="L5798">
        <v>21</v>
      </c>
      <c r="M5798">
        <v>2.9580000000000002</v>
      </c>
    </row>
    <row r="5799" spans="1:13" ht="15" customHeight="1">
      <c r="A5799" t="s">
        <v>62</v>
      </c>
      <c r="B5799">
        <f t="shared" si="358"/>
        <v>33.698998000000003</v>
      </c>
      <c r="C5799">
        <f t="shared" si="359"/>
        <v>-117.858819</v>
      </c>
      <c r="D5799">
        <f t="shared" si="360"/>
        <v>40</v>
      </c>
      <c r="E5799">
        <v>25.5</v>
      </c>
      <c r="F5799">
        <f t="shared" si="361"/>
        <v>14.5</v>
      </c>
      <c r="G5799">
        <v>45.667000000000002</v>
      </c>
      <c r="H5799">
        <v>2.6280000000000001</v>
      </c>
      <c r="I5799">
        <v>5.7430000000000003</v>
      </c>
      <c r="J5799">
        <v>3</v>
      </c>
      <c r="K5799">
        <v>44</v>
      </c>
      <c r="L5799">
        <v>32</v>
      </c>
      <c r="M5799">
        <v>2.948</v>
      </c>
    </row>
    <row r="5800" spans="1:13" ht="15" customHeight="1">
      <c r="A5800" t="s">
        <v>62</v>
      </c>
      <c r="B5800">
        <f t="shared" si="358"/>
        <v>33.698998000000003</v>
      </c>
      <c r="C5800">
        <f t="shared" si="359"/>
        <v>-117.858819</v>
      </c>
      <c r="D5800">
        <f t="shared" si="360"/>
        <v>40</v>
      </c>
      <c r="E5800">
        <v>26.5</v>
      </c>
      <c r="F5800">
        <f t="shared" si="361"/>
        <v>13.5</v>
      </c>
      <c r="G5800">
        <v>72.650000000000006</v>
      </c>
      <c r="H5800">
        <v>3.0569999999999999</v>
      </c>
      <c r="I5800">
        <v>4.2110000000000003</v>
      </c>
      <c r="J5800">
        <v>5</v>
      </c>
      <c r="K5800">
        <v>35</v>
      </c>
      <c r="L5800">
        <v>25</v>
      </c>
      <c r="M5800">
        <v>4.7309999999999999</v>
      </c>
    </row>
    <row r="5801" spans="1:13" ht="15" customHeight="1">
      <c r="A5801" t="s">
        <v>62</v>
      </c>
      <c r="B5801">
        <f t="shared" si="358"/>
        <v>33.698998000000003</v>
      </c>
      <c r="C5801">
        <f t="shared" si="359"/>
        <v>-117.858819</v>
      </c>
      <c r="D5801">
        <f t="shared" si="360"/>
        <v>40</v>
      </c>
      <c r="E5801">
        <v>27.5</v>
      </c>
      <c r="F5801">
        <f t="shared" si="361"/>
        <v>12.5</v>
      </c>
      <c r="G5801">
        <v>183.917</v>
      </c>
      <c r="H5801">
        <v>2.1680000000000001</v>
      </c>
      <c r="I5801">
        <v>1.18</v>
      </c>
      <c r="J5801">
        <v>9</v>
      </c>
      <c r="K5801">
        <v>35</v>
      </c>
      <c r="L5801">
        <v>24</v>
      </c>
      <c r="M5801" s="1">
        <v>9000000000</v>
      </c>
    </row>
    <row r="5802" spans="1:13" ht="15" customHeight="1">
      <c r="A5802" t="s">
        <v>62</v>
      </c>
      <c r="B5802">
        <f t="shared" si="358"/>
        <v>33.698998000000003</v>
      </c>
      <c r="C5802">
        <f t="shared" si="359"/>
        <v>-117.858819</v>
      </c>
      <c r="D5802">
        <f t="shared" si="360"/>
        <v>40</v>
      </c>
      <c r="E5802">
        <v>28.5</v>
      </c>
      <c r="F5802">
        <f t="shared" si="361"/>
        <v>11.5</v>
      </c>
      <c r="G5802">
        <v>221.43299999999999</v>
      </c>
      <c r="H5802">
        <v>1.5469999999999999</v>
      </c>
      <c r="I5802">
        <v>0.69899999999999995</v>
      </c>
      <c r="J5802">
        <v>9</v>
      </c>
      <c r="K5802">
        <v>42</v>
      </c>
      <c r="L5802">
        <v>29</v>
      </c>
      <c r="M5802" s="1">
        <v>9000000000</v>
      </c>
    </row>
    <row r="5803" spans="1:13" ht="15" customHeight="1">
      <c r="A5803" t="s">
        <v>62</v>
      </c>
      <c r="B5803">
        <f t="shared" si="358"/>
        <v>33.698998000000003</v>
      </c>
      <c r="C5803">
        <f t="shared" si="359"/>
        <v>-117.858819</v>
      </c>
      <c r="D5803">
        <f t="shared" si="360"/>
        <v>40</v>
      </c>
      <c r="E5803">
        <v>29.5</v>
      </c>
      <c r="F5803">
        <f t="shared" si="361"/>
        <v>10.5</v>
      </c>
      <c r="G5803">
        <v>232.06700000000001</v>
      </c>
      <c r="H5803">
        <v>1.6479999999999999</v>
      </c>
      <c r="I5803">
        <v>0.71099999999999997</v>
      </c>
      <c r="J5803">
        <v>9</v>
      </c>
      <c r="K5803">
        <v>44</v>
      </c>
      <c r="L5803">
        <v>30</v>
      </c>
      <c r="M5803" s="1">
        <v>9000000000</v>
      </c>
    </row>
    <row r="5804" spans="1:13" ht="15" customHeight="1">
      <c r="A5804" t="s">
        <v>62</v>
      </c>
      <c r="B5804">
        <f t="shared" si="358"/>
        <v>33.698998000000003</v>
      </c>
      <c r="C5804">
        <f t="shared" si="359"/>
        <v>-117.858819</v>
      </c>
      <c r="D5804">
        <f t="shared" si="360"/>
        <v>40</v>
      </c>
      <c r="E5804">
        <v>30.5</v>
      </c>
      <c r="F5804">
        <f t="shared" si="361"/>
        <v>9.5</v>
      </c>
      <c r="G5804">
        <v>265.66699999999997</v>
      </c>
      <c r="H5804">
        <v>1.208</v>
      </c>
      <c r="I5804">
        <v>0.45500000000000002</v>
      </c>
      <c r="J5804">
        <v>10</v>
      </c>
      <c r="K5804">
        <v>42</v>
      </c>
      <c r="L5804">
        <v>28</v>
      </c>
      <c r="M5804" s="1">
        <v>9000000000</v>
      </c>
    </row>
    <row r="5805" spans="1:13" ht="15" customHeight="1">
      <c r="A5805" t="s">
        <v>62</v>
      </c>
      <c r="B5805">
        <f t="shared" si="358"/>
        <v>33.698998000000003</v>
      </c>
      <c r="C5805">
        <f t="shared" si="359"/>
        <v>-117.858819</v>
      </c>
      <c r="D5805">
        <f t="shared" si="360"/>
        <v>40</v>
      </c>
      <c r="E5805">
        <v>31.5</v>
      </c>
      <c r="F5805">
        <f t="shared" si="361"/>
        <v>8.5</v>
      </c>
      <c r="G5805">
        <v>292.786</v>
      </c>
      <c r="H5805">
        <v>0.99099999999999999</v>
      </c>
      <c r="I5805">
        <v>0.33900000000000002</v>
      </c>
      <c r="J5805">
        <v>10</v>
      </c>
      <c r="K5805">
        <v>47</v>
      </c>
      <c r="L5805">
        <v>31</v>
      </c>
      <c r="M5805" s="1">
        <v>9000000000</v>
      </c>
    </row>
    <row r="5806" spans="1:13" ht="15" customHeight="1">
      <c r="A5806" t="s">
        <v>62</v>
      </c>
      <c r="B5806">
        <f t="shared" si="358"/>
        <v>33.698998000000003</v>
      </c>
      <c r="C5806">
        <f t="shared" si="359"/>
        <v>-117.858819</v>
      </c>
      <c r="D5806">
        <f t="shared" si="360"/>
        <v>40</v>
      </c>
      <c r="E5806">
        <v>32.5</v>
      </c>
      <c r="F5806">
        <f t="shared" si="361"/>
        <v>7.5</v>
      </c>
      <c r="G5806">
        <v>294.60000000000002</v>
      </c>
      <c r="H5806">
        <v>0.83</v>
      </c>
      <c r="I5806">
        <v>0.28199999999999997</v>
      </c>
      <c r="J5806">
        <v>10</v>
      </c>
      <c r="K5806">
        <v>47</v>
      </c>
      <c r="L5806">
        <v>30</v>
      </c>
      <c r="M5806" s="1">
        <v>9000000000</v>
      </c>
    </row>
    <row r="5807" spans="1:13" ht="15" customHeight="1">
      <c r="A5807" t="s">
        <v>62</v>
      </c>
      <c r="B5807">
        <f t="shared" si="358"/>
        <v>33.698998000000003</v>
      </c>
      <c r="C5807">
        <f t="shared" si="359"/>
        <v>-117.858819</v>
      </c>
      <c r="D5807">
        <f t="shared" si="360"/>
        <v>40</v>
      </c>
      <c r="E5807">
        <v>33.5</v>
      </c>
      <c r="F5807">
        <f t="shared" si="361"/>
        <v>6.5</v>
      </c>
      <c r="G5807">
        <v>265.45</v>
      </c>
      <c r="H5807">
        <v>0.90500000000000003</v>
      </c>
      <c r="I5807">
        <v>0.34100000000000003</v>
      </c>
      <c r="J5807">
        <v>10</v>
      </c>
      <c r="K5807">
        <v>42</v>
      </c>
      <c r="L5807">
        <v>27</v>
      </c>
      <c r="M5807" s="1">
        <v>9000000000</v>
      </c>
    </row>
    <row r="5808" spans="1:13" ht="15" customHeight="1">
      <c r="A5808" t="s">
        <v>62</v>
      </c>
      <c r="B5808">
        <f t="shared" si="358"/>
        <v>33.698998000000003</v>
      </c>
      <c r="C5808">
        <f t="shared" si="359"/>
        <v>-117.858819</v>
      </c>
      <c r="D5808">
        <f t="shared" si="360"/>
        <v>40</v>
      </c>
      <c r="E5808">
        <v>34.5</v>
      </c>
      <c r="F5808">
        <f t="shared" si="361"/>
        <v>5.5</v>
      </c>
      <c r="G5808">
        <v>284.81700000000001</v>
      </c>
      <c r="H5808">
        <v>0.84499999999999997</v>
      </c>
      <c r="I5808">
        <v>0.29699999999999999</v>
      </c>
      <c r="J5808">
        <v>10</v>
      </c>
      <c r="K5808">
        <v>45</v>
      </c>
      <c r="L5808">
        <v>28</v>
      </c>
      <c r="M5808" s="1">
        <v>9000000000</v>
      </c>
    </row>
    <row r="5809" spans="1:13" ht="15" customHeight="1">
      <c r="A5809" t="s">
        <v>62</v>
      </c>
      <c r="B5809">
        <f t="shared" si="358"/>
        <v>33.698998000000003</v>
      </c>
      <c r="C5809">
        <f t="shared" si="359"/>
        <v>-117.858819</v>
      </c>
      <c r="D5809">
        <f t="shared" si="360"/>
        <v>40</v>
      </c>
      <c r="E5809">
        <v>35.5</v>
      </c>
      <c r="F5809">
        <f t="shared" si="361"/>
        <v>4.5</v>
      </c>
      <c r="G5809">
        <v>234.36699999999999</v>
      </c>
      <c r="H5809">
        <v>0.79500000000000004</v>
      </c>
      <c r="I5809">
        <v>0.33900000000000002</v>
      </c>
      <c r="J5809">
        <v>10</v>
      </c>
      <c r="K5809">
        <v>37</v>
      </c>
      <c r="L5809">
        <v>23</v>
      </c>
      <c r="M5809" s="1">
        <v>9000000000</v>
      </c>
    </row>
    <row r="5810" spans="1:13" ht="15" customHeight="1">
      <c r="A5810" t="s">
        <v>62</v>
      </c>
      <c r="B5810">
        <f t="shared" si="358"/>
        <v>33.698998000000003</v>
      </c>
      <c r="C5810">
        <f t="shared" si="359"/>
        <v>-117.858819</v>
      </c>
      <c r="D5810">
        <f t="shared" si="360"/>
        <v>40</v>
      </c>
      <c r="E5810">
        <v>36.5</v>
      </c>
      <c r="F5810">
        <f t="shared" si="361"/>
        <v>3.5</v>
      </c>
      <c r="G5810">
        <v>71.150000000000006</v>
      </c>
      <c r="H5810">
        <v>1.133</v>
      </c>
      <c r="I5810">
        <v>1.59</v>
      </c>
      <c r="J5810">
        <v>7</v>
      </c>
      <c r="K5810">
        <v>23</v>
      </c>
      <c r="L5810">
        <v>14</v>
      </c>
      <c r="M5810" s="1">
        <v>9000000000</v>
      </c>
    </row>
    <row r="5811" spans="1:13" ht="15" customHeight="1">
      <c r="A5811" t="s">
        <v>62</v>
      </c>
      <c r="B5811">
        <f t="shared" si="358"/>
        <v>33.698998000000003</v>
      </c>
      <c r="C5811">
        <f t="shared" si="359"/>
        <v>-117.858819</v>
      </c>
      <c r="D5811">
        <f t="shared" si="360"/>
        <v>40</v>
      </c>
      <c r="E5811">
        <v>37.5</v>
      </c>
      <c r="F5811">
        <f t="shared" si="361"/>
        <v>2.5</v>
      </c>
      <c r="G5811">
        <v>36.417000000000002</v>
      </c>
      <c r="H5811">
        <v>1.4530000000000001</v>
      </c>
      <c r="I5811">
        <v>3.9529999999999998</v>
      </c>
      <c r="J5811">
        <v>5</v>
      </c>
      <c r="K5811">
        <v>18</v>
      </c>
      <c r="L5811">
        <v>11</v>
      </c>
      <c r="M5811">
        <v>2.2970000000000002</v>
      </c>
    </row>
    <row r="5812" spans="1:13" ht="15" customHeight="1">
      <c r="A5812" t="s">
        <v>62</v>
      </c>
      <c r="B5812">
        <f t="shared" si="358"/>
        <v>33.698998000000003</v>
      </c>
      <c r="C5812">
        <f t="shared" si="359"/>
        <v>-117.858819</v>
      </c>
      <c r="D5812">
        <f t="shared" si="360"/>
        <v>40</v>
      </c>
      <c r="E5812">
        <v>38.5</v>
      </c>
      <c r="F5812">
        <f t="shared" si="361"/>
        <v>1.5</v>
      </c>
      <c r="G5812">
        <v>34.033000000000001</v>
      </c>
      <c r="H5812">
        <v>1.5169999999999999</v>
      </c>
      <c r="I5812">
        <v>4.4480000000000004</v>
      </c>
      <c r="J5812">
        <v>4</v>
      </c>
      <c r="K5812">
        <v>22</v>
      </c>
      <c r="L5812">
        <v>13</v>
      </c>
      <c r="M5812">
        <v>2.1150000000000002</v>
      </c>
    </row>
    <row r="5813" spans="1:13" ht="15" customHeight="1">
      <c r="A5813" t="s">
        <v>62</v>
      </c>
      <c r="B5813">
        <f t="shared" si="358"/>
        <v>33.698998000000003</v>
      </c>
      <c r="C5813">
        <f t="shared" si="359"/>
        <v>-117.858819</v>
      </c>
      <c r="D5813">
        <f t="shared" si="360"/>
        <v>40</v>
      </c>
      <c r="E5813">
        <v>39.5</v>
      </c>
      <c r="F5813">
        <f t="shared" si="361"/>
        <v>0.5</v>
      </c>
      <c r="G5813">
        <v>34.417000000000002</v>
      </c>
      <c r="H5813">
        <v>1.3680000000000001</v>
      </c>
      <c r="I5813">
        <v>3.9620000000000002</v>
      </c>
      <c r="J5813">
        <v>4</v>
      </c>
      <c r="K5813">
        <v>22</v>
      </c>
      <c r="L5813">
        <v>13</v>
      </c>
      <c r="M5813">
        <v>2.14</v>
      </c>
    </row>
    <row r="5814" spans="1:13" ht="15" customHeight="1">
      <c r="A5814" t="s">
        <v>62</v>
      </c>
      <c r="B5814">
        <f t="shared" si="358"/>
        <v>33.698998000000003</v>
      </c>
      <c r="C5814">
        <f t="shared" si="359"/>
        <v>-117.858819</v>
      </c>
      <c r="D5814">
        <f t="shared" si="360"/>
        <v>40</v>
      </c>
      <c r="E5814">
        <v>40.5</v>
      </c>
      <c r="F5814">
        <f t="shared" si="361"/>
        <v>-0.5</v>
      </c>
      <c r="G5814">
        <v>102.8</v>
      </c>
      <c r="H5814">
        <v>1.278</v>
      </c>
      <c r="I5814">
        <v>1.2430000000000001</v>
      </c>
      <c r="J5814">
        <v>8</v>
      </c>
      <c r="K5814">
        <v>25</v>
      </c>
      <c r="L5814">
        <v>15</v>
      </c>
      <c r="M5814" s="1">
        <v>9000000000</v>
      </c>
    </row>
    <row r="5815" spans="1:13" ht="15" customHeight="1">
      <c r="A5815" t="s">
        <v>62</v>
      </c>
      <c r="B5815">
        <f t="shared" si="358"/>
        <v>33.698998000000003</v>
      </c>
      <c r="C5815">
        <f t="shared" si="359"/>
        <v>-117.858819</v>
      </c>
      <c r="D5815">
        <f t="shared" si="360"/>
        <v>40</v>
      </c>
      <c r="E5815">
        <v>41.499000000000002</v>
      </c>
      <c r="F5815">
        <f t="shared" si="361"/>
        <v>-1.4990000000000023</v>
      </c>
      <c r="G5815">
        <v>118.586</v>
      </c>
      <c r="H5815">
        <v>2.4460000000000002</v>
      </c>
      <c r="I5815">
        <v>2.0619999999999998</v>
      </c>
      <c r="J5815">
        <v>7</v>
      </c>
      <c r="K5815">
        <v>38</v>
      </c>
      <c r="L5815">
        <v>22</v>
      </c>
      <c r="M5815" s="1">
        <v>9000000000</v>
      </c>
    </row>
    <row r="5816" spans="1:13" ht="15" customHeight="1">
      <c r="A5816" t="s">
        <v>62</v>
      </c>
      <c r="B5816">
        <f t="shared" si="358"/>
        <v>33.698998000000003</v>
      </c>
      <c r="C5816">
        <f t="shared" si="359"/>
        <v>-117.858819</v>
      </c>
      <c r="D5816">
        <f t="shared" si="360"/>
        <v>40</v>
      </c>
      <c r="E5816">
        <v>42.499000000000002</v>
      </c>
      <c r="F5816">
        <f t="shared" si="361"/>
        <v>-2.4990000000000023</v>
      </c>
      <c r="G5816">
        <v>78.382999999999996</v>
      </c>
      <c r="H5816">
        <v>2.6179999999999999</v>
      </c>
      <c r="I5816">
        <v>3.3450000000000002</v>
      </c>
      <c r="J5816">
        <v>6</v>
      </c>
      <c r="K5816">
        <v>30</v>
      </c>
      <c r="L5816">
        <v>17</v>
      </c>
      <c r="M5816">
        <v>5.0430000000000001</v>
      </c>
    </row>
    <row r="5817" spans="1:13" ht="15" customHeight="1">
      <c r="A5817" t="s">
        <v>62</v>
      </c>
      <c r="B5817">
        <f t="shared" si="358"/>
        <v>33.698998000000003</v>
      </c>
      <c r="C5817">
        <f t="shared" si="359"/>
        <v>-117.858819</v>
      </c>
      <c r="D5817">
        <f t="shared" si="360"/>
        <v>40</v>
      </c>
      <c r="E5817">
        <v>43.499000000000002</v>
      </c>
      <c r="F5817">
        <f t="shared" si="361"/>
        <v>-3.4990000000000023</v>
      </c>
      <c r="G5817">
        <v>158.1</v>
      </c>
      <c r="H5817">
        <v>1.2569999999999999</v>
      </c>
      <c r="I5817">
        <v>0.79600000000000004</v>
      </c>
      <c r="J5817">
        <v>9</v>
      </c>
      <c r="K5817">
        <v>30</v>
      </c>
      <c r="L5817">
        <v>17</v>
      </c>
      <c r="M5817" s="1">
        <v>9000000000</v>
      </c>
    </row>
    <row r="5818" spans="1:13" ht="15" customHeight="1">
      <c r="A5818" t="s">
        <v>62</v>
      </c>
      <c r="B5818">
        <f t="shared" si="358"/>
        <v>33.698998000000003</v>
      </c>
      <c r="C5818">
        <f t="shared" si="359"/>
        <v>-117.858819</v>
      </c>
      <c r="D5818">
        <f t="shared" si="360"/>
        <v>40</v>
      </c>
      <c r="E5818">
        <v>44.499000000000002</v>
      </c>
      <c r="F5818">
        <f t="shared" si="361"/>
        <v>-4.4990000000000023</v>
      </c>
      <c r="G5818">
        <v>122.667</v>
      </c>
      <c r="H5818">
        <v>1.8919999999999999</v>
      </c>
      <c r="I5818">
        <v>1.5449999999999999</v>
      </c>
      <c r="J5818">
        <v>8</v>
      </c>
      <c r="K5818">
        <v>29</v>
      </c>
      <c r="L5818">
        <v>16</v>
      </c>
      <c r="M5818" s="1">
        <v>9000000000</v>
      </c>
    </row>
    <row r="5819" spans="1:13" ht="15" customHeight="1">
      <c r="A5819" t="s">
        <v>62</v>
      </c>
      <c r="B5819">
        <f t="shared" si="358"/>
        <v>33.698998000000003</v>
      </c>
      <c r="C5819">
        <f t="shared" si="359"/>
        <v>-117.858819</v>
      </c>
      <c r="D5819">
        <f t="shared" si="360"/>
        <v>40</v>
      </c>
      <c r="E5819">
        <v>45.499000000000002</v>
      </c>
      <c r="F5819">
        <f t="shared" si="361"/>
        <v>-5.4990000000000023</v>
      </c>
      <c r="G5819">
        <v>153.43299999999999</v>
      </c>
      <c r="H5819">
        <v>1.7969999999999999</v>
      </c>
      <c r="I5819">
        <v>1.1719999999999999</v>
      </c>
      <c r="J5819">
        <v>8</v>
      </c>
      <c r="K5819">
        <v>37</v>
      </c>
      <c r="L5819">
        <v>20</v>
      </c>
      <c r="M5819" s="1">
        <v>9000000000</v>
      </c>
    </row>
    <row r="5820" spans="1:13" ht="15" customHeight="1">
      <c r="A5820" t="s">
        <v>62</v>
      </c>
      <c r="B5820">
        <f t="shared" si="358"/>
        <v>33.698998000000003</v>
      </c>
      <c r="C5820">
        <f t="shared" si="359"/>
        <v>-117.858819</v>
      </c>
      <c r="D5820">
        <f t="shared" si="360"/>
        <v>40</v>
      </c>
      <c r="E5820">
        <v>46.499000000000002</v>
      </c>
      <c r="F5820">
        <f t="shared" si="361"/>
        <v>-6.4990000000000023</v>
      </c>
      <c r="G5820">
        <v>82.7</v>
      </c>
      <c r="H5820">
        <v>1.798</v>
      </c>
      <c r="I5820">
        <v>2.1789999999999998</v>
      </c>
      <c r="J5820">
        <v>7</v>
      </c>
      <c r="K5820">
        <v>26</v>
      </c>
      <c r="L5820">
        <v>14</v>
      </c>
      <c r="M5820" s="1">
        <v>9000000000</v>
      </c>
    </row>
    <row r="5821" spans="1:13" ht="15" customHeight="1">
      <c r="A5821" t="s">
        <v>62</v>
      </c>
      <c r="B5821">
        <f t="shared" si="358"/>
        <v>33.698998000000003</v>
      </c>
      <c r="C5821">
        <f t="shared" si="359"/>
        <v>-117.858819</v>
      </c>
      <c r="D5821">
        <f t="shared" si="360"/>
        <v>40</v>
      </c>
      <c r="E5821">
        <v>47.499000000000002</v>
      </c>
      <c r="F5821">
        <f t="shared" si="361"/>
        <v>-7.4990000000000023</v>
      </c>
      <c r="G5821">
        <v>19.117000000000001</v>
      </c>
      <c r="H5821">
        <v>0.58799999999999997</v>
      </c>
      <c r="I5821">
        <v>3.0990000000000002</v>
      </c>
      <c r="J5821">
        <v>5</v>
      </c>
      <c r="K5821">
        <v>9</v>
      </c>
      <c r="L5821">
        <v>5</v>
      </c>
      <c r="M5821">
        <v>1.07</v>
      </c>
    </row>
    <row r="5822" spans="1:13" ht="15" customHeight="1">
      <c r="A5822" t="s">
        <v>62</v>
      </c>
      <c r="B5822">
        <f t="shared" si="358"/>
        <v>33.698998000000003</v>
      </c>
      <c r="C5822">
        <f t="shared" si="359"/>
        <v>-117.858819</v>
      </c>
      <c r="D5822">
        <f t="shared" si="360"/>
        <v>40</v>
      </c>
      <c r="E5822">
        <v>48.499000000000002</v>
      </c>
      <c r="F5822">
        <f t="shared" si="361"/>
        <v>-8.4990000000000023</v>
      </c>
      <c r="G5822">
        <v>18.600000000000001</v>
      </c>
      <c r="H5822">
        <v>0.58699999999999997</v>
      </c>
      <c r="I5822">
        <v>3.1859999999999999</v>
      </c>
      <c r="J5822">
        <v>5</v>
      </c>
      <c r="K5822">
        <v>9</v>
      </c>
      <c r="L5822">
        <v>5</v>
      </c>
      <c r="M5822">
        <v>1.028</v>
      </c>
    </row>
    <row r="5823" spans="1:13" ht="15" customHeight="1">
      <c r="A5823" t="s">
        <v>62</v>
      </c>
      <c r="B5823">
        <f t="shared" si="358"/>
        <v>33.698998000000003</v>
      </c>
      <c r="C5823">
        <f t="shared" si="359"/>
        <v>-117.858819</v>
      </c>
      <c r="D5823">
        <f t="shared" si="360"/>
        <v>40</v>
      </c>
      <c r="E5823">
        <v>49.499000000000002</v>
      </c>
      <c r="F5823">
        <f t="shared" si="361"/>
        <v>-9.4990000000000023</v>
      </c>
      <c r="G5823">
        <v>20.067</v>
      </c>
      <c r="H5823">
        <v>0.55800000000000005</v>
      </c>
      <c r="I5823">
        <v>2.7989999999999999</v>
      </c>
      <c r="J5823">
        <v>5</v>
      </c>
      <c r="K5823">
        <v>10</v>
      </c>
      <c r="L5823">
        <v>5</v>
      </c>
      <c r="M5823">
        <v>1.1259999999999999</v>
      </c>
    </row>
    <row r="5824" spans="1:13" ht="15" customHeight="1">
      <c r="A5824" t="s">
        <v>62</v>
      </c>
      <c r="B5824">
        <f t="shared" si="358"/>
        <v>33.698998000000003</v>
      </c>
      <c r="C5824">
        <f t="shared" si="359"/>
        <v>-117.858819</v>
      </c>
      <c r="D5824">
        <f t="shared" si="360"/>
        <v>40</v>
      </c>
      <c r="E5824">
        <v>50.499000000000002</v>
      </c>
      <c r="F5824">
        <f t="shared" si="361"/>
        <v>-10.499000000000002</v>
      </c>
      <c r="G5824">
        <v>44.716999999999999</v>
      </c>
      <c r="H5824">
        <v>1.4319999999999999</v>
      </c>
      <c r="I5824">
        <v>3.21</v>
      </c>
      <c r="J5824">
        <v>5</v>
      </c>
      <c r="K5824">
        <v>21</v>
      </c>
      <c r="L5824">
        <v>11</v>
      </c>
      <c r="M5824">
        <v>2.766</v>
      </c>
    </row>
    <row r="5825" spans="1:13" ht="15" customHeight="1">
      <c r="A5825" t="s">
        <v>62</v>
      </c>
      <c r="B5825">
        <f t="shared" si="358"/>
        <v>33.698998000000003</v>
      </c>
      <c r="C5825">
        <f t="shared" si="359"/>
        <v>-117.858819</v>
      </c>
      <c r="D5825">
        <f t="shared" si="360"/>
        <v>40</v>
      </c>
      <c r="E5825">
        <v>51.499000000000002</v>
      </c>
      <c r="F5825">
        <f t="shared" si="361"/>
        <v>-11.499000000000002</v>
      </c>
      <c r="G5825">
        <v>81.832999999999998</v>
      </c>
      <c r="H5825">
        <v>1.452</v>
      </c>
      <c r="I5825">
        <v>1.7749999999999999</v>
      </c>
      <c r="J5825">
        <v>7</v>
      </c>
      <c r="K5825">
        <v>26</v>
      </c>
      <c r="L5825">
        <v>13</v>
      </c>
      <c r="M5825" s="1">
        <v>9000000000</v>
      </c>
    </row>
    <row r="5826" spans="1:13" ht="15" customHeight="1">
      <c r="A5826" t="s">
        <v>62</v>
      </c>
      <c r="B5826">
        <f t="shared" ref="B5826:B5889" si="362">VLOOKUP(A5826,XYdata,3,FALSE)</f>
        <v>33.698998000000003</v>
      </c>
      <c r="C5826">
        <f t="shared" ref="C5826:C5889" si="363">VLOOKUP(A5826,XYdata,2,FALSE)</f>
        <v>-117.858819</v>
      </c>
      <c r="D5826">
        <f t="shared" ref="D5826:D5889" si="364">VLOOKUP(A5826,Elevation,2,FALSE)</f>
        <v>40</v>
      </c>
      <c r="E5826">
        <v>52.499000000000002</v>
      </c>
      <c r="F5826">
        <f t="shared" si="361"/>
        <v>-12.499000000000002</v>
      </c>
      <c r="G5826">
        <v>24.143000000000001</v>
      </c>
      <c r="H5826">
        <v>0.82599999999999996</v>
      </c>
      <c r="I5826">
        <v>3.343</v>
      </c>
      <c r="J5826">
        <v>5</v>
      </c>
      <c r="K5826">
        <v>12</v>
      </c>
      <c r="L5826">
        <v>6</v>
      </c>
      <c r="M5826">
        <v>1.431</v>
      </c>
    </row>
    <row r="5827" spans="1:13" ht="15" customHeight="1">
      <c r="A5827" t="s">
        <v>62</v>
      </c>
      <c r="B5827">
        <f t="shared" si="362"/>
        <v>33.698998000000003</v>
      </c>
      <c r="C5827">
        <f t="shared" si="363"/>
        <v>-117.858819</v>
      </c>
      <c r="D5827">
        <f t="shared" si="364"/>
        <v>40</v>
      </c>
      <c r="E5827">
        <v>53.499000000000002</v>
      </c>
      <c r="F5827">
        <f t="shared" ref="F5827:F5890" si="365">D5827-E5827</f>
        <v>-13.499000000000002</v>
      </c>
      <c r="G5827">
        <v>26.167000000000002</v>
      </c>
      <c r="H5827">
        <v>0.98</v>
      </c>
      <c r="I5827">
        <v>3.605</v>
      </c>
      <c r="J5827">
        <v>5</v>
      </c>
      <c r="K5827">
        <v>13</v>
      </c>
      <c r="L5827">
        <v>7</v>
      </c>
      <c r="M5827">
        <v>1.5920000000000001</v>
      </c>
    </row>
    <row r="5828" spans="1:13" ht="15" customHeight="1">
      <c r="A5828" t="s">
        <v>62</v>
      </c>
      <c r="B5828">
        <f t="shared" si="362"/>
        <v>33.698998000000003</v>
      </c>
      <c r="C5828">
        <f t="shared" si="363"/>
        <v>-117.858819</v>
      </c>
      <c r="D5828">
        <f t="shared" si="364"/>
        <v>40</v>
      </c>
      <c r="E5828">
        <v>54.499000000000002</v>
      </c>
      <c r="F5828">
        <f t="shared" si="365"/>
        <v>-14.499000000000002</v>
      </c>
      <c r="G5828">
        <v>106.15</v>
      </c>
      <c r="H5828">
        <v>1.7969999999999999</v>
      </c>
      <c r="I5828">
        <v>1.6930000000000001</v>
      </c>
      <c r="J5828">
        <v>7</v>
      </c>
      <c r="K5828">
        <v>34</v>
      </c>
      <c r="L5828">
        <v>17</v>
      </c>
      <c r="M5828" s="1">
        <v>9000000000</v>
      </c>
    </row>
    <row r="5829" spans="1:13" ht="15" customHeight="1">
      <c r="A5829" t="s">
        <v>62</v>
      </c>
      <c r="B5829">
        <f t="shared" si="362"/>
        <v>33.698998000000003</v>
      </c>
      <c r="C5829">
        <f t="shared" si="363"/>
        <v>-117.858819</v>
      </c>
      <c r="D5829">
        <f t="shared" si="364"/>
        <v>40</v>
      </c>
      <c r="E5829">
        <v>55.499000000000002</v>
      </c>
      <c r="F5829">
        <f t="shared" si="365"/>
        <v>-15.499000000000002</v>
      </c>
      <c r="G5829">
        <v>73.5</v>
      </c>
      <c r="H5829">
        <v>1.333</v>
      </c>
      <c r="I5829">
        <v>1.8180000000000001</v>
      </c>
      <c r="J5829">
        <v>7</v>
      </c>
      <c r="K5829">
        <v>23</v>
      </c>
      <c r="L5829">
        <v>12</v>
      </c>
      <c r="M5829" s="1">
        <v>9000000000</v>
      </c>
    </row>
    <row r="5830" spans="1:13" ht="15" customHeight="1">
      <c r="A5830" t="s">
        <v>62</v>
      </c>
      <c r="B5830">
        <f t="shared" si="362"/>
        <v>33.698998000000003</v>
      </c>
      <c r="C5830">
        <f t="shared" si="363"/>
        <v>-117.858819</v>
      </c>
      <c r="D5830">
        <f t="shared" si="364"/>
        <v>40</v>
      </c>
      <c r="E5830">
        <v>56.499000000000002</v>
      </c>
      <c r="F5830">
        <f t="shared" si="365"/>
        <v>-16.499000000000002</v>
      </c>
      <c r="G5830">
        <v>20.417000000000002</v>
      </c>
      <c r="H5830">
        <v>0.57199999999999995</v>
      </c>
      <c r="I5830">
        <v>2.8210000000000002</v>
      </c>
      <c r="J5830">
        <v>5</v>
      </c>
      <c r="K5830">
        <v>10</v>
      </c>
      <c r="L5830">
        <v>5</v>
      </c>
      <c r="M5830">
        <v>1.119</v>
      </c>
    </row>
    <row r="5831" spans="1:13" ht="15" customHeight="1">
      <c r="A5831" t="s">
        <v>62</v>
      </c>
      <c r="B5831">
        <f t="shared" si="362"/>
        <v>33.698998000000003</v>
      </c>
      <c r="C5831">
        <f t="shared" si="363"/>
        <v>-117.858819</v>
      </c>
      <c r="D5831">
        <f t="shared" si="364"/>
        <v>40</v>
      </c>
      <c r="E5831">
        <v>57.499000000000002</v>
      </c>
      <c r="F5831">
        <f t="shared" si="365"/>
        <v>-17.499000000000002</v>
      </c>
      <c r="G5831">
        <v>18.5</v>
      </c>
      <c r="H5831">
        <v>0.45200000000000001</v>
      </c>
      <c r="I5831">
        <v>2.4569999999999999</v>
      </c>
      <c r="J5831">
        <v>5</v>
      </c>
      <c r="K5831">
        <v>9</v>
      </c>
      <c r="L5831">
        <v>5</v>
      </c>
      <c r="M5831">
        <v>0.98899999999999999</v>
      </c>
    </row>
    <row r="5832" spans="1:13" ht="15" customHeight="1">
      <c r="A5832" t="s">
        <v>62</v>
      </c>
      <c r="B5832">
        <f t="shared" si="362"/>
        <v>33.698998000000003</v>
      </c>
      <c r="C5832">
        <f t="shared" si="363"/>
        <v>-117.858819</v>
      </c>
      <c r="D5832">
        <f t="shared" si="364"/>
        <v>40</v>
      </c>
      <c r="E5832">
        <v>58.499000000000002</v>
      </c>
      <c r="F5832">
        <f t="shared" si="365"/>
        <v>-18.499000000000002</v>
      </c>
      <c r="G5832">
        <v>21.233000000000001</v>
      </c>
      <c r="H5832">
        <v>0.56499999999999995</v>
      </c>
      <c r="I5832">
        <v>2.6739999999999999</v>
      </c>
      <c r="J5832">
        <v>5</v>
      </c>
      <c r="K5832">
        <v>10</v>
      </c>
      <c r="L5832">
        <v>5</v>
      </c>
      <c r="M5832">
        <v>1.169</v>
      </c>
    </row>
    <row r="5833" spans="1:13" ht="15" customHeight="1">
      <c r="A5833" t="s">
        <v>62</v>
      </c>
      <c r="B5833">
        <f t="shared" si="362"/>
        <v>33.698998000000003</v>
      </c>
      <c r="C5833">
        <f t="shared" si="363"/>
        <v>-117.858819</v>
      </c>
      <c r="D5833">
        <f t="shared" si="364"/>
        <v>40</v>
      </c>
      <c r="E5833">
        <v>59.499000000000002</v>
      </c>
      <c r="F5833">
        <f t="shared" si="365"/>
        <v>-19.499000000000002</v>
      </c>
      <c r="G5833">
        <v>25.716999999999999</v>
      </c>
      <c r="H5833">
        <v>0.77300000000000002</v>
      </c>
      <c r="I5833">
        <v>3.0169999999999999</v>
      </c>
      <c r="J5833">
        <v>5</v>
      </c>
      <c r="K5833">
        <v>12</v>
      </c>
      <c r="L5833">
        <v>6</v>
      </c>
      <c r="M5833">
        <v>1.4650000000000001</v>
      </c>
    </row>
    <row r="5834" spans="1:13" ht="15" customHeight="1">
      <c r="A5834" t="s">
        <v>62</v>
      </c>
      <c r="B5834">
        <f t="shared" si="362"/>
        <v>33.698998000000003</v>
      </c>
      <c r="C5834">
        <f t="shared" si="363"/>
        <v>-117.858819</v>
      </c>
      <c r="D5834">
        <f t="shared" si="364"/>
        <v>40</v>
      </c>
      <c r="E5834">
        <v>60.499000000000002</v>
      </c>
      <c r="F5834">
        <f t="shared" si="365"/>
        <v>-20.499000000000002</v>
      </c>
      <c r="G5834">
        <v>28.533000000000001</v>
      </c>
      <c r="H5834">
        <v>0.88800000000000001</v>
      </c>
      <c r="I5834">
        <v>3.1219999999999999</v>
      </c>
      <c r="J5834">
        <v>5</v>
      </c>
      <c r="K5834">
        <v>14</v>
      </c>
      <c r="L5834">
        <v>7</v>
      </c>
      <c r="M5834">
        <v>1.6479999999999999</v>
      </c>
    </row>
    <row r="5835" spans="1:13" ht="15" customHeight="1">
      <c r="A5835" t="s">
        <v>62</v>
      </c>
      <c r="B5835">
        <f t="shared" si="362"/>
        <v>33.698998000000003</v>
      </c>
      <c r="C5835">
        <f t="shared" si="363"/>
        <v>-117.858819</v>
      </c>
      <c r="D5835">
        <f t="shared" si="364"/>
        <v>40</v>
      </c>
      <c r="E5835">
        <v>61.499000000000002</v>
      </c>
      <c r="F5835">
        <f t="shared" si="365"/>
        <v>-21.499000000000002</v>
      </c>
      <c r="G5835">
        <v>76.183000000000007</v>
      </c>
      <c r="H5835">
        <v>1.448</v>
      </c>
      <c r="I5835">
        <v>1.9019999999999999</v>
      </c>
      <c r="J5835">
        <v>7</v>
      </c>
      <c r="K5835">
        <v>24</v>
      </c>
      <c r="L5835">
        <v>12</v>
      </c>
      <c r="M5835" s="1">
        <v>9000000000</v>
      </c>
    </row>
    <row r="5836" spans="1:13" ht="15" customHeight="1">
      <c r="A5836" t="s">
        <v>62</v>
      </c>
      <c r="B5836">
        <f t="shared" si="362"/>
        <v>33.698998000000003</v>
      </c>
      <c r="C5836">
        <f t="shared" si="363"/>
        <v>-117.858819</v>
      </c>
      <c r="D5836">
        <f t="shared" si="364"/>
        <v>40</v>
      </c>
      <c r="E5836">
        <v>62.499000000000002</v>
      </c>
      <c r="F5836">
        <f t="shared" si="365"/>
        <v>-22.499000000000002</v>
      </c>
      <c r="G5836">
        <v>148.029</v>
      </c>
      <c r="H5836">
        <v>2.4390000000000001</v>
      </c>
      <c r="I5836">
        <v>1.649</v>
      </c>
      <c r="J5836">
        <v>8</v>
      </c>
      <c r="K5836">
        <v>35</v>
      </c>
      <c r="L5836">
        <v>18</v>
      </c>
      <c r="M5836" s="1">
        <v>9000000000</v>
      </c>
    </row>
    <row r="5837" spans="1:13" ht="15" customHeight="1">
      <c r="A5837" t="s">
        <v>62</v>
      </c>
      <c r="B5837">
        <f t="shared" si="362"/>
        <v>33.698998000000003</v>
      </c>
      <c r="C5837">
        <f t="shared" si="363"/>
        <v>-117.858819</v>
      </c>
      <c r="D5837">
        <f t="shared" si="364"/>
        <v>40</v>
      </c>
      <c r="E5837">
        <v>63.499000000000002</v>
      </c>
      <c r="F5837">
        <f t="shared" si="365"/>
        <v>-23.499000000000002</v>
      </c>
      <c r="G5837">
        <v>52.933</v>
      </c>
      <c r="H5837">
        <v>1.2529999999999999</v>
      </c>
      <c r="I5837">
        <v>2.3719999999999999</v>
      </c>
      <c r="J5837">
        <v>6</v>
      </c>
      <c r="K5837">
        <v>20</v>
      </c>
      <c r="L5837">
        <v>10</v>
      </c>
      <c r="M5837">
        <v>3.2610000000000001</v>
      </c>
    </row>
    <row r="5838" spans="1:13" ht="15" customHeight="1">
      <c r="A5838" t="s">
        <v>62</v>
      </c>
      <c r="B5838">
        <f t="shared" si="362"/>
        <v>33.698998000000003</v>
      </c>
      <c r="C5838">
        <f t="shared" si="363"/>
        <v>-117.858819</v>
      </c>
      <c r="D5838">
        <f t="shared" si="364"/>
        <v>40</v>
      </c>
      <c r="E5838">
        <v>64.498999999999995</v>
      </c>
      <c r="F5838">
        <f t="shared" si="365"/>
        <v>-24.498999999999995</v>
      </c>
      <c r="G5838">
        <v>27.667000000000002</v>
      </c>
      <c r="H5838">
        <v>0.90200000000000002</v>
      </c>
      <c r="I5838">
        <v>3.2669999999999999</v>
      </c>
      <c r="J5838">
        <v>5</v>
      </c>
      <c r="K5838">
        <v>13</v>
      </c>
      <c r="L5838">
        <v>7</v>
      </c>
      <c r="M5838">
        <v>1.575</v>
      </c>
    </row>
    <row r="5839" spans="1:13" ht="15" customHeight="1">
      <c r="A5839" t="s">
        <v>62</v>
      </c>
      <c r="B5839">
        <f t="shared" si="362"/>
        <v>33.698998000000003</v>
      </c>
      <c r="C5839">
        <f t="shared" si="363"/>
        <v>-117.858819</v>
      </c>
      <c r="D5839">
        <f t="shared" si="364"/>
        <v>40</v>
      </c>
      <c r="E5839">
        <v>65.498999999999995</v>
      </c>
      <c r="F5839">
        <f t="shared" si="365"/>
        <v>-25.498999999999995</v>
      </c>
      <c r="G5839">
        <v>27.533000000000001</v>
      </c>
      <c r="H5839">
        <v>0.875</v>
      </c>
      <c r="I5839">
        <v>3.1779999999999999</v>
      </c>
      <c r="J5839">
        <v>5</v>
      </c>
      <c r="K5839">
        <v>13</v>
      </c>
      <c r="L5839">
        <v>7</v>
      </c>
      <c r="M5839">
        <v>1.5660000000000001</v>
      </c>
    </row>
    <row r="5840" spans="1:13" ht="15" customHeight="1">
      <c r="A5840" t="s">
        <v>62</v>
      </c>
      <c r="B5840">
        <f t="shared" si="362"/>
        <v>33.698998000000003</v>
      </c>
      <c r="C5840">
        <f t="shared" si="363"/>
        <v>-117.858819</v>
      </c>
      <c r="D5840">
        <f t="shared" si="364"/>
        <v>40</v>
      </c>
      <c r="E5840">
        <v>66.498999999999995</v>
      </c>
      <c r="F5840">
        <f t="shared" si="365"/>
        <v>-26.498999999999995</v>
      </c>
      <c r="G5840">
        <v>30.65</v>
      </c>
      <c r="H5840">
        <v>0.92700000000000005</v>
      </c>
      <c r="I5840">
        <v>3.0230000000000001</v>
      </c>
      <c r="J5840">
        <v>5</v>
      </c>
      <c r="K5840">
        <v>15</v>
      </c>
      <c r="L5840">
        <v>8</v>
      </c>
      <c r="M5840">
        <v>1.77</v>
      </c>
    </row>
    <row r="5841" spans="1:13" ht="15" customHeight="1">
      <c r="A5841" t="s">
        <v>62</v>
      </c>
      <c r="B5841">
        <f t="shared" si="362"/>
        <v>33.698998000000003</v>
      </c>
      <c r="C5841">
        <f t="shared" si="363"/>
        <v>-117.858819</v>
      </c>
      <c r="D5841">
        <f t="shared" si="364"/>
        <v>40</v>
      </c>
      <c r="E5841">
        <v>67.498999999999995</v>
      </c>
      <c r="F5841">
        <f t="shared" si="365"/>
        <v>-27.498999999999995</v>
      </c>
      <c r="G5841">
        <v>35.133000000000003</v>
      </c>
      <c r="H5841">
        <v>1.393</v>
      </c>
      <c r="I5841">
        <v>3.956</v>
      </c>
      <c r="J5841">
        <v>5</v>
      </c>
      <c r="K5841">
        <v>17</v>
      </c>
      <c r="L5841">
        <v>9</v>
      </c>
      <c r="M5841">
        <v>2.0699999999999998</v>
      </c>
    </row>
    <row r="5842" spans="1:13" ht="15" customHeight="1">
      <c r="A5842" t="s">
        <v>62</v>
      </c>
      <c r="B5842">
        <f t="shared" si="362"/>
        <v>33.698998000000003</v>
      </c>
      <c r="C5842">
        <f t="shared" si="363"/>
        <v>-117.858819</v>
      </c>
      <c r="D5842">
        <f t="shared" si="364"/>
        <v>40</v>
      </c>
      <c r="E5842">
        <v>68.498999999999995</v>
      </c>
      <c r="F5842">
        <f t="shared" si="365"/>
        <v>-28.498999999999995</v>
      </c>
      <c r="G5842">
        <v>35.033000000000001</v>
      </c>
      <c r="H5842">
        <v>1.0820000000000001</v>
      </c>
      <c r="I5842">
        <v>3.0790000000000002</v>
      </c>
      <c r="J5842">
        <v>5</v>
      </c>
      <c r="K5842">
        <v>17</v>
      </c>
      <c r="L5842">
        <v>9</v>
      </c>
      <c r="M5842">
        <v>2.0609999999999999</v>
      </c>
    </row>
    <row r="5843" spans="1:13" ht="15" customHeight="1">
      <c r="A5843" t="s">
        <v>62</v>
      </c>
      <c r="B5843">
        <f t="shared" si="362"/>
        <v>33.698998000000003</v>
      </c>
      <c r="C5843">
        <f t="shared" si="363"/>
        <v>-117.858819</v>
      </c>
      <c r="D5843">
        <f t="shared" si="364"/>
        <v>40</v>
      </c>
      <c r="E5843">
        <v>69.498999999999995</v>
      </c>
      <c r="F5843">
        <f t="shared" si="365"/>
        <v>-29.498999999999995</v>
      </c>
      <c r="G5843">
        <v>34.267000000000003</v>
      </c>
      <c r="H5843">
        <v>0.95699999999999996</v>
      </c>
      <c r="I5843">
        <v>2.78</v>
      </c>
      <c r="J5843">
        <v>6</v>
      </c>
      <c r="K5843">
        <v>13</v>
      </c>
      <c r="L5843">
        <v>7</v>
      </c>
      <c r="M5843">
        <v>2.0089999999999999</v>
      </c>
    </row>
    <row r="5844" spans="1:13" ht="15" customHeight="1">
      <c r="A5844" t="s">
        <v>62</v>
      </c>
      <c r="B5844">
        <f t="shared" si="362"/>
        <v>33.698998000000003</v>
      </c>
      <c r="C5844">
        <f t="shared" si="363"/>
        <v>-117.858819</v>
      </c>
      <c r="D5844">
        <f t="shared" si="364"/>
        <v>40</v>
      </c>
      <c r="E5844">
        <v>70.498999999999995</v>
      </c>
      <c r="F5844">
        <f t="shared" si="365"/>
        <v>-30.498999999999995</v>
      </c>
      <c r="G5844">
        <v>34.183</v>
      </c>
      <c r="H5844">
        <v>1.1200000000000001</v>
      </c>
      <c r="I5844">
        <v>3.2349999999999999</v>
      </c>
      <c r="J5844">
        <v>5</v>
      </c>
      <c r="K5844">
        <v>17</v>
      </c>
      <c r="L5844">
        <v>9</v>
      </c>
      <c r="M5844">
        <v>2.0179999999999998</v>
      </c>
    </row>
    <row r="5845" spans="1:13" ht="15" customHeight="1">
      <c r="A5845" t="s">
        <v>62</v>
      </c>
      <c r="B5845">
        <f t="shared" si="362"/>
        <v>33.698998000000003</v>
      </c>
      <c r="C5845">
        <f t="shared" si="363"/>
        <v>-117.858819</v>
      </c>
      <c r="D5845">
        <f t="shared" si="364"/>
        <v>40</v>
      </c>
      <c r="E5845">
        <v>71.498999999999995</v>
      </c>
      <c r="F5845">
        <f t="shared" si="365"/>
        <v>-31.498999999999995</v>
      </c>
      <c r="G5845">
        <v>204.083</v>
      </c>
      <c r="H5845">
        <v>1.8480000000000001</v>
      </c>
      <c r="I5845">
        <v>0.90500000000000003</v>
      </c>
      <c r="J5845">
        <v>9</v>
      </c>
      <c r="K5845">
        <v>39</v>
      </c>
      <c r="L5845">
        <v>20</v>
      </c>
      <c r="M5845" s="1">
        <v>9000000000</v>
      </c>
    </row>
    <row r="5846" spans="1:13" ht="15" customHeight="1">
      <c r="A5846" t="s">
        <v>62</v>
      </c>
      <c r="B5846">
        <f t="shared" si="362"/>
        <v>33.698998000000003</v>
      </c>
      <c r="C5846">
        <f t="shared" si="363"/>
        <v>-117.858819</v>
      </c>
      <c r="D5846">
        <f t="shared" si="364"/>
        <v>40</v>
      </c>
      <c r="E5846">
        <v>72.498999999999995</v>
      </c>
      <c r="F5846">
        <f t="shared" si="365"/>
        <v>-32.498999999999995</v>
      </c>
      <c r="G5846">
        <v>335.029</v>
      </c>
      <c r="H5846">
        <v>1.429</v>
      </c>
      <c r="I5846">
        <v>0.42599999999999999</v>
      </c>
      <c r="J5846">
        <v>10</v>
      </c>
      <c r="K5846">
        <v>53</v>
      </c>
      <c r="L5846">
        <v>27</v>
      </c>
      <c r="M5846" s="1">
        <v>9000000000</v>
      </c>
    </row>
    <row r="5847" spans="1:13" ht="15" customHeight="1">
      <c r="A5847" t="s">
        <v>62</v>
      </c>
      <c r="B5847">
        <f t="shared" si="362"/>
        <v>33.698998000000003</v>
      </c>
      <c r="C5847">
        <f t="shared" si="363"/>
        <v>-117.858819</v>
      </c>
      <c r="D5847">
        <f t="shared" si="364"/>
        <v>40</v>
      </c>
      <c r="E5847">
        <v>73.498999999999995</v>
      </c>
      <c r="F5847">
        <f t="shared" si="365"/>
        <v>-33.498999999999995</v>
      </c>
      <c r="G5847">
        <v>244.733</v>
      </c>
      <c r="H5847">
        <v>1.8420000000000001</v>
      </c>
      <c r="I5847">
        <v>0.752</v>
      </c>
      <c r="J5847">
        <v>9</v>
      </c>
      <c r="K5847">
        <v>47</v>
      </c>
      <c r="L5847">
        <v>24</v>
      </c>
      <c r="M5847" s="1">
        <v>9000000000</v>
      </c>
    </row>
    <row r="5848" spans="1:13" ht="15" customHeight="1">
      <c r="A5848" t="s">
        <v>62</v>
      </c>
      <c r="B5848">
        <f t="shared" si="362"/>
        <v>33.698998000000003</v>
      </c>
      <c r="C5848">
        <f t="shared" si="363"/>
        <v>-117.858819</v>
      </c>
      <c r="D5848">
        <f t="shared" si="364"/>
        <v>40</v>
      </c>
      <c r="E5848">
        <v>74.498999999999995</v>
      </c>
      <c r="F5848">
        <f t="shared" si="365"/>
        <v>-34.498999999999995</v>
      </c>
      <c r="G5848">
        <v>71.117000000000004</v>
      </c>
      <c r="H5848">
        <v>2.0979999999999999</v>
      </c>
      <c r="I5848">
        <v>2.9169999999999998</v>
      </c>
      <c r="J5848">
        <v>6</v>
      </c>
      <c r="K5848">
        <v>28</v>
      </c>
      <c r="L5848">
        <v>14</v>
      </c>
      <c r="M5848">
        <v>4.4889999999999999</v>
      </c>
    </row>
    <row r="5849" spans="1:13" ht="15" customHeight="1">
      <c r="A5849" t="s">
        <v>62</v>
      </c>
      <c r="B5849">
        <f t="shared" si="362"/>
        <v>33.698998000000003</v>
      </c>
      <c r="C5849">
        <f t="shared" si="363"/>
        <v>-117.858819</v>
      </c>
      <c r="D5849">
        <f t="shared" si="364"/>
        <v>40</v>
      </c>
      <c r="E5849">
        <v>75.498999999999995</v>
      </c>
      <c r="F5849">
        <f t="shared" si="365"/>
        <v>-35.498999999999995</v>
      </c>
      <c r="G5849">
        <v>30.082999999999998</v>
      </c>
      <c r="H5849">
        <v>1.0920000000000001</v>
      </c>
      <c r="I5849">
        <v>3.617</v>
      </c>
      <c r="J5849">
        <v>5</v>
      </c>
      <c r="K5849">
        <v>14</v>
      </c>
      <c r="L5849">
        <v>7</v>
      </c>
      <c r="M5849">
        <v>1.7010000000000001</v>
      </c>
    </row>
    <row r="5850" spans="1:13" ht="15" customHeight="1">
      <c r="A5850" t="s">
        <v>62</v>
      </c>
      <c r="B5850">
        <f t="shared" si="362"/>
        <v>33.698998000000003</v>
      </c>
      <c r="C5850">
        <f t="shared" si="363"/>
        <v>-117.858819</v>
      </c>
      <c r="D5850">
        <f t="shared" si="364"/>
        <v>40</v>
      </c>
      <c r="E5850">
        <v>76.498999999999995</v>
      </c>
      <c r="F5850">
        <f t="shared" si="365"/>
        <v>-36.498999999999995</v>
      </c>
      <c r="G5850">
        <v>31.25</v>
      </c>
      <c r="H5850">
        <v>0.94799999999999995</v>
      </c>
      <c r="I5850">
        <v>2.9950000000000001</v>
      </c>
      <c r="J5850">
        <v>5</v>
      </c>
      <c r="K5850">
        <v>15</v>
      </c>
      <c r="L5850">
        <v>8</v>
      </c>
      <c r="M5850">
        <v>1.796</v>
      </c>
    </row>
    <row r="5851" spans="1:13" ht="15" customHeight="1">
      <c r="A5851" t="s">
        <v>62</v>
      </c>
      <c r="B5851">
        <f t="shared" si="362"/>
        <v>33.698998000000003</v>
      </c>
      <c r="C5851">
        <f t="shared" si="363"/>
        <v>-117.858819</v>
      </c>
      <c r="D5851">
        <f t="shared" si="364"/>
        <v>40</v>
      </c>
      <c r="E5851">
        <v>77.498999999999995</v>
      </c>
      <c r="F5851">
        <f t="shared" si="365"/>
        <v>-37.498999999999995</v>
      </c>
      <c r="G5851">
        <v>41.033000000000001</v>
      </c>
      <c r="H5851">
        <v>1.47</v>
      </c>
      <c r="I5851">
        <v>3.5129999999999999</v>
      </c>
      <c r="J5851">
        <v>5</v>
      </c>
      <c r="K5851">
        <v>20</v>
      </c>
      <c r="L5851">
        <v>10</v>
      </c>
      <c r="M5851">
        <v>2.4710000000000001</v>
      </c>
    </row>
    <row r="5852" spans="1:13" ht="15" customHeight="1">
      <c r="A5852" t="s">
        <v>62</v>
      </c>
      <c r="B5852">
        <f t="shared" si="362"/>
        <v>33.698998000000003</v>
      </c>
      <c r="C5852">
        <f t="shared" si="363"/>
        <v>-117.858819</v>
      </c>
      <c r="D5852">
        <f t="shared" si="364"/>
        <v>40</v>
      </c>
      <c r="E5852">
        <v>78.498999999999995</v>
      </c>
      <c r="F5852">
        <f t="shared" si="365"/>
        <v>-38.498999999999995</v>
      </c>
      <c r="G5852">
        <v>33.450000000000003</v>
      </c>
      <c r="H5852">
        <v>1.127</v>
      </c>
      <c r="I5852">
        <v>3.2549999999999999</v>
      </c>
      <c r="J5852">
        <v>5</v>
      </c>
      <c r="K5852">
        <v>17</v>
      </c>
      <c r="L5852">
        <v>9</v>
      </c>
      <c r="M5852">
        <v>1.984</v>
      </c>
    </row>
    <row r="5853" spans="1:13" ht="15" customHeight="1">
      <c r="A5853" t="s">
        <v>62</v>
      </c>
      <c r="B5853">
        <f t="shared" si="362"/>
        <v>33.698998000000003</v>
      </c>
      <c r="C5853">
        <f t="shared" si="363"/>
        <v>-117.858819</v>
      </c>
      <c r="D5853">
        <f t="shared" si="364"/>
        <v>40</v>
      </c>
      <c r="E5853">
        <v>79.498999999999995</v>
      </c>
      <c r="F5853">
        <f t="shared" si="365"/>
        <v>-39.498999999999995</v>
      </c>
      <c r="G5853">
        <v>83.117000000000004</v>
      </c>
      <c r="H5853">
        <v>2.0550000000000002</v>
      </c>
      <c r="I5853">
        <v>2.4449999999999998</v>
      </c>
      <c r="J5853">
        <v>6</v>
      </c>
      <c r="K5853">
        <v>32</v>
      </c>
      <c r="L5853">
        <v>16</v>
      </c>
      <c r="M5853">
        <v>5.2750000000000004</v>
      </c>
    </row>
    <row r="5854" spans="1:13" ht="15" customHeight="1">
      <c r="A5854" t="s">
        <v>62</v>
      </c>
      <c r="B5854">
        <f t="shared" si="362"/>
        <v>33.698998000000003</v>
      </c>
      <c r="C5854">
        <f t="shared" si="363"/>
        <v>-117.858819</v>
      </c>
      <c r="D5854">
        <f t="shared" si="364"/>
        <v>40</v>
      </c>
      <c r="E5854">
        <v>80.498999999999995</v>
      </c>
      <c r="F5854">
        <f t="shared" si="365"/>
        <v>-40.498999999999995</v>
      </c>
      <c r="G5854">
        <v>181.81700000000001</v>
      </c>
      <c r="H5854">
        <v>2.2719999999999998</v>
      </c>
      <c r="I5854">
        <v>1.25</v>
      </c>
      <c r="J5854">
        <v>8</v>
      </c>
      <c r="K5854">
        <v>44</v>
      </c>
      <c r="L5854">
        <v>22</v>
      </c>
      <c r="M5854" s="1">
        <v>9000000000</v>
      </c>
    </row>
    <row r="5855" spans="1:13" ht="15" customHeight="1">
      <c r="A5855" t="s">
        <v>62</v>
      </c>
      <c r="B5855">
        <f t="shared" si="362"/>
        <v>33.698998000000003</v>
      </c>
      <c r="C5855">
        <f t="shared" si="363"/>
        <v>-117.858819</v>
      </c>
      <c r="D5855">
        <f t="shared" si="364"/>
        <v>40</v>
      </c>
      <c r="E5855">
        <v>81.498999999999995</v>
      </c>
      <c r="F5855">
        <f t="shared" si="365"/>
        <v>-41.498999999999995</v>
      </c>
      <c r="G5855">
        <v>224.667</v>
      </c>
      <c r="H5855">
        <v>3.3919999999999999</v>
      </c>
      <c r="I5855">
        <v>1.51</v>
      </c>
      <c r="J5855">
        <v>8</v>
      </c>
      <c r="K5855">
        <v>54</v>
      </c>
      <c r="L5855">
        <v>27</v>
      </c>
      <c r="M5855" s="1">
        <v>9000000000</v>
      </c>
    </row>
    <row r="5856" spans="1:13" ht="15" customHeight="1">
      <c r="A5856" t="s">
        <v>62</v>
      </c>
      <c r="B5856">
        <f t="shared" si="362"/>
        <v>33.698998000000003</v>
      </c>
      <c r="C5856">
        <f t="shared" si="363"/>
        <v>-117.858819</v>
      </c>
      <c r="D5856">
        <f t="shared" si="364"/>
        <v>40</v>
      </c>
      <c r="E5856">
        <v>82.498999999999995</v>
      </c>
      <c r="F5856">
        <f t="shared" si="365"/>
        <v>-42.498999999999995</v>
      </c>
      <c r="G5856">
        <v>158.43299999999999</v>
      </c>
      <c r="H5856">
        <v>3.6429999999999998</v>
      </c>
      <c r="I5856">
        <v>2.3010000000000002</v>
      </c>
      <c r="J5856">
        <v>7</v>
      </c>
      <c r="K5856">
        <v>51</v>
      </c>
      <c r="L5856">
        <v>26</v>
      </c>
      <c r="M5856" s="1">
        <v>9000000000</v>
      </c>
    </row>
    <row r="5857" spans="1:13" ht="15" customHeight="1">
      <c r="A5857" t="s">
        <v>62</v>
      </c>
      <c r="B5857">
        <f t="shared" si="362"/>
        <v>33.698998000000003</v>
      </c>
      <c r="C5857">
        <f t="shared" si="363"/>
        <v>-117.858819</v>
      </c>
      <c r="D5857">
        <f t="shared" si="364"/>
        <v>40</v>
      </c>
      <c r="E5857">
        <v>83.498999999999995</v>
      </c>
      <c r="F5857">
        <f t="shared" si="365"/>
        <v>-43.498999999999995</v>
      </c>
      <c r="G5857">
        <v>34.585999999999999</v>
      </c>
      <c r="H5857">
        <v>1.94</v>
      </c>
      <c r="I5857">
        <v>5.6260000000000003</v>
      </c>
      <c r="J5857">
        <v>3</v>
      </c>
      <c r="K5857">
        <v>33</v>
      </c>
      <c r="L5857">
        <v>17</v>
      </c>
      <c r="M5857">
        <v>1.9550000000000001</v>
      </c>
    </row>
    <row r="5858" spans="1:13" ht="15" customHeight="1">
      <c r="A5858" t="s">
        <v>62</v>
      </c>
      <c r="B5858">
        <f t="shared" si="362"/>
        <v>33.698998000000003</v>
      </c>
      <c r="C5858">
        <f t="shared" si="363"/>
        <v>-117.858819</v>
      </c>
      <c r="D5858">
        <f t="shared" si="364"/>
        <v>40</v>
      </c>
      <c r="E5858">
        <v>84.498999999999995</v>
      </c>
      <c r="F5858">
        <f t="shared" si="365"/>
        <v>-44.498999999999995</v>
      </c>
      <c r="G5858">
        <v>45.667000000000002</v>
      </c>
      <c r="H5858">
        <v>1.732</v>
      </c>
      <c r="I5858">
        <v>3.8</v>
      </c>
      <c r="J5858">
        <v>5</v>
      </c>
      <c r="K5858">
        <v>22</v>
      </c>
      <c r="L5858">
        <v>11</v>
      </c>
      <c r="M5858">
        <v>2.6890000000000001</v>
      </c>
    </row>
    <row r="5859" spans="1:13" ht="15" customHeight="1">
      <c r="A5859" t="s">
        <v>62</v>
      </c>
      <c r="B5859">
        <f t="shared" si="362"/>
        <v>33.698998000000003</v>
      </c>
      <c r="C5859">
        <f t="shared" si="363"/>
        <v>-117.858819</v>
      </c>
      <c r="D5859">
        <f t="shared" si="364"/>
        <v>40</v>
      </c>
      <c r="E5859">
        <v>85.498999999999995</v>
      </c>
      <c r="F5859">
        <f t="shared" si="365"/>
        <v>-45.498999999999995</v>
      </c>
      <c r="G5859">
        <v>55.732999999999997</v>
      </c>
      <c r="H5859">
        <v>2.665</v>
      </c>
      <c r="I5859">
        <v>4.7859999999999996</v>
      </c>
      <c r="J5859">
        <v>4</v>
      </c>
      <c r="K5859">
        <v>36</v>
      </c>
      <c r="L5859">
        <v>18</v>
      </c>
      <c r="M5859">
        <v>3.36</v>
      </c>
    </row>
    <row r="5860" spans="1:13" ht="15" customHeight="1">
      <c r="A5860" t="s">
        <v>62</v>
      </c>
      <c r="B5860">
        <f t="shared" si="362"/>
        <v>33.698998000000003</v>
      </c>
      <c r="C5860">
        <f t="shared" si="363"/>
        <v>-117.858819</v>
      </c>
      <c r="D5860">
        <f t="shared" si="364"/>
        <v>40</v>
      </c>
      <c r="E5860">
        <v>86.498999999999995</v>
      </c>
      <c r="F5860">
        <f t="shared" si="365"/>
        <v>-46.498999999999995</v>
      </c>
      <c r="G5860">
        <v>33.966999999999999</v>
      </c>
      <c r="H5860">
        <v>1.325</v>
      </c>
      <c r="I5860">
        <v>3.9049999999999998</v>
      </c>
      <c r="J5860">
        <v>5</v>
      </c>
      <c r="K5860">
        <v>16</v>
      </c>
      <c r="L5860">
        <v>8</v>
      </c>
      <c r="M5860">
        <v>1.905</v>
      </c>
    </row>
    <row r="5861" spans="1:13" ht="15" customHeight="1">
      <c r="A5861" t="s">
        <v>62</v>
      </c>
      <c r="B5861">
        <f t="shared" si="362"/>
        <v>33.698998000000003</v>
      </c>
      <c r="C5861">
        <f t="shared" si="363"/>
        <v>-117.858819</v>
      </c>
      <c r="D5861">
        <f t="shared" si="364"/>
        <v>40</v>
      </c>
      <c r="E5861">
        <v>87.498999999999995</v>
      </c>
      <c r="F5861">
        <f t="shared" si="365"/>
        <v>-47.498999999999995</v>
      </c>
      <c r="G5861">
        <v>39.832999999999998</v>
      </c>
      <c r="H5861">
        <v>1.635</v>
      </c>
      <c r="I5861">
        <v>4.1059999999999999</v>
      </c>
      <c r="J5861">
        <v>4</v>
      </c>
      <c r="K5861">
        <v>25</v>
      </c>
      <c r="L5861">
        <v>13</v>
      </c>
      <c r="M5861">
        <v>2.294</v>
      </c>
    </row>
    <row r="5862" spans="1:13" ht="15" customHeight="1">
      <c r="A5862" t="s">
        <v>62</v>
      </c>
      <c r="B5862">
        <f t="shared" si="362"/>
        <v>33.698998000000003</v>
      </c>
      <c r="C5862">
        <f t="shared" si="363"/>
        <v>-117.858819</v>
      </c>
      <c r="D5862">
        <f t="shared" si="364"/>
        <v>40</v>
      </c>
      <c r="E5862">
        <v>88.498999999999995</v>
      </c>
      <c r="F5862">
        <f t="shared" si="365"/>
        <v>-48.498999999999995</v>
      </c>
      <c r="G5862">
        <v>179.05</v>
      </c>
      <c r="H5862">
        <v>3.65</v>
      </c>
      <c r="I5862">
        <v>2.04</v>
      </c>
      <c r="J5862">
        <v>7</v>
      </c>
      <c r="K5862">
        <v>57</v>
      </c>
      <c r="L5862">
        <v>29</v>
      </c>
      <c r="M5862" s="1">
        <v>9000000000</v>
      </c>
    </row>
    <row r="5863" spans="1:13" ht="15" customHeight="1">
      <c r="A5863" t="s">
        <v>62</v>
      </c>
      <c r="B5863">
        <f t="shared" si="362"/>
        <v>33.698998000000003</v>
      </c>
      <c r="C5863">
        <f t="shared" si="363"/>
        <v>-117.858819</v>
      </c>
      <c r="D5863">
        <f t="shared" si="364"/>
        <v>40</v>
      </c>
      <c r="E5863">
        <v>89.498999999999995</v>
      </c>
      <c r="F5863">
        <f t="shared" si="365"/>
        <v>-49.498999999999995</v>
      </c>
      <c r="G5863">
        <v>333.05</v>
      </c>
      <c r="H5863">
        <v>1.74</v>
      </c>
      <c r="I5863">
        <v>0.52300000000000002</v>
      </c>
      <c r="J5863">
        <v>10</v>
      </c>
      <c r="K5863">
        <v>53</v>
      </c>
      <c r="L5863">
        <v>27</v>
      </c>
      <c r="M5863" s="1">
        <v>9000000000</v>
      </c>
    </row>
    <row r="5864" spans="1:13" ht="15" customHeight="1">
      <c r="A5864" t="s">
        <v>62</v>
      </c>
      <c r="B5864">
        <f t="shared" si="362"/>
        <v>33.698998000000003</v>
      </c>
      <c r="C5864">
        <f t="shared" si="363"/>
        <v>-117.858819</v>
      </c>
      <c r="D5864">
        <f t="shared" si="364"/>
        <v>40</v>
      </c>
      <c r="E5864">
        <v>90.498999999999995</v>
      </c>
      <c r="F5864">
        <f t="shared" si="365"/>
        <v>-50.498999999999995</v>
      </c>
      <c r="G5864">
        <v>338.08300000000003</v>
      </c>
      <c r="H5864">
        <v>1.6819999999999999</v>
      </c>
      <c r="I5864">
        <v>0.497</v>
      </c>
      <c r="J5864">
        <v>10</v>
      </c>
      <c r="K5864">
        <v>54</v>
      </c>
      <c r="L5864">
        <v>27</v>
      </c>
      <c r="M5864" s="1">
        <v>9000000000</v>
      </c>
    </row>
    <row r="5865" spans="1:13" ht="15" customHeight="1">
      <c r="A5865" t="s">
        <v>62</v>
      </c>
      <c r="B5865">
        <f t="shared" si="362"/>
        <v>33.698998000000003</v>
      </c>
      <c r="C5865">
        <f t="shared" si="363"/>
        <v>-117.858819</v>
      </c>
      <c r="D5865">
        <f t="shared" si="364"/>
        <v>40</v>
      </c>
      <c r="E5865">
        <v>91.498999999999995</v>
      </c>
      <c r="F5865">
        <f t="shared" si="365"/>
        <v>-51.498999999999995</v>
      </c>
      <c r="G5865">
        <v>350.08300000000003</v>
      </c>
      <c r="H5865">
        <v>1.9830000000000001</v>
      </c>
      <c r="I5865">
        <v>0.56599999999999995</v>
      </c>
      <c r="J5865">
        <v>10</v>
      </c>
      <c r="K5865">
        <v>56</v>
      </c>
      <c r="L5865">
        <v>28</v>
      </c>
      <c r="M5865" s="1">
        <v>9000000000</v>
      </c>
    </row>
    <row r="5866" spans="1:13" ht="15" customHeight="1">
      <c r="A5866" t="s">
        <v>62</v>
      </c>
      <c r="B5866">
        <f t="shared" si="362"/>
        <v>33.698998000000003</v>
      </c>
      <c r="C5866">
        <f t="shared" si="363"/>
        <v>-117.858819</v>
      </c>
      <c r="D5866">
        <f t="shared" si="364"/>
        <v>40</v>
      </c>
      <c r="E5866">
        <v>92.498999999999995</v>
      </c>
      <c r="F5866">
        <f t="shared" si="365"/>
        <v>-52.498999999999995</v>
      </c>
      <c r="G5866">
        <v>374.15</v>
      </c>
      <c r="H5866">
        <v>1.85</v>
      </c>
      <c r="I5866">
        <v>0.49399999999999999</v>
      </c>
      <c r="J5866">
        <v>10</v>
      </c>
      <c r="K5866">
        <v>60</v>
      </c>
      <c r="L5866">
        <v>30</v>
      </c>
      <c r="M5866" s="1">
        <v>9000000000</v>
      </c>
    </row>
    <row r="5867" spans="1:13" ht="15" customHeight="1">
      <c r="A5867" t="s">
        <v>62</v>
      </c>
      <c r="B5867">
        <f t="shared" si="362"/>
        <v>33.698998000000003</v>
      </c>
      <c r="C5867">
        <f t="shared" si="363"/>
        <v>-117.858819</v>
      </c>
      <c r="D5867">
        <f t="shared" si="364"/>
        <v>40</v>
      </c>
      <c r="E5867">
        <v>93.498999999999995</v>
      </c>
      <c r="F5867">
        <f t="shared" si="365"/>
        <v>-53.498999999999995</v>
      </c>
      <c r="G5867">
        <v>288.94299999999998</v>
      </c>
      <c r="H5867">
        <v>2.4670000000000001</v>
      </c>
      <c r="I5867">
        <v>0.85299999999999998</v>
      </c>
      <c r="J5867">
        <v>9</v>
      </c>
      <c r="K5867">
        <v>55</v>
      </c>
      <c r="L5867">
        <v>28</v>
      </c>
      <c r="M5867" s="1">
        <v>9000000000</v>
      </c>
    </row>
    <row r="5868" spans="1:13" ht="15" customHeight="1">
      <c r="A5868" t="s">
        <v>62</v>
      </c>
      <c r="B5868">
        <f t="shared" si="362"/>
        <v>33.698998000000003</v>
      </c>
      <c r="C5868">
        <f t="shared" si="363"/>
        <v>-117.858819</v>
      </c>
      <c r="D5868">
        <f t="shared" si="364"/>
        <v>40</v>
      </c>
      <c r="E5868">
        <v>94.498999999999995</v>
      </c>
      <c r="F5868">
        <f t="shared" si="365"/>
        <v>-54.498999999999995</v>
      </c>
      <c r="G5868">
        <v>226.78299999999999</v>
      </c>
      <c r="H5868">
        <v>4.4580000000000002</v>
      </c>
      <c r="I5868">
        <v>1.9670000000000001</v>
      </c>
      <c r="J5868">
        <v>8</v>
      </c>
      <c r="K5868">
        <v>54</v>
      </c>
      <c r="L5868">
        <v>27</v>
      </c>
      <c r="M5868" s="1">
        <v>9000000000</v>
      </c>
    </row>
    <row r="5869" spans="1:13" ht="15" customHeight="1">
      <c r="A5869" t="s">
        <v>62</v>
      </c>
      <c r="B5869">
        <f t="shared" si="362"/>
        <v>33.698998000000003</v>
      </c>
      <c r="C5869">
        <f t="shared" si="363"/>
        <v>-117.858819</v>
      </c>
      <c r="D5869">
        <f t="shared" si="364"/>
        <v>40</v>
      </c>
      <c r="E5869">
        <v>95.498999999999995</v>
      </c>
      <c r="F5869">
        <f t="shared" si="365"/>
        <v>-55.498999999999995</v>
      </c>
      <c r="G5869">
        <v>218.2</v>
      </c>
      <c r="H5869">
        <v>4.742</v>
      </c>
      <c r="I5869">
        <v>2.1749999999999998</v>
      </c>
      <c r="J5869">
        <v>7</v>
      </c>
      <c r="K5869">
        <v>70</v>
      </c>
      <c r="L5869">
        <v>35</v>
      </c>
      <c r="M5869" s="1">
        <v>9000000000</v>
      </c>
    </row>
    <row r="5870" spans="1:13" ht="15" customHeight="1">
      <c r="A5870" t="s">
        <v>62</v>
      </c>
      <c r="B5870">
        <f t="shared" si="362"/>
        <v>33.698998000000003</v>
      </c>
      <c r="C5870">
        <f t="shared" si="363"/>
        <v>-117.858819</v>
      </c>
      <c r="D5870">
        <f t="shared" si="364"/>
        <v>40</v>
      </c>
      <c r="E5870">
        <v>96.498999999999995</v>
      </c>
      <c r="F5870">
        <f t="shared" si="365"/>
        <v>-56.498999999999995</v>
      </c>
      <c r="G5870">
        <v>181.93299999999999</v>
      </c>
      <c r="H5870">
        <v>3.0070000000000001</v>
      </c>
      <c r="I5870">
        <v>1.6539999999999999</v>
      </c>
      <c r="J5870">
        <v>8</v>
      </c>
      <c r="K5870">
        <v>44</v>
      </c>
      <c r="L5870">
        <v>22</v>
      </c>
      <c r="M5870" s="1">
        <v>9000000000</v>
      </c>
    </row>
    <row r="5871" spans="1:13" ht="15" customHeight="1">
      <c r="A5871" t="s">
        <v>62</v>
      </c>
      <c r="B5871">
        <f t="shared" si="362"/>
        <v>33.698998000000003</v>
      </c>
      <c r="C5871">
        <f t="shared" si="363"/>
        <v>-117.858819</v>
      </c>
      <c r="D5871">
        <f t="shared" si="364"/>
        <v>40</v>
      </c>
      <c r="E5871">
        <v>97.498999999999995</v>
      </c>
      <c r="F5871">
        <f t="shared" si="365"/>
        <v>-57.498999999999995</v>
      </c>
      <c r="G5871">
        <v>112.717</v>
      </c>
      <c r="H5871">
        <v>3.4980000000000002</v>
      </c>
      <c r="I5871">
        <v>3.109</v>
      </c>
      <c r="J5871">
        <v>6</v>
      </c>
      <c r="K5871">
        <v>43</v>
      </c>
      <c r="L5871">
        <v>22</v>
      </c>
      <c r="M5871">
        <v>7.0979999999999999</v>
      </c>
    </row>
    <row r="5872" spans="1:13" ht="15" customHeight="1">
      <c r="A5872" t="s">
        <v>62</v>
      </c>
      <c r="B5872">
        <f t="shared" si="362"/>
        <v>33.698998000000003</v>
      </c>
      <c r="C5872">
        <f t="shared" si="363"/>
        <v>-117.858819</v>
      </c>
      <c r="D5872">
        <f t="shared" si="364"/>
        <v>40</v>
      </c>
      <c r="E5872">
        <v>98.498999999999995</v>
      </c>
      <c r="F5872">
        <f t="shared" si="365"/>
        <v>-58.498999999999995</v>
      </c>
      <c r="G5872">
        <v>191.583</v>
      </c>
      <c r="H5872">
        <v>3.3380000000000001</v>
      </c>
      <c r="I5872">
        <v>1.744</v>
      </c>
      <c r="J5872">
        <v>8</v>
      </c>
      <c r="K5872">
        <v>46</v>
      </c>
      <c r="L5872">
        <v>23</v>
      </c>
      <c r="M5872" s="1">
        <v>9000000000</v>
      </c>
    </row>
    <row r="5873" spans="1:13" ht="15" customHeight="1">
      <c r="A5873" t="s">
        <v>62</v>
      </c>
      <c r="B5873">
        <f t="shared" si="362"/>
        <v>33.698998000000003</v>
      </c>
      <c r="C5873">
        <f t="shared" si="363"/>
        <v>-117.858819</v>
      </c>
      <c r="D5873">
        <f t="shared" si="364"/>
        <v>40</v>
      </c>
      <c r="E5873">
        <v>99.498999999999995</v>
      </c>
      <c r="F5873">
        <f t="shared" si="365"/>
        <v>-59.498999999999995</v>
      </c>
      <c r="G5873">
        <v>318.13299999999998</v>
      </c>
      <c r="H5873">
        <v>4.1319999999999997</v>
      </c>
      <c r="I5873">
        <v>1.2989999999999999</v>
      </c>
      <c r="J5873">
        <v>9</v>
      </c>
      <c r="K5873">
        <v>61</v>
      </c>
      <c r="L5873">
        <v>31</v>
      </c>
      <c r="M5873" s="1">
        <v>9000000000</v>
      </c>
    </row>
    <row r="5874" spans="1:13" ht="15" customHeight="1">
      <c r="A5874" t="s">
        <v>62</v>
      </c>
      <c r="B5874">
        <f t="shared" si="362"/>
        <v>33.698998000000003</v>
      </c>
      <c r="C5874">
        <f t="shared" si="363"/>
        <v>-117.858819</v>
      </c>
      <c r="D5874">
        <f t="shared" si="364"/>
        <v>40</v>
      </c>
      <c r="E5874">
        <v>100.499</v>
      </c>
      <c r="F5874">
        <f t="shared" si="365"/>
        <v>-60.498999999999995</v>
      </c>
      <c r="G5874">
        <v>186.85</v>
      </c>
      <c r="H5874">
        <v>4.0620000000000003</v>
      </c>
      <c r="I5874">
        <v>2.1760000000000002</v>
      </c>
      <c r="J5874">
        <v>7</v>
      </c>
      <c r="K5874">
        <v>60</v>
      </c>
      <c r="L5874">
        <v>30</v>
      </c>
      <c r="M5874" s="1">
        <v>9000000000</v>
      </c>
    </row>
    <row r="5875" spans="1:13" ht="15" customHeight="1">
      <c r="A5875" t="s">
        <v>62</v>
      </c>
      <c r="B5875">
        <f t="shared" si="362"/>
        <v>33.698998000000003</v>
      </c>
      <c r="C5875">
        <f t="shared" si="363"/>
        <v>-117.858819</v>
      </c>
      <c r="D5875">
        <f t="shared" si="364"/>
        <v>40</v>
      </c>
      <c r="E5875">
        <v>101.499</v>
      </c>
      <c r="F5875">
        <f t="shared" si="365"/>
        <v>-61.498999999999995</v>
      </c>
      <c r="G5875">
        <v>181.36699999999999</v>
      </c>
      <c r="H5875">
        <v>4.58</v>
      </c>
      <c r="I5875">
        <v>2.528</v>
      </c>
      <c r="J5875">
        <v>7</v>
      </c>
      <c r="K5875">
        <v>58</v>
      </c>
      <c r="L5875">
        <v>29</v>
      </c>
      <c r="M5875" s="1">
        <v>9000000000</v>
      </c>
    </row>
    <row r="5876" spans="1:13" ht="15" customHeight="1">
      <c r="A5876" t="s">
        <v>62</v>
      </c>
      <c r="B5876">
        <f t="shared" si="362"/>
        <v>33.698998000000003</v>
      </c>
      <c r="C5876">
        <f t="shared" si="363"/>
        <v>-117.858819</v>
      </c>
      <c r="D5876">
        <f t="shared" si="364"/>
        <v>40</v>
      </c>
      <c r="E5876">
        <v>102.499</v>
      </c>
      <c r="F5876">
        <f t="shared" si="365"/>
        <v>-62.498999999999995</v>
      </c>
      <c r="G5876">
        <v>285.95</v>
      </c>
      <c r="H5876">
        <v>4.22</v>
      </c>
      <c r="I5876">
        <v>1.4770000000000001</v>
      </c>
      <c r="J5876">
        <v>8</v>
      </c>
      <c r="K5876">
        <v>68</v>
      </c>
      <c r="L5876">
        <v>34</v>
      </c>
      <c r="M5876" s="1">
        <v>9000000000</v>
      </c>
    </row>
    <row r="5877" spans="1:13" ht="15" customHeight="1">
      <c r="A5877" t="s">
        <v>62</v>
      </c>
      <c r="B5877">
        <f t="shared" si="362"/>
        <v>33.698998000000003</v>
      </c>
      <c r="C5877">
        <f t="shared" si="363"/>
        <v>-117.858819</v>
      </c>
      <c r="D5877">
        <f t="shared" si="364"/>
        <v>40</v>
      </c>
      <c r="E5877">
        <v>103.499</v>
      </c>
      <c r="F5877">
        <f t="shared" si="365"/>
        <v>-63.498999999999995</v>
      </c>
      <c r="G5877">
        <v>222.21700000000001</v>
      </c>
      <c r="H5877">
        <v>3.585</v>
      </c>
      <c r="I5877">
        <v>1.6140000000000001</v>
      </c>
      <c r="J5877">
        <v>8</v>
      </c>
      <c r="K5877">
        <v>53</v>
      </c>
      <c r="L5877">
        <v>27</v>
      </c>
      <c r="M5877" s="1">
        <v>9000000000</v>
      </c>
    </row>
    <row r="5878" spans="1:13" ht="15" customHeight="1">
      <c r="A5878" t="s">
        <v>62</v>
      </c>
      <c r="B5878">
        <f t="shared" si="362"/>
        <v>33.698998000000003</v>
      </c>
      <c r="C5878">
        <f t="shared" si="363"/>
        <v>-117.858819</v>
      </c>
      <c r="D5878">
        <f t="shared" si="364"/>
        <v>40</v>
      </c>
      <c r="E5878">
        <v>104.499</v>
      </c>
      <c r="F5878">
        <f t="shared" si="365"/>
        <v>-64.498999999999995</v>
      </c>
      <c r="G5878">
        <v>159.22900000000001</v>
      </c>
      <c r="H5878">
        <v>4.0270000000000001</v>
      </c>
      <c r="I5878">
        <v>2.532</v>
      </c>
      <c r="J5878">
        <v>7</v>
      </c>
      <c r="K5878">
        <v>51</v>
      </c>
      <c r="L5878">
        <v>26</v>
      </c>
      <c r="M5878" s="1">
        <v>9000000000</v>
      </c>
    </row>
    <row r="5879" spans="1:13" ht="15" customHeight="1">
      <c r="A5879" t="s">
        <v>62</v>
      </c>
      <c r="B5879">
        <f t="shared" si="362"/>
        <v>33.698998000000003</v>
      </c>
      <c r="C5879">
        <f t="shared" si="363"/>
        <v>-117.858819</v>
      </c>
      <c r="D5879">
        <f t="shared" si="364"/>
        <v>40</v>
      </c>
      <c r="E5879">
        <v>105.499</v>
      </c>
      <c r="F5879">
        <f t="shared" si="365"/>
        <v>-65.498999999999995</v>
      </c>
      <c r="G5879">
        <v>169.03299999999999</v>
      </c>
      <c r="H5879">
        <v>3.3879999999999999</v>
      </c>
      <c r="I5879">
        <v>2.0070000000000001</v>
      </c>
      <c r="J5879">
        <v>7</v>
      </c>
      <c r="K5879">
        <v>54</v>
      </c>
      <c r="L5879">
        <v>27</v>
      </c>
      <c r="M5879" s="1">
        <v>9000000000</v>
      </c>
    </row>
    <row r="5880" spans="1:13" ht="15" customHeight="1">
      <c r="A5880" t="s">
        <v>62</v>
      </c>
      <c r="B5880">
        <f t="shared" si="362"/>
        <v>33.698998000000003</v>
      </c>
      <c r="C5880">
        <f t="shared" si="363"/>
        <v>-117.858819</v>
      </c>
      <c r="D5880">
        <f t="shared" si="364"/>
        <v>40</v>
      </c>
      <c r="E5880">
        <v>106.499</v>
      </c>
      <c r="F5880">
        <f t="shared" si="365"/>
        <v>-66.498999999999995</v>
      </c>
      <c r="G5880">
        <v>66.266999999999996</v>
      </c>
      <c r="H5880">
        <v>2.5169999999999999</v>
      </c>
      <c r="I5880">
        <v>3.806</v>
      </c>
      <c r="J5880">
        <v>5</v>
      </c>
      <c r="K5880">
        <v>32</v>
      </c>
      <c r="L5880">
        <v>16</v>
      </c>
      <c r="M5880">
        <v>3.968</v>
      </c>
    </row>
    <row r="5881" spans="1:13" ht="15" customHeight="1">
      <c r="A5881" t="s">
        <v>62</v>
      </c>
      <c r="B5881">
        <f t="shared" si="362"/>
        <v>33.698998000000003</v>
      </c>
      <c r="C5881">
        <f t="shared" si="363"/>
        <v>-117.858819</v>
      </c>
      <c r="D5881">
        <f t="shared" si="364"/>
        <v>40</v>
      </c>
      <c r="E5881">
        <v>107.499</v>
      </c>
      <c r="F5881">
        <f t="shared" si="365"/>
        <v>-67.498999999999995</v>
      </c>
      <c r="G5881">
        <v>103.56699999999999</v>
      </c>
      <c r="H5881">
        <v>2.9319999999999999</v>
      </c>
      <c r="I5881">
        <v>2.8359999999999999</v>
      </c>
      <c r="J5881">
        <v>6</v>
      </c>
      <c r="K5881">
        <v>40</v>
      </c>
      <c r="L5881">
        <v>20</v>
      </c>
      <c r="M5881">
        <v>6.4480000000000004</v>
      </c>
    </row>
    <row r="5882" spans="1:13" ht="15" customHeight="1">
      <c r="A5882" t="s">
        <v>62</v>
      </c>
      <c r="B5882">
        <f t="shared" si="362"/>
        <v>33.698998000000003</v>
      </c>
      <c r="C5882">
        <f t="shared" si="363"/>
        <v>-117.858819</v>
      </c>
      <c r="D5882">
        <f t="shared" si="364"/>
        <v>40</v>
      </c>
      <c r="E5882">
        <v>108.499</v>
      </c>
      <c r="F5882">
        <f t="shared" si="365"/>
        <v>-68.498999999999995</v>
      </c>
      <c r="G5882">
        <v>44.4</v>
      </c>
      <c r="H5882">
        <v>1.7270000000000001</v>
      </c>
      <c r="I5882">
        <v>3.9049999999999998</v>
      </c>
      <c r="J5882">
        <v>5</v>
      </c>
      <c r="K5882">
        <v>21</v>
      </c>
      <c r="L5882">
        <v>11</v>
      </c>
      <c r="M5882">
        <v>2.5</v>
      </c>
    </row>
    <row r="5883" spans="1:13" ht="15" customHeight="1">
      <c r="A5883" t="s">
        <v>62</v>
      </c>
      <c r="B5883">
        <f t="shared" si="362"/>
        <v>33.698998000000003</v>
      </c>
      <c r="C5883">
        <f t="shared" si="363"/>
        <v>-117.858819</v>
      </c>
      <c r="D5883">
        <f t="shared" si="364"/>
        <v>40</v>
      </c>
      <c r="E5883">
        <v>109.499</v>
      </c>
      <c r="F5883">
        <f t="shared" si="365"/>
        <v>-69.498999999999995</v>
      </c>
      <c r="G5883">
        <v>77.95</v>
      </c>
      <c r="H5883">
        <v>2.4969999999999999</v>
      </c>
      <c r="I5883">
        <v>3.21</v>
      </c>
      <c r="J5883">
        <v>6</v>
      </c>
      <c r="K5883">
        <v>30</v>
      </c>
      <c r="L5883">
        <v>15</v>
      </c>
      <c r="M5883">
        <v>4.7320000000000002</v>
      </c>
    </row>
    <row r="5884" spans="1:13" ht="15" customHeight="1">
      <c r="A5884" t="s">
        <v>62</v>
      </c>
      <c r="B5884">
        <f t="shared" si="362"/>
        <v>33.698998000000003</v>
      </c>
      <c r="C5884">
        <f t="shared" si="363"/>
        <v>-117.858819</v>
      </c>
      <c r="D5884">
        <f t="shared" si="364"/>
        <v>40</v>
      </c>
      <c r="E5884">
        <v>110.499</v>
      </c>
      <c r="F5884">
        <f t="shared" si="365"/>
        <v>-70.498999999999995</v>
      </c>
      <c r="G5884">
        <v>76.2</v>
      </c>
      <c r="H5884">
        <v>3.0150000000000001</v>
      </c>
      <c r="I5884">
        <v>3.9660000000000002</v>
      </c>
      <c r="J5884">
        <v>5</v>
      </c>
      <c r="K5884">
        <v>36</v>
      </c>
      <c r="L5884">
        <v>18</v>
      </c>
      <c r="M5884">
        <v>4.6109999999999998</v>
      </c>
    </row>
    <row r="5885" spans="1:13" ht="15" customHeight="1">
      <c r="A5885" t="s">
        <v>62</v>
      </c>
      <c r="B5885">
        <f t="shared" si="362"/>
        <v>33.698998000000003</v>
      </c>
      <c r="C5885">
        <f t="shared" si="363"/>
        <v>-117.858819</v>
      </c>
      <c r="D5885">
        <f t="shared" si="364"/>
        <v>40</v>
      </c>
      <c r="E5885">
        <v>111.499</v>
      </c>
      <c r="F5885">
        <f t="shared" si="365"/>
        <v>-71.498999999999995</v>
      </c>
      <c r="G5885">
        <v>310.95</v>
      </c>
      <c r="H5885">
        <v>5.3220000000000001</v>
      </c>
      <c r="I5885">
        <v>1.712</v>
      </c>
      <c r="J5885">
        <v>8</v>
      </c>
      <c r="K5885">
        <v>74</v>
      </c>
      <c r="L5885">
        <v>37</v>
      </c>
      <c r="M5885" s="1">
        <v>9000000000</v>
      </c>
    </row>
    <row r="5886" spans="1:13" ht="15" customHeight="1">
      <c r="A5886" t="s">
        <v>62</v>
      </c>
      <c r="B5886">
        <f t="shared" si="362"/>
        <v>33.698998000000003</v>
      </c>
      <c r="C5886">
        <f t="shared" si="363"/>
        <v>-117.858819</v>
      </c>
      <c r="D5886">
        <f t="shared" si="364"/>
        <v>40</v>
      </c>
      <c r="E5886">
        <v>112.499</v>
      </c>
      <c r="F5886">
        <f t="shared" si="365"/>
        <v>-72.498999999999995</v>
      </c>
      <c r="G5886">
        <v>143.93299999999999</v>
      </c>
      <c r="H5886">
        <v>3.8919999999999999</v>
      </c>
      <c r="I5886">
        <v>2.706</v>
      </c>
      <c r="J5886">
        <v>7</v>
      </c>
      <c r="K5886">
        <v>46</v>
      </c>
      <c r="L5886">
        <v>23</v>
      </c>
      <c r="M5886" s="1">
        <v>9000000000</v>
      </c>
    </row>
    <row r="5887" spans="1:13" ht="15" customHeight="1">
      <c r="A5887" t="s">
        <v>62</v>
      </c>
      <c r="B5887">
        <f t="shared" si="362"/>
        <v>33.698998000000003</v>
      </c>
      <c r="C5887">
        <f t="shared" si="363"/>
        <v>-117.858819</v>
      </c>
      <c r="D5887">
        <f t="shared" si="364"/>
        <v>40</v>
      </c>
      <c r="E5887">
        <v>113.499</v>
      </c>
      <c r="F5887">
        <f t="shared" si="365"/>
        <v>-73.498999999999995</v>
      </c>
      <c r="G5887">
        <v>74.033000000000001</v>
      </c>
      <c r="H5887">
        <v>2.4079999999999999</v>
      </c>
      <c r="I5887">
        <v>3.2589999999999999</v>
      </c>
      <c r="J5887">
        <v>6</v>
      </c>
      <c r="K5887">
        <v>28</v>
      </c>
      <c r="L5887">
        <v>14</v>
      </c>
      <c r="M5887">
        <v>4.4580000000000002</v>
      </c>
    </row>
    <row r="5888" spans="1:13" ht="15" customHeight="1">
      <c r="A5888" t="s">
        <v>62</v>
      </c>
      <c r="B5888">
        <f t="shared" si="362"/>
        <v>33.698998000000003</v>
      </c>
      <c r="C5888">
        <f t="shared" si="363"/>
        <v>-117.858819</v>
      </c>
      <c r="D5888">
        <f t="shared" si="364"/>
        <v>40</v>
      </c>
      <c r="E5888">
        <v>114.499</v>
      </c>
      <c r="F5888">
        <f t="shared" si="365"/>
        <v>-74.498999999999995</v>
      </c>
      <c r="G5888">
        <v>31.7</v>
      </c>
      <c r="H5888">
        <v>0.81</v>
      </c>
      <c r="I5888">
        <v>2.5710000000000002</v>
      </c>
      <c r="J5888">
        <v>6</v>
      </c>
      <c r="K5888">
        <v>12</v>
      </c>
      <c r="L5888">
        <v>6</v>
      </c>
      <c r="M5888">
        <v>1.627</v>
      </c>
    </row>
    <row r="5889" spans="1:13" ht="15" customHeight="1">
      <c r="A5889" t="s">
        <v>63</v>
      </c>
      <c r="B5889">
        <f t="shared" si="362"/>
        <v>33.699714</v>
      </c>
      <c r="C5889">
        <f t="shared" si="363"/>
        <v>-117.85802200000001</v>
      </c>
      <c r="D5889">
        <f t="shared" si="364"/>
        <v>41</v>
      </c>
      <c r="E5889">
        <v>0.5</v>
      </c>
      <c r="F5889">
        <f t="shared" si="365"/>
        <v>40.5</v>
      </c>
      <c r="G5889">
        <v>7.3</v>
      </c>
      <c r="H5889">
        <v>0.183</v>
      </c>
      <c r="I5889">
        <v>2.5059999999999998</v>
      </c>
      <c r="J5889">
        <v>4</v>
      </c>
      <c r="K5889">
        <v>5</v>
      </c>
      <c r="L5889">
        <v>8</v>
      </c>
      <c r="M5889">
        <v>0.48599999999999999</v>
      </c>
    </row>
    <row r="5890" spans="1:13" ht="15" customHeight="1">
      <c r="A5890" t="s">
        <v>63</v>
      </c>
      <c r="B5890">
        <f t="shared" ref="B5890:B5953" si="366">VLOOKUP(A5890,XYdata,3,FALSE)</f>
        <v>33.699714</v>
      </c>
      <c r="C5890">
        <f t="shared" ref="C5890:C5953" si="367">VLOOKUP(A5890,XYdata,2,FALSE)</f>
        <v>-117.85802200000001</v>
      </c>
      <c r="D5890">
        <f t="shared" ref="D5890:D5953" si="368">VLOOKUP(A5890,Elevation,2,FALSE)</f>
        <v>41</v>
      </c>
      <c r="E5890">
        <v>1.5</v>
      </c>
      <c r="F5890">
        <f t="shared" si="365"/>
        <v>39.5</v>
      </c>
      <c r="G5890">
        <v>24.183</v>
      </c>
      <c r="H5890">
        <v>1.1279999999999999</v>
      </c>
      <c r="I5890">
        <v>4.6529999999999996</v>
      </c>
      <c r="J5890">
        <v>3</v>
      </c>
      <c r="K5890">
        <v>23</v>
      </c>
      <c r="L5890">
        <v>35</v>
      </c>
      <c r="M5890">
        <v>1.611</v>
      </c>
    </row>
    <row r="5891" spans="1:13" ht="15" customHeight="1">
      <c r="A5891" t="s">
        <v>63</v>
      </c>
      <c r="B5891">
        <f t="shared" si="366"/>
        <v>33.699714</v>
      </c>
      <c r="C5891">
        <f t="shared" si="367"/>
        <v>-117.85802200000001</v>
      </c>
      <c r="D5891">
        <f t="shared" si="368"/>
        <v>41</v>
      </c>
      <c r="E5891">
        <v>2.5</v>
      </c>
      <c r="F5891">
        <f t="shared" ref="F5891:F5954" si="369">D5891-E5891</f>
        <v>38.5</v>
      </c>
      <c r="G5891">
        <v>11.75</v>
      </c>
      <c r="H5891">
        <v>0.48499999999999999</v>
      </c>
      <c r="I5891">
        <v>4.1280000000000001</v>
      </c>
      <c r="J5891">
        <v>3</v>
      </c>
      <c r="K5891">
        <v>11</v>
      </c>
      <c r="L5891">
        <v>17</v>
      </c>
      <c r="M5891">
        <v>0.77300000000000002</v>
      </c>
    </row>
    <row r="5892" spans="1:13" ht="15" customHeight="1">
      <c r="A5892" t="s">
        <v>63</v>
      </c>
      <c r="B5892">
        <f t="shared" si="366"/>
        <v>33.699714</v>
      </c>
      <c r="C5892">
        <f t="shared" si="367"/>
        <v>-117.85802200000001</v>
      </c>
      <c r="D5892">
        <f t="shared" si="368"/>
        <v>41</v>
      </c>
      <c r="E5892">
        <v>3.5</v>
      </c>
      <c r="F5892">
        <f t="shared" si="369"/>
        <v>37.5</v>
      </c>
      <c r="G5892">
        <v>18.016999999999999</v>
      </c>
      <c r="H5892">
        <v>0.83499999999999996</v>
      </c>
      <c r="I5892">
        <v>4.6349999999999998</v>
      </c>
      <c r="J5892">
        <v>3</v>
      </c>
      <c r="K5892">
        <v>17</v>
      </c>
      <c r="L5892">
        <v>26</v>
      </c>
      <c r="M5892">
        <v>1.1870000000000001</v>
      </c>
    </row>
    <row r="5893" spans="1:13" ht="15" customHeight="1">
      <c r="A5893" t="s">
        <v>63</v>
      </c>
      <c r="B5893">
        <f t="shared" si="366"/>
        <v>33.699714</v>
      </c>
      <c r="C5893">
        <f t="shared" si="367"/>
        <v>-117.85802200000001</v>
      </c>
      <c r="D5893">
        <f t="shared" si="368"/>
        <v>41</v>
      </c>
      <c r="E5893">
        <v>4.5</v>
      </c>
      <c r="F5893">
        <f t="shared" si="369"/>
        <v>36.5</v>
      </c>
      <c r="G5893">
        <v>17.317</v>
      </c>
      <c r="H5893">
        <v>0.85499999999999998</v>
      </c>
      <c r="I5893">
        <v>4.9420000000000002</v>
      </c>
      <c r="J5893">
        <v>3</v>
      </c>
      <c r="K5893">
        <v>17</v>
      </c>
      <c r="L5893">
        <v>26</v>
      </c>
      <c r="M5893">
        <v>1.135</v>
      </c>
    </row>
    <row r="5894" spans="1:13" ht="15" customHeight="1">
      <c r="A5894" t="s">
        <v>63</v>
      </c>
      <c r="B5894">
        <f t="shared" si="366"/>
        <v>33.699714</v>
      </c>
      <c r="C5894">
        <f t="shared" si="367"/>
        <v>-117.85802200000001</v>
      </c>
      <c r="D5894">
        <f t="shared" si="368"/>
        <v>41</v>
      </c>
      <c r="E5894">
        <v>5.5</v>
      </c>
      <c r="F5894">
        <f t="shared" si="369"/>
        <v>35.5</v>
      </c>
      <c r="G5894">
        <v>14.75</v>
      </c>
      <c r="H5894">
        <v>0.747</v>
      </c>
      <c r="I5894">
        <v>5.0620000000000003</v>
      </c>
      <c r="J5894">
        <v>3</v>
      </c>
      <c r="K5894">
        <v>14</v>
      </c>
      <c r="L5894">
        <v>21</v>
      </c>
      <c r="M5894">
        <v>0.96099999999999997</v>
      </c>
    </row>
    <row r="5895" spans="1:13" ht="15" customHeight="1">
      <c r="A5895" t="s">
        <v>63</v>
      </c>
      <c r="B5895">
        <f t="shared" si="366"/>
        <v>33.699714</v>
      </c>
      <c r="C5895">
        <f t="shared" si="367"/>
        <v>-117.85802200000001</v>
      </c>
      <c r="D5895">
        <f t="shared" si="368"/>
        <v>41</v>
      </c>
      <c r="E5895">
        <v>6.5</v>
      </c>
      <c r="F5895">
        <f t="shared" si="369"/>
        <v>34.5</v>
      </c>
      <c r="G5895">
        <v>15.183</v>
      </c>
      <c r="H5895">
        <v>0.63800000000000001</v>
      </c>
      <c r="I5895">
        <v>4.218</v>
      </c>
      <c r="J5895">
        <v>3</v>
      </c>
      <c r="K5895">
        <v>14</v>
      </c>
      <c r="L5895">
        <v>21</v>
      </c>
      <c r="M5895">
        <v>0.98199999999999998</v>
      </c>
    </row>
    <row r="5896" spans="1:13" ht="15" customHeight="1">
      <c r="A5896" t="s">
        <v>63</v>
      </c>
      <c r="B5896">
        <f t="shared" si="366"/>
        <v>33.699714</v>
      </c>
      <c r="C5896">
        <f t="shared" si="367"/>
        <v>-117.85802200000001</v>
      </c>
      <c r="D5896">
        <f t="shared" si="368"/>
        <v>41</v>
      </c>
      <c r="E5896">
        <v>7.5</v>
      </c>
      <c r="F5896">
        <f t="shared" si="369"/>
        <v>33.5</v>
      </c>
      <c r="G5896">
        <v>14.433</v>
      </c>
      <c r="H5896">
        <v>0.47799999999999998</v>
      </c>
      <c r="I5896">
        <v>3.3140000000000001</v>
      </c>
      <c r="J5896">
        <v>4</v>
      </c>
      <c r="K5896">
        <v>9</v>
      </c>
      <c r="L5896">
        <v>14</v>
      </c>
      <c r="M5896">
        <v>0.93100000000000005</v>
      </c>
    </row>
    <row r="5897" spans="1:13" ht="15" customHeight="1">
      <c r="A5897" t="s">
        <v>63</v>
      </c>
      <c r="B5897">
        <f t="shared" si="366"/>
        <v>33.699714</v>
      </c>
      <c r="C5897">
        <f t="shared" si="367"/>
        <v>-117.85802200000001</v>
      </c>
      <c r="D5897">
        <f t="shared" si="368"/>
        <v>41</v>
      </c>
      <c r="E5897">
        <v>8.5</v>
      </c>
      <c r="F5897">
        <f t="shared" si="369"/>
        <v>32.5</v>
      </c>
      <c r="G5897">
        <v>12.467000000000001</v>
      </c>
      <c r="H5897">
        <v>0.43</v>
      </c>
      <c r="I5897">
        <v>3.4630000000000001</v>
      </c>
      <c r="J5897">
        <v>4</v>
      </c>
      <c r="K5897">
        <v>8</v>
      </c>
      <c r="L5897">
        <v>12</v>
      </c>
      <c r="M5897">
        <v>0.79300000000000004</v>
      </c>
    </row>
    <row r="5898" spans="1:13" ht="15" customHeight="1">
      <c r="A5898" t="s">
        <v>63</v>
      </c>
      <c r="B5898">
        <f t="shared" si="366"/>
        <v>33.699714</v>
      </c>
      <c r="C5898">
        <f t="shared" si="367"/>
        <v>-117.85802200000001</v>
      </c>
      <c r="D5898">
        <f t="shared" si="368"/>
        <v>41</v>
      </c>
      <c r="E5898">
        <v>9.5</v>
      </c>
      <c r="F5898">
        <f t="shared" si="369"/>
        <v>31.5</v>
      </c>
      <c r="G5898">
        <v>13.15</v>
      </c>
      <c r="H5898">
        <v>0.60499999999999998</v>
      </c>
      <c r="I5898">
        <v>4.6070000000000002</v>
      </c>
      <c r="J5898">
        <v>3</v>
      </c>
      <c r="K5898">
        <v>13</v>
      </c>
      <c r="L5898">
        <v>20</v>
      </c>
      <c r="M5898">
        <v>0.83599999999999997</v>
      </c>
    </row>
    <row r="5899" spans="1:13" ht="15" customHeight="1">
      <c r="A5899" t="s">
        <v>63</v>
      </c>
      <c r="B5899">
        <f t="shared" si="366"/>
        <v>33.699714</v>
      </c>
      <c r="C5899">
        <f t="shared" si="367"/>
        <v>-117.85802200000001</v>
      </c>
      <c r="D5899">
        <f t="shared" si="368"/>
        <v>41</v>
      </c>
      <c r="E5899">
        <v>10.5</v>
      </c>
      <c r="F5899">
        <f t="shared" si="369"/>
        <v>30.5</v>
      </c>
      <c r="G5899">
        <v>12.170999999999999</v>
      </c>
      <c r="H5899">
        <v>0.53600000000000003</v>
      </c>
      <c r="I5899">
        <v>4.4009999999999998</v>
      </c>
      <c r="J5899">
        <v>3</v>
      </c>
      <c r="K5899">
        <v>12</v>
      </c>
      <c r="L5899">
        <v>17</v>
      </c>
      <c r="M5899">
        <v>0.76800000000000002</v>
      </c>
    </row>
    <row r="5900" spans="1:13" ht="15" customHeight="1">
      <c r="A5900" t="s">
        <v>63</v>
      </c>
      <c r="B5900">
        <f t="shared" si="366"/>
        <v>33.699714</v>
      </c>
      <c r="C5900">
        <f t="shared" si="367"/>
        <v>-117.85802200000001</v>
      </c>
      <c r="D5900">
        <f t="shared" si="368"/>
        <v>41</v>
      </c>
      <c r="E5900">
        <v>11.5</v>
      </c>
      <c r="F5900">
        <f t="shared" si="369"/>
        <v>29.5</v>
      </c>
      <c r="G5900">
        <v>11.85</v>
      </c>
      <c r="H5900">
        <v>0.49199999999999999</v>
      </c>
      <c r="I5900">
        <v>4.149</v>
      </c>
      <c r="J5900">
        <v>3</v>
      </c>
      <c r="K5900">
        <v>11</v>
      </c>
      <c r="L5900">
        <v>14</v>
      </c>
      <c r="M5900">
        <v>0.74299999999999999</v>
      </c>
    </row>
    <row r="5901" spans="1:13" ht="15" customHeight="1">
      <c r="A5901" t="s">
        <v>63</v>
      </c>
      <c r="B5901">
        <f t="shared" si="366"/>
        <v>33.699714</v>
      </c>
      <c r="C5901">
        <f t="shared" si="367"/>
        <v>-117.85802200000001</v>
      </c>
      <c r="D5901">
        <f t="shared" si="368"/>
        <v>41</v>
      </c>
      <c r="E5901">
        <v>12.5</v>
      </c>
      <c r="F5901">
        <f t="shared" si="369"/>
        <v>28.5</v>
      </c>
      <c r="G5901">
        <v>8.7170000000000005</v>
      </c>
      <c r="H5901">
        <v>0.27800000000000002</v>
      </c>
      <c r="I5901">
        <v>3.2120000000000002</v>
      </c>
      <c r="J5901">
        <v>3</v>
      </c>
      <c r="K5901">
        <v>8</v>
      </c>
      <c r="L5901">
        <v>10</v>
      </c>
      <c r="M5901">
        <v>0.52600000000000002</v>
      </c>
    </row>
    <row r="5902" spans="1:13" ht="15" customHeight="1">
      <c r="A5902" t="s">
        <v>63</v>
      </c>
      <c r="B5902">
        <f t="shared" si="366"/>
        <v>33.699714</v>
      </c>
      <c r="C5902">
        <f t="shared" si="367"/>
        <v>-117.85802200000001</v>
      </c>
      <c r="D5902">
        <f t="shared" si="368"/>
        <v>41</v>
      </c>
      <c r="E5902">
        <v>13.5</v>
      </c>
      <c r="F5902">
        <f t="shared" si="369"/>
        <v>27.5</v>
      </c>
      <c r="G5902">
        <v>8.5500000000000007</v>
      </c>
      <c r="H5902">
        <v>0.34300000000000003</v>
      </c>
      <c r="I5902">
        <v>4.008</v>
      </c>
      <c r="J5902">
        <v>3</v>
      </c>
      <c r="K5902">
        <v>8</v>
      </c>
      <c r="L5902">
        <v>9</v>
      </c>
      <c r="M5902">
        <v>0.51600000000000001</v>
      </c>
    </row>
    <row r="5903" spans="1:13" ht="15" customHeight="1">
      <c r="A5903" t="s">
        <v>63</v>
      </c>
      <c r="B5903">
        <f t="shared" si="366"/>
        <v>33.699714</v>
      </c>
      <c r="C5903">
        <f t="shared" si="367"/>
        <v>-117.85802200000001</v>
      </c>
      <c r="D5903">
        <f t="shared" si="368"/>
        <v>41</v>
      </c>
      <c r="E5903">
        <v>14.5</v>
      </c>
      <c r="F5903">
        <f t="shared" si="369"/>
        <v>26.5</v>
      </c>
      <c r="G5903">
        <v>9.2669999999999995</v>
      </c>
      <c r="H5903">
        <v>0.32800000000000001</v>
      </c>
      <c r="I5903">
        <v>3.5430000000000001</v>
      </c>
      <c r="J5903">
        <v>3</v>
      </c>
      <c r="K5903">
        <v>9</v>
      </c>
      <c r="L5903">
        <v>10</v>
      </c>
      <c r="M5903">
        <v>0.55800000000000005</v>
      </c>
    </row>
    <row r="5904" spans="1:13" ht="15" customHeight="1">
      <c r="A5904" t="s">
        <v>63</v>
      </c>
      <c r="B5904">
        <f t="shared" si="366"/>
        <v>33.699714</v>
      </c>
      <c r="C5904">
        <f t="shared" si="367"/>
        <v>-117.85802200000001</v>
      </c>
      <c r="D5904">
        <f t="shared" si="368"/>
        <v>41</v>
      </c>
      <c r="E5904">
        <v>15.5</v>
      </c>
      <c r="F5904">
        <f t="shared" si="369"/>
        <v>25.5</v>
      </c>
      <c r="G5904">
        <v>7.4829999999999997</v>
      </c>
      <c r="H5904">
        <v>0.32300000000000001</v>
      </c>
      <c r="I5904">
        <v>4.3209999999999997</v>
      </c>
      <c r="J5904">
        <v>3</v>
      </c>
      <c r="K5904">
        <v>7</v>
      </c>
      <c r="L5904">
        <v>7</v>
      </c>
      <c r="M5904">
        <v>0.435</v>
      </c>
    </row>
    <row r="5905" spans="1:13" ht="15" customHeight="1">
      <c r="A5905" t="s">
        <v>63</v>
      </c>
      <c r="B5905">
        <f t="shared" si="366"/>
        <v>33.699714</v>
      </c>
      <c r="C5905">
        <f t="shared" si="367"/>
        <v>-117.85802200000001</v>
      </c>
      <c r="D5905">
        <f t="shared" si="368"/>
        <v>41</v>
      </c>
      <c r="E5905">
        <v>16.5</v>
      </c>
      <c r="F5905">
        <f t="shared" si="369"/>
        <v>24.5</v>
      </c>
      <c r="G5905">
        <v>5.9</v>
      </c>
      <c r="H5905">
        <v>0.26500000000000001</v>
      </c>
      <c r="I5905">
        <v>4.492</v>
      </c>
      <c r="J5905">
        <v>3</v>
      </c>
      <c r="K5905">
        <v>6</v>
      </c>
      <c r="L5905">
        <v>6</v>
      </c>
      <c r="M5905">
        <v>0.32600000000000001</v>
      </c>
    </row>
    <row r="5906" spans="1:13" ht="15" customHeight="1">
      <c r="A5906" t="s">
        <v>63</v>
      </c>
      <c r="B5906">
        <f t="shared" si="366"/>
        <v>33.699714</v>
      </c>
      <c r="C5906">
        <f t="shared" si="367"/>
        <v>-117.85802200000001</v>
      </c>
      <c r="D5906">
        <f t="shared" si="368"/>
        <v>41</v>
      </c>
      <c r="E5906">
        <v>17.5</v>
      </c>
      <c r="F5906">
        <f t="shared" si="369"/>
        <v>23.5</v>
      </c>
      <c r="G5906">
        <v>8.9830000000000005</v>
      </c>
      <c r="H5906">
        <v>0.35</v>
      </c>
      <c r="I5906">
        <v>3.8959999999999999</v>
      </c>
      <c r="J5906">
        <v>3</v>
      </c>
      <c r="K5906">
        <v>9</v>
      </c>
      <c r="L5906">
        <v>9</v>
      </c>
      <c r="M5906">
        <v>0.52700000000000002</v>
      </c>
    </row>
    <row r="5907" spans="1:13" ht="15" customHeight="1">
      <c r="A5907" t="s">
        <v>63</v>
      </c>
      <c r="B5907">
        <f t="shared" si="366"/>
        <v>33.699714</v>
      </c>
      <c r="C5907">
        <f t="shared" si="367"/>
        <v>-117.85802200000001</v>
      </c>
      <c r="D5907">
        <f t="shared" si="368"/>
        <v>41</v>
      </c>
      <c r="E5907">
        <v>18.5</v>
      </c>
      <c r="F5907">
        <f t="shared" si="369"/>
        <v>22.5</v>
      </c>
      <c r="G5907">
        <v>14.632999999999999</v>
      </c>
      <c r="H5907">
        <v>0.78500000000000003</v>
      </c>
      <c r="I5907">
        <v>5.383</v>
      </c>
      <c r="J5907">
        <v>3</v>
      </c>
      <c r="K5907">
        <v>14</v>
      </c>
      <c r="L5907">
        <v>13</v>
      </c>
      <c r="M5907">
        <v>0.89700000000000002</v>
      </c>
    </row>
    <row r="5908" spans="1:13" ht="15" customHeight="1">
      <c r="A5908" t="s">
        <v>63</v>
      </c>
      <c r="B5908">
        <f t="shared" si="366"/>
        <v>33.699714</v>
      </c>
      <c r="C5908">
        <f t="shared" si="367"/>
        <v>-117.85802200000001</v>
      </c>
      <c r="D5908">
        <f t="shared" si="368"/>
        <v>41</v>
      </c>
      <c r="E5908">
        <v>19.5</v>
      </c>
      <c r="F5908">
        <f t="shared" si="369"/>
        <v>21.5</v>
      </c>
      <c r="G5908">
        <v>20.5</v>
      </c>
      <c r="H5908">
        <v>0.745</v>
      </c>
      <c r="I5908">
        <v>3.6339999999999999</v>
      </c>
      <c r="J5908">
        <v>4</v>
      </c>
      <c r="K5908">
        <v>13</v>
      </c>
      <c r="L5908">
        <v>11</v>
      </c>
      <c r="M5908">
        <v>1.2869999999999999</v>
      </c>
    </row>
    <row r="5909" spans="1:13" ht="15" customHeight="1">
      <c r="A5909" t="s">
        <v>63</v>
      </c>
      <c r="B5909">
        <f t="shared" si="366"/>
        <v>33.699714</v>
      </c>
      <c r="C5909">
        <f t="shared" si="367"/>
        <v>-117.85802200000001</v>
      </c>
      <c r="D5909">
        <f t="shared" si="368"/>
        <v>41</v>
      </c>
      <c r="E5909">
        <v>20.5</v>
      </c>
      <c r="F5909">
        <f t="shared" si="369"/>
        <v>20.5</v>
      </c>
      <c r="G5909">
        <v>13.257</v>
      </c>
      <c r="H5909">
        <v>0.61599999999999999</v>
      </c>
      <c r="I5909">
        <v>4.665</v>
      </c>
      <c r="J5909">
        <v>3</v>
      </c>
      <c r="K5909">
        <v>13</v>
      </c>
      <c r="L5909">
        <v>11</v>
      </c>
      <c r="M5909">
        <v>0.79600000000000004</v>
      </c>
    </row>
    <row r="5910" spans="1:13" ht="15" customHeight="1">
      <c r="A5910" t="s">
        <v>63</v>
      </c>
      <c r="B5910">
        <f t="shared" si="366"/>
        <v>33.699714</v>
      </c>
      <c r="C5910">
        <f t="shared" si="367"/>
        <v>-117.85802200000001</v>
      </c>
      <c r="D5910">
        <f t="shared" si="368"/>
        <v>41</v>
      </c>
      <c r="E5910">
        <v>21.5</v>
      </c>
      <c r="F5910">
        <f t="shared" si="369"/>
        <v>19.5</v>
      </c>
      <c r="G5910">
        <v>19.317</v>
      </c>
      <c r="H5910">
        <v>0.38800000000000001</v>
      </c>
      <c r="I5910">
        <v>2.0190000000000001</v>
      </c>
      <c r="J5910">
        <v>6</v>
      </c>
      <c r="K5910">
        <v>7</v>
      </c>
      <c r="L5910">
        <v>6</v>
      </c>
      <c r="M5910">
        <v>1.194</v>
      </c>
    </row>
    <row r="5911" spans="1:13" ht="15" customHeight="1">
      <c r="A5911" t="s">
        <v>63</v>
      </c>
      <c r="B5911">
        <f t="shared" si="366"/>
        <v>33.699714</v>
      </c>
      <c r="C5911">
        <f t="shared" si="367"/>
        <v>-117.85802200000001</v>
      </c>
      <c r="D5911">
        <f t="shared" si="368"/>
        <v>41</v>
      </c>
      <c r="E5911">
        <v>22.5</v>
      </c>
      <c r="F5911">
        <f t="shared" si="369"/>
        <v>18.5</v>
      </c>
      <c r="G5911">
        <v>75.45</v>
      </c>
      <c r="H5911">
        <v>2.9649999999999999</v>
      </c>
      <c r="I5911">
        <v>3.9369999999999998</v>
      </c>
      <c r="J5911">
        <v>5</v>
      </c>
      <c r="K5911">
        <v>36</v>
      </c>
      <c r="L5911">
        <v>28</v>
      </c>
      <c r="M5911">
        <v>4.9290000000000003</v>
      </c>
    </row>
    <row r="5912" spans="1:13" ht="15" customHeight="1">
      <c r="A5912" t="s">
        <v>63</v>
      </c>
      <c r="B5912">
        <f t="shared" si="366"/>
        <v>33.699714</v>
      </c>
      <c r="C5912">
        <f t="shared" si="367"/>
        <v>-117.85802200000001</v>
      </c>
      <c r="D5912">
        <f t="shared" si="368"/>
        <v>41</v>
      </c>
      <c r="E5912">
        <v>23.5</v>
      </c>
      <c r="F5912">
        <f t="shared" si="369"/>
        <v>17.5</v>
      </c>
      <c r="G5912">
        <v>65.867000000000004</v>
      </c>
      <c r="H5912">
        <v>3.8050000000000002</v>
      </c>
      <c r="I5912">
        <v>5.7910000000000004</v>
      </c>
      <c r="J5912">
        <v>11</v>
      </c>
      <c r="K5912">
        <v>63</v>
      </c>
      <c r="L5912">
        <v>47</v>
      </c>
      <c r="M5912" s="1">
        <v>9000000000</v>
      </c>
    </row>
    <row r="5913" spans="1:13" ht="15" customHeight="1">
      <c r="A5913" t="s">
        <v>63</v>
      </c>
      <c r="B5913">
        <f t="shared" si="366"/>
        <v>33.699714</v>
      </c>
      <c r="C5913">
        <f t="shared" si="367"/>
        <v>-117.85802200000001</v>
      </c>
      <c r="D5913">
        <f t="shared" si="368"/>
        <v>41</v>
      </c>
      <c r="E5913">
        <v>24.5</v>
      </c>
      <c r="F5913">
        <f t="shared" si="369"/>
        <v>16.5</v>
      </c>
      <c r="G5913">
        <v>85.882999999999996</v>
      </c>
      <c r="H5913">
        <v>2.452</v>
      </c>
      <c r="I5913">
        <v>2.86</v>
      </c>
      <c r="J5913">
        <v>6</v>
      </c>
      <c r="K5913">
        <v>33</v>
      </c>
      <c r="L5913">
        <v>24</v>
      </c>
      <c r="M5913">
        <v>5.6150000000000002</v>
      </c>
    </row>
    <row r="5914" spans="1:13" ht="15" customHeight="1">
      <c r="A5914" t="s">
        <v>63</v>
      </c>
      <c r="B5914">
        <f t="shared" si="366"/>
        <v>33.699714</v>
      </c>
      <c r="C5914">
        <f t="shared" si="367"/>
        <v>-117.85802200000001</v>
      </c>
      <c r="D5914">
        <f t="shared" si="368"/>
        <v>41</v>
      </c>
      <c r="E5914">
        <v>25.5</v>
      </c>
      <c r="F5914">
        <f t="shared" si="369"/>
        <v>15.5</v>
      </c>
      <c r="G5914">
        <v>126.1</v>
      </c>
      <c r="H5914">
        <v>0.245</v>
      </c>
      <c r="I5914">
        <v>0.19400000000000001</v>
      </c>
      <c r="J5914">
        <v>9</v>
      </c>
      <c r="K5914">
        <v>24</v>
      </c>
      <c r="L5914">
        <v>17</v>
      </c>
      <c r="M5914" s="1">
        <v>9000000000</v>
      </c>
    </row>
    <row r="5915" spans="1:13" ht="15" customHeight="1">
      <c r="A5915" t="s">
        <v>63</v>
      </c>
      <c r="B5915">
        <f t="shared" si="366"/>
        <v>33.699714</v>
      </c>
      <c r="C5915">
        <f t="shared" si="367"/>
        <v>-117.85802200000001</v>
      </c>
      <c r="D5915">
        <f t="shared" si="368"/>
        <v>41</v>
      </c>
      <c r="E5915">
        <v>26.5</v>
      </c>
      <c r="F5915">
        <f t="shared" si="369"/>
        <v>14.5</v>
      </c>
      <c r="G5915">
        <v>146.167</v>
      </c>
      <c r="H5915">
        <v>0.40300000000000002</v>
      </c>
      <c r="I5915">
        <v>0.27600000000000002</v>
      </c>
      <c r="J5915">
        <v>9</v>
      </c>
      <c r="K5915">
        <v>28</v>
      </c>
      <c r="L5915">
        <v>20</v>
      </c>
      <c r="M5915" s="1">
        <v>9000000000</v>
      </c>
    </row>
    <row r="5916" spans="1:13" ht="15" customHeight="1">
      <c r="A5916" t="s">
        <v>63</v>
      </c>
      <c r="B5916">
        <f t="shared" si="366"/>
        <v>33.699714</v>
      </c>
      <c r="C5916">
        <f t="shared" si="367"/>
        <v>-117.85802200000001</v>
      </c>
      <c r="D5916">
        <f t="shared" si="368"/>
        <v>41</v>
      </c>
      <c r="E5916">
        <v>27.5</v>
      </c>
      <c r="F5916">
        <f t="shared" si="369"/>
        <v>13.5</v>
      </c>
      <c r="G5916">
        <v>168.983</v>
      </c>
      <c r="H5916">
        <v>1.8120000000000001</v>
      </c>
      <c r="I5916">
        <v>1.073</v>
      </c>
      <c r="J5916">
        <v>9</v>
      </c>
      <c r="K5916">
        <v>32</v>
      </c>
      <c r="L5916">
        <v>22</v>
      </c>
      <c r="M5916" s="1">
        <v>9000000000</v>
      </c>
    </row>
    <row r="5917" spans="1:13" ht="15" customHeight="1">
      <c r="A5917" t="s">
        <v>63</v>
      </c>
      <c r="B5917">
        <f t="shared" si="366"/>
        <v>33.699714</v>
      </c>
      <c r="C5917">
        <f t="shared" si="367"/>
        <v>-117.85802200000001</v>
      </c>
      <c r="D5917">
        <f t="shared" si="368"/>
        <v>41</v>
      </c>
      <c r="E5917">
        <v>28.5</v>
      </c>
      <c r="F5917">
        <f t="shared" si="369"/>
        <v>12.5</v>
      </c>
      <c r="G5917">
        <v>187.083</v>
      </c>
      <c r="H5917">
        <v>2.0430000000000001</v>
      </c>
      <c r="I5917">
        <v>1.093</v>
      </c>
      <c r="J5917">
        <v>9</v>
      </c>
      <c r="K5917">
        <v>36</v>
      </c>
      <c r="L5917">
        <v>24</v>
      </c>
      <c r="M5917" s="1">
        <v>9000000000</v>
      </c>
    </row>
    <row r="5918" spans="1:13" ht="15" customHeight="1">
      <c r="A5918" t="s">
        <v>63</v>
      </c>
      <c r="B5918">
        <f t="shared" si="366"/>
        <v>33.699714</v>
      </c>
      <c r="C5918">
        <f t="shared" si="367"/>
        <v>-117.85802200000001</v>
      </c>
      <c r="D5918">
        <f t="shared" si="368"/>
        <v>41</v>
      </c>
      <c r="E5918">
        <v>29.5</v>
      </c>
      <c r="F5918">
        <f t="shared" si="369"/>
        <v>11.5</v>
      </c>
      <c r="G5918">
        <v>232.017</v>
      </c>
      <c r="H5918">
        <v>1.07</v>
      </c>
      <c r="I5918">
        <v>0.46200000000000002</v>
      </c>
      <c r="J5918">
        <v>9</v>
      </c>
      <c r="K5918">
        <v>44</v>
      </c>
      <c r="L5918">
        <v>29</v>
      </c>
      <c r="M5918" s="1">
        <v>9000000000</v>
      </c>
    </row>
    <row r="5919" spans="1:13" ht="15" customHeight="1">
      <c r="A5919" t="s">
        <v>63</v>
      </c>
      <c r="B5919">
        <f t="shared" si="366"/>
        <v>33.699714</v>
      </c>
      <c r="C5919">
        <f t="shared" si="367"/>
        <v>-117.85802200000001</v>
      </c>
      <c r="D5919">
        <f t="shared" si="368"/>
        <v>41</v>
      </c>
      <c r="E5919">
        <v>30.5</v>
      </c>
      <c r="F5919">
        <f t="shared" si="369"/>
        <v>10.5</v>
      </c>
      <c r="G5919">
        <v>258.93299999999999</v>
      </c>
      <c r="H5919">
        <v>0.76700000000000002</v>
      </c>
      <c r="I5919">
        <v>0.29599999999999999</v>
      </c>
      <c r="J5919">
        <v>10</v>
      </c>
      <c r="K5919">
        <v>41</v>
      </c>
      <c r="L5919">
        <v>27</v>
      </c>
      <c r="M5919" s="1">
        <v>9000000000</v>
      </c>
    </row>
    <row r="5920" spans="1:13" ht="15" customHeight="1">
      <c r="A5920" t="s">
        <v>63</v>
      </c>
      <c r="B5920">
        <f t="shared" si="366"/>
        <v>33.699714</v>
      </c>
      <c r="C5920">
        <f t="shared" si="367"/>
        <v>-117.85802200000001</v>
      </c>
      <c r="D5920">
        <f t="shared" si="368"/>
        <v>41</v>
      </c>
      <c r="E5920">
        <v>31.5</v>
      </c>
      <c r="F5920">
        <f t="shared" si="369"/>
        <v>9.5</v>
      </c>
      <c r="G5920">
        <v>250.27099999999999</v>
      </c>
      <c r="H5920">
        <v>0.65</v>
      </c>
      <c r="I5920">
        <v>0.26</v>
      </c>
      <c r="J5920">
        <v>10</v>
      </c>
      <c r="K5920">
        <v>40</v>
      </c>
      <c r="L5920">
        <v>26</v>
      </c>
      <c r="M5920" s="1">
        <v>9000000000</v>
      </c>
    </row>
    <row r="5921" spans="1:13" ht="15" customHeight="1">
      <c r="A5921" t="s">
        <v>63</v>
      </c>
      <c r="B5921">
        <f t="shared" si="366"/>
        <v>33.699714</v>
      </c>
      <c r="C5921">
        <f t="shared" si="367"/>
        <v>-117.85802200000001</v>
      </c>
      <c r="D5921">
        <f t="shared" si="368"/>
        <v>41</v>
      </c>
      <c r="E5921">
        <v>32.5</v>
      </c>
      <c r="F5921">
        <f t="shared" si="369"/>
        <v>8.5</v>
      </c>
      <c r="G5921">
        <v>219.4</v>
      </c>
      <c r="H5921">
        <v>0.48</v>
      </c>
      <c r="I5921">
        <v>0.219</v>
      </c>
      <c r="J5921">
        <v>10</v>
      </c>
      <c r="K5921">
        <v>35</v>
      </c>
      <c r="L5921">
        <v>22</v>
      </c>
      <c r="M5921" s="1">
        <v>9000000000</v>
      </c>
    </row>
    <row r="5922" spans="1:13" ht="15" customHeight="1">
      <c r="A5922" t="s">
        <v>63</v>
      </c>
      <c r="B5922">
        <f t="shared" si="366"/>
        <v>33.699714</v>
      </c>
      <c r="C5922">
        <f t="shared" si="367"/>
        <v>-117.85802200000001</v>
      </c>
      <c r="D5922">
        <f t="shared" si="368"/>
        <v>41</v>
      </c>
      <c r="E5922">
        <v>33.5</v>
      </c>
      <c r="F5922">
        <f t="shared" si="369"/>
        <v>7.5</v>
      </c>
      <c r="G5922">
        <v>312.11700000000002</v>
      </c>
      <c r="H5922">
        <v>0.94299999999999995</v>
      </c>
      <c r="I5922">
        <v>0.30199999999999999</v>
      </c>
      <c r="J5922">
        <v>10</v>
      </c>
      <c r="K5922">
        <v>50</v>
      </c>
      <c r="L5922">
        <v>32</v>
      </c>
      <c r="M5922" s="1">
        <v>9000000000</v>
      </c>
    </row>
    <row r="5923" spans="1:13" ht="15" customHeight="1">
      <c r="A5923" t="s">
        <v>63</v>
      </c>
      <c r="B5923">
        <f t="shared" si="366"/>
        <v>33.699714</v>
      </c>
      <c r="C5923">
        <f t="shared" si="367"/>
        <v>-117.85802200000001</v>
      </c>
      <c r="D5923">
        <f t="shared" si="368"/>
        <v>41</v>
      </c>
      <c r="E5923">
        <v>34.5</v>
      </c>
      <c r="F5923">
        <f t="shared" si="369"/>
        <v>6.5</v>
      </c>
      <c r="G5923">
        <v>327.767</v>
      </c>
      <c r="H5923">
        <v>0.97799999999999998</v>
      </c>
      <c r="I5923">
        <v>0.29899999999999999</v>
      </c>
      <c r="J5923">
        <v>10</v>
      </c>
      <c r="K5923">
        <v>52</v>
      </c>
      <c r="L5923">
        <v>32</v>
      </c>
      <c r="M5923" s="1">
        <v>9000000000</v>
      </c>
    </row>
    <row r="5924" spans="1:13" ht="15" customHeight="1">
      <c r="A5924" t="s">
        <v>63</v>
      </c>
      <c r="B5924">
        <f t="shared" si="366"/>
        <v>33.699714</v>
      </c>
      <c r="C5924">
        <f t="shared" si="367"/>
        <v>-117.85802200000001</v>
      </c>
      <c r="D5924">
        <f t="shared" si="368"/>
        <v>41</v>
      </c>
      <c r="E5924">
        <v>35.5</v>
      </c>
      <c r="F5924">
        <f t="shared" si="369"/>
        <v>5.5</v>
      </c>
      <c r="G5924">
        <v>313.3</v>
      </c>
      <c r="H5924">
        <v>1.0349999999999999</v>
      </c>
      <c r="I5924">
        <v>0.33</v>
      </c>
      <c r="J5924">
        <v>10</v>
      </c>
      <c r="K5924">
        <v>50</v>
      </c>
      <c r="L5924">
        <v>31</v>
      </c>
      <c r="M5924" s="1">
        <v>9000000000</v>
      </c>
    </row>
    <row r="5925" spans="1:13" ht="15" customHeight="1">
      <c r="A5925" t="s">
        <v>63</v>
      </c>
      <c r="B5925">
        <f t="shared" si="366"/>
        <v>33.699714</v>
      </c>
      <c r="C5925">
        <f t="shared" si="367"/>
        <v>-117.85802200000001</v>
      </c>
      <c r="D5925">
        <f t="shared" si="368"/>
        <v>41</v>
      </c>
      <c r="E5925">
        <v>36.5</v>
      </c>
      <c r="F5925">
        <f t="shared" si="369"/>
        <v>4.5</v>
      </c>
      <c r="G5925">
        <v>271.39999999999998</v>
      </c>
      <c r="H5925">
        <v>1.845</v>
      </c>
      <c r="I5925">
        <v>0.68</v>
      </c>
      <c r="J5925">
        <v>9</v>
      </c>
      <c r="K5925">
        <v>52</v>
      </c>
      <c r="L5925">
        <v>32</v>
      </c>
      <c r="M5925" s="1">
        <v>9000000000</v>
      </c>
    </row>
    <row r="5926" spans="1:13" ht="15" customHeight="1">
      <c r="A5926" t="s">
        <v>63</v>
      </c>
      <c r="B5926">
        <f t="shared" si="366"/>
        <v>33.699714</v>
      </c>
      <c r="C5926">
        <f t="shared" si="367"/>
        <v>-117.85802200000001</v>
      </c>
      <c r="D5926">
        <f t="shared" si="368"/>
        <v>41</v>
      </c>
      <c r="E5926">
        <v>37.5</v>
      </c>
      <c r="F5926">
        <f t="shared" si="369"/>
        <v>3.5</v>
      </c>
      <c r="G5926">
        <v>293.89999999999998</v>
      </c>
      <c r="H5926">
        <v>2.5129999999999999</v>
      </c>
      <c r="I5926">
        <v>0.85599999999999998</v>
      </c>
      <c r="J5926">
        <v>9</v>
      </c>
      <c r="K5926">
        <v>56</v>
      </c>
      <c r="L5926">
        <v>34</v>
      </c>
      <c r="M5926" s="1">
        <v>9000000000</v>
      </c>
    </row>
    <row r="5927" spans="1:13" ht="15" customHeight="1">
      <c r="A5927" t="s">
        <v>63</v>
      </c>
      <c r="B5927">
        <f t="shared" si="366"/>
        <v>33.699714</v>
      </c>
      <c r="C5927">
        <f t="shared" si="367"/>
        <v>-117.85802200000001</v>
      </c>
      <c r="D5927">
        <f t="shared" si="368"/>
        <v>41</v>
      </c>
      <c r="E5927">
        <v>38.5</v>
      </c>
      <c r="F5927">
        <f t="shared" si="369"/>
        <v>2.5</v>
      </c>
      <c r="G5927">
        <v>308.08300000000003</v>
      </c>
      <c r="H5927">
        <v>2.73</v>
      </c>
      <c r="I5927">
        <v>0.88600000000000001</v>
      </c>
      <c r="J5927">
        <v>9</v>
      </c>
      <c r="K5927">
        <v>59</v>
      </c>
      <c r="L5927">
        <v>35</v>
      </c>
      <c r="M5927" s="1">
        <v>9000000000</v>
      </c>
    </row>
    <row r="5928" spans="1:13" ht="15" customHeight="1">
      <c r="A5928" t="s">
        <v>63</v>
      </c>
      <c r="B5928">
        <f t="shared" si="366"/>
        <v>33.699714</v>
      </c>
      <c r="C5928">
        <f t="shared" si="367"/>
        <v>-117.85802200000001</v>
      </c>
      <c r="D5928">
        <f t="shared" si="368"/>
        <v>41</v>
      </c>
      <c r="E5928">
        <v>39.5</v>
      </c>
      <c r="F5928">
        <f t="shared" si="369"/>
        <v>1.5</v>
      </c>
      <c r="G5928">
        <v>301.89999999999998</v>
      </c>
      <c r="H5928">
        <v>2.7050000000000001</v>
      </c>
      <c r="I5928">
        <v>0.89600000000000002</v>
      </c>
      <c r="J5928">
        <v>9</v>
      </c>
      <c r="K5928">
        <v>58</v>
      </c>
      <c r="L5928">
        <v>34</v>
      </c>
      <c r="M5928" s="1">
        <v>9000000000</v>
      </c>
    </row>
    <row r="5929" spans="1:13" ht="15" customHeight="1">
      <c r="A5929" t="s">
        <v>63</v>
      </c>
      <c r="B5929">
        <f t="shared" si="366"/>
        <v>33.699714</v>
      </c>
      <c r="C5929">
        <f t="shared" si="367"/>
        <v>-117.85802200000001</v>
      </c>
      <c r="D5929">
        <f t="shared" si="368"/>
        <v>41</v>
      </c>
      <c r="E5929">
        <v>40.5</v>
      </c>
      <c r="F5929">
        <f t="shared" si="369"/>
        <v>0.5</v>
      </c>
      <c r="G5929">
        <v>313.11700000000002</v>
      </c>
      <c r="H5929">
        <v>2.8180000000000001</v>
      </c>
      <c r="I5929">
        <v>0.9</v>
      </c>
      <c r="J5929">
        <v>9</v>
      </c>
      <c r="K5929">
        <v>60</v>
      </c>
      <c r="L5929">
        <v>35</v>
      </c>
      <c r="M5929" s="1">
        <v>9000000000</v>
      </c>
    </row>
    <row r="5930" spans="1:13" ht="15" customHeight="1">
      <c r="A5930" t="s">
        <v>63</v>
      </c>
      <c r="B5930">
        <f t="shared" si="366"/>
        <v>33.699714</v>
      </c>
      <c r="C5930">
        <f t="shared" si="367"/>
        <v>-117.85802200000001</v>
      </c>
      <c r="D5930">
        <f t="shared" si="368"/>
        <v>41</v>
      </c>
      <c r="E5930">
        <v>41.499000000000002</v>
      </c>
      <c r="F5930">
        <f t="shared" si="369"/>
        <v>-0.49900000000000233</v>
      </c>
      <c r="G5930">
        <v>344.75700000000001</v>
      </c>
      <c r="H5930">
        <v>2.6459999999999999</v>
      </c>
      <c r="I5930">
        <v>0.76700000000000002</v>
      </c>
      <c r="J5930">
        <v>10</v>
      </c>
      <c r="K5930">
        <v>55</v>
      </c>
      <c r="L5930">
        <v>31</v>
      </c>
      <c r="M5930" s="1">
        <v>9000000000</v>
      </c>
    </row>
    <row r="5931" spans="1:13" ht="15" customHeight="1">
      <c r="A5931" t="s">
        <v>63</v>
      </c>
      <c r="B5931">
        <f t="shared" si="366"/>
        <v>33.699714</v>
      </c>
      <c r="C5931">
        <f t="shared" si="367"/>
        <v>-117.85802200000001</v>
      </c>
      <c r="D5931">
        <f t="shared" si="368"/>
        <v>41</v>
      </c>
      <c r="E5931">
        <v>42.499000000000002</v>
      </c>
      <c r="F5931">
        <f t="shared" si="369"/>
        <v>-1.4990000000000023</v>
      </c>
      <c r="G5931">
        <v>355.71699999999998</v>
      </c>
      <c r="H5931">
        <v>3.145</v>
      </c>
      <c r="I5931">
        <v>0.88400000000000001</v>
      </c>
      <c r="J5931">
        <v>9</v>
      </c>
      <c r="K5931">
        <v>68</v>
      </c>
      <c r="L5931">
        <v>38</v>
      </c>
      <c r="M5931" s="1">
        <v>9000000000</v>
      </c>
    </row>
    <row r="5932" spans="1:13" ht="15" customHeight="1">
      <c r="A5932" t="s">
        <v>63</v>
      </c>
      <c r="B5932">
        <f t="shared" si="366"/>
        <v>33.699714</v>
      </c>
      <c r="C5932">
        <f t="shared" si="367"/>
        <v>-117.85802200000001</v>
      </c>
      <c r="D5932">
        <f t="shared" si="368"/>
        <v>41</v>
      </c>
      <c r="E5932">
        <v>43.499000000000002</v>
      </c>
      <c r="F5932">
        <f t="shared" si="369"/>
        <v>-2.4990000000000023</v>
      </c>
      <c r="G5932">
        <v>354.63299999999998</v>
      </c>
      <c r="H5932">
        <v>3.9420000000000002</v>
      </c>
      <c r="I5932">
        <v>1.111</v>
      </c>
      <c r="J5932">
        <v>9</v>
      </c>
      <c r="K5932">
        <v>68</v>
      </c>
      <c r="L5932">
        <v>38</v>
      </c>
      <c r="M5932" s="1">
        <v>9000000000</v>
      </c>
    </row>
    <row r="5933" spans="1:13" ht="15" customHeight="1">
      <c r="A5933" t="s">
        <v>63</v>
      </c>
      <c r="B5933">
        <f t="shared" si="366"/>
        <v>33.699714</v>
      </c>
      <c r="C5933">
        <f t="shared" si="367"/>
        <v>-117.85802200000001</v>
      </c>
      <c r="D5933">
        <f t="shared" si="368"/>
        <v>41</v>
      </c>
      <c r="E5933">
        <v>44.499000000000002</v>
      </c>
      <c r="F5933">
        <f t="shared" si="369"/>
        <v>-3.4990000000000023</v>
      </c>
      <c r="G5933">
        <v>363.91699999999997</v>
      </c>
      <c r="H5933">
        <v>3.74</v>
      </c>
      <c r="I5933">
        <v>1.0269999999999999</v>
      </c>
      <c r="J5933">
        <v>9</v>
      </c>
      <c r="K5933">
        <v>70</v>
      </c>
      <c r="L5933">
        <v>39</v>
      </c>
      <c r="M5933" s="1">
        <v>9000000000</v>
      </c>
    </row>
    <row r="5934" spans="1:13" ht="15" customHeight="1">
      <c r="A5934" t="s">
        <v>63</v>
      </c>
      <c r="B5934">
        <f t="shared" si="366"/>
        <v>33.699714</v>
      </c>
      <c r="C5934">
        <f t="shared" si="367"/>
        <v>-117.85802200000001</v>
      </c>
      <c r="D5934">
        <f t="shared" si="368"/>
        <v>41</v>
      </c>
      <c r="E5934">
        <v>45.499000000000002</v>
      </c>
      <c r="F5934">
        <f t="shared" si="369"/>
        <v>-4.4990000000000023</v>
      </c>
      <c r="G5934">
        <v>312.483</v>
      </c>
      <c r="H5934">
        <v>2.968</v>
      </c>
      <c r="I5934">
        <v>0.95</v>
      </c>
      <c r="J5934">
        <v>9</v>
      </c>
      <c r="K5934">
        <v>60</v>
      </c>
      <c r="L5934">
        <v>33</v>
      </c>
      <c r="M5934" s="1">
        <v>9000000000</v>
      </c>
    </row>
    <row r="5935" spans="1:13" ht="15" customHeight="1">
      <c r="A5935" t="s">
        <v>63</v>
      </c>
      <c r="B5935">
        <f t="shared" si="366"/>
        <v>33.699714</v>
      </c>
      <c r="C5935">
        <f t="shared" si="367"/>
        <v>-117.85802200000001</v>
      </c>
      <c r="D5935">
        <f t="shared" si="368"/>
        <v>41</v>
      </c>
      <c r="E5935">
        <v>46.499000000000002</v>
      </c>
      <c r="F5935">
        <f t="shared" si="369"/>
        <v>-5.4990000000000023</v>
      </c>
      <c r="G5935">
        <v>108.8</v>
      </c>
      <c r="H5935">
        <v>1.8</v>
      </c>
      <c r="I5935">
        <v>1.65</v>
      </c>
      <c r="J5935">
        <v>7</v>
      </c>
      <c r="K5935">
        <v>35</v>
      </c>
      <c r="L5935">
        <v>19</v>
      </c>
      <c r="M5935" s="1">
        <v>9000000000</v>
      </c>
    </row>
    <row r="5936" spans="1:13" ht="15" customHeight="1">
      <c r="A5936" t="s">
        <v>63</v>
      </c>
      <c r="B5936">
        <f t="shared" si="366"/>
        <v>33.699714</v>
      </c>
      <c r="C5936">
        <f t="shared" si="367"/>
        <v>-117.85802200000001</v>
      </c>
      <c r="D5936">
        <f t="shared" si="368"/>
        <v>41</v>
      </c>
      <c r="E5936">
        <v>47.499000000000002</v>
      </c>
      <c r="F5936">
        <f t="shared" si="369"/>
        <v>-6.4990000000000023</v>
      </c>
      <c r="G5936">
        <v>332.1</v>
      </c>
      <c r="H5936">
        <v>1.607</v>
      </c>
      <c r="I5936">
        <v>0.48399999999999999</v>
      </c>
      <c r="J5936">
        <v>10</v>
      </c>
      <c r="K5936">
        <v>53</v>
      </c>
      <c r="L5936">
        <v>28</v>
      </c>
      <c r="M5936" s="1">
        <v>9000000000</v>
      </c>
    </row>
    <row r="5937" spans="1:13" ht="15" customHeight="1">
      <c r="A5937" t="s">
        <v>63</v>
      </c>
      <c r="B5937">
        <f t="shared" si="366"/>
        <v>33.699714</v>
      </c>
      <c r="C5937">
        <f t="shared" si="367"/>
        <v>-117.85802200000001</v>
      </c>
      <c r="D5937">
        <f t="shared" si="368"/>
        <v>41</v>
      </c>
      <c r="E5937">
        <v>48.499000000000002</v>
      </c>
      <c r="F5937">
        <f t="shared" si="369"/>
        <v>-7.4990000000000023</v>
      </c>
      <c r="G5937">
        <v>186.86699999999999</v>
      </c>
      <c r="H5937">
        <v>2.3069999999999999</v>
      </c>
      <c r="I5937">
        <v>1.2350000000000001</v>
      </c>
      <c r="J5937">
        <v>8</v>
      </c>
      <c r="K5937">
        <v>45</v>
      </c>
      <c r="L5937">
        <v>24</v>
      </c>
      <c r="M5937" s="1">
        <v>9000000000</v>
      </c>
    </row>
    <row r="5938" spans="1:13" ht="15" customHeight="1">
      <c r="A5938" t="s">
        <v>63</v>
      </c>
      <c r="B5938">
        <f t="shared" si="366"/>
        <v>33.699714</v>
      </c>
      <c r="C5938">
        <f t="shared" si="367"/>
        <v>-117.85802200000001</v>
      </c>
      <c r="D5938">
        <f t="shared" si="368"/>
        <v>41</v>
      </c>
      <c r="E5938">
        <v>49.499000000000002</v>
      </c>
      <c r="F5938">
        <f t="shared" si="369"/>
        <v>-8.4990000000000023</v>
      </c>
      <c r="G5938">
        <v>181.63300000000001</v>
      </c>
      <c r="H5938">
        <v>2.3519999999999999</v>
      </c>
      <c r="I5938">
        <v>1.296</v>
      </c>
      <c r="J5938">
        <v>8</v>
      </c>
      <c r="K5938">
        <v>43</v>
      </c>
      <c r="L5938">
        <v>22</v>
      </c>
      <c r="M5938" s="1">
        <v>9000000000</v>
      </c>
    </row>
    <row r="5939" spans="1:13" ht="15" customHeight="1">
      <c r="A5939" t="s">
        <v>63</v>
      </c>
      <c r="B5939">
        <f t="shared" si="366"/>
        <v>33.699714</v>
      </c>
      <c r="C5939">
        <f t="shared" si="367"/>
        <v>-117.85802200000001</v>
      </c>
      <c r="D5939">
        <f t="shared" si="368"/>
        <v>41</v>
      </c>
      <c r="E5939">
        <v>50.499000000000002</v>
      </c>
      <c r="F5939">
        <f t="shared" si="369"/>
        <v>-9.4990000000000023</v>
      </c>
      <c r="G5939">
        <v>35.15</v>
      </c>
      <c r="H5939">
        <v>1.073</v>
      </c>
      <c r="I5939">
        <v>3.0510000000000002</v>
      </c>
      <c r="J5939">
        <v>5</v>
      </c>
      <c r="K5939">
        <v>17</v>
      </c>
      <c r="L5939">
        <v>9</v>
      </c>
      <c r="M5939">
        <v>2.1349999999999998</v>
      </c>
    </row>
    <row r="5940" spans="1:13" ht="15" customHeight="1">
      <c r="A5940" t="s">
        <v>63</v>
      </c>
      <c r="B5940">
        <f t="shared" si="366"/>
        <v>33.699714</v>
      </c>
      <c r="C5940">
        <f t="shared" si="367"/>
        <v>-117.85802200000001</v>
      </c>
      <c r="D5940">
        <f t="shared" si="368"/>
        <v>41</v>
      </c>
      <c r="E5940">
        <v>51.499000000000002</v>
      </c>
      <c r="F5940">
        <f t="shared" si="369"/>
        <v>-10.499000000000002</v>
      </c>
      <c r="G5940">
        <v>28.867000000000001</v>
      </c>
      <c r="H5940">
        <v>0.84699999999999998</v>
      </c>
      <c r="I5940">
        <v>2.9060000000000001</v>
      </c>
      <c r="J5940">
        <v>5</v>
      </c>
      <c r="K5940">
        <v>14</v>
      </c>
      <c r="L5940">
        <v>7</v>
      </c>
      <c r="M5940">
        <v>1.728</v>
      </c>
    </row>
    <row r="5941" spans="1:13" ht="15" customHeight="1">
      <c r="A5941" t="s">
        <v>63</v>
      </c>
      <c r="B5941">
        <f t="shared" si="366"/>
        <v>33.699714</v>
      </c>
      <c r="C5941">
        <f t="shared" si="367"/>
        <v>-117.85802200000001</v>
      </c>
      <c r="D5941">
        <f t="shared" si="368"/>
        <v>41</v>
      </c>
      <c r="E5941">
        <v>52.499000000000002</v>
      </c>
      <c r="F5941">
        <f t="shared" si="369"/>
        <v>-11.499000000000002</v>
      </c>
      <c r="G5941">
        <v>58.8</v>
      </c>
      <c r="H5941">
        <v>1.347</v>
      </c>
      <c r="I5941">
        <v>2.2679999999999998</v>
      </c>
      <c r="J5941">
        <v>6</v>
      </c>
      <c r="K5941">
        <v>23</v>
      </c>
      <c r="L5941">
        <v>12</v>
      </c>
      <c r="M5941">
        <v>3.7410000000000001</v>
      </c>
    </row>
    <row r="5942" spans="1:13" ht="15" customHeight="1">
      <c r="A5942" t="s">
        <v>63</v>
      </c>
      <c r="B5942">
        <f t="shared" si="366"/>
        <v>33.699714</v>
      </c>
      <c r="C5942">
        <f t="shared" si="367"/>
        <v>-117.85802200000001</v>
      </c>
      <c r="D5942">
        <f t="shared" si="368"/>
        <v>41</v>
      </c>
      <c r="E5942">
        <v>53.499000000000002</v>
      </c>
      <c r="F5942">
        <f t="shared" si="369"/>
        <v>-12.499000000000002</v>
      </c>
      <c r="G5942">
        <v>98.65</v>
      </c>
      <c r="H5942">
        <v>1.452</v>
      </c>
      <c r="I5942">
        <v>1.472</v>
      </c>
      <c r="J5942">
        <v>8</v>
      </c>
      <c r="K5942">
        <v>24</v>
      </c>
      <c r="L5942">
        <v>12</v>
      </c>
      <c r="M5942" s="1">
        <v>9000000000</v>
      </c>
    </row>
    <row r="5943" spans="1:13" ht="15" customHeight="1">
      <c r="A5943" t="s">
        <v>63</v>
      </c>
      <c r="B5943">
        <f t="shared" si="366"/>
        <v>33.699714</v>
      </c>
      <c r="C5943">
        <f t="shared" si="367"/>
        <v>-117.85802200000001</v>
      </c>
      <c r="D5943">
        <f t="shared" si="368"/>
        <v>41</v>
      </c>
      <c r="E5943">
        <v>54.499000000000002</v>
      </c>
      <c r="F5943">
        <f t="shared" si="369"/>
        <v>-13.499000000000002</v>
      </c>
      <c r="G5943">
        <v>27.4</v>
      </c>
      <c r="H5943">
        <v>0.57699999999999996</v>
      </c>
      <c r="I5943">
        <v>2.105</v>
      </c>
      <c r="J5943">
        <v>6</v>
      </c>
      <c r="K5943">
        <v>10</v>
      </c>
      <c r="L5943">
        <v>5</v>
      </c>
      <c r="M5943">
        <v>1.6</v>
      </c>
    </row>
    <row r="5944" spans="1:13" ht="15" customHeight="1">
      <c r="A5944" t="s">
        <v>63</v>
      </c>
      <c r="B5944">
        <f t="shared" si="366"/>
        <v>33.699714</v>
      </c>
      <c r="C5944">
        <f t="shared" si="367"/>
        <v>-117.85802200000001</v>
      </c>
      <c r="D5944">
        <f t="shared" si="368"/>
        <v>41</v>
      </c>
      <c r="E5944">
        <v>55.499000000000002</v>
      </c>
      <c r="F5944">
        <f t="shared" si="369"/>
        <v>-14.499000000000002</v>
      </c>
      <c r="G5944">
        <v>34.966999999999999</v>
      </c>
      <c r="H5944">
        <v>0.88300000000000001</v>
      </c>
      <c r="I5944">
        <v>2.5179999999999998</v>
      </c>
      <c r="J5944">
        <v>6</v>
      </c>
      <c r="K5944">
        <v>13</v>
      </c>
      <c r="L5944">
        <v>7</v>
      </c>
      <c r="M5944">
        <v>2.1080000000000001</v>
      </c>
    </row>
    <row r="5945" spans="1:13" ht="15" customHeight="1">
      <c r="A5945" t="s">
        <v>63</v>
      </c>
      <c r="B5945">
        <f t="shared" si="366"/>
        <v>33.699714</v>
      </c>
      <c r="C5945">
        <f t="shared" si="367"/>
        <v>-117.85802200000001</v>
      </c>
      <c r="D5945">
        <f t="shared" si="368"/>
        <v>41</v>
      </c>
      <c r="E5945">
        <v>56.499000000000002</v>
      </c>
      <c r="F5945">
        <f t="shared" si="369"/>
        <v>-15.499000000000002</v>
      </c>
      <c r="G5945">
        <v>154.80000000000001</v>
      </c>
      <c r="H5945">
        <v>2.9020000000000001</v>
      </c>
      <c r="I5945">
        <v>1.875</v>
      </c>
      <c r="J5945">
        <v>7</v>
      </c>
      <c r="K5945">
        <v>49</v>
      </c>
      <c r="L5945">
        <v>25</v>
      </c>
      <c r="M5945" s="1">
        <v>9000000000</v>
      </c>
    </row>
    <row r="5946" spans="1:13" ht="15" customHeight="1">
      <c r="A5946" t="s">
        <v>63</v>
      </c>
      <c r="B5946">
        <f t="shared" si="366"/>
        <v>33.699714</v>
      </c>
      <c r="C5946">
        <f t="shared" si="367"/>
        <v>-117.85802200000001</v>
      </c>
      <c r="D5946">
        <f t="shared" si="368"/>
        <v>41</v>
      </c>
      <c r="E5946">
        <v>57.499000000000002</v>
      </c>
      <c r="F5946">
        <f t="shared" si="369"/>
        <v>-16.499000000000002</v>
      </c>
      <c r="G5946">
        <v>107.65</v>
      </c>
      <c r="H5946">
        <v>2.573</v>
      </c>
      <c r="I5946">
        <v>2.3929999999999998</v>
      </c>
      <c r="J5946">
        <v>7</v>
      </c>
      <c r="K5946">
        <v>34</v>
      </c>
      <c r="L5946">
        <v>17</v>
      </c>
      <c r="M5946" s="1">
        <v>9000000000</v>
      </c>
    </row>
    <row r="5947" spans="1:13" ht="15" customHeight="1">
      <c r="A5947" t="s">
        <v>63</v>
      </c>
      <c r="B5947">
        <f t="shared" si="366"/>
        <v>33.699714</v>
      </c>
      <c r="C5947">
        <f t="shared" si="367"/>
        <v>-117.85802200000001</v>
      </c>
      <c r="D5947">
        <f t="shared" si="368"/>
        <v>41</v>
      </c>
      <c r="E5947">
        <v>58.499000000000002</v>
      </c>
      <c r="F5947">
        <f t="shared" si="369"/>
        <v>-17.499000000000002</v>
      </c>
      <c r="G5947">
        <v>44.25</v>
      </c>
      <c r="H5947">
        <v>1.823</v>
      </c>
      <c r="I5947">
        <v>4.133</v>
      </c>
      <c r="J5947">
        <v>5</v>
      </c>
      <c r="K5947">
        <v>21</v>
      </c>
      <c r="L5947">
        <v>11</v>
      </c>
      <c r="M5947">
        <v>2.698</v>
      </c>
    </row>
    <row r="5948" spans="1:13" ht="15" customHeight="1">
      <c r="A5948" t="s">
        <v>63</v>
      </c>
      <c r="B5948">
        <f t="shared" si="366"/>
        <v>33.699714</v>
      </c>
      <c r="C5948">
        <f t="shared" si="367"/>
        <v>-117.85802200000001</v>
      </c>
      <c r="D5948">
        <f t="shared" si="368"/>
        <v>41</v>
      </c>
      <c r="E5948">
        <v>59.499000000000002</v>
      </c>
      <c r="F5948">
        <f t="shared" si="369"/>
        <v>-18.499000000000002</v>
      </c>
      <c r="G5948">
        <v>25.567</v>
      </c>
      <c r="H5948">
        <v>0.61299999999999999</v>
      </c>
      <c r="I5948">
        <v>2.4159999999999999</v>
      </c>
      <c r="J5948">
        <v>6</v>
      </c>
      <c r="K5948">
        <v>10</v>
      </c>
      <c r="L5948">
        <v>5</v>
      </c>
      <c r="M5948">
        <v>1.4450000000000001</v>
      </c>
    </row>
    <row r="5949" spans="1:13" ht="15" customHeight="1">
      <c r="A5949" t="s">
        <v>63</v>
      </c>
      <c r="B5949">
        <f t="shared" si="366"/>
        <v>33.699714</v>
      </c>
      <c r="C5949">
        <f t="shared" si="367"/>
        <v>-117.85802200000001</v>
      </c>
      <c r="D5949">
        <f t="shared" si="368"/>
        <v>41</v>
      </c>
      <c r="E5949">
        <v>60.499000000000002</v>
      </c>
      <c r="F5949">
        <f t="shared" si="369"/>
        <v>-19.499000000000002</v>
      </c>
      <c r="G5949">
        <v>28.582999999999998</v>
      </c>
      <c r="H5949">
        <v>0.68700000000000006</v>
      </c>
      <c r="I5949">
        <v>2.4159999999999999</v>
      </c>
      <c r="J5949">
        <v>6</v>
      </c>
      <c r="K5949">
        <v>11</v>
      </c>
      <c r="L5949">
        <v>6</v>
      </c>
      <c r="M5949">
        <v>1.643</v>
      </c>
    </row>
    <row r="5950" spans="1:13" ht="15" customHeight="1">
      <c r="A5950" t="s">
        <v>63</v>
      </c>
      <c r="B5950">
        <f t="shared" si="366"/>
        <v>33.699714</v>
      </c>
      <c r="C5950">
        <f t="shared" si="367"/>
        <v>-117.85802200000001</v>
      </c>
      <c r="D5950">
        <f t="shared" si="368"/>
        <v>41</v>
      </c>
      <c r="E5950">
        <v>61.499000000000002</v>
      </c>
      <c r="F5950">
        <f t="shared" si="369"/>
        <v>-20.499000000000002</v>
      </c>
      <c r="G5950">
        <v>38.783000000000001</v>
      </c>
      <c r="H5950">
        <v>1.262</v>
      </c>
      <c r="I5950">
        <v>3.262</v>
      </c>
      <c r="J5950">
        <v>5</v>
      </c>
      <c r="K5950">
        <v>19</v>
      </c>
      <c r="L5950">
        <v>10</v>
      </c>
      <c r="M5950">
        <v>2.323</v>
      </c>
    </row>
    <row r="5951" spans="1:13" ht="15" customHeight="1">
      <c r="A5951" t="s">
        <v>63</v>
      </c>
      <c r="B5951">
        <f t="shared" si="366"/>
        <v>33.699714</v>
      </c>
      <c r="C5951">
        <f t="shared" si="367"/>
        <v>-117.85802200000001</v>
      </c>
      <c r="D5951">
        <f t="shared" si="368"/>
        <v>41</v>
      </c>
      <c r="E5951">
        <v>62.499000000000002</v>
      </c>
      <c r="F5951">
        <f t="shared" si="369"/>
        <v>-21.499000000000002</v>
      </c>
      <c r="G5951">
        <v>45.829000000000001</v>
      </c>
      <c r="H5951">
        <v>1.6</v>
      </c>
      <c r="I5951">
        <v>3.5009999999999999</v>
      </c>
      <c r="J5951">
        <v>5</v>
      </c>
      <c r="K5951">
        <v>22</v>
      </c>
      <c r="L5951">
        <v>11</v>
      </c>
      <c r="M5951">
        <v>2.7869999999999999</v>
      </c>
    </row>
    <row r="5952" spans="1:13" ht="15" customHeight="1">
      <c r="A5952" t="s">
        <v>63</v>
      </c>
      <c r="B5952">
        <f t="shared" si="366"/>
        <v>33.699714</v>
      </c>
      <c r="C5952">
        <f t="shared" si="367"/>
        <v>-117.85802200000001</v>
      </c>
      <c r="D5952">
        <f t="shared" si="368"/>
        <v>41</v>
      </c>
      <c r="E5952">
        <v>63.499000000000002</v>
      </c>
      <c r="F5952">
        <f t="shared" si="369"/>
        <v>-22.499000000000002</v>
      </c>
      <c r="G5952">
        <v>206.11699999999999</v>
      </c>
      <c r="H5952">
        <v>4.2629999999999999</v>
      </c>
      <c r="I5952">
        <v>2.0699999999999998</v>
      </c>
      <c r="J5952">
        <v>7</v>
      </c>
      <c r="K5952">
        <v>66</v>
      </c>
      <c r="L5952">
        <v>33</v>
      </c>
      <c r="M5952" s="1">
        <v>9000000000</v>
      </c>
    </row>
    <row r="5953" spans="1:13" ht="15" customHeight="1">
      <c r="A5953" t="s">
        <v>63</v>
      </c>
      <c r="B5953">
        <f t="shared" si="366"/>
        <v>33.699714</v>
      </c>
      <c r="C5953">
        <f t="shared" si="367"/>
        <v>-117.85802200000001</v>
      </c>
      <c r="D5953">
        <f t="shared" si="368"/>
        <v>41</v>
      </c>
      <c r="E5953">
        <v>64.498999999999995</v>
      </c>
      <c r="F5953">
        <f t="shared" si="369"/>
        <v>-23.498999999999995</v>
      </c>
      <c r="G5953">
        <v>203.31700000000001</v>
      </c>
      <c r="H5953">
        <v>4.2930000000000001</v>
      </c>
      <c r="I5953">
        <v>2.113</v>
      </c>
      <c r="J5953">
        <v>7</v>
      </c>
      <c r="K5953">
        <v>65</v>
      </c>
      <c r="L5953">
        <v>33</v>
      </c>
      <c r="M5953" s="1">
        <v>9000000000</v>
      </c>
    </row>
    <row r="5954" spans="1:13" ht="15" customHeight="1">
      <c r="A5954" t="s">
        <v>63</v>
      </c>
      <c r="B5954">
        <f t="shared" ref="B5954:B6017" si="370">VLOOKUP(A5954,XYdata,3,FALSE)</f>
        <v>33.699714</v>
      </c>
      <c r="C5954">
        <f t="shared" ref="C5954:C6017" si="371">VLOOKUP(A5954,XYdata,2,FALSE)</f>
        <v>-117.85802200000001</v>
      </c>
      <c r="D5954">
        <f t="shared" ref="D5954:D6017" si="372">VLOOKUP(A5954,Elevation,2,FALSE)</f>
        <v>41</v>
      </c>
      <c r="E5954">
        <v>65.498999999999995</v>
      </c>
      <c r="F5954">
        <f t="shared" si="369"/>
        <v>-24.498999999999995</v>
      </c>
      <c r="G5954">
        <v>35.65</v>
      </c>
      <c r="H5954">
        <v>1.43</v>
      </c>
      <c r="I5954">
        <v>4.0279999999999996</v>
      </c>
      <c r="J5954">
        <v>4</v>
      </c>
      <c r="K5954">
        <v>23</v>
      </c>
      <c r="L5954">
        <v>12</v>
      </c>
      <c r="M5954">
        <v>2.0950000000000002</v>
      </c>
    </row>
    <row r="5955" spans="1:13" ht="15" customHeight="1">
      <c r="A5955" t="s">
        <v>63</v>
      </c>
      <c r="B5955">
        <f t="shared" si="370"/>
        <v>33.699714</v>
      </c>
      <c r="C5955">
        <f t="shared" si="371"/>
        <v>-117.85802200000001</v>
      </c>
      <c r="D5955">
        <f t="shared" si="372"/>
        <v>41</v>
      </c>
      <c r="E5955">
        <v>66.498999999999995</v>
      </c>
      <c r="F5955">
        <f t="shared" ref="F5955:F6018" si="373">D5955-E5955</f>
        <v>-25.498999999999995</v>
      </c>
      <c r="G5955">
        <v>30.317</v>
      </c>
      <c r="H5955">
        <v>0.86199999999999999</v>
      </c>
      <c r="I5955">
        <v>2.8519999999999999</v>
      </c>
      <c r="J5955">
        <v>5</v>
      </c>
      <c r="K5955">
        <v>14</v>
      </c>
      <c r="L5955">
        <v>7</v>
      </c>
      <c r="M5955">
        <v>1.738</v>
      </c>
    </row>
    <row r="5956" spans="1:13" ht="15" customHeight="1">
      <c r="A5956" t="s">
        <v>63</v>
      </c>
      <c r="B5956">
        <f t="shared" si="370"/>
        <v>33.699714</v>
      </c>
      <c r="C5956">
        <f t="shared" si="371"/>
        <v>-117.85802200000001</v>
      </c>
      <c r="D5956">
        <f t="shared" si="372"/>
        <v>41</v>
      </c>
      <c r="E5956">
        <v>67.498999999999995</v>
      </c>
      <c r="F5956">
        <f t="shared" si="373"/>
        <v>-26.498999999999995</v>
      </c>
      <c r="G5956">
        <v>29.433</v>
      </c>
      <c r="H5956">
        <v>0.66800000000000004</v>
      </c>
      <c r="I5956">
        <v>2.2839999999999998</v>
      </c>
      <c r="J5956">
        <v>6</v>
      </c>
      <c r="K5956">
        <v>11</v>
      </c>
      <c r="L5956">
        <v>6</v>
      </c>
      <c r="M5956">
        <v>1.671</v>
      </c>
    </row>
    <row r="5957" spans="1:13" ht="15" customHeight="1">
      <c r="A5957" t="s">
        <v>63</v>
      </c>
      <c r="B5957">
        <f t="shared" si="370"/>
        <v>33.699714</v>
      </c>
      <c r="C5957">
        <f t="shared" si="371"/>
        <v>-117.85802200000001</v>
      </c>
      <c r="D5957">
        <f t="shared" si="372"/>
        <v>41</v>
      </c>
      <c r="E5957">
        <v>68.498999999999995</v>
      </c>
      <c r="F5957">
        <f t="shared" si="373"/>
        <v>-27.498999999999995</v>
      </c>
      <c r="G5957">
        <v>30.132999999999999</v>
      </c>
      <c r="H5957">
        <v>0.82199999999999995</v>
      </c>
      <c r="I5957">
        <v>2.7389999999999999</v>
      </c>
      <c r="J5957">
        <v>6</v>
      </c>
      <c r="K5957">
        <v>11</v>
      </c>
      <c r="L5957">
        <v>6</v>
      </c>
      <c r="M5957">
        <v>1.7150000000000001</v>
      </c>
    </row>
    <row r="5958" spans="1:13" ht="15" customHeight="1">
      <c r="A5958" t="s">
        <v>63</v>
      </c>
      <c r="B5958">
        <f t="shared" si="370"/>
        <v>33.699714</v>
      </c>
      <c r="C5958">
        <f t="shared" si="371"/>
        <v>-117.85802200000001</v>
      </c>
      <c r="D5958">
        <f t="shared" si="372"/>
        <v>41</v>
      </c>
      <c r="E5958">
        <v>69.498999999999995</v>
      </c>
      <c r="F5958">
        <f t="shared" si="373"/>
        <v>-28.498999999999995</v>
      </c>
      <c r="G5958">
        <v>29.8</v>
      </c>
      <c r="H5958">
        <v>1.042</v>
      </c>
      <c r="I5958">
        <v>3.5089999999999999</v>
      </c>
      <c r="J5958">
        <v>5</v>
      </c>
      <c r="K5958">
        <v>14</v>
      </c>
      <c r="L5958">
        <v>7</v>
      </c>
      <c r="M5958">
        <v>1.69</v>
      </c>
    </row>
    <row r="5959" spans="1:13" ht="15" customHeight="1">
      <c r="A5959" t="s">
        <v>63</v>
      </c>
      <c r="B5959">
        <f t="shared" si="370"/>
        <v>33.699714</v>
      </c>
      <c r="C5959">
        <f t="shared" si="371"/>
        <v>-117.85802200000001</v>
      </c>
      <c r="D5959">
        <f t="shared" si="372"/>
        <v>41</v>
      </c>
      <c r="E5959">
        <v>70.498999999999995</v>
      </c>
      <c r="F5959">
        <f t="shared" si="373"/>
        <v>-29.498999999999995</v>
      </c>
      <c r="G5959">
        <v>26.882999999999999</v>
      </c>
      <c r="H5959">
        <v>0.79300000000000004</v>
      </c>
      <c r="I5959">
        <v>2.964</v>
      </c>
      <c r="J5959">
        <v>5</v>
      </c>
      <c r="K5959">
        <v>13</v>
      </c>
      <c r="L5959">
        <v>7</v>
      </c>
      <c r="M5959">
        <v>1.492</v>
      </c>
    </row>
    <row r="5960" spans="1:13" ht="15" customHeight="1">
      <c r="A5960" t="s">
        <v>63</v>
      </c>
      <c r="B5960">
        <f t="shared" si="370"/>
        <v>33.699714</v>
      </c>
      <c r="C5960">
        <f t="shared" si="371"/>
        <v>-117.85802200000001</v>
      </c>
      <c r="D5960">
        <f t="shared" si="372"/>
        <v>41</v>
      </c>
      <c r="E5960">
        <v>71.498999999999995</v>
      </c>
      <c r="F5960">
        <f t="shared" si="373"/>
        <v>-30.498999999999995</v>
      </c>
      <c r="G5960">
        <v>32.732999999999997</v>
      </c>
      <c r="H5960">
        <v>0.95199999999999996</v>
      </c>
      <c r="I5960">
        <v>2.9159999999999999</v>
      </c>
      <c r="J5960">
        <v>5</v>
      </c>
      <c r="K5960">
        <v>16</v>
      </c>
      <c r="L5960">
        <v>8</v>
      </c>
      <c r="M5960">
        <v>1.879</v>
      </c>
    </row>
    <row r="5961" spans="1:13" ht="15" customHeight="1">
      <c r="A5961" t="s">
        <v>63</v>
      </c>
      <c r="B5961">
        <f t="shared" si="370"/>
        <v>33.699714</v>
      </c>
      <c r="C5961">
        <f t="shared" si="371"/>
        <v>-117.85802200000001</v>
      </c>
      <c r="D5961">
        <f t="shared" si="372"/>
        <v>41</v>
      </c>
      <c r="E5961">
        <v>72.498999999999995</v>
      </c>
      <c r="F5961">
        <f t="shared" si="373"/>
        <v>-31.498999999999995</v>
      </c>
      <c r="G5961">
        <v>36.442999999999998</v>
      </c>
      <c r="H5961">
        <v>0.90900000000000003</v>
      </c>
      <c r="I5961">
        <v>2.4990000000000001</v>
      </c>
      <c r="J5961">
        <v>6</v>
      </c>
      <c r="K5961">
        <v>14</v>
      </c>
      <c r="L5961">
        <v>7</v>
      </c>
      <c r="M5961">
        <v>2.1230000000000002</v>
      </c>
    </row>
    <row r="5962" spans="1:13" ht="15" customHeight="1">
      <c r="A5962" t="s">
        <v>63</v>
      </c>
      <c r="B5962">
        <f t="shared" si="370"/>
        <v>33.699714</v>
      </c>
      <c r="C5962">
        <f t="shared" si="371"/>
        <v>-117.85802200000001</v>
      </c>
      <c r="D5962">
        <f t="shared" si="372"/>
        <v>41</v>
      </c>
      <c r="E5962">
        <v>73.498999999999995</v>
      </c>
      <c r="F5962">
        <f t="shared" si="373"/>
        <v>-32.498999999999995</v>
      </c>
      <c r="G5962">
        <v>36.799999999999997</v>
      </c>
      <c r="H5962">
        <v>1.095</v>
      </c>
      <c r="I5962">
        <v>2.98</v>
      </c>
      <c r="J5962">
        <v>5</v>
      </c>
      <c r="K5962">
        <v>18</v>
      </c>
      <c r="L5962">
        <v>9</v>
      </c>
      <c r="M5962">
        <v>2.145</v>
      </c>
    </row>
    <row r="5963" spans="1:13" ht="15" customHeight="1">
      <c r="A5963" t="s">
        <v>63</v>
      </c>
      <c r="B5963">
        <f t="shared" si="370"/>
        <v>33.699714</v>
      </c>
      <c r="C5963">
        <f t="shared" si="371"/>
        <v>-117.85802200000001</v>
      </c>
      <c r="D5963">
        <f t="shared" si="372"/>
        <v>41</v>
      </c>
      <c r="E5963">
        <v>74.498999999999995</v>
      </c>
      <c r="F5963">
        <f t="shared" si="373"/>
        <v>-33.498999999999995</v>
      </c>
      <c r="G5963">
        <v>76.5</v>
      </c>
      <c r="H5963">
        <v>2.173</v>
      </c>
      <c r="I5963">
        <v>2.843</v>
      </c>
      <c r="J5963">
        <v>6</v>
      </c>
      <c r="K5963">
        <v>29</v>
      </c>
      <c r="L5963">
        <v>15</v>
      </c>
      <c r="M5963">
        <v>4.7859999999999996</v>
      </c>
    </row>
    <row r="5964" spans="1:13" ht="15" customHeight="1">
      <c r="A5964" t="s">
        <v>63</v>
      </c>
      <c r="B5964">
        <f t="shared" si="370"/>
        <v>33.699714</v>
      </c>
      <c r="C5964">
        <f t="shared" si="371"/>
        <v>-117.85802200000001</v>
      </c>
      <c r="D5964">
        <f t="shared" si="372"/>
        <v>41</v>
      </c>
      <c r="E5964">
        <v>75.498999999999995</v>
      </c>
      <c r="F5964">
        <f t="shared" si="373"/>
        <v>-34.498999999999995</v>
      </c>
      <c r="G5964">
        <v>48.517000000000003</v>
      </c>
      <c r="H5964">
        <v>2.097</v>
      </c>
      <c r="I5964">
        <v>4.327</v>
      </c>
      <c r="J5964">
        <v>4</v>
      </c>
      <c r="K5964">
        <v>31</v>
      </c>
      <c r="L5964">
        <v>16</v>
      </c>
      <c r="M5964">
        <v>2.9159999999999999</v>
      </c>
    </row>
    <row r="5965" spans="1:13" ht="15" customHeight="1">
      <c r="A5965" t="s">
        <v>63</v>
      </c>
      <c r="B5965">
        <f t="shared" si="370"/>
        <v>33.699714</v>
      </c>
      <c r="C5965">
        <f t="shared" si="371"/>
        <v>-117.85802200000001</v>
      </c>
      <c r="D5965">
        <f t="shared" si="372"/>
        <v>41</v>
      </c>
      <c r="E5965">
        <v>76.498999999999995</v>
      </c>
      <c r="F5965">
        <f t="shared" si="373"/>
        <v>-35.498999999999995</v>
      </c>
      <c r="G5965">
        <v>36.466999999999999</v>
      </c>
      <c r="H5965">
        <v>1.34</v>
      </c>
      <c r="I5965">
        <v>3.6749999999999998</v>
      </c>
      <c r="J5965">
        <v>5</v>
      </c>
      <c r="K5965">
        <v>17</v>
      </c>
      <c r="L5965">
        <v>9</v>
      </c>
      <c r="M5965">
        <v>2.113</v>
      </c>
    </row>
    <row r="5966" spans="1:13" ht="15" customHeight="1">
      <c r="A5966" t="s">
        <v>63</v>
      </c>
      <c r="B5966">
        <f t="shared" si="370"/>
        <v>33.699714</v>
      </c>
      <c r="C5966">
        <f t="shared" si="371"/>
        <v>-117.85802200000001</v>
      </c>
      <c r="D5966">
        <f t="shared" si="372"/>
        <v>41</v>
      </c>
      <c r="E5966">
        <v>77.498999999999995</v>
      </c>
      <c r="F5966">
        <f t="shared" si="373"/>
        <v>-36.498999999999995</v>
      </c>
      <c r="G5966">
        <v>31.183</v>
      </c>
      <c r="H5966">
        <v>0.94699999999999995</v>
      </c>
      <c r="I5966">
        <v>3.0369999999999999</v>
      </c>
      <c r="J5966">
        <v>5</v>
      </c>
      <c r="K5966">
        <v>15</v>
      </c>
      <c r="L5966">
        <v>8</v>
      </c>
      <c r="M5966">
        <v>1.756</v>
      </c>
    </row>
    <row r="5967" spans="1:13" ht="15" customHeight="1">
      <c r="A5967" t="s">
        <v>63</v>
      </c>
      <c r="B5967">
        <f t="shared" si="370"/>
        <v>33.699714</v>
      </c>
      <c r="C5967">
        <f t="shared" si="371"/>
        <v>-117.85802200000001</v>
      </c>
      <c r="D5967">
        <f t="shared" si="372"/>
        <v>41</v>
      </c>
      <c r="E5967">
        <v>78.498999999999995</v>
      </c>
      <c r="F5967">
        <f t="shared" si="373"/>
        <v>-37.498999999999995</v>
      </c>
      <c r="G5967">
        <v>47.85</v>
      </c>
      <c r="H5967">
        <v>1.3620000000000001</v>
      </c>
      <c r="I5967">
        <v>2.8460000000000001</v>
      </c>
      <c r="J5967">
        <v>6</v>
      </c>
      <c r="K5967">
        <v>18</v>
      </c>
      <c r="L5967">
        <v>9</v>
      </c>
      <c r="M5967">
        <v>2.8639999999999999</v>
      </c>
    </row>
    <row r="5968" spans="1:13" ht="15" customHeight="1">
      <c r="A5968" t="s">
        <v>63</v>
      </c>
      <c r="B5968">
        <f t="shared" si="370"/>
        <v>33.699714</v>
      </c>
      <c r="C5968">
        <f t="shared" si="371"/>
        <v>-117.85802200000001</v>
      </c>
      <c r="D5968">
        <f t="shared" si="372"/>
        <v>41</v>
      </c>
      <c r="E5968">
        <v>79.498999999999995</v>
      </c>
      <c r="F5968">
        <f t="shared" si="373"/>
        <v>-38.498999999999995</v>
      </c>
      <c r="G5968">
        <v>180.63300000000001</v>
      </c>
      <c r="H5968">
        <v>3.2879999999999998</v>
      </c>
      <c r="I5968">
        <v>1.821</v>
      </c>
      <c r="J5968">
        <v>8</v>
      </c>
      <c r="K5968">
        <v>43</v>
      </c>
      <c r="L5968">
        <v>22</v>
      </c>
      <c r="M5968" s="1">
        <v>9000000000</v>
      </c>
    </row>
    <row r="5969" spans="1:13" ht="15" customHeight="1">
      <c r="A5969" t="s">
        <v>63</v>
      </c>
      <c r="B5969">
        <f t="shared" si="370"/>
        <v>33.699714</v>
      </c>
      <c r="C5969">
        <f t="shared" si="371"/>
        <v>-117.85802200000001</v>
      </c>
      <c r="D5969">
        <f t="shared" si="372"/>
        <v>41</v>
      </c>
      <c r="E5969">
        <v>80.498999999999995</v>
      </c>
      <c r="F5969">
        <f t="shared" si="373"/>
        <v>-39.498999999999995</v>
      </c>
      <c r="G5969">
        <v>382.767</v>
      </c>
      <c r="H5969">
        <v>2.3679999999999999</v>
      </c>
      <c r="I5969">
        <v>0.61899999999999999</v>
      </c>
      <c r="J5969">
        <v>10</v>
      </c>
      <c r="K5969">
        <v>61</v>
      </c>
      <c r="L5969">
        <v>31</v>
      </c>
      <c r="M5969" s="1">
        <v>9000000000</v>
      </c>
    </row>
    <row r="5970" spans="1:13" ht="15" customHeight="1">
      <c r="A5970" t="s">
        <v>63</v>
      </c>
      <c r="B5970">
        <f t="shared" si="370"/>
        <v>33.699714</v>
      </c>
      <c r="C5970">
        <f t="shared" si="371"/>
        <v>-117.85802200000001</v>
      </c>
      <c r="D5970">
        <f t="shared" si="372"/>
        <v>41</v>
      </c>
      <c r="E5970">
        <v>81.498999999999995</v>
      </c>
      <c r="F5970">
        <f t="shared" si="373"/>
        <v>-40.498999999999995</v>
      </c>
      <c r="G5970">
        <v>343.13299999999998</v>
      </c>
      <c r="H5970">
        <v>2.673</v>
      </c>
      <c r="I5970">
        <v>0.77900000000000003</v>
      </c>
      <c r="J5970">
        <v>10</v>
      </c>
      <c r="K5970">
        <v>55</v>
      </c>
      <c r="L5970">
        <v>28</v>
      </c>
      <c r="M5970" s="1">
        <v>9000000000</v>
      </c>
    </row>
    <row r="5971" spans="1:13" ht="15" customHeight="1">
      <c r="A5971" t="s">
        <v>63</v>
      </c>
      <c r="B5971">
        <f t="shared" si="370"/>
        <v>33.699714</v>
      </c>
      <c r="C5971">
        <f t="shared" si="371"/>
        <v>-117.85802200000001</v>
      </c>
      <c r="D5971">
        <f t="shared" si="372"/>
        <v>41</v>
      </c>
      <c r="E5971">
        <v>82.498999999999995</v>
      </c>
      <c r="F5971">
        <f t="shared" si="373"/>
        <v>-41.498999999999995</v>
      </c>
      <c r="G5971">
        <v>360.81700000000001</v>
      </c>
      <c r="H5971">
        <v>2.157</v>
      </c>
      <c r="I5971">
        <v>0.59799999999999998</v>
      </c>
      <c r="J5971">
        <v>10</v>
      </c>
      <c r="K5971">
        <v>58</v>
      </c>
      <c r="L5971">
        <v>29</v>
      </c>
      <c r="M5971" s="1">
        <v>9000000000</v>
      </c>
    </row>
    <row r="5972" spans="1:13" ht="15" customHeight="1">
      <c r="A5972" t="s">
        <v>63</v>
      </c>
      <c r="B5972">
        <f t="shared" si="370"/>
        <v>33.699714</v>
      </c>
      <c r="C5972">
        <f t="shared" si="371"/>
        <v>-117.85802200000001</v>
      </c>
      <c r="D5972">
        <f t="shared" si="372"/>
        <v>41</v>
      </c>
      <c r="E5972">
        <v>83.498999999999995</v>
      </c>
      <c r="F5972">
        <f t="shared" si="373"/>
        <v>-42.498999999999995</v>
      </c>
      <c r="G5972">
        <v>419.971</v>
      </c>
      <c r="H5972">
        <v>3.1139999999999999</v>
      </c>
      <c r="I5972">
        <v>0.74099999999999999</v>
      </c>
      <c r="J5972">
        <v>10</v>
      </c>
      <c r="K5972">
        <v>67</v>
      </c>
      <c r="L5972">
        <v>34</v>
      </c>
      <c r="M5972" s="1">
        <v>9000000000</v>
      </c>
    </row>
    <row r="5973" spans="1:13" ht="15" customHeight="1">
      <c r="A5973" t="s">
        <v>63</v>
      </c>
      <c r="B5973">
        <f t="shared" si="370"/>
        <v>33.699714</v>
      </c>
      <c r="C5973">
        <f t="shared" si="371"/>
        <v>-117.85802200000001</v>
      </c>
      <c r="D5973">
        <f t="shared" si="372"/>
        <v>41</v>
      </c>
      <c r="E5973">
        <v>84.498999999999995</v>
      </c>
      <c r="F5973">
        <f t="shared" si="373"/>
        <v>-43.498999999999995</v>
      </c>
      <c r="G5973">
        <v>316.16699999999997</v>
      </c>
      <c r="H5973">
        <v>2.0920000000000001</v>
      </c>
      <c r="I5973">
        <v>0.66100000000000003</v>
      </c>
      <c r="J5973">
        <v>10</v>
      </c>
      <c r="K5973">
        <v>51</v>
      </c>
      <c r="L5973">
        <v>26</v>
      </c>
      <c r="M5973" s="1">
        <v>9000000000</v>
      </c>
    </row>
    <row r="5974" spans="1:13" ht="15" customHeight="1">
      <c r="A5974" t="s">
        <v>63</v>
      </c>
      <c r="B5974">
        <f t="shared" si="370"/>
        <v>33.699714</v>
      </c>
      <c r="C5974">
        <f t="shared" si="371"/>
        <v>-117.85802200000001</v>
      </c>
      <c r="D5974">
        <f t="shared" si="372"/>
        <v>41</v>
      </c>
      <c r="E5974">
        <v>85.498999999999995</v>
      </c>
      <c r="F5974">
        <f t="shared" si="373"/>
        <v>-44.498999999999995</v>
      </c>
      <c r="G5974">
        <v>295.7</v>
      </c>
      <c r="H5974">
        <v>2.85</v>
      </c>
      <c r="I5974">
        <v>0.96299999999999997</v>
      </c>
      <c r="J5974">
        <v>9</v>
      </c>
      <c r="K5974">
        <v>57</v>
      </c>
      <c r="L5974">
        <v>29</v>
      </c>
      <c r="M5974" s="1">
        <v>9000000000</v>
      </c>
    </row>
    <row r="5975" spans="1:13" ht="15" customHeight="1">
      <c r="A5975" t="s">
        <v>64</v>
      </c>
      <c r="B5975">
        <f t="shared" si="370"/>
        <v>33.695891000000003</v>
      </c>
      <c r="C5975">
        <f t="shared" si="371"/>
        <v>-117.861468</v>
      </c>
      <c r="D5975">
        <f t="shared" si="372"/>
        <v>37</v>
      </c>
      <c r="E5975">
        <v>0.5</v>
      </c>
      <c r="F5975">
        <f t="shared" si="373"/>
        <v>36.5</v>
      </c>
      <c r="G5975">
        <v>5.3</v>
      </c>
      <c r="H5975">
        <v>4.2000000000000003E-2</v>
      </c>
      <c r="I5975">
        <v>0.78400000000000003</v>
      </c>
      <c r="J5975">
        <v>1</v>
      </c>
      <c r="K5975">
        <v>3</v>
      </c>
      <c r="L5975">
        <v>5</v>
      </c>
      <c r="M5975">
        <v>0.35299999999999998</v>
      </c>
    </row>
    <row r="5976" spans="1:13" ht="15" customHeight="1">
      <c r="A5976" t="s">
        <v>64</v>
      </c>
      <c r="B5976">
        <f t="shared" si="370"/>
        <v>33.695891000000003</v>
      </c>
      <c r="C5976">
        <f t="shared" si="371"/>
        <v>-117.861468</v>
      </c>
      <c r="D5976">
        <f t="shared" si="372"/>
        <v>37</v>
      </c>
      <c r="E5976">
        <v>1.5</v>
      </c>
      <c r="F5976">
        <f t="shared" si="373"/>
        <v>35.5</v>
      </c>
      <c r="G5976">
        <v>42.6</v>
      </c>
      <c r="H5976">
        <v>1.23</v>
      </c>
      <c r="I5976">
        <v>2.883</v>
      </c>
      <c r="J5976">
        <v>6</v>
      </c>
      <c r="K5976">
        <v>16</v>
      </c>
      <c r="L5976">
        <v>24</v>
      </c>
      <c r="M5976">
        <v>2.839</v>
      </c>
    </row>
    <row r="5977" spans="1:13" ht="15" customHeight="1">
      <c r="A5977" t="s">
        <v>64</v>
      </c>
      <c r="B5977">
        <f t="shared" si="370"/>
        <v>33.695891000000003</v>
      </c>
      <c r="C5977">
        <f t="shared" si="371"/>
        <v>-117.861468</v>
      </c>
      <c r="D5977">
        <f t="shared" si="372"/>
        <v>37</v>
      </c>
      <c r="E5977">
        <v>2.5</v>
      </c>
      <c r="F5977">
        <f t="shared" si="373"/>
        <v>34.5</v>
      </c>
      <c r="G5977">
        <v>12.4</v>
      </c>
      <c r="H5977">
        <v>0.66700000000000004</v>
      </c>
      <c r="I5977">
        <v>5.3259999999999996</v>
      </c>
      <c r="J5977">
        <v>3</v>
      </c>
      <c r="K5977">
        <v>12</v>
      </c>
      <c r="L5977">
        <v>18</v>
      </c>
      <c r="M5977">
        <v>0.82499999999999996</v>
      </c>
    </row>
    <row r="5978" spans="1:13" ht="15" customHeight="1">
      <c r="A5978" t="s">
        <v>64</v>
      </c>
      <c r="B5978">
        <f t="shared" si="370"/>
        <v>33.695891000000003</v>
      </c>
      <c r="C5978">
        <f t="shared" si="371"/>
        <v>-117.861468</v>
      </c>
      <c r="D5978">
        <f t="shared" si="372"/>
        <v>37</v>
      </c>
      <c r="E5978">
        <v>3.5</v>
      </c>
      <c r="F5978">
        <f t="shared" si="373"/>
        <v>33.5</v>
      </c>
      <c r="G5978">
        <v>11.1</v>
      </c>
      <c r="H5978">
        <v>0.442</v>
      </c>
      <c r="I5978">
        <v>3.9910000000000001</v>
      </c>
      <c r="J5978">
        <v>3</v>
      </c>
      <c r="K5978">
        <v>11</v>
      </c>
      <c r="L5978">
        <v>17</v>
      </c>
      <c r="M5978">
        <v>0.72399999999999998</v>
      </c>
    </row>
    <row r="5979" spans="1:13" ht="15" customHeight="1">
      <c r="A5979" t="s">
        <v>64</v>
      </c>
      <c r="B5979">
        <f t="shared" si="370"/>
        <v>33.695891000000003</v>
      </c>
      <c r="C5979">
        <f t="shared" si="371"/>
        <v>-117.861468</v>
      </c>
      <c r="D5979">
        <f t="shared" si="372"/>
        <v>37</v>
      </c>
      <c r="E5979">
        <v>4.5</v>
      </c>
      <c r="F5979">
        <f t="shared" si="373"/>
        <v>32.5</v>
      </c>
      <c r="G5979">
        <v>8.1829999999999998</v>
      </c>
      <c r="H5979">
        <v>0.36</v>
      </c>
      <c r="I5979">
        <v>4.399</v>
      </c>
      <c r="J5979">
        <v>3</v>
      </c>
      <c r="K5979">
        <v>8</v>
      </c>
      <c r="L5979">
        <v>12</v>
      </c>
      <c r="M5979">
        <v>0.52700000000000002</v>
      </c>
    </row>
    <row r="5980" spans="1:13" ht="15" customHeight="1">
      <c r="A5980" t="s">
        <v>64</v>
      </c>
      <c r="B5980">
        <f t="shared" si="370"/>
        <v>33.695891000000003</v>
      </c>
      <c r="C5980">
        <f t="shared" si="371"/>
        <v>-117.861468</v>
      </c>
      <c r="D5980">
        <f t="shared" si="372"/>
        <v>37</v>
      </c>
      <c r="E5980">
        <v>5.5</v>
      </c>
      <c r="F5980">
        <f t="shared" si="373"/>
        <v>31.5</v>
      </c>
      <c r="G5980">
        <v>10.532999999999999</v>
      </c>
      <c r="H5980">
        <v>0.38800000000000001</v>
      </c>
      <c r="I5980">
        <v>3.681</v>
      </c>
      <c r="J5980">
        <v>3</v>
      </c>
      <c r="K5980">
        <v>10</v>
      </c>
      <c r="L5980">
        <v>15</v>
      </c>
      <c r="M5980">
        <v>0.68100000000000005</v>
      </c>
    </row>
    <row r="5981" spans="1:13" ht="15" customHeight="1">
      <c r="A5981" t="s">
        <v>64</v>
      </c>
      <c r="B5981">
        <f t="shared" si="370"/>
        <v>33.695891000000003</v>
      </c>
      <c r="C5981">
        <f t="shared" si="371"/>
        <v>-117.861468</v>
      </c>
      <c r="D5981">
        <f t="shared" si="372"/>
        <v>37</v>
      </c>
      <c r="E5981">
        <v>6.5</v>
      </c>
      <c r="F5981">
        <f t="shared" si="373"/>
        <v>30.5</v>
      </c>
      <c r="G5981">
        <v>11.933</v>
      </c>
      <c r="H5981">
        <v>0.36799999999999999</v>
      </c>
      <c r="I5981">
        <v>3.0819999999999999</v>
      </c>
      <c r="J5981">
        <v>4</v>
      </c>
      <c r="K5981">
        <v>8</v>
      </c>
      <c r="L5981">
        <v>12</v>
      </c>
      <c r="M5981">
        <v>0.77</v>
      </c>
    </row>
    <row r="5982" spans="1:13" ht="15" customHeight="1">
      <c r="A5982" t="s">
        <v>64</v>
      </c>
      <c r="B5982">
        <f t="shared" si="370"/>
        <v>33.695891000000003</v>
      </c>
      <c r="C5982">
        <f t="shared" si="371"/>
        <v>-117.861468</v>
      </c>
      <c r="D5982">
        <f t="shared" si="372"/>
        <v>37</v>
      </c>
      <c r="E5982">
        <v>7.5</v>
      </c>
      <c r="F5982">
        <f t="shared" si="373"/>
        <v>29.5</v>
      </c>
      <c r="G5982">
        <v>11.967000000000001</v>
      </c>
      <c r="H5982">
        <v>0.44500000000000001</v>
      </c>
      <c r="I5982">
        <v>3.7080000000000002</v>
      </c>
      <c r="J5982">
        <v>3</v>
      </c>
      <c r="K5982">
        <v>11</v>
      </c>
      <c r="L5982">
        <v>17</v>
      </c>
      <c r="M5982">
        <v>0.77</v>
      </c>
    </row>
    <row r="5983" spans="1:13" ht="15" customHeight="1">
      <c r="A5983" t="s">
        <v>64</v>
      </c>
      <c r="B5983">
        <f t="shared" si="370"/>
        <v>33.695891000000003</v>
      </c>
      <c r="C5983">
        <f t="shared" si="371"/>
        <v>-117.861468</v>
      </c>
      <c r="D5983">
        <f t="shared" si="372"/>
        <v>37</v>
      </c>
      <c r="E5983">
        <v>8.5</v>
      </c>
      <c r="F5983">
        <f t="shared" si="373"/>
        <v>28.5</v>
      </c>
      <c r="G5983">
        <v>11.05</v>
      </c>
      <c r="H5983">
        <v>0.438</v>
      </c>
      <c r="I5983">
        <v>3.9430000000000001</v>
      </c>
      <c r="J5983">
        <v>3</v>
      </c>
      <c r="K5983">
        <v>11</v>
      </c>
      <c r="L5983">
        <v>17</v>
      </c>
      <c r="M5983">
        <v>0.70699999999999996</v>
      </c>
    </row>
    <row r="5984" spans="1:13" ht="15" customHeight="1">
      <c r="A5984" t="s">
        <v>64</v>
      </c>
      <c r="B5984">
        <f t="shared" si="370"/>
        <v>33.695891000000003</v>
      </c>
      <c r="C5984">
        <f t="shared" si="371"/>
        <v>-117.861468</v>
      </c>
      <c r="D5984">
        <f t="shared" si="372"/>
        <v>37</v>
      </c>
      <c r="E5984">
        <v>9.5</v>
      </c>
      <c r="F5984">
        <f t="shared" si="373"/>
        <v>27.5</v>
      </c>
      <c r="G5984">
        <v>11.233000000000001</v>
      </c>
      <c r="H5984">
        <v>0.52200000000000002</v>
      </c>
      <c r="I5984">
        <v>4.617</v>
      </c>
      <c r="J5984">
        <v>3</v>
      </c>
      <c r="K5984">
        <v>11</v>
      </c>
      <c r="L5984">
        <v>17</v>
      </c>
      <c r="M5984">
        <v>0.71499999999999997</v>
      </c>
    </row>
    <row r="5985" spans="1:13" ht="15" customHeight="1">
      <c r="A5985" t="s">
        <v>64</v>
      </c>
      <c r="B5985">
        <f t="shared" si="370"/>
        <v>33.695891000000003</v>
      </c>
      <c r="C5985">
        <f t="shared" si="371"/>
        <v>-117.861468</v>
      </c>
      <c r="D5985">
        <f t="shared" si="372"/>
        <v>37</v>
      </c>
      <c r="E5985">
        <v>10.5</v>
      </c>
      <c r="F5985">
        <f t="shared" si="373"/>
        <v>26.5</v>
      </c>
      <c r="G5985">
        <v>10.329000000000001</v>
      </c>
      <c r="H5985">
        <v>0.44900000000000001</v>
      </c>
      <c r="I5985">
        <v>4.3070000000000004</v>
      </c>
      <c r="J5985">
        <v>3</v>
      </c>
      <c r="K5985">
        <v>10</v>
      </c>
      <c r="L5985">
        <v>14</v>
      </c>
      <c r="M5985">
        <v>0.65100000000000002</v>
      </c>
    </row>
    <row r="5986" spans="1:13" ht="15" customHeight="1">
      <c r="A5986" t="s">
        <v>64</v>
      </c>
      <c r="B5986">
        <f t="shared" si="370"/>
        <v>33.695891000000003</v>
      </c>
      <c r="C5986">
        <f t="shared" si="371"/>
        <v>-117.861468</v>
      </c>
      <c r="D5986">
        <f t="shared" si="372"/>
        <v>37</v>
      </c>
      <c r="E5986">
        <v>11.5</v>
      </c>
      <c r="F5986">
        <f t="shared" si="373"/>
        <v>25.5</v>
      </c>
      <c r="G5986">
        <v>8.3829999999999991</v>
      </c>
      <c r="H5986">
        <v>0.39</v>
      </c>
      <c r="I5986">
        <v>4.5880000000000001</v>
      </c>
      <c r="J5986">
        <v>3</v>
      </c>
      <c r="K5986">
        <v>8</v>
      </c>
      <c r="L5986">
        <v>10</v>
      </c>
      <c r="M5986">
        <v>0.52</v>
      </c>
    </row>
    <row r="5987" spans="1:13" ht="15" customHeight="1">
      <c r="A5987" t="s">
        <v>64</v>
      </c>
      <c r="B5987">
        <f t="shared" si="370"/>
        <v>33.695891000000003</v>
      </c>
      <c r="C5987">
        <f t="shared" si="371"/>
        <v>-117.861468</v>
      </c>
      <c r="D5987">
        <f t="shared" si="372"/>
        <v>37</v>
      </c>
      <c r="E5987">
        <v>12.5</v>
      </c>
      <c r="F5987">
        <f t="shared" si="373"/>
        <v>24.5</v>
      </c>
      <c r="G5987">
        <v>11.1</v>
      </c>
      <c r="H5987">
        <v>0.433</v>
      </c>
      <c r="I5987">
        <v>3.8519999999999999</v>
      </c>
      <c r="J5987">
        <v>3</v>
      </c>
      <c r="K5987">
        <v>11</v>
      </c>
      <c r="L5987">
        <v>14</v>
      </c>
      <c r="M5987">
        <v>0.69899999999999995</v>
      </c>
    </row>
    <row r="5988" spans="1:13" ht="15" customHeight="1">
      <c r="A5988" t="s">
        <v>64</v>
      </c>
      <c r="B5988">
        <f t="shared" si="370"/>
        <v>33.695891000000003</v>
      </c>
      <c r="C5988">
        <f t="shared" si="371"/>
        <v>-117.861468</v>
      </c>
      <c r="D5988">
        <f t="shared" si="372"/>
        <v>37</v>
      </c>
      <c r="E5988">
        <v>13.5</v>
      </c>
      <c r="F5988">
        <f t="shared" si="373"/>
        <v>23.5</v>
      </c>
      <c r="G5988">
        <v>6.5830000000000002</v>
      </c>
      <c r="H5988">
        <v>0.27</v>
      </c>
      <c r="I5988">
        <v>4.0199999999999996</v>
      </c>
      <c r="J5988">
        <v>3</v>
      </c>
      <c r="K5988">
        <v>6</v>
      </c>
      <c r="L5988">
        <v>7</v>
      </c>
      <c r="M5988">
        <v>0.39300000000000002</v>
      </c>
    </row>
    <row r="5989" spans="1:13" ht="15" customHeight="1">
      <c r="A5989" t="s">
        <v>64</v>
      </c>
      <c r="B5989">
        <f t="shared" si="370"/>
        <v>33.695891000000003</v>
      </c>
      <c r="C5989">
        <f t="shared" si="371"/>
        <v>-117.861468</v>
      </c>
      <c r="D5989">
        <f t="shared" si="372"/>
        <v>37</v>
      </c>
      <c r="E5989">
        <v>14.5</v>
      </c>
      <c r="F5989">
        <f t="shared" si="373"/>
        <v>22.5</v>
      </c>
      <c r="G5989">
        <v>8.5329999999999995</v>
      </c>
      <c r="H5989">
        <v>0.34799999999999998</v>
      </c>
      <c r="I5989">
        <v>4.0270000000000001</v>
      </c>
      <c r="J5989">
        <v>3</v>
      </c>
      <c r="K5989">
        <v>8</v>
      </c>
      <c r="L5989">
        <v>9</v>
      </c>
      <c r="M5989">
        <v>0.51800000000000002</v>
      </c>
    </row>
    <row r="5990" spans="1:13" ht="15" customHeight="1">
      <c r="A5990" t="s">
        <v>64</v>
      </c>
      <c r="B5990">
        <f t="shared" si="370"/>
        <v>33.695891000000003</v>
      </c>
      <c r="C5990">
        <f t="shared" si="371"/>
        <v>-117.861468</v>
      </c>
      <c r="D5990">
        <f t="shared" si="372"/>
        <v>37</v>
      </c>
      <c r="E5990">
        <v>15.5</v>
      </c>
      <c r="F5990">
        <f t="shared" si="373"/>
        <v>21.5</v>
      </c>
      <c r="G5990">
        <v>10.050000000000001</v>
      </c>
      <c r="H5990">
        <v>0.442</v>
      </c>
      <c r="I5990">
        <v>4.3440000000000003</v>
      </c>
      <c r="J5990">
        <v>3</v>
      </c>
      <c r="K5990">
        <v>10</v>
      </c>
      <c r="L5990">
        <v>10</v>
      </c>
      <c r="M5990">
        <v>0.61499999999999999</v>
      </c>
    </row>
    <row r="5991" spans="1:13" ht="15" customHeight="1">
      <c r="A5991" t="s">
        <v>64</v>
      </c>
      <c r="B5991">
        <f t="shared" si="370"/>
        <v>33.695891000000003</v>
      </c>
      <c r="C5991">
        <f t="shared" si="371"/>
        <v>-117.861468</v>
      </c>
      <c r="D5991">
        <f t="shared" si="372"/>
        <v>37</v>
      </c>
      <c r="E5991">
        <v>16.5</v>
      </c>
      <c r="F5991">
        <f t="shared" si="373"/>
        <v>20.5</v>
      </c>
      <c r="G5991">
        <v>11.183</v>
      </c>
      <c r="H5991">
        <v>0.45500000000000002</v>
      </c>
      <c r="I5991">
        <v>4.0270000000000001</v>
      </c>
      <c r="J5991">
        <v>3</v>
      </c>
      <c r="K5991">
        <v>11</v>
      </c>
      <c r="L5991">
        <v>11</v>
      </c>
      <c r="M5991">
        <v>0.68600000000000005</v>
      </c>
    </row>
    <row r="5992" spans="1:13" ht="15" customHeight="1">
      <c r="A5992" t="s">
        <v>64</v>
      </c>
      <c r="B5992">
        <f t="shared" si="370"/>
        <v>33.695891000000003</v>
      </c>
      <c r="C5992">
        <f t="shared" si="371"/>
        <v>-117.861468</v>
      </c>
      <c r="D5992">
        <f t="shared" si="372"/>
        <v>37</v>
      </c>
      <c r="E5992">
        <v>17.5</v>
      </c>
      <c r="F5992">
        <f t="shared" si="373"/>
        <v>19.5</v>
      </c>
      <c r="G5992">
        <v>15.167</v>
      </c>
      <c r="H5992">
        <v>0.72799999999999998</v>
      </c>
      <c r="I5992">
        <v>4.7709999999999999</v>
      </c>
      <c r="J5992">
        <v>3</v>
      </c>
      <c r="K5992">
        <v>15</v>
      </c>
      <c r="L5992">
        <v>14</v>
      </c>
      <c r="M5992">
        <v>0.94599999999999995</v>
      </c>
    </row>
    <row r="5993" spans="1:13" ht="15" customHeight="1">
      <c r="A5993" t="s">
        <v>64</v>
      </c>
      <c r="B5993">
        <f t="shared" si="370"/>
        <v>33.695891000000003</v>
      </c>
      <c r="C5993">
        <f t="shared" si="371"/>
        <v>-117.861468</v>
      </c>
      <c r="D5993">
        <f t="shared" si="372"/>
        <v>37</v>
      </c>
      <c r="E5993">
        <v>18.5</v>
      </c>
      <c r="F5993">
        <f t="shared" si="373"/>
        <v>18.5</v>
      </c>
      <c r="G5993">
        <v>15.65</v>
      </c>
      <c r="H5993">
        <v>0.45500000000000002</v>
      </c>
      <c r="I5993">
        <v>2.895</v>
      </c>
      <c r="J5993">
        <v>5</v>
      </c>
      <c r="K5993">
        <v>8</v>
      </c>
      <c r="L5993">
        <v>7</v>
      </c>
      <c r="M5993">
        <v>0.97199999999999998</v>
      </c>
    </row>
    <row r="5994" spans="1:13" ht="15" customHeight="1">
      <c r="A5994" t="s">
        <v>64</v>
      </c>
      <c r="B5994">
        <f t="shared" si="370"/>
        <v>33.695891000000003</v>
      </c>
      <c r="C5994">
        <f t="shared" si="371"/>
        <v>-117.861468</v>
      </c>
      <c r="D5994">
        <f t="shared" si="372"/>
        <v>37</v>
      </c>
      <c r="E5994">
        <v>19.5</v>
      </c>
      <c r="F5994">
        <f t="shared" si="373"/>
        <v>17.5</v>
      </c>
      <c r="G5994">
        <v>30.167000000000002</v>
      </c>
      <c r="H5994">
        <v>0.97499999999999998</v>
      </c>
      <c r="I5994">
        <v>3.2250000000000001</v>
      </c>
      <c r="J5994">
        <v>5</v>
      </c>
      <c r="K5994">
        <v>14</v>
      </c>
      <c r="L5994">
        <v>12</v>
      </c>
      <c r="M5994">
        <v>1.9359999999999999</v>
      </c>
    </row>
    <row r="5995" spans="1:13" ht="15" customHeight="1">
      <c r="A5995" t="s">
        <v>64</v>
      </c>
      <c r="B5995">
        <f t="shared" si="370"/>
        <v>33.695891000000003</v>
      </c>
      <c r="C5995">
        <f t="shared" si="371"/>
        <v>-117.861468</v>
      </c>
      <c r="D5995">
        <f t="shared" si="372"/>
        <v>37</v>
      </c>
      <c r="E5995">
        <v>20.5</v>
      </c>
      <c r="F5995">
        <f t="shared" si="373"/>
        <v>16.5</v>
      </c>
      <c r="G5995">
        <v>45.7</v>
      </c>
      <c r="H5995">
        <v>1.927</v>
      </c>
      <c r="I5995">
        <v>4.2119999999999997</v>
      </c>
      <c r="J5995">
        <v>4</v>
      </c>
      <c r="K5995">
        <v>29</v>
      </c>
      <c r="L5995">
        <v>24</v>
      </c>
      <c r="M5995">
        <v>2.9670000000000001</v>
      </c>
    </row>
    <row r="5996" spans="1:13" ht="15" customHeight="1">
      <c r="A5996" t="s">
        <v>64</v>
      </c>
      <c r="B5996">
        <f t="shared" si="370"/>
        <v>33.695891000000003</v>
      </c>
      <c r="C5996">
        <f t="shared" si="371"/>
        <v>-117.861468</v>
      </c>
      <c r="D5996">
        <f t="shared" si="372"/>
        <v>37</v>
      </c>
      <c r="E5996">
        <v>21.5</v>
      </c>
      <c r="F5996">
        <f t="shared" si="373"/>
        <v>15.5</v>
      </c>
      <c r="G5996">
        <v>50.15</v>
      </c>
      <c r="H5996">
        <v>2.6150000000000002</v>
      </c>
      <c r="I5996">
        <v>5.2210000000000001</v>
      </c>
      <c r="J5996">
        <v>3</v>
      </c>
      <c r="K5996">
        <v>48</v>
      </c>
      <c r="L5996">
        <v>39</v>
      </c>
      <c r="M5996">
        <v>3.2509999999999999</v>
      </c>
    </row>
    <row r="5997" spans="1:13" ht="15" customHeight="1">
      <c r="A5997" t="s">
        <v>64</v>
      </c>
      <c r="B5997">
        <f t="shared" si="370"/>
        <v>33.695891000000003</v>
      </c>
      <c r="C5997">
        <f t="shared" si="371"/>
        <v>-117.861468</v>
      </c>
      <c r="D5997">
        <f t="shared" si="372"/>
        <v>37</v>
      </c>
      <c r="E5997">
        <v>22.5</v>
      </c>
      <c r="F5997">
        <f t="shared" si="373"/>
        <v>14.5</v>
      </c>
      <c r="G5997">
        <v>26.167000000000002</v>
      </c>
      <c r="H5997">
        <v>1.5029999999999999</v>
      </c>
      <c r="I5997">
        <v>5.7640000000000002</v>
      </c>
      <c r="J5997">
        <v>3</v>
      </c>
      <c r="K5997">
        <v>25</v>
      </c>
      <c r="L5997">
        <v>20</v>
      </c>
      <c r="M5997">
        <v>1.647</v>
      </c>
    </row>
    <row r="5998" spans="1:13" ht="15" customHeight="1">
      <c r="A5998" t="s">
        <v>64</v>
      </c>
      <c r="B5998">
        <f t="shared" si="370"/>
        <v>33.695891000000003</v>
      </c>
      <c r="C5998">
        <f t="shared" si="371"/>
        <v>-117.861468</v>
      </c>
      <c r="D5998">
        <f t="shared" si="372"/>
        <v>37</v>
      </c>
      <c r="E5998">
        <v>23.5</v>
      </c>
      <c r="F5998">
        <f t="shared" si="373"/>
        <v>13.5</v>
      </c>
      <c r="G5998">
        <v>34.167000000000002</v>
      </c>
      <c r="H5998">
        <v>1.6819999999999999</v>
      </c>
      <c r="I5998">
        <v>4.9359999999999999</v>
      </c>
      <c r="J5998">
        <v>3</v>
      </c>
      <c r="K5998">
        <v>33</v>
      </c>
      <c r="L5998">
        <v>25</v>
      </c>
      <c r="M5998">
        <v>2.1749999999999998</v>
      </c>
    </row>
    <row r="5999" spans="1:13" ht="15" customHeight="1">
      <c r="A5999" t="s">
        <v>64</v>
      </c>
      <c r="B5999">
        <f t="shared" si="370"/>
        <v>33.695891000000003</v>
      </c>
      <c r="C5999">
        <f t="shared" si="371"/>
        <v>-117.861468</v>
      </c>
      <c r="D5999">
        <f t="shared" si="372"/>
        <v>37</v>
      </c>
      <c r="E5999">
        <v>24.5</v>
      </c>
      <c r="F5999">
        <f t="shared" si="373"/>
        <v>12.5</v>
      </c>
      <c r="G5999">
        <v>22.367000000000001</v>
      </c>
      <c r="H5999">
        <v>0.878</v>
      </c>
      <c r="I5999">
        <v>3.9449999999999998</v>
      </c>
      <c r="J5999">
        <v>4</v>
      </c>
      <c r="K5999">
        <v>14</v>
      </c>
      <c r="L5999">
        <v>10</v>
      </c>
      <c r="M5999">
        <v>1.3839999999999999</v>
      </c>
    </row>
    <row r="6000" spans="1:13" ht="15" customHeight="1">
      <c r="A6000" t="s">
        <v>64</v>
      </c>
      <c r="B6000">
        <f t="shared" si="370"/>
        <v>33.695891000000003</v>
      </c>
      <c r="C6000">
        <f t="shared" si="371"/>
        <v>-117.861468</v>
      </c>
      <c r="D6000">
        <f t="shared" si="372"/>
        <v>37</v>
      </c>
      <c r="E6000">
        <v>25.5</v>
      </c>
      <c r="F6000">
        <f t="shared" si="373"/>
        <v>11.5</v>
      </c>
      <c r="G6000">
        <v>48.133000000000003</v>
      </c>
      <c r="H6000">
        <v>1.8680000000000001</v>
      </c>
      <c r="I6000">
        <v>3.891</v>
      </c>
      <c r="J6000">
        <v>5</v>
      </c>
      <c r="K6000">
        <v>23</v>
      </c>
      <c r="L6000">
        <v>16</v>
      </c>
      <c r="M6000">
        <v>3.097</v>
      </c>
    </row>
    <row r="6001" spans="1:13" ht="15" customHeight="1">
      <c r="A6001" t="s">
        <v>64</v>
      </c>
      <c r="B6001">
        <f t="shared" si="370"/>
        <v>33.695891000000003</v>
      </c>
      <c r="C6001">
        <f t="shared" si="371"/>
        <v>-117.861468</v>
      </c>
      <c r="D6001">
        <f t="shared" si="372"/>
        <v>37</v>
      </c>
      <c r="E6001">
        <v>26.5</v>
      </c>
      <c r="F6001">
        <f t="shared" si="373"/>
        <v>10.5</v>
      </c>
      <c r="G6001">
        <v>65.8</v>
      </c>
      <c r="H6001">
        <v>2.6619999999999999</v>
      </c>
      <c r="I6001">
        <v>4.0529999999999999</v>
      </c>
      <c r="J6001">
        <v>5</v>
      </c>
      <c r="K6001">
        <v>31</v>
      </c>
      <c r="L6001">
        <v>22</v>
      </c>
      <c r="M6001">
        <v>4.2690000000000001</v>
      </c>
    </row>
    <row r="6002" spans="1:13" ht="15" customHeight="1">
      <c r="A6002" t="s">
        <v>64</v>
      </c>
      <c r="B6002">
        <f t="shared" si="370"/>
        <v>33.695891000000003</v>
      </c>
      <c r="C6002">
        <f t="shared" si="371"/>
        <v>-117.861468</v>
      </c>
      <c r="D6002">
        <f t="shared" si="372"/>
        <v>37</v>
      </c>
      <c r="E6002">
        <v>27.5</v>
      </c>
      <c r="F6002">
        <f t="shared" si="373"/>
        <v>9.5</v>
      </c>
      <c r="G6002">
        <v>111.85</v>
      </c>
      <c r="H6002">
        <v>3.9449999999999998</v>
      </c>
      <c r="I6002">
        <v>3.532</v>
      </c>
      <c r="J6002">
        <v>6</v>
      </c>
      <c r="K6002">
        <v>43</v>
      </c>
      <c r="L6002">
        <v>30</v>
      </c>
      <c r="M6002">
        <v>7.3339999999999996</v>
      </c>
    </row>
    <row r="6003" spans="1:13" ht="15" customHeight="1">
      <c r="A6003" t="s">
        <v>64</v>
      </c>
      <c r="B6003">
        <f t="shared" si="370"/>
        <v>33.695891000000003</v>
      </c>
      <c r="C6003">
        <f t="shared" si="371"/>
        <v>-117.861468</v>
      </c>
      <c r="D6003">
        <f t="shared" si="372"/>
        <v>37</v>
      </c>
      <c r="E6003">
        <v>28.5</v>
      </c>
      <c r="F6003">
        <f t="shared" si="373"/>
        <v>8.5</v>
      </c>
      <c r="G6003">
        <v>144.13300000000001</v>
      </c>
      <c r="H6003">
        <v>3.8149999999999999</v>
      </c>
      <c r="I6003">
        <v>2.649</v>
      </c>
      <c r="J6003">
        <v>7</v>
      </c>
      <c r="K6003">
        <v>46</v>
      </c>
      <c r="L6003">
        <v>31</v>
      </c>
      <c r="M6003" s="1">
        <v>9000000000</v>
      </c>
    </row>
    <row r="6004" spans="1:13" ht="15" customHeight="1">
      <c r="A6004" t="s">
        <v>64</v>
      </c>
      <c r="B6004">
        <f t="shared" si="370"/>
        <v>33.695891000000003</v>
      </c>
      <c r="C6004">
        <f t="shared" si="371"/>
        <v>-117.861468</v>
      </c>
      <c r="D6004">
        <f t="shared" si="372"/>
        <v>37</v>
      </c>
      <c r="E6004">
        <v>29.5</v>
      </c>
      <c r="F6004">
        <f t="shared" si="373"/>
        <v>7.5</v>
      </c>
      <c r="G6004">
        <v>189.583</v>
      </c>
      <c r="H6004">
        <v>2.5179999999999998</v>
      </c>
      <c r="I6004">
        <v>1.329</v>
      </c>
      <c r="J6004">
        <v>8</v>
      </c>
      <c r="K6004">
        <v>45</v>
      </c>
      <c r="L6004">
        <v>30</v>
      </c>
      <c r="M6004" s="1">
        <v>9000000000</v>
      </c>
    </row>
    <row r="6005" spans="1:13" ht="15" customHeight="1">
      <c r="A6005" t="s">
        <v>64</v>
      </c>
      <c r="B6005">
        <f t="shared" si="370"/>
        <v>33.695891000000003</v>
      </c>
      <c r="C6005">
        <f t="shared" si="371"/>
        <v>-117.861468</v>
      </c>
      <c r="D6005">
        <f t="shared" si="372"/>
        <v>37</v>
      </c>
      <c r="E6005">
        <v>30.5</v>
      </c>
      <c r="F6005">
        <f t="shared" si="373"/>
        <v>6.5</v>
      </c>
      <c r="G6005">
        <v>199.233</v>
      </c>
      <c r="H6005">
        <v>2.488</v>
      </c>
      <c r="I6005">
        <v>1.25</v>
      </c>
      <c r="J6005">
        <v>8</v>
      </c>
      <c r="K6005">
        <v>48</v>
      </c>
      <c r="L6005">
        <v>32</v>
      </c>
      <c r="M6005" s="1">
        <v>9000000000</v>
      </c>
    </row>
    <row r="6006" spans="1:13" ht="15" customHeight="1">
      <c r="A6006" t="s">
        <v>64</v>
      </c>
      <c r="B6006">
        <f t="shared" si="370"/>
        <v>33.695891000000003</v>
      </c>
      <c r="C6006">
        <f t="shared" si="371"/>
        <v>-117.861468</v>
      </c>
      <c r="D6006">
        <f t="shared" si="372"/>
        <v>37</v>
      </c>
      <c r="E6006">
        <v>31.5</v>
      </c>
      <c r="F6006">
        <f t="shared" si="373"/>
        <v>5.5</v>
      </c>
      <c r="G6006">
        <v>187.62899999999999</v>
      </c>
      <c r="H6006">
        <v>1.9910000000000001</v>
      </c>
      <c r="I6006">
        <v>1.0620000000000001</v>
      </c>
      <c r="J6006">
        <v>9</v>
      </c>
      <c r="K6006">
        <v>36</v>
      </c>
      <c r="L6006">
        <v>24</v>
      </c>
      <c r="M6006" s="1">
        <v>9000000000</v>
      </c>
    </row>
    <row r="6007" spans="1:13" ht="15" customHeight="1">
      <c r="A6007" t="s">
        <v>64</v>
      </c>
      <c r="B6007">
        <f t="shared" si="370"/>
        <v>33.695891000000003</v>
      </c>
      <c r="C6007">
        <f t="shared" si="371"/>
        <v>-117.861468</v>
      </c>
      <c r="D6007">
        <f t="shared" si="372"/>
        <v>37</v>
      </c>
      <c r="E6007">
        <v>32.5</v>
      </c>
      <c r="F6007">
        <f t="shared" si="373"/>
        <v>4.5</v>
      </c>
      <c r="G6007">
        <v>77.900000000000006</v>
      </c>
      <c r="H6007">
        <v>2.7879999999999998</v>
      </c>
      <c r="I6007">
        <v>3.5859999999999999</v>
      </c>
      <c r="J6007">
        <v>5</v>
      </c>
      <c r="K6007">
        <v>37</v>
      </c>
      <c r="L6007">
        <v>24</v>
      </c>
      <c r="M6007">
        <v>5.0510000000000002</v>
      </c>
    </row>
    <row r="6008" spans="1:13" ht="15" customHeight="1">
      <c r="A6008" t="s">
        <v>64</v>
      </c>
      <c r="B6008">
        <f t="shared" si="370"/>
        <v>33.695891000000003</v>
      </c>
      <c r="C6008">
        <f t="shared" si="371"/>
        <v>-117.861468</v>
      </c>
      <c r="D6008">
        <f t="shared" si="372"/>
        <v>37</v>
      </c>
      <c r="E6008">
        <v>33.5</v>
      </c>
      <c r="F6008">
        <f t="shared" si="373"/>
        <v>3.5</v>
      </c>
      <c r="G6008">
        <v>22.933</v>
      </c>
      <c r="H6008">
        <v>0.99199999999999999</v>
      </c>
      <c r="I6008">
        <v>4.343</v>
      </c>
      <c r="J6008">
        <v>4</v>
      </c>
      <c r="K6008">
        <v>15</v>
      </c>
      <c r="L6008">
        <v>10</v>
      </c>
      <c r="M6008">
        <v>1.385</v>
      </c>
    </row>
    <row r="6009" spans="1:13" ht="15" customHeight="1">
      <c r="A6009" t="s">
        <v>64</v>
      </c>
      <c r="B6009">
        <f t="shared" si="370"/>
        <v>33.695891000000003</v>
      </c>
      <c r="C6009">
        <f t="shared" si="371"/>
        <v>-117.861468</v>
      </c>
      <c r="D6009">
        <f t="shared" si="372"/>
        <v>37</v>
      </c>
      <c r="E6009">
        <v>34.5</v>
      </c>
      <c r="F6009">
        <f t="shared" si="373"/>
        <v>2.5</v>
      </c>
      <c r="G6009">
        <v>30.8</v>
      </c>
      <c r="H6009">
        <v>1.6419999999999999</v>
      </c>
      <c r="I6009">
        <v>5.35</v>
      </c>
      <c r="J6009">
        <v>3</v>
      </c>
      <c r="K6009">
        <v>29</v>
      </c>
      <c r="L6009">
        <v>18</v>
      </c>
      <c r="M6009">
        <v>1.9039999999999999</v>
      </c>
    </row>
    <row r="6010" spans="1:13" ht="15" customHeight="1">
      <c r="A6010" t="s">
        <v>64</v>
      </c>
      <c r="B6010">
        <f t="shared" si="370"/>
        <v>33.695891000000003</v>
      </c>
      <c r="C6010">
        <f t="shared" si="371"/>
        <v>-117.861468</v>
      </c>
      <c r="D6010">
        <f t="shared" si="372"/>
        <v>37</v>
      </c>
      <c r="E6010">
        <v>35.5</v>
      </c>
      <c r="F6010">
        <f t="shared" si="373"/>
        <v>1.5</v>
      </c>
      <c r="G6010">
        <v>44.35</v>
      </c>
      <c r="H6010">
        <v>1.88</v>
      </c>
      <c r="I6010">
        <v>4.2489999999999997</v>
      </c>
      <c r="J6010">
        <v>4</v>
      </c>
      <c r="K6010">
        <v>28</v>
      </c>
      <c r="L6010">
        <v>17</v>
      </c>
      <c r="M6010">
        <v>2.8039999999999998</v>
      </c>
    </row>
    <row r="6011" spans="1:13" ht="15" customHeight="1">
      <c r="A6011" t="s">
        <v>64</v>
      </c>
      <c r="B6011">
        <f t="shared" si="370"/>
        <v>33.695891000000003</v>
      </c>
      <c r="C6011">
        <f t="shared" si="371"/>
        <v>-117.861468</v>
      </c>
      <c r="D6011">
        <f t="shared" si="372"/>
        <v>37</v>
      </c>
      <c r="E6011">
        <v>36.5</v>
      </c>
      <c r="F6011">
        <f t="shared" si="373"/>
        <v>0.5</v>
      </c>
      <c r="G6011">
        <v>93.283000000000001</v>
      </c>
      <c r="H6011">
        <v>2.335</v>
      </c>
      <c r="I6011">
        <v>2.5059999999999998</v>
      </c>
      <c r="J6011">
        <v>7</v>
      </c>
      <c r="K6011">
        <v>30</v>
      </c>
      <c r="L6011">
        <v>18</v>
      </c>
      <c r="M6011" s="1">
        <v>9000000000</v>
      </c>
    </row>
    <row r="6012" spans="1:13" ht="15" customHeight="1">
      <c r="A6012" t="s">
        <v>64</v>
      </c>
      <c r="B6012">
        <f t="shared" si="370"/>
        <v>33.695891000000003</v>
      </c>
      <c r="C6012">
        <f t="shared" si="371"/>
        <v>-117.861468</v>
      </c>
      <c r="D6012">
        <f t="shared" si="372"/>
        <v>37</v>
      </c>
      <c r="E6012">
        <v>37.5</v>
      </c>
      <c r="F6012">
        <f t="shared" si="373"/>
        <v>-0.5</v>
      </c>
      <c r="G6012">
        <v>150.36699999999999</v>
      </c>
      <c r="H6012">
        <v>3.895</v>
      </c>
      <c r="I6012">
        <v>2.5920000000000001</v>
      </c>
      <c r="J6012">
        <v>7</v>
      </c>
      <c r="K6012">
        <v>48</v>
      </c>
      <c r="L6012">
        <v>29</v>
      </c>
      <c r="M6012" s="1">
        <v>9000000000</v>
      </c>
    </row>
    <row r="6013" spans="1:13" ht="15" customHeight="1">
      <c r="A6013" t="s">
        <v>64</v>
      </c>
      <c r="B6013">
        <f t="shared" si="370"/>
        <v>33.695891000000003</v>
      </c>
      <c r="C6013">
        <f t="shared" si="371"/>
        <v>-117.861468</v>
      </c>
      <c r="D6013">
        <f t="shared" si="372"/>
        <v>37</v>
      </c>
      <c r="E6013">
        <v>38.5</v>
      </c>
      <c r="F6013">
        <f t="shared" si="373"/>
        <v>-1.5</v>
      </c>
      <c r="G6013">
        <v>73.599999999999994</v>
      </c>
      <c r="H6013">
        <v>2.5430000000000001</v>
      </c>
      <c r="I6013">
        <v>3.4620000000000002</v>
      </c>
      <c r="J6013">
        <v>6</v>
      </c>
      <c r="K6013">
        <v>28</v>
      </c>
      <c r="L6013">
        <v>17</v>
      </c>
      <c r="M6013">
        <v>4.74</v>
      </c>
    </row>
    <row r="6014" spans="1:13" ht="15" customHeight="1">
      <c r="A6014" t="s">
        <v>64</v>
      </c>
      <c r="B6014">
        <f t="shared" si="370"/>
        <v>33.695891000000003</v>
      </c>
      <c r="C6014">
        <f t="shared" si="371"/>
        <v>-117.861468</v>
      </c>
      <c r="D6014">
        <f t="shared" si="372"/>
        <v>37</v>
      </c>
      <c r="E6014">
        <v>39.5</v>
      </c>
      <c r="F6014">
        <f t="shared" si="373"/>
        <v>-2.5</v>
      </c>
      <c r="G6014">
        <v>67.417000000000002</v>
      </c>
      <c r="H6014">
        <v>2.4780000000000002</v>
      </c>
      <c r="I6014">
        <v>3.6869999999999998</v>
      </c>
      <c r="J6014">
        <v>5</v>
      </c>
      <c r="K6014">
        <v>32</v>
      </c>
      <c r="L6014">
        <v>19</v>
      </c>
      <c r="M6014">
        <v>4.319</v>
      </c>
    </row>
    <row r="6015" spans="1:13" ht="15" customHeight="1">
      <c r="A6015" t="s">
        <v>64</v>
      </c>
      <c r="B6015">
        <f t="shared" si="370"/>
        <v>33.695891000000003</v>
      </c>
      <c r="C6015">
        <f t="shared" si="371"/>
        <v>-117.861468</v>
      </c>
      <c r="D6015">
        <f t="shared" si="372"/>
        <v>37</v>
      </c>
      <c r="E6015">
        <v>40.5</v>
      </c>
      <c r="F6015">
        <f t="shared" si="373"/>
        <v>-3.5</v>
      </c>
      <c r="G6015">
        <v>35.75</v>
      </c>
      <c r="H6015">
        <v>1.353</v>
      </c>
      <c r="I6015">
        <v>3.8</v>
      </c>
      <c r="J6015">
        <v>5</v>
      </c>
      <c r="K6015">
        <v>17</v>
      </c>
      <c r="L6015">
        <v>10</v>
      </c>
      <c r="M6015">
        <v>2.2080000000000002</v>
      </c>
    </row>
    <row r="6016" spans="1:13" ht="15" customHeight="1">
      <c r="A6016" t="s">
        <v>64</v>
      </c>
      <c r="B6016">
        <f t="shared" si="370"/>
        <v>33.695891000000003</v>
      </c>
      <c r="C6016">
        <f t="shared" si="371"/>
        <v>-117.861468</v>
      </c>
      <c r="D6016">
        <f t="shared" si="372"/>
        <v>37</v>
      </c>
      <c r="E6016">
        <v>41.499000000000002</v>
      </c>
      <c r="F6016">
        <f t="shared" si="373"/>
        <v>-4.4990000000000023</v>
      </c>
      <c r="G6016">
        <v>21</v>
      </c>
      <c r="H6016">
        <v>0.94399999999999995</v>
      </c>
      <c r="I6016">
        <v>4.5309999999999997</v>
      </c>
      <c r="J6016">
        <v>3</v>
      </c>
      <c r="K6016">
        <v>20</v>
      </c>
      <c r="L6016">
        <v>12</v>
      </c>
      <c r="M6016">
        <v>1.2190000000000001</v>
      </c>
    </row>
    <row r="6017" spans="1:13" ht="15" customHeight="1">
      <c r="A6017" t="s">
        <v>64</v>
      </c>
      <c r="B6017">
        <f t="shared" si="370"/>
        <v>33.695891000000003</v>
      </c>
      <c r="C6017">
        <f t="shared" si="371"/>
        <v>-117.861468</v>
      </c>
      <c r="D6017">
        <f t="shared" si="372"/>
        <v>37</v>
      </c>
      <c r="E6017">
        <v>42.499000000000002</v>
      </c>
      <c r="F6017">
        <f t="shared" si="373"/>
        <v>-5.4990000000000023</v>
      </c>
      <c r="G6017">
        <v>21.4</v>
      </c>
      <c r="H6017">
        <v>0.92500000000000004</v>
      </c>
      <c r="I6017">
        <v>4.3460000000000001</v>
      </c>
      <c r="J6017">
        <v>3</v>
      </c>
      <c r="K6017">
        <v>20</v>
      </c>
      <c r="L6017">
        <v>11</v>
      </c>
      <c r="M6017">
        <v>1.244</v>
      </c>
    </row>
    <row r="6018" spans="1:13" ht="15" customHeight="1">
      <c r="A6018" t="s">
        <v>64</v>
      </c>
      <c r="B6018">
        <f t="shared" ref="B6018:B6081" si="374">VLOOKUP(A6018,XYdata,3,FALSE)</f>
        <v>33.695891000000003</v>
      </c>
      <c r="C6018">
        <f t="shared" ref="C6018:C6081" si="375">VLOOKUP(A6018,XYdata,2,FALSE)</f>
        <v>-117.861468</v>
      </c>
      <c r="D6018">
        <f t="shared" ref="D6018:D6081" si="376">VLOOKUP(A6018,Elevation,2,FALSE)</f>
        <v>37</v>
      </c>
      <c r="E6018">
        <v>43.499000000000002</v>
      </c>
      <c r="F6018">
        <f t="shared" si="373"/>
        <v>-6.4990000000000023</v>
      </c>
      <c r="G6018">
        <v>21.983000000000001</v>
      </c>
      <c r="H6018">
        <v>0.99199999999999999</v>
      </c>
      <c r="I6018">
        <v>4.532</v>
      </c>
      <c r="J6018">
        <v>3</v>
      </c>
      <c r="K6018">
        <v>21</v>
      </c>
      <c r="L6018">
        <v>12</v>
      </c>
      <c r="M6018">
        <v>1.28</v>
      </c>
    </row>
    <row r="6019" spans="1:13" ht="15" customHeight="1">
      <c r="A6019" t="s">
        <v>64</v>
      </c>
      <c r="B6019">
        <f t="shared" si="374"/>
        <v>33.695891000000003</v>
      </c>
      <c r="C6019">
        <f t="shared" si="375"/>
        <v>-117.861468</v>
      </c>
      <c r="D6019">
        <f t="shared" si="376"/>
        <v>37</v>
      </c>
      <c r="E6019">
        <v>44.499000000000002</v>
      </c>
      <c r="F6019">
        <f t="shared" ref="F6019:F6082" si="377">D6019-E6019</f>
        <v>-7.4990000000000023</v>
      </c>
      <c r="G6019">
        <v>29.067</v>
      </c>
      <c r="H6019">
        <v>1.607</v>
      </c>
      <c r="I6019">
        <v>5.5469999999999997</v>
      </c>
      <c r="J6019">
        <v>3</v>
      </c>
      <c r="K6019">
        <v>28</v>
      </c>
      <c r="L6019">
        <v>16</v>
      </c>
      <c r="M6019">
        <v>1.748</v>
      </c>
    </row>
    <row r="6020" spans="1:13" ht="15" customHeight="1">
      <c r="A6020" t="s">
        <v>64</v>
      </c>
      <c r="B6020">
        <f t="shared" si="374"/>
        <v>33.695891000000003</v>
      </c>
      <c r="C6020">
        <f t="shared" si="375"/>
        <v>-117.861468</v>
      </c>
      <c r="D6020">
        <f t="shared" si="376"/>
        <v>37</v>
      </c>
      <c r="E6020">
        <v>45.499000000000002</v>
      </c>
      <c r="F6020">
        <f t="shared" si="377"/>
        <v>-8.4990000000000023</v>
      </c>
      <c r="G6020">
        <v>96.85</v>
      </c>
      <c r="H6020">
        <v>3.0529999999999999</v>
      </c>
      <c r="I6020">
        <v>3.1560000000000001</v>
      </c>
      <c r="J6020">
        <v>6</v>
      </c>
      <c r="K6020">
        <v>37</v>
      </c>
      <c r="L6020">
        <v>20</v>
      </c>
      <c r="M6020">
        <v>6.2619999999999996</v>
      </c>
    </row>
    <row r="6021" spans="1:13" ht="15" customHeight="1">
      <c r="A6021" t="s">
        <v>64</v>
      </c>
      <c r="B6021">
        <f t="shared" si="374"/>
        <v>33.695891000000003</v>
      </c>
      <c r="C6021">
        <f t="shared" si="375"/>
        <v>-117.861468</v>
      </c>
      <c r="D6021">
        <f t="shared" si="376"/>
        <v>37</v>
      </c>
      <c r="E6021">
        <v>46.499000000000002</v>
      </c>
      <c r="F6021">
        <f t="shared" si="377"/>
        <v>-9.4990000000000023</v>
      </c>
      <c r="G6021">
        <v>240.68299999999999</v>
      </c>
      <c r="H6021">
        <v>4.7969999999999997</v>
      </c>
      <c r="I6021">
        <v>1.994</v>
      </c>
      <c r="J6021">
        <v>8</v>
      </c>
      <c r="K6021">
        <v>58</v>
      </c>
      <c r="L6021">
        <v>32</v>
      </c>
      <c r="M6021" s="1">
        <v>9000000000</v>
      </c>
    </row>
    <row r="6022" spans="1:13" ht="15" customHeight="1">
      <c r="A6022" t="s">
        <v>64</v>
      </c>
      <c r="B6022">
        <f t="shared" si="374"/>
        <v>33.695891000000003</v>
      </c>
      <c r="C6022">
        <f t="shared" si="375"/>
        <v>-117.861468</v>
      </c>
      <c r="D6022">
        <f t="shared" si="376"/>
        <v>37</v>
      </c>
      <c r="E6022">
        <v>47.499000000000002</v>
      </c>
      <c r="F6022">
        <f t="shared" si="377"/>
        <v>-10.499000000000002</v>
      </c>
      <c r="G6022">
        <v>196.86699999999999</v>
      </c>
      <c r="H6022">
        <v>2.3279999999999998</v>
      </c>
      <c r="I6022">
        <v>1.1830000000000001</v>
      </c>
      <c r="J6022">
        <v>9</v>
      </c>
      <c r="K6022">
        <v>38</v>
      </c>
      <c r="L6022">
        <v>20</v>
      </c>
      <c r="M6022" s="1">
        <v>9000000000</v>
      </c>
    </row>
    <row r="6023" spans="1:13" ht="15" customHeight="1">
      <c r="A6023" t="s">
        <v>64</v>
      </c>
      <c r="B6023">
        <f t="shared" si="374"/>
        <v>33.695891000000003</v>
      </c>
      <c r="C6023">
        <f t="shared" si="375"/>
        <v>-117.861468</v>
      </c>
      <c r="D6023">
        <f t="shared" si="376"/>
        <v>37</v>
      </c>
      <c r="E6023">
        <v>48.499000000000002</v>
      </c>
      <c r="F6023">
        <f t="shared" si="377"/>
        <v>-11.499000000000002</v>
      </c>
      <c r="G6023">
        <v>55.167000000000002</v>
      </c>
      <c r="H6023">
        <v>2.1920000000000002</v>
      </c>
      <c r="I6023">
        <v>3.984</v>
      </c>
      <c r="J6023">
        <v>5</v>
      </c>
      <c r="K6023">
        <v>26</v>
      </c>
      <c r="L6023">
        <v>14</v>
      </c>
      <c r="M6023">
        <v>3.468</v>
      </c>
    </row>
    <row r="6024" spans="1:13" ht="15" customHeight="1">
      <c r="A6024" t="s">
        <v>64</v>
      </c>
      <c r="B6024">
        <f t="shared" si="374"/>
        <v>33.695891000000003</v>
      </c>
      <c r="C6024">
        <f t="shared" si="375"/>
        <v>-117.861468</v>
      </c>
      <c r="D6024">
        <f t="shared" si="376"/>
        <v>37</v>
      </c>
      <c r="E6024">
        <v>49.499000000000002</v>
      </c>
      <c r="F6024">
        <f t="shared" si="377"/>
        <v>-12.499000000000002</v>
      </c>
      <c r="G6024">
        <v>24.283000000000001</v>
      </c>
      <c r="H6024">
        <v>0.97699999999999998</v>
      </c>
      <c r="I6024">
        <v>4.0439999999999996</v>
      </c>
      <c r="J6024">
        <v>4</v>
      </c>
      <c r="K6024">
        <v>15</v>
      </c>
      <c r="L6024">
        <v>8</v>
      </c>
      <c r="M6024">
        <v>1.4059999999999999</v>
      </c>
    </row>
    <row r="6025" spans="1:13" ht="15" customHeight="1">
      <c r="A6025" t="s">
        <v>64</v>
      </c>
      <c r="B6025">
        <f t="shared" si="374"/>
        <v>33.695891000000003</v>
      </c>
      <c r="C6025">
        <f t="shared" si="375"/>
        <v>-117.861468</v>
      </c>
      <c r="D6025">
        <f t="shared" si="376"/>
        <v>37</v>
      </c>
      <c r="E6025">
        <v>50.499000000000002</v>
      </c>
      <c r="F6025">
        <f t="shared" si="377"/>
        <v>-13.499000000000002</v>
      </c>
      <c r="G6025">
        <v>23.567</v>
      </c>
      <c r="H6025">
        <v>0.76300000000000001</v>
      </c>
      <c r="I6025">
        <v>3.26</v>
      </c>
      <c r="J6025">
        <v>5</v>
      </c>
      <c r="K6025">
        <v>11</v>
      </c>
      <c r="L6025">
        <v>6</v>
      </c>
      <c r="M6025">
        <v>1.353</v>
      </c>
    </row>
    <row r="6026" spans="1:13" ht="15" customHeight="1">
      <c r="A6026" t="s">
        <v>64</v>
      </c>
      <c r="B6026">
        <f t="shared" si="374"/>
        <v>33.695891000000003</v>
      </c>
      <c r="C6026">
        <f t="shared" si="375"/>
        <v>-117.861468</v>
      </c>
      <c r="D6026">
        <f t="shared" si="376"/>
        <v>37</v>
      </c>
      <c r="E6026">
        <v>51.499000000000002</v>
      </c>
      <c r="F6026">
        <f t="shared" si="377"/>
        <v>-14.499000000000002</v>
      </c>
      <c r="G6026">
        <v>25.466999999999999</v>
      </c>
      <c r="H6026">
        <v>0.86199999999999999</v>
      </c>
      <c r="I6026">
        <v>3.3969999999999998</v>
      </c>
      <c r="J6026">
        <v>5</v>
      </c>
      <c r="K6026">
        <v>12</v>
      </c>
      <c r="L6026">
        <v>6</v>
      </c>
      <c r="M6026">
        <v>1.4790000000000001</v>
      </c>
    </row>
    <row r="6027" spans="1:13" ht="15" customHeight="1">
      <c r="A6027" t="s">
        <v>64</v>
      </c>
      <c r="B6027">
        <f t="shared" si="374"/>
        <v>33.695891000000003</v>
      </c>
      <c r="C6027">
        <f t="shared" si="375"/>
        <v>-117.861468</v>
      </c>
      <c r="D6027">
        <f t="shared" si="376"/>
        <v>37</v>
      </c>
      <c r="E6027">
        <v>52.499000000000002</v>
      </c>
      <c r="F6027">
        <f t="shared" si="377"/>
        <v>-15.499000000000002</v>
      </c>
      <c r="G6027">
        <v>65.656999999999996</v>
      </c>
      <c r="H6027">
        <v>1.6140000000000001</v>
      </c>
      <c r="I6027">
        <v>2.4630000000000001</v>
      </c>
      <c r="J6027">
        <v>6</v>
      </c>
      <c r="K6027">
        <v>25</v>
      </c>
      <c r="L6027">
        <v>13</v>
      </c>
      <c r="M6027">
        <v>4.1520000000000001</v>
      </c>
    </row>
    <row r="6028" spans="1:13" ht="15" customHeight="1">
      <c r="A6028" t="s">
        <v>64</v>
      </c>
      <c r="B6028">
        <f t="shared" si="374"/>
        <v>33.695891000000003</v>
      </c>
      <c r="C6028">
        <f t="shared" si="375"/>
        <v>-117.861468</v>
      </c>
      <c r="D6028">
        <f t="shared" si="376"/>
        <v>37</v>
      </c>
      <c r="E6028">
        <v>53.499000000000002</v>
      </c>
      <c r="F6028">
        <f t="shared" si="377"/>
        <v>-16.499000000000002</v>
      </c>
      <c r="G6028">
        <v>183.88300000000001</v>
      </c>
      <c r="H6028">
        <v>2.1120000000000001</v>
      </c>
      <c r="I6028">
        <v>1.149</v>
      </c>
      <c r="J6028">
        <v>9</v>
      </c>
      <c r="K6028">
        <v>35</v>
      </c>
      <c r="L6028">
        <v>18</v>
      </c>
      <c r="M6028" s="1">
        <v>9000000000</v>
      </c>
    </row>
    <row r="6029" spans="1:13" ht="15" customHeight="1">
      <c r="A6029" t="s">
        <v>64</v>
      </c>
      <c r="B6029">
        <f t="shared" si="374"/>
        <v>33.695891000000003</v>
      </c>
      <c r="C6029">
        <f t="shared" si="375"/>
        <v>-117.861468</v>
      </c>
      <c r="D6029">
        <f t="shared" si="376"/>
        <v>37</v>
      </c>
      <c r="E6029">
        <v>54.499000000000002</v>
      </c>
      <c r="F6029">
        <f t="shared" si="377"/>
        <v>-17.499000000000002</v>
      </c>
      <c r="G6029">
        <v>76.599999999999994</v>
      </c>
      <c r="H6029">
        <v>2.52</v>
      </c>
      <c r="I6029">
        <v>3.2949999999999999</v>
      </c>
      <c r="J6029">
        <v>6</v>
      </c>
      <c r="K6029">
        <v>29</v>
      </c>
      <c r="L6029">
        <v>15</v>
      </c>
      <c r="M6029">
        <v>4.8739999999999997</v>
      </c>
    </row>
    <row r="6030" spans="1:13" ht="15" customHeight="1">
      <c r="A6030" t="s">
        <v>64</v>
      </c>
      <c r="B6030">
        <f t="shared" si="374"/>
        <v>33.695891000000003</v>
      </c>
      <c r="C6030">
        <f t="shared" si="375"/>
        <v>-117.861468</v>
      </c>
      <c r="D6030">
        <f t="shared" si="376"/>
        <v>37</v>
      </c>
      <c r="E6030">
        <v>55.499000000000002</v>
      </c>
      <c r="F6030">
        <f t="shared" si="377"/>
        <v>-18.499000000000002</v>
      </c>
      <c r="G6030">
        <v>94.1</v>
      </c>
      <c r="H6030">
        <v>3.2919999999999998</v>
      </c>
      <c r="I6030">
        <v>3.504</v>
      </c>
      <c r="J6030">
        <v>6</v>
      </c>
      <c r="K6030">
        <v>36</v>
      </c>
      <c r="L6030">
        <v>18</v>
      </c>
      <c r="M6030">
        <v>6.0339999999999998</v>
      </c>
    </row>
    <row r="6031" spans="1:13" ht="15" customHeight="1">
      <c r="A6031" t="s">
        <v>64</v>
      </c>
      <c r="B6031">
        <f t="shared" si="374"/>
        <v>33.695891000000003</v>
      </c>
      <c r="C6031">
        <f t="shared" si="375"/>
        <v>-117.861468</v>
      </c>
      <c r="D6031">
        <f t="shared" si="376"/>
        <v>37</v>
      </c>
      <c r="E6031">
        <v>56.499000000000002</v>
      </c>
      <c r="F6031">
        <f t="shared" si="377"/>
        <v>-19.499000000000002</v>
      </c>
      <c r="G6031">
        <v>22.983000000000001</v>
      </c>
      <c r="H6031">
        <v>0.63500000000000001</v>
      </c>
      <c r="I6031">
        <v>2.7770000000000001</v>
      </c>
      <c r="J6031">
        <v>5</v>
      </c>
      <c r="K6031">
        <v>11</v>
      </c>
      <c r="L6031">
        <v>6</v>
      </c>
      <c r="M6031">
        <v>1.2909999999999999</v>
      </c>
    </row>
    <row r="6032" spans="1:13" ht="15" customHeight="1">
      <c r="A6032" t="s">
        <v>64</v>
      </c>
      <c r="B6032">
        <f t="shared" si="374"/>
        <v>33.695891000000003</v>
      </c>
      <c r="C6032">
        <f t="shared" si="375"/>
        <v>-117.861468</v>
      </c>
      <c r="D6032">
        <f t="shared" si="376"/>
        <v>37</v>
      </c>
      <c r="E6032">
        <v>57.499000000000002</v>
      </c>
      <c r="F6032">
        <f t="shared" si="377"/>
        <v>-20.499000000000002</v>
      </c>
      <c r="G6032">
        <v>29.266999999999999</v>
      </c>
      <c r="H6032">
        <v>1.2649999999999999</v>
      </c>
      <c r="I6032">
        <v>4.3369999999999997</v>
      </c>
      <c r="J6032">
        <v>4</v>
      </c>
      <c r="K6032">
        <v>19</v>
      </c>
      <c r="L6032">
        <v>10</v>
      </c>
      <c r="M6032">
        <v>1.7070000000000001</v>
      </c>
    </row>
    <row r="6033" spans="1:13" ht="15" customHeight="1">
      <c r="A6033" t="s">
        <v>64</v>
      </c>
      <c r="B6033">
        <f t="shared" si="374"/>
        <v>33.695891000000003</v>
      </c>
      <c r="C6033">
        <f t="shared" si="375"/>
        <v>-117.861468</v>
      </c>
      <c r="D6033">
        <f t="shared" si="376"/>
        <v>37</v>
      </c>
      <c r="E6033">
        <v>58.499000000000002</v>
      </c>
      <c r="F6033">
        <f t="shared" si="377"/>
        <v>-21.499000000000002</v>
      </c>
      <c r="G6033">
        <v>82.8</v>
      </c>
      <c r="H6033">
        <v>3.0720000000000001</v>
      </c>
      <c r="I6033">
        <v>3.714</v>
      </c>
      <c r="J6033">
        <v>5</v>
      </c>
      <c r="K6033">
        <v>40</v>
      </c>
      <c r="L6033">
        <v>20</v>
      </c>
      <c r="M6033">
        <v>5.2720000000000002</v>
      </c>
    </row>
    <row r="6034" spans="1:13" ht="15" customHeight="1">
      <c r="A6034" t="s">
        <v>64</v>
      </c>
      <c r="B6034">
        <f t="shared" si="374"/>
        <v>33.695891000000003</v>
      </c>
      <c r="C6034">
        <f t="shared" si="375"/>
        <v>-117.861468</v>
      </c>
      <c r="D6034">
        <f t="shared" si="376"/>
        <v>37</v>
      </c>
      <c r="E6034">
        <v>59.499000000000002</v>
      </c>
      <c r="F6034">
        <f t="shared" si="377"/>
        <v>-22.499000000000002</v>
      </c>
      <c r="G6034">
        <v>45.017000000000003</v>
      </c>
      <c r="H6034">
        <v>2.3420000000000001</v>
      </c>
      <c r="I6034">
        <v>5.2149999999999999</v>
      </c>
      <c r="J6034">
        <v>3</v>
      </c>
      <c r="K6034">
        <v>43</v>
      </c>
      <c r="L6034">
        <v>22</v>
      </c>
      <c r="M6034">
        <v>2.7480000000000002</v>
      </c>
    </row>
    <row r="6035" spans="1:13" ht="15" customHeight="1">
      <c r="A6035" t="s">
        <v>64</v>
      </c>
      <c r="B6035">
        <f t="shared" si="374"/>
        <v>33.695891000000003</v>
      </c>
      <c r="C6035">
        <f t="shared" si="375"/>
        <v>-117.861468</v>
      </c>
      <c r="D6035">
        <f t="shared" si="376"/>
        <v>37</v>
      </c>
      <c r="E6035">
        <v>60.499000000000002</v>
      </c>
      <c r="F6035">
        <f t="shared" si="377"/>
        <v>-23.499000000000002</v>
      </c>
      <c r="G6035">
        <v>67.716999999999999</v>
      </c>
      <c r="H6035">
        <v>2.5</v>
      </c>
      <c r="I6035">
        <v>3.698</v>
      </c>
      <c r="J6035">
        <v>5</v>
      </c>
      <c r="K6035">
        <v>32</v>
      </c>
      <c r="L6035">
        <v>16</v>
      </c>
      <c r="M6035">
        <v>4.2569999999999997</v>
      </c>
    </row>
    <row r="6036" spans="1:13" ht="15" customHeight="1">
      <c r="A6036" t="s">
        <v>64</v>
      </c>
      <c r="B6036">
        <f t="shared" si="374"/>
        <v>33.695891000000003</v>
      </c>
      <c r="C6036">
        <f t="shared" si="375"/>
        <v>-117.861468</v>
      </c>
      <c r="D6036">
        <f t="shared" si="376"/>
        <v>37</v>
      </c>
      <c r="E6036">
        <v>61.499000000000002</v>
      </c>
      <c r="F6036">
        <f t="shared" si="377"/>
        <v>-24.499000000000002</v>
      </c>
      <c r="G6036">
        <v>77.132999999999996</v>
      </c>
      <c r="H6036">
        <v>2.6850000000000001</v>
      </c>
      <c r="I6036">
        <v>3.488</v>
      </c>
      <c r="J6036">
        <v>6</v>
      </c>
      <c r="K6036">
        <v>29</v>
      </c>
      <c r="L6036">
        <v>15</v>
      </c>
      <c r="M6036">
        <v>4.8780000000000001</v>
      </c>
    </row>
    <row r="6037" spans="1:13" ht="15" customHeight="1">
      <c r="A6037" t="s">
        <v>64</v>
      </c>
      <c r="B6037">
        <f t="shared" si="374"/>
        <v>33.695891000000003</v>
      </c>
      <c r="C6037">
        <f t="shared" si="375"/>
        <v>-117.861468</v>
      </c>
      <c r="D6037">
        <f t="shared" si="376"/>
        <v>37</v>
      </c>
      <c r="E6037">
        <v>62.499000000000002</v>
      </c>
      <c r="F6037">
        <f t="shared" si="377"/>
        <v>-25.499000000000002</v>
      </c>
      <c r="G6037">
        <v>35.070999999999998</v>
      </c>
      <c r="H6037">
        <v>1.431</v>
      </c>
      <c r="I6037">
        <v>4.0999999999999996</v>
      </c>
      <c r="J6037">
        <v>4</v>
      </c>
      <c r="K6037">
        <v>22</v>
      </c>
      <c r="L6037">
        <v>11</v>
      </c>
      <c r="M6037">
        <v>2.069</v>
      </c>
    </row>
    <row r="6038" spans="1:13" ht="15" customHeight="1">
      <c r="A6038" t="s">
        <v>64</v>
      </c>
      <c r="B6038">
        <f t="shared" si="374"/>
        <v>33.695891000000003</v>
      </c>
      <c r="C6038">
        <f t="shared" si="375"/>
        <v>-117.861468</v>
      </c>
      <c r="D6038">
        <f t="shared" si="376"/>
        <v>37</v>
      </c>
      <c r="E6038">
        <v>63.499000000000002</v>
      </c>
      <c r="F6038">
        <f t="shared" si="377"/>
        <v>-26.499000000000002</v>
      </c>
      <c r="G6038">
        <v>24.65</v>
      </c>
      <c r="H6038">
        <v>0.82</v>
      </c>
      <c r="I6038">
        <v>3.3420000000000001</v>
      </c>
      <c r="J6038">
        <v>5</v>
      </c>
      <c r="K6038">
        <v>12</v>
      </c>
      <c r="L6038">
        <v>6</v>
      </c>
      <c r="M6038">
        <v>1.373</v>
      </c>
    </row>
    <row r="6039" spans="1:13" ht="15" customHeight="1">
      <c r="A6039" t="s">
        <v>64</v>
      </c>
      <c r="B6039">
        <f t="shared" si="374"/>
        <v>33.695891000000003</v>
      </c>
      <c r="C6039">
        <f t="shared" si="375"/>
        <v>-117.861468</v>
      </c>
      <c r="D6039">
        <f t="shared" si="376"/>
        <v>37</v>
      </c>
      <c r="E6039">
        <v>64.498999999999995</v>
      </c>
      <c r="F6039">
        <f t="shared" si="377"/>
        <v>-27.498999999999995</v>
      </c>
      <c r="G6039">
        <v>25.05</v>
      </c>
      <c r="H6039">
        <v>0.77800000000000002</v>
      </c>
      <c r="I6039">
        <v>3.1240000000000001</v>
      </c>
      <c r="J6039">
        <v>5</v>
      </c>
      <c r="K6039">
        <v>12</v>
      </c>
      <c r="L6039">
        <v>6</v>
      </c>
      <c r="M6039">
        <v>1.395</v>
      </c>
    </row>
    <row r="6040" spans="1:13" ht="15" customHeight="1">
      <c r="A6040" t="s">
        <v>64</v>
      </c>
      <c r="B6040">
        <f t="shared" si="374"/>
        <v>33.695891000000003</v>
      </c>
      <c r="C6040">
        <f t="shared" si="375"/>
        <v>-117.861468</v>
      </c>
      <c r="D6040">
        <f t="shared" si="376"/>
        <v>37</v>
      </c>
      <c r="E6040">
        <v>65.498999999999995</v>
      </c>
      <c r="F6040">
        <f t="shared" si="377"/>
        <v>-28.498999999999995</v>
      </c>
      <c r="G6040">
        <v>27.132999999999999</v>
      </c>
      <c r="H6040">
        <v>0.95699999999999996</v>
      </c>
      <c r="I6040">
        <v>3.5430000000000001</v>
      </c>
      <c r="J6040">
        <v>5</v>
      </c>
      <c r="K6040">
        <v>13</v>
      </c>
      <c r="L6040">
        <v>7</v>
      </c>
      <c r="M6040">
        <v>1.5289999999999999</v>
      </c>
    </row>
    <row r="6041" spans="1:13" ht="15" customHeight="1">
      <c r="A6041" t="s">
        <v>64</v>
      </c>
      <c r="B6041">
        <f t="shared" si="374"/>
        <v>33.695891000000003</v>
      </c>
      <c r="C6041">
        <f t="shared" si="375"/>
        <v>-117.861468</v>
      </c>
      <c r="D6041">
        <f t="shared" si="376"/>
        <v>37</v>
      </c>
      <c r="E6041">
        <v>66.498999999999995</v>
      </c>
      <c r="F6041">
        <f t="shared" si="377"/>
        <v>-29.498999999999995</v>
      </c>
      <c r="G6041">
        <v>29.033000000000001</v>
      </c>
      <c r="H6041">
        <v>0.93700000000000006</v>
      </c>
      <c r="I6041">
        <v>3.2410000000000001</v>
      </c>
      <c r="J6041">
        <v>5</v>
      </c>
      <c r="K6041">
        <v>14</v>
      </c>
      <c r="L6041">
        <v>7</v>
      </c>
      <c r="M6041">
        <v>1.6519999999999999</v>
      </c>
    </row>
    <row r="6042" spans="1:13" ht="15" customHeight="1">
      <c r="A6042" t="s">
        <v>64</v>
      </c>
      <c r="B6042">
        <f t="shared" si="374"/>
        <v>33.695891000000003</v>
      </c>
      <c r="C6042">
        <f t="shared" si="375"/>
        <v>-117.861468</v>
      </c>
      <c r="D6042">
        <f t="shared" si="376"/>
        <v>37</v>
      </c>
      <c r="E6042">
        <v>67.498999999999995</v>
      </c>
      <c r="F6042">
        <f t="shared" si="377"/>
        <v>-30.498999999999995</v>
      </c>
      <c r="G6042">
        <v>29.266999999999999</v>
      </c>
      <c r="H6042">
        <v>0.71199999999999997</v>
      </c>
      <c r="I6042">
        <v>2.4409999999999998</v>
      </c>
      <c r="J6042">
        <v>6</v>
      </c>
      <c r="K6042">
        <v>11</v>
      </c>
      <c r="L6042">
        <v>6</v>
      </c>
      <c r="M6042">
        <v>1.6639999999999999</v>
      </c>
    </row>
    <row r="6043" spans="1:13" ht="15" customHeight="1">
      <c r="A6043" t="s">
        <v>64</v>
      </c>
      <c r="B6043">
        <f t="shared" si="374"/>
        <v>33.695891000000003</v>
      </c>
      <c r="C6043">
        <f t="shared" si="375"/>
        <v>-117.861468</v>
      </c>
      <c r="D6043">
        <f t="shared" si="376"/>
        <v>37</v>
      </c>
      <c r="E6043">
        <v>68.498999999999995</v>
      </c>
      <c r="F6043">
        <f t="shared" si="377"/>
        <v>-31.498999999999995</v>
      </c>
      <c r="G6043">
        <v>129.767</v>
      </c>
      <c r="H6043">
        <v>2.4279999999999999</v>
      </c>
      <c r="I6043">
        <v>1.873</v>
      </c>
      <c r="J6043">
        <v>7</v>
      </c>
      <c r="K6043">
        <v>41</v>
      </c>
      <c r="L6043">
        <v>21</v>
      </c>
      <c r="M6043" s="1">
        <v>9000000000</v>
      </c>
    </row>
    <row r="6044" spans="1:13" ht="15" customHeight="1">
      <c r="A6044" t="s">
        <v>64</v>
      </c>
      <c r="B6044">
        <f t="shared" si="374"/>
        <v>33.695891000000003</v>
      </c>
      <c r="C6044">
        <f t="shared" si="375"/>
        <v>-117.861468</v>
      </c>
      <c r="D6044">
        <f t="shared" si="376"/>
        <v>37</v>
      </c>
      <c r="E6044">
        <v>69.498999999999995</v>
      </c>
      <c r="F6044">
        <f t="shared" si="377"/>
        <v>-32.498999999999995</v>
      </c>
      <c r="G6044">
        <v>191.667</v>
      </c>
      <c r="H6044">
        <v>3.1680000000000001</v>
      </c>
      <c r="I6044">
        <v>1.6539999999999999</v>
      </c>
      <c r="J6044">
        <v>8</v>
      </c>
      <c r="K6044">
        <v>46</v>
      </c>
      <c r="L6044">
        <v>23</v>
      </c>
      <c r="M6044" s="1">
        <v>9000000000</v>
      </c>
    </row>
    <row r="6045" spans="1:13" ht="15" customHeight="1">
      <c r="A6045" t="s">
        <v>64</v>
      </c>
      <c r="B6045">
        <f t="shared" si="374"/>
        <v>33.695891000000003</v>
      </c>
      <c r="C6045">
        <f t="shared" si="375"/>
        <v>-117.861468</v>
      </c>
      <c r="D6045">
        <f t="shared" si="376"/>
        <v>37</v>
      </c>
      <c r="E6045">
        <v>70.498999999999995</v>
      </c>
      <c r="F6045">
        <f t="shared" si="377"/>
        <v>-33.498999999999995</v>
      </c>
      <c r="G6045">
        <v>247.4</v>
      </c>
      <c r="H6045">
        <v>1.895</v>
      </c>
      <c r="I6045">
        <v>0.76600000000000001</v>
      </c>
      <c r="J6045">
        <v>9</v>
      </c>
      <c r="K6045">
        <v>47</v>
      </c>
      <c r="L6045">
        <v>24</v>
      </c>
      <c r="M6045" s="1">
        <v>9000000000</v>
      </c>
    </row>
    <row r="6046" spans="1:13" ht="15" customHeight="1">
      <c r="A6046" t="s">
        <v>64</v>
      </c>
      <c r="B6046">
        <f t="shared" si="374"/>
        <v>33.695891000000003</v>
      </c>
      <c r="C6046">
        <f t="shared" si="375"/>
        <v>-117.861468</v>
      </c>
      <c r="D6046">
        <f t="shared" si="376"/>
        <v>37</v>
      </c>
      <c r="E6046">
        <v>71.498999999999995</v>
      </c>
      <c r="F6046">
        <f t="shared" si="377"/>
        <v>-34.498999999999995</v>
      </c>
      <c r="G6046">
        <v>234</v>
      </c>
      <c r="H6046">
        <v>2.4430000000000001</v>
      </c>
      <c r="I6046">
        <v>1.0449999999999999</v>
      </c>
      <c r="J6046">
        <v>9</v>
      </c>
      <c r="K6046">
        <v>45</v>
      </c>
      <c r="L6046">
        <v>23</v>
      </c>
      <c r="M6046" s="1">
        <v>9000000000</v>
      </c>
    </row>
    <row r="6047" spans="1:13" ht="15" customHeight="1">
      <c r="A6047" t="s">
        <v>64</v>
      </c>
      <c r="B6047">
        <f t="shared" si="374"/>
        <v>33.695891000000003</v>
      </c>
      <c r="C6047">
        <f t="shared" si="375"/>
        <v>-117.861468</v>
      </c>
      <c r="D6047">
        <f t="shared" si="376"/>
        <v>37</v>
      </c>
      <c r="E6047">
        <v>72.498999999999995</v>
      </c>
      <c r="F6047">
        <f t="shared" si="377"/>
        <v>-35.498999999999995</v>
      </c>
      <c r="G6047">
        <v>237.2</v>
      </c>
      <c r="H6047">
        <v>2.0670000000000002</v>
      </c>
      <c r="I6047">
        <v>0.872</v>
      </c>
      <c r="J6047">
        <v>9</v>
      </c>
      <c r="K6047">
        <v>45</v>
      </c>
      <c r="L6047">
        <v>23</v>
      </c>
      <c r="M6047" s="1">
        <v>9000000000</v>
      </c>
    </row>
    <row r="6048" spans="1:13" ht="15" customHeight="1">
      <c r="A6048" t="s">
        <v>64</v>
      </c>
      <c r="B6048">
        <f t="shared" si="374"/>
        <v>33.695891000000003</v>
      </c>
      <c r="C6048">
        <f t="shared" si="375"/>
        <v>-117.861468</v>
      </c>
      <c r="D6048">
        <f t="shared" si="376"/>
        <v>37</v>
      </c>
      <c r="E6048">
        <v>73.498999999999995</v>
      </c>
      <c r="F6048">
        <f t="shared" si="377"/>
        <v>-36.498999999999995</v>
      </c>
      <c r="G6048">
        <v>170.61699999999999</v>
      </c>
      <c r="H6048">
        <v>2.7949999999999999</v>
      </c>
      <c r="I6048">
        <v>1.637</v>
      </c>
      <c r="J6048">
        <v>8</v>
      </c>
      <c r="K6048">
        <v>41</v>
      </c>
      <c r="L6048">
        <v>21</v>
      </c>
      <c r="M6048" s="1">
        <v>9000000000</v>
      </c>
    </row>
    <row r="6049" spans="1:13" ht="15" customHeight="1">
      <c r="A6049" t="s">
        <v>64</v>
      </c>
      <c r="B6049">
        <f t="shared" si="374"/>
        <v>33.695891000000003</v>
      </c>
      <c r="C6049">
        <f t="shared" si="375"/>
        <v>-117.861468</v>
      </c>
      <c r="D6049">
        <f t="shared" si="376"/>
        <v>37</v>
      </c>
      <c r="E6049">
        <v>74.498999999999995</v>
      </c>
      <c r="F6049">
        <f t="shared" si="377"/>
        <v>-37.498999999999995</v>
      </c>
      <c r="G6049">
        <v>223.63300000000001</v>
      </c>
      <c r="H6049">
        <v>2.8820000000000001</v>
      </c>
      <c r="I6049">
        <v>1.2889999999999999</v>
      </c>
      <c r="J6049">
        <v>9</v>
      </c>
      <c r="K6049">
        <v>43</v>
      </c>
      <c r="L6049">
        <v>22</v>
      </c>
      <c r="M6049" s="1">
        <v>9000000000</v>
      </c>
    </row>
    <row r="6050" spans="1:13" ht="15" customHeight="1">
      <c r="A6050" t="s">
        <v>64</v>
      </c>
      <c r="B6050">
        <f t="shared" si="374"/>
        <v>33.695891000000003</v>
      </c>
      <c r="C6050">
        <f t="shared" si="375"/>
        <v>-117.861468</v>
      </c>
      <c r="D6050">
        <f t="shared" si="376"/>
        <v>37</v>
      </c>
      <c r="E6050">
        <v>75.498999999999995</v>
      </c>
      <c r="F6050">
        <f t="shared" si="377"/>
        <v>-38.498999999999995</v>
      </c>
      <c r="G6050">
        <v>278.46699999999998</v>
      </c>
      <c r="H6050">
        <v>3.915</v>
      </c>
      <c r="I6050">
        <v>1.407</v>
      </c>
      <c r="J6050">
        <v>9</v>
      </c>
      <c r="K6050">
        <v>53</v>
      </c>
      <c r="L6050">
        <v>27</v>
      </c>
      <c r="M6050" s="1">
        <v>9000000000</v>
      </c>
    </row>
    <row r="6051" spans="1:13" ht="15" customHeight="1">
      <c r="A6051" t="s">
        <v>64</v>
      </c>
      <c r="B6051">
        <f t="shared" si="374"/>
        <v>33.695891000000003</v>
      </c>
      <c r="C6051">
        <f t="shared" si="375"/>
        <v>-117.861468</v>
      </c>
      <c r="D6051">
        <f t="shared" si="376"/>
        <v>37</v>
      </c>
      <c r="E6051">
        <v>76.498999999999995</v>
      </c>
      <c r="F6051">
        <f t="shared" si="377"/>
        <v>-39.498999999999995</v>
      </c>
      <c r="G6051">
        <v>236.45</v>
      </c>
      <c r="H6051">
        <v>3.8380000000000001</v>
      </c>
      <c r="I6051">
        <v>1.6240000000000001</v>
      </c>
      <c r="J6051">
        <v>8</v>
      </c>
      <c r="K6051">
        <v>57</v>
      </c>
      <c r="L6051">
        <v>29</v>
      </c>
      <c r="M6051" s="1">
        <v>9000000000</v>
      </c>
    </row>
    <row r="6052" spans="1:13" ht="15" customHeight="1">
      <c r="A6052" t="s">
        <v>64</v>
      </c>
      <c r="B6052">
        <f t="shared" si="374"/>
        <v>33.695891000000003</v>
      </c>
      <c r="C6052">
        <f t="shared" si="375"/>
        <v>-117.861468</v>
      </c>
      <c r="D6052">
        <f t="shared" si="376"/>
        <v>37</v>
      </c>
      <c r="E6052">
        <v>77.498999999999995</v>
      </c>
      <c r="F6052">
        <f t="shared" si="377"/>
        <v>-40.498999999999995</v>
      </c>
      <c r="G6052">
        <v>233.517</v>
      </c>
      <c r="H6052">
        <v>3.05</v>
      </c>
      <c r="I6052">
        <v>1.3069999999999999</v>
      </c>
      <c r="J6052">
        <v>9</v>
      </c>
      <c r="K6052">
        <v>45</v>
      </c>
      <c r="L6052">
        <v>23</v>
      </c>
      <c r="M6052" s="1">
        <v>9000000000</v>
      </c>
    </row>
    <row r="6053" spans="1:13" ht="15" customHeight="1">
      <c r="A6053" t="s">
        <v>64</v>
      </c>
      <c r="B6053">
        <f t="shared" si="374"/>
        <v>33.695891000000003</v>
      </c>
      <c r="C6053">
        <f t="shared" si="375"/>
        <v>-117.861468</v>
      </c>
      <c r="D6053">
        <f t="shared" si="376"/>
        <v>37</v>
      </c>
      <c r="E6053">
        <v>78.498999999999995</v>
      </c>
      <c r="F6053">
        <f t="shared" si="377"/>
        <v>-41.498999999999995</v>
      </c>
      <c r="G6053">
        <v>160.167</v>
      </c>
      <c r="H6053">
        <v>2.9049999999999998</v>
      </c>
      <c r="I6053">
        <v>1.8149999999999999</v>
      </c>
      <c r="J6053">
        <v>8</v>
      </c>
      <c r="K6053">
        <v>38</v>
      </c>
      <c r="L6053">
        <v>19</v>
      </c>
      <c r="M6053" s="1">
        <v>9000000000</v>
      </c>
    </row>
    <row r="6054" spans="1:13" ht="15" customHeight="1">
      <c r="A6054" t="s">
        <v>64</v>
      </c>
      <c r="B6054">
        <f t="shared" si="374"/>
        <v>33.695891000000003</v>
      </c>
      <c r="C6054">
        <f t="shared" si="375"/>
        <v>-117.861468</v>
      </c>
      <c r="D6054">
        <f t="shared" si="376"/>
        <v>37</v>
      </c>
      <c r="E6054">
        <v>79.498999999999995</v>
      </c>
      <c r="F6054">
        <f t="shared" si="377"/>
        <v>-42.498999999999995</v>
      </c>
      <c r="G6054">
        <v>202.3</v>
      </c>
      <c r="H6054">
        <v>2.7519999999999998</v>
      </c>
      <c r="I6054">
        <v>1.361</v>
      </c>
      <c r="J6054">
        <v>8</v>
      </c>
      <c r="K6054">
        <v>48</v>
      </c>
      <c r="L6054">
        <v>24</v>
      </c>
      <c r="M6054" s="1">
        <v>9000000000</v>
      </c>
    </row>
    <row r="6055" spans="1:13" ht="15" customHeight="1">
      <c r="A6055" t="s">
        <v>64</v>
      </c>
      <c r="B6055">
        <f t="shared" si="374"/>
        <v>33.695891000000003</v>
      </c>
      <c r="C6055">
        <f t="shared" si="375"/>
        <v>-117.861468</v>
      </c>
      <c r="D6055">
        <f t="shared" si="376"/>
        <v>37</v>
      </c>
      <c r="E6055">
        <v>80.498999999999995</v>
      </c>
      <c r="F6055">
        <f t="shared" si="377"/>
        <v>-43.498999999999995</v>
      </c>
      <c r="G6055">
        <v>297.10000000000002</v>
      </c>
      <c r="H6055">
        <v>1.998</v>
      </c>
      <c r="I6055">
        <v>0.67300000000000004</v>
      </c>
      <c r="J6055">
        <v>9</v>
      </c>
      <c r="K6055">
        <v>57</v>
      </c>
      <c r="L6055">
        <v>29</v>
      </c>
      <c r="M6055" s="1">
        <v>9000000000</v>
      </c>
    </row>
    <row r="6056" spans="1:13" ht="15" customHeight="1">
      <c r="A6056" t="s">
        <v>64</v>
      </c>
      <c r="B6056">
        <f t="shared" si="374"/>
        <v>33.695891000000003</v>
      </c>
      <c r="C6056">
        <f t="shared" si="375"/>
        <v>-117.861468</v>
      </c>
      <c r="D6056">
        <f t="shared" si="376"/>
        <v>37</v>
      </c>
      <c r="E6056">
        <v>81.498999999999995</v>
      </c>
      <c r="F6056">
        <f t="shared" si="377"/>
        <v>-44.498999999999995</v>
      </c>
      <c r="G6056">
        <v>338.88299999999998</v>
      </c>
      <c r="H6056">
        <v>2.7269999999999999</v>
      </c>
      <c r="I6056">
        <v>0.80500000000000005</v>
      </c>
      <c r="J6056">
        <v>9</v>
      </c>
      <c r="K6056">
        <v>65</v>
      </c>
      <c r="L6056">
        <v>33</v>
      </c>
      <c r="M6056" s="1">
        <v>9000000000</v>
      </c>
    </row>
    <row r="6057" spans="1:13" ht="15" customHeight="1">
      <c r="A6057" t="s">
        <v>64</v>
      </c>
      <c r="B6057">
        <f t="shared" si="374"/>
        <v>33.695891000000003</v>
      </c>
      <c r="C6057">
        <f t="shared" si="375"/>
        <v>-117.861468</v>
      </c>
      <c r="D6057">
        <f t="shared" si="376"/>
        <v>37</v>
      </c>
      <c r="E6057">
        <v>82.498999999999995</v>
      </c>
      <c r="F6057">
        <f t="shared" si="377"/>
        <v>-45.498999999999995</v>
      </c>
      <c r="G6057">
        <v>59.582999999999998</v>
      </c>
      <c r="H6057">
        <v>2.2069999999999999</v>
      </c>
      <c r="I6057">
        <v>3.71</v>
      </c>
      <c r="J6057">
        <v>5</v>
      </c>
      <c r="K6057">
        <v>28</v>
      </c>
      <c r="L6057">
        <v>14</v>
      </c>
      <c r="M6057">
        <v>3.6240000000000001</v>
      </c>
    </row>
    <row r="6058" spans="1:13" ht="15" customHeight="1">
      <c r="A6058" t="s">
        <v>64</v>
      </c>
      <c r="B6058">
        <f t="shared" si="374"/>
        <v>33.695891000000003</v>
      </c>
      <c r="C6058">
        <f t="shared" si="375"/>
        <v>-117.861468</v>
      </c>
      <c r="D6058">
        <f t="shared" si="376"/>
        <v>37</v>
      </c>
      <c r="E6058">
        <v>83.498999999999995</v>
      </c>
      <c r="F6058">
        <f t="shared" si="377"/>
        <v>-46.498999999999995</v>
      </c>
      <c r="G6058">
        <v>31.4</v>
      </c>
      <c r="H6058">
        <v>1.2330000000000001</v>
      </c>
      <c r="I6058">
        <v>3.9350000000000001</v>
      </c>
      <c r="J6058">
        <v>4</v>
      </c>
      <c r="K6058">
        <v>20</v>
      </c>
      <c r="L6058">
        <v>10</v>
      </c>
      <c r="M6058">
        <v>1.7430000000000001</v>
      </c>
    </row>
    <row r="6059" spans="1:13" ht="15" customHeight="1">
      <c r="A6059" t="s">
        <v>64</v>
      </c>
      <c r="B6059">
        <f t="shared" si="374"/>
        <v>33.695891000000003</v>
      </c>
      <c r="C6059">
        <f t="shared" si="375"/>
        <v>-117.861468</v>
      </c>
      <c r="D6059">
        <f t="shared" si="376"/>
        <v>37</v>
      </c>
      <c r="E6059">
        <v>84.498999999999995</v>
      </c>
      <c r="F6059">
        <f t="shared" si="377"/>
        <v>-47.498999999999995</v>
      </c>
      <c r="G6059">
        <v>50.683</v>
      </c>
      <c r="H6059">
        <v>1.9850000000000001</v>
      </c>
      <c r="I6059">
        <v>3.92</v>
      </c>
      <c r="J6059">
        <v>5</v>
      </c>
      <c r="K6059">
        <v>24</v>
      </c>
      <c r="L6059">
        <v>12</v>
      </c>
      <c r="M6059">
        <v>3.0259999999999998</v>
      </c>
    </row>
    <row r="6060" spans="1:13" ht="15" customHeight="1">
      <c r="A6060" t="s">
        <v>64</v>
      </c>
      <c r="B6060">
        <f t="shared" si="374"/>
        <v>33.695891000000003</v>
      </c>
      <c r="C6060">
        <f t="shared" si="375"/>
        <v>-117.861468</v>
      </c>
      <c r="D6060">
        <f t="shared" si="376"/>
        <v>37</v>
      </c>
      <c r="E6060">
        <v>85.498999999999995</v>
      </c>
      <c r="F6060">
        <f t="shared" si="377"/>
        <v>-48.498999999999995</v>
      </c>
      <c r="G6060">
        <v>38.517000000000003</v>
      </c>
      <c r="H6060">
        <v>1.2869999999999999</v>
      </c>
      <c r="I6060">
        <v>3.3450000000000002</v>
      </c>
      <c r="J6060">
        <v>5</v>
      </c>
      <c r="K6060">
        <v>18</v>
      </c>
      <c r="L6060">
        <v>9</v>
      </c>
      <c r="M6060">
        <v>2.2109999999999999</v>
      </c>
    </row>
    <row r="6061" spans="1:13" ht="15" customHeight="1">
      <c r="A6061" t="s">
        <v>64</v>
      </c>
      <c r="B6061">
        <f t="shared" si="374"/>
        <v>33.695891000000003</v>
      </c>
      <c r="C6061">
        <f t="shared" si="375"/>
        <v>-117.861468</v>
      </c>
      <c r="D6061">
        <f t="shared" si="376"/>
        <v>37</v>
      </c>
      <c r="E6061">
        <v>86.498999999999995</v>
      </c>
      <c r="F6061">
        <f t="shared" si="377"/>
        <v>-49.498999999999995</v>
      </c>
      <c r="G6061">
        <v>76.3</v>
      </c>
      <c r="H6061">
        <v>4.1180000000000003</v>
      </c>
      <c r="I6061">
        <v>5.3979999999999997</v>
      </c>
      <c r="J6061">
        <v>11</v>
      </c>
      <c r="K6061">
        <v>73</v>
      </c>
      <c r="L6061">
        <v>37</v>
      </c>
      <c r="M6061" s="1">
        <v>9000000000</v>
      </c>
    </row>
    <row r="6062" spans="1:13" ht="15" customHeight="1">
      <c r="A6062" t="s">
        <v>64</v>
      </c>
      <c r="B6062">
        <f t="shared" si="374"/>
        <v>33.695891000000003</v>
      </c>
      <c r="C6062">
        <f t="shared" si="375"/>
        <v>-117.861468</v>
      </c>
      <c r="D6062">
        <f t="shared" si="376"/>
        <v>37</v>
      </c>
      <c r="E6062">
        <v>87.498999999999995</v>
      </c>
      <c r="F6062">
        <f t="shared" si="377"/>
        <v>-50.498999999999995</v>
      </c>
      <c r="G6062">
        <v>53.667000000000002</v>
      </c>
      <c r="H6062">
        <v>2.1920000000000002</v>
      </c>
      <c r="I6062">
        <v>4.0830000000000002</v>
      </c>
      <c r="J6062">
        <v>5</v>
      </c>
      <c r="K6062">
        <v>26</v>
      </c>
      <c r="L6062">
        <v>13</v>
      </c>
      <c r="M6062">
        <v>3.2160000000000002</v>
      </c>
    </row>
    <row r="6063" spans="1:13" ht="15" customHeight="1">
      <c r="A6063" t="s">
        <v>64</v>
      </c>
      <c r="B6063">
        <f t="shared" si="374"/>
        <v>33.695891000000003</v>
      </c>
      <c r="C6063">
        <f t="shared" si="375"/>
        <v>-117.861468</v>
      </c>
      <c r="D6063">
        <f t="shared" si="376"/>
        <v>37</v>
      </c>
      <c r="E6063">
        <v>88.498999999999995</v>
      </c>
      <c r="F6063">
        <f t="shared" si="377"/>
        <v>-51.498999999999995</v>
      </c>
      <c r="G6063">
        <v>81.150000000000006</v>
      </c>
      <c r="H6063">
        <v>4.3120000000000003</v>
      </c>
      <c r="I6063">
        <v>5.3150000000000004</v>
      </c>
      <c r="J6063">
        <v>11</v>
      </c>
      <c r="K6063">
        <v>78</v>
      </c>
      <c r="L6063">
        <v>39</v>
      </c>
      <c r="M6063" s="1">
        <v>9000000000</v>
      </c>
    </row>
    <row r="6064" spans="1:13" ht="15" customHeight="1">
      <c r="A6064" t="s">
        <v>64</v>
      </c>
      <c r="B6064">
        <f t="shared" si="374"/>
        <v>33.695891000000003</v>
      </c>
      <c r="C6064">
        <f t="shared" si="375"/>
        <v>-117.861468</v>
      </c>
      <c r="D6064">
        <f t="shared" si="376"/>
        <v>37</v>
      </c>
      <c r="E6064">
        <v>89.498999999999995</v>
      </c>
      <c r="F6064">
        <f t="shared" si="377"/>
        <v>-52.498999999999995</v>
      </c>
      <c r="G6064">
        <v>93.733000000000004</v>
      </c>
      <c r="H6064">
        <v>3.593</v>
      </c>
      <c r="I6064">
        <v>3.8359999999999999</v>
      </c>
      <c r="J6064">
        <v>5</v>
      </c>
      <c r="K6064">
        <v>45</v>
      </c>
      <c r="L6064">
        <v>23</v>
      </c>
      <c r="M6064">
        <v>5.8739999999999997</v>
      </c>
    </row>
    <row r="6065" spans="1:13" ht="15" customHeight="1">
      <c r="A6065" t="s">
        <v>64</v>
      </c>
      <c r="B6065">
        <f t="shared" si="374"/>
        <v>33.695891000000003</v>
      </c>
      <c r="C6065">
        <f t="shared" si="375"/>
        <v>-117.861468</v>
      </c>
      <c r="D6065">
        <f t="shared" si="376"/>
        <v>37</v>
      </c>
      <c r="E6065">
        <v>90.498999999999995</v>
      </c>
      <c r="F6065">
        <f t="shared" si="377"/>
        <v>-53.498999999999995</v>
      </c>
      <c r="G6065">
        <v>221.517</v>
      </c>
      <c r="H6065">
        <v>10.112</v>
      </c>
      <c r="I6065">
        <v>4.5659999999999998</v>
      </c>
      <c r="J6065">
        <v>11</v>
      </c>
      <c r="K6065">
        <v>212</v>
      </c>
      <c r="L6065">
        <v>106</v>
      </c>
      <c r="M6065" s="1">
        <v>9000000000</v>
      </c>
    </row>
    <row r="6066" spans="1:13" ht="15" customHeight="1">
      <c r="A6066" t="s">
        <v>64</v>
      </c>
      <c r="B6066">
        <f t="shared" si="374"/>
        <v>33.695891000000003</v>
      </c>
      <c r="C6066">
        <f t="shared" si="375"/>
        <v>-117.861468</v>
      </c>
      <c r="D6066">
        <f t="shared" si="376"/>
        <v>37</v>
      </c>
      <c r="E6066">
        <v>91.498999999999995</v>
      </c>
      <c r="F6066">
        <f t="shared" si="377"/>
        <v>-54.498999999999995</v>
      </c>
      <c r="G6066">
        <v>440.733</v>
      </c>
      <c r="H6066">
        <v>6.1630000000000003</v>
      </c>
      <c r="I6066">
        <v>1.399</v>
      </c>
      <c r="J6066">
        <v>9</v>
      </c>
      <c r="K6066">
        <v>84</v>
      </c>
      <c r="L6066">
        <v>42</v>
      </c>
      <c r="M6066" s="1">
        <v>9000000000</v>
      </c>
    </row>
    <row r="6067" spans="1:13" ht="15" customHeight="1">
      <c r="A6067" t="s">
        <v>64</v>
      </c>
      <c r="B6067">
        <f t="shared" si="374"/>
        <v>33.695891000000003</v>
      </c>
      <c r="C6067">
        <f t="shared" si="375"/>
        <v>-117.861468</v>
      </c>
      <c r="D6067">
        <f t="shared" si="376"/>
        <v>37</v>
      </c>
      <c r="E6067">
        <v>92.498999999999995</v>
      </c>
      <c r="F6067">
        <f t="shared" si="377"/>
        <v>-55.498999999999995</v>
      </c>
      <c r="G6067">
        <v>253.05</v>
      </c>
      <c r="H6067">
        <v>4.3330000000000002</v>
      </c>
      <c r="I6067">
        <v>1.7130000000000001</v>
      </c>
      <c r="J6067">
        <v>8</v>
      </c>
      <c r="K6067">
        <v>61</v>
      </c>
      <c r="L6067">
        <v>31</v>
      </c>
      <c r="M6067" s="1">
        <v>9000000000</v>
      </c>
    </row>
    <row r="6068" spans="1:13" ht="15" customHeight="1">
      <c r="A6068" t="s">
        <v>64</v>
      </c>
      <c r="B6068">
        <f t="shared" si="374"/>
        <v>33.695891000000003</v>
      </c>
      <c r="C6068">
        <f t="shared" si="375"/>
        <v>-117.861468</v>
      </c>
      <c r="D6068">
        <f t="shared" si="376"/>
        <v>37</v>
      </c>
      <c r="E6068">
        <v>93.498999999999995</v>
      </c>
      <c r="F6068">
        <f t="shared" si="377"/>
        <v>-56.498999999999995</v>
      </c>
      <c r="G6068">
        <v>215.51400000000001</v>
      </c>
      <c r="H6068">
        <v>4.7039999999999997</v>
      </c>
      <c r="I6068">
        <v>2.1840000000000002</v>
      </c>
      <c r="J6068">
        <v>7</v>
      </c>
      <c r="K6068">
        <v>69</v>
      </c>
      <c r="L6068">
        <v>35</v>
      </c>
      <c r="M6068" s="1">
        <v>9000000000</v>
      </c>
    </row>
    <row r="6069" spans="1:13" ht="15" customHeight="1">
      <c r="A6069" t="s">
        <v>64</v>
      </c>
      <c r="B6069">
        <f t="shared" si="374"/>
        <v>33.695891000000003</v>
      </c>
      <c r="C6069">
        <f t="shared" si="375"/>
        <v>-117.861468</v>
      </c>
      <c r="D6069">
        <f t="shared" si="376"/>
        <v>37</v>
      </c>
      <c r="E6069">
        <v>94.498999999999995</v>
      </c>
      <c r="F6069">
        <f t="shared" si="377"/>
        <v>-57.498999999999995</v>
      </c>
      <c r="G6069">
        <v>156.56700000000001</v>
      </c>
      <c r="H6069">
        <v>5.8070000000000004</v>
      </c>
      <c r="I6069">
        <v>3.7130000000000001</v>
      </c>
      <c r="J6069">
        <v>12</v>
      </c>
      <c r="K6069">
        <v>75</v>
      </c>
      <c r="L6069">
        <v>38</v>
      </c>
      <c r="M6069" s="1">
        <v>9000000000</v>
      </c>
    </row>
    <row r="6070" spans="1:13" ht="15" customHeight="1">
      <c r="A6070" t="s">
        <v>64</v>
      </c>
      <c r="B6070">
        <f t="shared" si="374"/>
        <v>33.695891000000003</v>
      </c>
      <c r="C6070">
        <f t="shared" si="375"/>
        <v>-117.861468</v>
      </c>
      <c r="D6070">
        <f t="shared" si="376"/>
        <v>37</v>
      </c>
      <c r="E6070">
        <v>95.498999999999995</v>
      </c>
      <c r="F6070">
        <f t="shared" si="377"/>
        <v>-58.498999999999995</v>
      </c>
      <c r="G6070">
        <v>153.35</v>
      </c>
      <c r="H6070">
        <v>5.0919999999999996</v>
      </c>
      <c r="I6070">
        <v>3.3239999999999998</v>
      </c>
      <c r="J6070">
        <v>6</v>
      </c>
      <c r="K6070">
        <v>59</v>
      </c>
      <c r="L6070">
        <v>30</v>
      </c>
      <c r="M6070">
        <v>9.8149999999999995</v>
      </c>
    </row>
    <row r="6071" spans="1:13" ht="15" customHeight="1">
      <c r="A6071" t="s">
        <v>64</v>
      </c>
      <c r="B6071">
        <f t="shared" si="374"/>
        <v>33.695891000000003</v>
      </c>
      <c r="C6071">
        <f t="shared" si="375"/>
        <v>-117.861468</v>
      </c>
      <c r="D6071">
        <f t="shared" si="376"/>
        <v>37</v>
      </c>
      <c r="E6071">
        <v>96.498999999999995</v>
      </c>
      <c r="F6071">
        <f t="shared" si="377"/>
        <v>-59.498999999999995</v>
      </c>
      <c r="G6071">
        <v>252.733</v>
      </c>
      <c r="H6071">
        <v>7.6349999999999998</v>
      </c>
      <c r="I6071">
        <v>3.0230000000000001</v>
      </c>
      <c r="J6071">
        <v>12</v>
      </c>
      <c r="K6071">
        <v>121</v>
      </c>
      <c r="L6071">
        <v>61</v>
      </c>
      <c r="M6071" s="1">
        <v>9000000000</v>
      </c>
    </row>
    <row r="6072" spans="1:13" ht="15" customHeight="1">
      <c r="A6072" t="s">
        <v>64</v>
      </c>
      <c r="B6072">
        <f t="shared" si="374"/>
        <v>33.695891000000003</v>
      </c>
      <c r="C6072">
        <f t="shared" si="375"/>
        <v>-117.861468</v>
      </c>
      <c r="D6072">
        <f t="shared" si="376"/>
        <v>37</v>
      </c>
      <c r="E6072">
        <v>97.498999999999995</v>
      </c>
      <c r="F6072">
        <f t="shared" si="377"/>
        <v>-60.498999999999995</v>
      </c>
      <c r="G6072">
        <v>381.36700000000002</v>
      </c>
      <c r="H6072">
        <v>8.8819999999999997</v>
      </c>
      <c r="I6072">
        <v>2.3290000000000002</v>
      </c>
      <c r="J6072">
        <v>8</v>
      </c>
      <c r="K6072">
        <v>91</v>
      </c>
      <c r="L6072">
        <v>46</v>
      </c>
      <c r="M6072" s="1">
        <v>9000000000</v>
      </c>
    </row>
    <row r="6073" spans="1:13" ht="15" customHeight="1">
      <c r="A6073" t="s">
        <v>64</v>
      </c>
      <c r="B6073">
        <f t="shared" si="374"/>
        <v>33.695891000000003</v>
      </c>
      <c r="C6073">
        <f t="shared" si="375"/>
        <v>-117.861468</v>
      </c>
      <c r="D6073">
        <f t="shared" si="376"/>
        <v>37</v>
      </c>
      <c r="E6073">
        <v>98.498999999999995</v>
      </c>
      <c r="F6073">
        <f t="shared" si="377"/>
        <v>-61.498999999999995</v>
      </c>
      <c r="G6073">
        <v>418.28300000000002</v>
      </c>
      <c r="H6073">
        <v>7.2350000000000003</v>
      </c>
      <c r="I6073">
        <v>1.73</v>
      </c>
      <c r="J6073">
        <v>8</v>
      </c>
      <c r="K6073">
        <v>100</v>
      </c>
      <c r="L6073">
        <v>50</v>
      </c>
      <c r="M6073" s="1">
        <v>9000000000</v>
      </c>
    </row>
    <row r="6074" spans="1:13" ht="15" customHeight="1">
      <c r="A6074" t="s">
        <v>64</v>
      </c>
      <c r="B6074">
        <f t="shared" si="374"/>
        <v>33.695891000000003</v>
      </c>
      <c r="C6074">
        <f t="shared" si="375"/>
        <v>-117.861468</v>
      </c>
      <c r="D6074">
        <f t="shared" si="376"/>
        <v>37</v>
      </c>
      <c r="E6074">
        <v>99.498999999999995</v>
      </c>
      <c r="F6074">
        <f t="shared" si="377"/>
        <v>-62.498999999999995</v>
      </c>
      <c r="G6074">
        <v>331.41699999999997</v>
      </c>
      <c r="H6074">
        <v>4.1870000000000003</v>
      </c>
      <c r="I6074">
        <v>1.262</v>
      </c>
      <c r="J6074">
        <v>9</v>
      </c>
      <c r="K6074">
        <v>64</v>
      </c>
      <c r="L6074">
        <v>32</v>
      </c>
      <c r="M6074" s="1">
        <v>9000000000</v>
      </c>
    </row>
    <row r="6075" spans="1:13" ht="15" customHeight="1">
      <c r="A6075" t="s">
        <v>64</v>
      </c>
      <c r="B6075">
        <f t="shared" si="374"/>
        <v>33.695891000000003</v>
      </c>
      <c r="C6075">
        <f t="shared" si="375"/>
        <v>-117.861468</v>
      </c>
      <c r="D6075">
        <f t="shared" si="376"/>
        <v>37</v>
      </c>
      <c r="E6075">
        <v>100.499</v>
      </c>
      <c r="F6075">
        <f t="shared" si="377"/>
        <v>-63.498999999999995</v>
      </c>
      <c r="G6075">
        <v>362.06700000000001</v>
      </c>
      <c r="H6075">
        <v>6.4080000000000004</v>
      </c>
      <c r="I6075">
        <v>1.7669999999999999</v>
      </c>
      <c r="J6075">
        <v>8</v>
      </c>
      <c r="K6075">
        <v>87</v>
      </c>
      <c r="L6075">
        <v>44</v>
      </c>
      <c r="M6075" s="1">
        <v>9000000000</v>
      </c>
    </row>
    <row r="6076" spans="1:13" ht="15" customHeight="1">
      <c r="A6076" t="s">
        <v>64</v>
      </c>
      <c r="B6076">
        <f t="shared" si="374"/>
        <v>33.695891000000003</v>
      </c>
      <c r="C6076">
        <f t="shared" si="375"/>
        <v>-117.861468</v>
      </c>
      <c r="D6076">
        <f t="shared" si="376"/>
        <v>37</v>
      </c>
      <c r="E6076">
        <v>101.499</v>
      </c>
      <c r="F6076">
        <f t="shared" si="377"/>
        <v>-64.498999999999995</v>
      </c>
      <c r="G6076">
        <v>335.36700000000002</v>
      </c>
      <c r="H6076">
        <v>5.7949999999999999</v>
      </c>
      <c r="I6076">
        <v>1.7250000000000001</v>
      </c>
      <c r="J6076">
        <v>8</v>
      </c>
      <c r="K6076">
        <v>80</v>
      </c>
      <c r="L6076">
        <v>40</v>
      </c>
      <c r="M6076" s="1">
        <v>9000000000</v>
      </c>
    </row>
    <row r="6077" spans="1:13" ht="15" customHeight="1">
      <c r="A6077" t="s">
        <v>64</v>
      </c>
      <c r="B6077">
        <f t="shared" si="374"/>
        <v>33.695891000000003</v>
      </c>
      <c r="C6077">
        <f t="shared" si="375"/>
        <v>-117.861468</v>
      </c>
      <c r="D6077">
        <f t="shared" si="376"/>
        <v>37</v>
      </c>
      <c r="E6077">
        <v>102.499</v>
      </c>
      <c r="F6077">
        <f t="shared" si="377"/>
        <v>-65.498999999999995</v>
      </c>
      <c r="G6077">
        <v>255.95</v>
      </c>
      <c r="H6077">
        <v>4.2779999999999996</v>
      </c>
      <c r="I6077">
        <v>1.6679999999999999</v>
      </c>
      <c r="J6077">
        <v>8</v>
      </c>
      <c r="K6077">
        <v>61</v>
      </c>
      <c r="L6077">
        <v>31</v>
      </c>
      <c r="M6077" s="1">
        <v>9000000000</v>
      </c>
    </row>
    <row r="6078" spans="1:13" ht="15" customHeight="1">
      <c r="A6078" t="s">
        <v>64</v>
      </c>
      <c r="B6078">
        <f t="shared" si="374"/>
        <v>33.695891000000003</v>
      </c>
      <c r="C6078">
        <f t="shared" si="375"/>
        <v>-117.861468</v>
      </c>
      <c r="D6078">
        <f t="shared" si="376"/>
        <v>37</v>
      </c>
      <c r="E6078">
        <v>103.499</v>
      </c>
      <c r="F6078">
        <f t="shared" si="377"/>
        <v>-66.498999999999995</v>
      </c>
      <c r="G6078">
        <v>255.11699999999999</v>
      </c>
      <c r="H6078">
        <v>5.4470000000000001</v>
      </c>
      <c r="I6078">
        <v>2.1309999999999998</v>
      </c>
      <c r="J6078">
        <v>8</v>
      </c>
      <c r="K6078">
        <v>61</v>
      </c>
      <c r="L6078">
        <v>31</v>
      </c>
      <c r="M6078" s="1">
        <v>9000000000</v>
      </c>
    </row>
    <row r="6079" spans="1:13" ht="15" customHeight="1">
      <c r="A6079" t="s">
        <v>64</v>
      </c>
      <c r="B6079">
        <f t="shared" si="374"/>
        <v>33.695891000000003</v>
      </c>
      <c r="C6079">
        <f t="shared" si="375"/>
        <v>-117.861468</v>
      </c>
      <c r="D6079">
        <f t="shared" si="376"/>
        <v>37</v>
      </c>
      <c r="E6079">
        <v>104.499</v>
      </c>
      <c r="F6079">
        <f t="shared" si="377"/>
        <v>-67.498999999999995</v>
      </c>
      <c r="G6079">
        <v>96.742999999999995</v>
      </c>
      <c r="H6079">
        <v>3.8330000000000002</v>
      </c>
      <c r="I6079">
        <v>3.915</v>
      </c>
      <c r="J6079">
        <v>5</v>
      </c>
      <c r="K6079">
        <v>47</v>
      </c>
      <c r="L6079">
        <v>24</v>
      </c>
      <c r="M6079">
        <v>6.093</v>
      </c>
    </row>
    <row r="6080" spans="1:13" ht="15" customHeight="1">
      <c r="A6080" t="s">
        <v>64</v>
      </c>
      <c r="B6080">
        <f t="shared" si="374"/>
        <v>33.695891000000003</v>
      </c>
      <c r="C6080">
        <f t="shared" si="375"/>
        <v>-117.861468</v>
      </c>
      <c r="D6080">
        <f t="shared" si="376"/>
        <v>37</v>
      </c>
      <c r="E6080">
        <v>105.499</v>
      </c>
      <c r="F6080">
        <f t="shared" si="377"/>
        <v>-68.498999999999995</v>
      </c>
      <c r="G6080">
        <v>41.4</v>
      </c>
      <c r="H6080">
        <v>1.673</v>
      </c>
      <c r="I6080">
        <v>3.9159999999999999</v>
      </c>
      <c r="J6080">
        <v>5</v>
      </c>
      <c r="K6080">
        <v>20</v>
      </c>
      <c r="L6080">
        <v>10</v>
      </c>
      <c r="M6080">
        <v>2.41</v>
      </c>
    </row>
    <row r="6081" spans="1:13" ht="15" customHeight="1">
      <c r="A6081" t="s">
        <v>64</v>
      </c>
      <c r="B6081">
        <f t="shared" si="374"/>
        <v>33.695891000000003</v>
      </c>
      <c r="C6081">
        <f t="shared" si="375"/>
        <v>-117.861468</v>
      </c>
      <c r="D6081">
        <f t="shared" si="376"/>
        <v>37</v>
      </c>
      <c r="E6081">
        <v>106.499</v>
      </c>
      <c r="F6081">
        <f t="shared" si="377"/>
        <v>-69.498999999999995</v>
      </c>
      <c r="G6081">
        <v>43.216999999999999</v>
      </c>
      <c r="H6081">
        <v>1.7949999999999999</v>
      </c>
      <c r="I6081">
        <v>3.99</v>
      </c>
      <c r="J6081">
        <v>5</v>
      </c>
      <c r="K6081">
        <v>22</v>
      </c>
      <c r="L6081">
        <v>11</v>
      </c>
      <c r="M6081">
        <v>2.556</v>
      </c>
    </row>
    <row r="6082" spans="1:13" ht="15" customHeight="1">
      <c r="A6082" t="s">
        <v>64</v>
      </c>
      <c r="B6082">
        <f t="shared" ref="B6082:B6145" si="378">VLOOKUP(A6082,XYdata,3,FALSE)</f>
        <v>33.695891000000003</v>
      </c>
      <c r="C6082">
        <f t="shared" ref="C6082:C6145" si="379">VLOOKUP(A6082,XYdata,2,FALSE)</f>
        <v>-117.861468</v>
      </c>
      <c r="D6082">
        <f t="shared" ref="D6082:D6145" si="380">VLOOKUP(A6082,Elevation,2,FALSE)</f>
        <v>37</v>
      </c>
      <c r="E6082">
        <v>107.499</v>
      </c>
      <c r="F6082">
        <f t="shared" si="377"/>
        <v>-70.498999999999995</v>
      </c>
      <c r="G6082">
        <v>99.066999999999993</v>
      </c>
      <c r="H6082">
        <v>4.9480000000000004</v>
      </c>
      <c r="I6082">
        <v>4.9930000000000003</v>
      </c>
      <c r="J6082">
        <v>11</v>
      </c>
      <c r="K6082">
        <v>95</v>
      </c>
      <c r="L6082">
        <v>48</v>
      </c>
      <c r="M6082" s="1">
        <v>9000000000</v>
      </c>
    </row>
    <row r="6083" spans="1:13" ht="15" customHeight="1">
      <c r="A6083" t="s">
        <v>64</v>
      </c>
      <c r="B6083">
        <f t="shared" si="378"/>
        <v>33.695891000000003</v>
      </c>
      <c r="C6083">
        <f t="shared" si="379"/>
        <v>-117.861468</v>
      </c>
      <c r="D6083">
        <f t="shared" si="380"/>
        <v>37</v>
      </c>
      <c r="E6083">
        <v>108.499</v>
      </c>
      <c r="F6083">
        <f t="shared" ref="F6083:F6146" si="381">D6083-E6083</f>
        <v>-71.498999999999995</v>
      </c>
      <c r="G6083">
        <v>70.900000000000006</v>
      </c>
      <c r="H6083">
        <v>3.4449999999999998</v>
      </c>
      <c r="I6083">
        <v>4.8689999999999998</v>
      </c>
      <c r="J6083">
        <v>11</v>
      </c>
      <c r="K6083">
        <v>68</v>
      </c>
      <c r="L6083">
        <v>34</v>
      </c>
      <c r="M6083" s="1">
        <v>9000000000</v>
      </c>
    </row>
    <row r="6084" spans="1:13" ht="15" customHeight="1">
      <c r="A6084" t="s">
        <v>64</v>
      </c>
      <c r="B6084">
        <f t="shared" si="378"/>
        <v>33.695891000000003</v>
      </c>
      <c r="C6084">
        <f t="shared" si="379"/>
        <v>-117.861468</v>
      </c>
      <c r="D6084">
        <f t="shared" si="380"/>
        <v>37</v>
      </c>
      <c r="E6084">
        <v>109.499</v>
      </c>
      <c r="F6084">
        <f t="shared" si="381"/>
        <v>-72.498999999999995</v>
      </c>
      <c r="G6084">
        <v>64.7</v>
      </c>
      <c r="H6084">
        <v>2.5430000000000001</v>
      </c>
      <c r="I6084">
        <v>3.94</v>
      </c>
      <c r="J6084">
        <v>5</v>
      </c>
      <c r="K6084">
        <v>31</v>
      </c>
      <c r="L6084">
        <v>16</v>
      </c>
      <c r="M6084">
        <v>3.847</v>
      </c>
    </row>
    <row r="6085" spans="1:13" ht="15" customHeight="1">
      <c r="A6085" t="s">
        <v>64</v>
      </c>
      <c r="B6085">
        <f t="shared" si="378"/>
        <v>33.695891000000003</v>
      </c>
      <c r="C6085">
        <f t="shared" si="379"/>
        <v>-117.861468</v>
      </c>
      <c r="D6085">
        <f t="shared" si="380"/>
        <v>37</v>
      </c>
      <c r="E6085">
        <v>110.499</v>
      </c>
      <c r="F6085">
        <f t="shared" si="381"/>
        <v>-73.498999999999995</v>
      </c>
      <c r="G6085">
        <v>48.116999999999997</v>
      </c>
      <c r="H6085">
        <v>1.897</v>
      </c>
      <c r="I6085">
        <v>3.95</v>
      </c>
      <c r="J6085">
        <v>5</v>
      </c>
      <c r="K6085">
        <v>23</v>
      </c>
      <c r="L6085">
        <v>12</v>
      </c>
      <c r="M6085">
        <v>2.7410000000000001</v>
      </c>
    </row>
    <row r="6086" spans="1:13" ht="15" customHeight="1">
      <c r="A6086" t="s">
        <v>64</v>
      </c>
      <c r="B6086">
        <f t="shared" si="378"/>
        <v>33.695891000000003</v>
      </c>
      <c r="C6086">
        <f t="shared" si="379"/>
        <v>-117.861468</v>
      </c>
      <c r="D6086">
        <f t="shared" si="380"/>
        <v>37</v>
      </c>
      <c r="E6086">
        <v>111.499</v>
      </c>
      <c r="F6086">
        <f t="shared" si="381"/>
        <v>-74.498999999999995</v>
      </c>
      <c r="G6086">
        <v>31.317</v>
      </c>
      <c r="H6086">
        <v>1.278</v>
      </c>
      <c r="I6086">
        <v>4.0970000000000004</v>
      </c>
      <c r="J6086">
        <v>4</v>
      </c>
      <c r="K6086">
        <v>20</v>
      </c>
      <c r="L6086">
        <v>10</v>
      </c>
      <c r="M6086">
        <v>1.6160000000000001</v>
      </c>
    </row>
    <row r="6087" spans="1:13" ht="15" customHeight="1">
      <c r="A6087" t="s">
        <v>64</v>
      </c>
      <c r="B6087">
        <f t="shared" si="378"/>
        <v>33.695891000000003</v>
      </c>
      <c r="C6087">
        <f t="shared" si="379"/>
        <v>-117.861468</v>
      </c>
      <c r="D6087">
        <f t="shared" si="380"/>
        <v>37</v>
      </c>
      <c r="E6087">
        <v>112.499</v>
      </c>
      <c r="F6087">
        <f t="shared" si="381"/>
        <v>-75.498999999999995</v>
      </c>
      <c r="G6087">
        <v>32.216999999999999</v>
      </c>
      <c r="H6087">
        <v>1.5549999999999999</v>
      </c>
      <c r="I6087">
        <v>4.8419999999999996</v>
      </c>
      <c r="J6087">
        <v>3</v>
      </c>
      <c r="K6087">
        <v>31</v>
      </c>
      <c r="L6087">
        <v>16</v>
      </c>
      <c r="M6087">
        <v>1.6719999999999999</v>
      </c>
    </row>
    <row r="6088" spans="1:13" ht="15" customHeight="1">
      <c r="A6088" t="s">
        <v>64</v>
      </c>
      <c r="B6088">
        <f t="shared" si="378"/>
        <v>33.695891000000003</v>
      </c>
      <c r="C6088">
        <f t="shared" si="379"/>
        <v>-117.861468</v>
      </c>
      <c r="D6088">
        <f t="shared" si="380"/>
        <v>37</v>
      </c>
      <c r="E6088">
        <v>113.499</v>
      </c>
      <c r="F6088">
        <f t="shared" si="381"/>
        <v>-76.498999999999995</v>
      </c>
      <c r="G6088">
        <v>31.85</v>
      </c>
      <c r="H6088">
        <v>1.262</v>
      </c>
      <c r="I6088">
        <v>3.9740000000000002</v>
      </c>
      <c r="J6088">
        <v>4</v>
      </c>
      <c r="K6088">
        <v>20</v>
      </c>
      <c r="L6088">
        <v>10</v>
      </c>
      <c r="M6088">
        <v>1.6439999999999999</v>
      </c>
    </row>
    <row r="6089" spans="1:13" ht="15" customHeight="1">
      <c r="A6089" t="s">
        <v>64</v>
      </c>
      <c r="B6089">
        <f t="shared" si="378"/>
        <v>33.695891000000003</v>
      </c>
      <c r="C6089">
        <f t="shared" si="379"/>
        <v>-117.861468</v>
      </c>
      <c r="D6089">
        <f t="shared" si="380"/>
        <v>37</v>
      </c>
      <c r="E6089">
        <v>114.499</v>
      </c>
      <c r="F6089">
        <f t="shared" si="381"/>
        <v>-77.498999999999995</v>
      </c>
      <c r="G6089">
        <v>32.457000000000001</v>
      </c>
      <c r="H6089">
        <v>1.2470000000000001</v>
      </c>
      <c r="I6089">
        <v>3.8490000000000002</v>
      </c>
      <c r="J6089">
        <v>5</v>
      </c>
      <c r="K6089">
        <v>16</v>
      </c>
      <c r="L6089">
        <v>8</v>
      </c>
      <c r="M6089">
        <v>1.6830000000000001</v>
      </c>
    </row>
    <row r="6090" spans="1:13" ht="15" customHeight="1">
      <c r="A6090" t="s">
        <v>64</v>
      </c>
      <c r="B6090">
        <f t="shared" si="378"/>
        <v>33.695891000000003</v>
      </c>
      <c r="C6090">
        <f t="shared" si="379"/>
        <v>-117.861468</v>
      </c>
      <c r="D6090">
        <f t="shared" si="380"/>
        <v>37</v>
      </c>
      <c r="E6090">
        <v>115.499</v>
      </c>
      <c r="F6090">
        <f t="shared" si="381"/>
        <v>-78.498999999999995</v>
      </c>
      <c r="G6090">
        <v>33.799999999999997</v>
      </c>
      <c r="H6090">
        <v>1.1970000000000001</v>
      </c>
      <c r="I6090">
        <v>3.5510000000000002</v>
      </c>
      <c r="J6090">
        <v>5</v>
      </c>
      <c r="K6090">
        <v>16</v>
      </c>
      <c r="L6090">
        <v>8</v>
      </c>
      <c r="M6090">
        <v>1.766</v>
      </c>
    </row>
    <row r="6091" spans="1:13" ht="15" customHeight="1">
      <c r="A6091" t="s">
        <v>64</v>
      </c>
      <c r="B6091">
        <f t="shared" si="378"/>
        <v>33.695891000000003</v>
      </c>
      <c r="C6091">
        <f t="shared" si="379"/>
        <v>-117.861468</v>
      </c>
      <c r="D6091">
        <f t="shared" si="380"/>
        <v>37</v>
      </c>
      <c r="E6091">
        <v>116.499</v>
      </c>
      <c r="F6091">
        <f t="shared" si="381"/>
        <v>-79.498999999999995</v>
      </c>
      <c r="G6091">
        <v>37.15</v>
      </c>
      <c r="H6091">
        <v>1.6020000000000001</v>
      </c>
      <c r="I6091">
        <v>4.319</v>
      </c>
      <c r="J6091">
        <v>4</v>
      </c>
      <c r="K6091">
        <v>24</v>
      </c>
      <c r="L6091">
        <v>12</v>
      </c>
      <c r="M6091">
        <v>1.9870000000000001</v>
      </c>
    </row>
    <row r="6092" spans="1:13" ht="15" customHeight="1">
      <c r="A6092" t="s">
        <v>64</v>
      </c>
      <c r="B6092">
        <f t="shared" si="378"/>
        <v>33.695891000000003</v>
      </c>
      <c r="C6092">
        <f t="shared" si="379"/>
        <v>-117.861468</v>
      </c>
      <c r="D6092">
        <f t="shared" si="380"/>
        <v>37</v>
      </c>
      <c r="E6092">
        <v>117.498</v>
      </c>
      <c r="F6092">
        <f t="shared" si="381"/>
        <v>-80.498000000000005</v>
      </c>
      <c r="G6092">
        <v>33.299999999999997</v>
      </c>
      <c r="H6092">
        <v>1.502</v>
      </c>
      <c r="I6092">
        <v>4.5209999999999999</v>
      </c>
      <c r="J6092">
        <v>4</v>
      </c>
      <c r="K6092">
        <v>21</v>
      </c>
      <c r="L6092">
        <v>11</v>
      </c>
      <c r="M6092">
        <v>1.7250000000000001</v>
      </c>
    </row>
    <row r="6093" spans="1:13" ht="15" customHeight="1">
      <c r="A6093" t="s">
        <v>64</v>
      </c>
      <c r="B6093">
        <f t="shared" si="378"/>
        <v>33.695891000000003</v>
      </c>
      <c r="C6093">
        <f t="shared" si="379"/>
        <v>-117.861468</v>
      </c>
      <c r="D6093">
        <f t="shared" si="380"/>
        <v>37</v>
      </c>
      <c r="E6093">
        <v>118.498</v>
      </c>
      <c r="F6093">
        <f t="shared" si="381"/>
        <v>-81.498000000000005</v>
      </c>
      <c r="G6093">
        <v>30.466999999999999</v>
      </c>
      <c r="H6093">
        <v>1.0029999999999999</v>
      </c>
      <c r="I6093">
        <v>3.2949999999999999</v>
      </c>
      <c r="J6093">
        <v>5</v>
      </c>
      <c r="K6093">
        <v>15</v>
      </c>
      <c r="L6093">
        <v>8</v>
      </c>
      <c r="M6093">
        <v>1.536</v>
      </c>
    </row>
    <row r="6094" spans="1:13" ht="15" customHeight="1">
      <c r="A6094" t="s">
        <v>64</v>
      </c>
      <c r="B6094">
        <f t="shared" si="378"/>
        <v>33.695891000000003</v>
      </c>
      <c r="C6094">
        <f t="shared" si="379"/>
        <v>-117.861468</v>
      </c>
      <c r="D6094">
        <f t="shared" si="380"/>
        <v>37</v>
      </c>
      <c r="E6094">
        <v>119.498</v>
      </c>
      <c r="F6094">
        <f t="shared" si="381"/>
        <v>-82.498000000000005</v>
      </c>
      <c r="G6094">
        <v>32.433</v>
      </c>
      <c r="H6094">
        <v>1.2669999999999999</v>
      </c>
      <c r="I6094">
        <v>3.9089999999999998</v>
      </c>
      <c r="J6094">
        <v>4</v>
      </c>
      <c r="K6094">
        <v>21</v>
      </c>
      <c r="L6094">
        <v>11</v>
      </c>
      <c r="M6094">
        <v>1.6619999999999999</v>
      </c>
    </row>
    <row r="6095" spans="1:13" ht="15" customHeight="1">
      <c r="A6095" t="s">
        <v>64</v>
      </c>
      <c r="B6095">
        <f t="shared" si="378"/>
        <v>33.695891000000003</v>
      </c>
      <c r="C6095">
        <f t="shared" si="379"/>
        <v>-117.861468</v>
      </c>
      <c r="D6095">
        <f t="shared" si="380"/>
        <v>37</v>
      </c>
      <c r="E6095">
        <v>120.498</v>
      </c>
      <c r="F6095">
        <f t="shared" si="381"/>
        <v>-83.498000000000005</v>
      </c>
      <c r="G6095">
        <v>33.866999999999997</v>
      </c>
      <c r="H6095">
        <v>1.2929999999999999</v>
      </c>
      <c r="I6095">
        <v>3.8210000000000002</v>
      </c>
      <c r="J6095">
        <v>5</v>
      </c>
      <c r="K6095">
        <v>16</v>
      </c>
      <c r="L6095">
        <v>8</v>
      </c>
      <c r="M6095">
        <v>1.7549999999999999</v>
      </c>
    </row>
    <row r="6096" spans="1:13" ht="15" customHeight="1">
      <c r="A6096" t="s">
        <v>64</v>
      </c>
      <c r="B6096">
        <f t="shared" si="378"/>
        <v>33.695891000000003</v>
      </c>
      <c r="C6096">
        <f t="shared" si="379"/>
        <v>-117.861468</v>
      </c>
      <c r="D6096">
        <f t="shared" si="380"/>
        <v>37</v>
      </c>
      <c r="E6096">
        <v>121.498</v>
      </c>
      <c r="F6096">
        <f t="shared" si="381"/>
        <v>-84.498000000000005</v>
      </c>
      <c r="G6096">
        <v>42.183</v>
      </c>
      <c r="H6096">
        <v>1.9650000000000001</v>
      </c>
      <c r="I6096">
        <v>4.66</v>
      </c>
      <c r="J6096">
        <v>4</v>
      </c>
      <c r="K6096">
        <v>27</v>
      </c>
      <c r="L6096">
        <v>14</v>
      </c>
      <c r="M6096">
        <v>2.3050000000000002</v>
      </c>
    </row>
    <row r="6097" spans="1:13" ht="15" customHeight="1">
      <c r="A6097" t="s">
        <v>64</v>
      </c>
      <c r="B6097">
        <f t="shared" si="378"/>
        <v>33.695891000000003</v>
      </c>
      <c r="C6097">
        <f t="shared" si="379"/>
        <v>-117.861468</v>
      </c>
      <c r="D6097">
        <f t="shared" si="380"/>
        <v>37</v>
      </c>
      <c r="E6097">
        <v>122.498</v>
      </c>
      <c r="F6097">
        <f t="shared" si="381"/>
        <v>-85.498000000000005</v>
      </c>
      <c r="G6097">
        <v>37.6</v>
      </c>
      <c r="H6097">
        <v>1.863</v>
      </c>
      <c r="I6097">
        <v>4.9580000000000002</v>
      </c>
      <c r="J6097">
        <v>3</v>
      </c>
      <c r="K6097">
        <v>36</v>
      </c>
      <c r="L6097">
        <v>18</v>
      </c>
      <c r="M6097">
        <v>1.9950000000000001</v>
      </c>
    </row>
    <row r="6098" spans="1:13" ht="15" customHeight="1">
      <c r="A6098" t="s">
        <v>64</v>
      </c>
      <c r="B6098">
        <f t="shared" si="378"/>
        <v>33.695891000000003</v>
      </c>
      <c r="C6098">
        <f t="shared" si="379"/>
        <v>-117.861468</v>
      </c>
      <c r="D6098">
        <f t="shared" si="380"/>
        <v>37</v>
      </c>
      <c r="E6098">
        <v>123.498</v>
      </c>
      <c r="F6098">
        <f t="shared" si="381"/>
        <v>-86.498000000000005</v>
      </c>
      <c r="G6098">
        <v>33.917000000000002</v>
      </c>
      <c r="H6098">
        <v>1.4770000000000001</v>
      </c>
      <c r="I6098">
        <v>4.3579999999999997</v>
      </c>
      <c r="J6098">
        <v>4</v>
      </c>
      <c r="K6098">
        <v>22</v>
      </c>
      <c r="L6098">
        <v>11</v>
      </c>
      <c r="M6098">
        <v>1.744</v>
      </c>
    </row>
    <row r="6099" spans="1:13" ht="15" customHeight="1">
      <c r="A6099" t="s">
        <v>64</v>
      </c>
      <c r="B6099">
        <f t="shared" si="378"/>
        <v>33.695891000000003</v>
      </c>
      <c r="C6099">
        <f t="shared" si="379"/>
        <v>-117.861468</v>
      </c>
      <c r="D6099">
        <f t="shared" si="380"/>
        <v>37</v>
      </c>
      <c r="E6099">
        <v>124.498</v>
      </c>
      <c r="F6099">
        <f t="shared" si="381"/>
        <v>-87.498000000000005</v>
      </c>
      <c r="G6099">
        <v>36.216999999999999</v>
      </c>
      <c r="H6099">
        <v>1.508</v>
      </c>
      <c r="I6099">
        <v>4.165</v>
      </c>
      <c r="J6099">
        <v>4</v>
      </c>
      <c r="K6099">
        <v>23</v>
      </c>
      <c r="L6099">
        <v>12</v>
      </c>
      <c r="M6099">
        <v>1.8959999999999999</v>
      </c>
    </row>
    <row r="6100" spans="1:13" ht="15" customHeight="1">
      <c r="A6100" t="s">
        <v>64</v>
      </c>
      <c r="B6100">
        <f t="shared" si="378"/>
        <v>33.695891000000003</v>
      </c>
      <c r="C6100">
        <f t="shared" si="379"/>
        <v>-117.861468</v>
      </c>
      <c r="D6100">
        <f t="shared" si="380"/>
        <v>37</v>
      </c>
      <c r="E6100">
        <v>125.498</v>
      </c>
      <c r="F6100">
        <f t="shared" si="381"/>
        <v>-88.498000000000005</v>
      </c>
      <c r="G6100">
        <v>39.156999999999996</v>
      </c>
      <c r="H6100">
        <v>1.2170000000000001</v>
      </c>
      <c r="I6100">
        <v>3.109</v>
      </c>
      <c r="J6100">
        <v>5</v>
      </c>
      <c r="K6100">
        <v>19</v>
      </c>
      <c r="L6100">
        <v>10</v>
      </c>
      <c r="M6100">
        <v>2.0870000000000002</v>
      </c>
    </row>
    <row r="6101" spans="1:13" ht="15" customHeight="1">
      <c r="A6101" t="s">
        <v>64</v>
      </c>
      <c r="B6101">
        <f t="shared" si="378"/>
        <v>33.695891000000003</v>
      </c>
      <c r="C6101">
        <f t="shared" si="379"/>
        <v>-117.861468</v>
      </c>
      <c r="D6101">
        <f t="shared" si="380"/>
        <v>37</v>
      </c>
      <c r="E6101">
        <v>126.498</v>
      </c>
      <c r="F6101">
        <f t="shared" si="381"/>
        <v>-89.498000000000005</v>
      </c>
      <c r="G6101">
        <v>33.549999999999997</v>
      </c>
      <c r="H6101">
        <v>0.73</v>
      </c>
      <c r="I6101">
        <v>2.1749999999999998</v>
      </c>
      <c r="J6101">
        <v>6</v>
      </c>
      <c r="K6101">
        <v>13</v>
      </c>
      <c r="L6101">
        <v>7</v>
      </c>
      <c r="M6101">
        <v>1.7110000000000001</v>
      </c>
    </row>
    <row r="6102" spans="1:13" ht="15" customHeight="1">
      <c r="A6102" t="s">
        <v>64</v>
      </c>
      <c r="B6102">
        <f t="shared" si="378"/>
        <v>33.695891000000003</v>
      </c>
      <c r="C6102">
        <f t="shared" si="379"/>
        <v>-117.861468</v>
      </c>
      <c r="D6102">
        <f t="shared" si="380"/>
        <v>37</v>
      </c>
      <c r="E6102">
        <v>127.498</v>
      </c>
      <c r="F6102">
        <f t="shared" si="381"/>
        <v>-90.498000000000005</v>
      </c>
      <c r="G6102">
        <v>35.332999999999998</v>
      </c>
      <c r="H6102">
        <v>0.78800000000000003</v>
      </c>
      <c r="I6102">
        <v>2.226</v>
      </c>
      <c r="J6102">
        <v>6</v>
      </c>
      <c r="K6102">
        <v>14</v>
      </c>
      <c r="L6102">
        <v>7</v>
      </c>
      <c r="M6102">
        <v>1.83</v>
      </c>
    </row>
    <row r="6103" spans="1:13" ht="15" customHeight="1">
      <c r="A6103" t="s">
        <v>64</v>
      </c>
      <c r="B6103">
        <f t="shared" si="378"/>
        <v>33.695891000000003</v>
      </c>
      <c r="C6103">
        <f t="shared" si="379"/>
        <v>-117.861468</v>
      </c>
      <c r="D6103">
        <f t="shared" si="380"/>
        <v>37</v>
      </c>
      <c r="E6103">
        <v>128.49799999999999</v>
      </c>
      <c r="F6103">
        <f t="shared" si="381"/>
        <v>-91.49799999999999</v>
      </c>
      <c r="G6103">
        <v>59.45</v>
      </c>
      <c r="H6103">
        <v>2.218</v>
      </c>
      <c r="I6103">
        <v>3.7269999999999999</v>
      </c>
      <c r="J6103">
        <v>5</v>
      </c>
      <c r="K6103">
        <v>29</v>
      </c>
      <c r="L6103">
        <v>15</v>
      </c>
      <c r="M6103">
        <v>3.4319999999999999</v>
      </c>
    </row>
    <row r="6104" spans="1:13" ht="15" customHeight="1">
      <c r="A6104" t="s">
        <v>64</v>
      </c>
      <c r="B6104">
        <f t="shared" si="378"/>
        <v>33.695891000000003</v>
      </c>
      <c r="C6104">
        <f t="shared" si="379"/>
        <v>-117.861468</v>
      </c>
      <c r="D6104">
        <f t="shared" si="380"/>
        <v>37</v>
      </c>
      <c r="E6104">
        <v>129.49799999999999</v>
      </c>
      <c r="F6104">
        <f t="shared" si="381"/>
        <v>-92.49799999999999</v>
      </c>
      <c r="G6104">
        <v>34.549999999999997</v>
      </c>
      <c r="H6104">
        <v>0.63300000000000001</v>
      </c>
      <c r="I6104">
        <v>1.819</v>
      </c>
      <c r="J6104">
        <v>6</v>
      </c>
      <c r="K6104">
        <v>13</v>
      </c>
      <c r="L6104">
        <v>7</v>
      </c>
      <c r="M6104">
        <v>1.782</v>
      </c>
    </row>
    <row r="6105" spans="1:13" ht="15" customHeight="1">
      <c r="A6105" t="s">
        <v>64</v>
      </c>
      <c r="B6105">
        <f t="shared" si="378"/>
        <v>33.695891000000003</v>
      </c>
      <c r="C6105">
        <f t="shared" si="379"/>
        <v>-117.861468</v>
      </c>
      <c r="D6105">
        <f t="shared" si="380"/>
        <v>37</v>
      </c>
      <c r="E6105">
        <v>130.49799999999999</v>
      </c>
      <c r="F6105">
        <f t="shared" si="381"/>
        <v>-93.49799999999999</v>
      </c>
      <c r="G6105">
        <v>35.200000000000003</v>
      </c>
      <c r="H6105">
        <v>0</v>
      </c>
      <c r="I6105">
        <v>0</v>
      </c>
      <c r="J6105">
        <v>8</v>
      </c>
      <c r="K6105" s="1">
        <v>9000000000</v>
      </c>
      <c r="L6105" s="1">
        <v>9000000000</v>
      </c>
      <c r="M6105" s="1">
        <v>9000000000</v>
      </c>
    </row>
    <row r="6106" spans="1:13" ht="15" customHeight="1">
      <c r="A6106" t="s">
        <v>65</v>
      </c>
      <c r="B6106">
        <f t="shared" si="378"/>
        <v>33.695872999999999</v>
      </c>
      <c r="C6106">
        <f t="shared" si="379"/>
        <v>-117.859835</v>
      </c>
      <c r="D6106">
        <f t="shared" si="380"/>
        <v>37</v>
      </c>
      <c r="E6106">
        <v>0.5</v>
      </c>
      <c r="F6106">
        <f t="shared" si="381"/>
        <v>36.5</v>
      </c>
      <c r="G6106">
        <v>1.167</v>
      </c>
      <c r="H6106">
        <v>3.6999999999999998E-2</v>
      </c>
      <c r="I6106">
        <v>3.1429999999999998</v>
      </c>
      <c r="J6106">
        <v>2</v>
      </c>
      <c r="K6106">
        <v>1</v>
      </c>
      <c r="L6106">
        <v>2</v>
      </c>
      <c r="M6106">
        <v>7.5999999999999998E-2</v>
      </c>
    </row>
    <row r="6107" spans="1:13" ht="15" customHeight="1">
      <c r="A6107" t="s">
        <v>65</v>
      </c>
      <c r="B6107">
        <f t="shared" si="378"/>
        <v>33.695872999999999</v>
      </c>
      <c r="C6107">
        <f t="shared" si="379"/>
        <v>-117.859835</v>
      </c>
      <c r="D6107">
        <f t="shared" si="380"/>
        <v>37</v>
      </c>
      <c r="E6107">
        <v>1.5</v>
      </c>
      <c r="F6107">
        <f t="shared" si="381"/>
        <v>35.5</v>
      </c>
      <c r="G6107">
        <v>20.832999999999998</v>
      </c>
      <c r="H6107">
        <v>0.72299999999999998</v>
      </c>
      <c r="I6107">
        <v>3.4550000000000001</v>
      </c>
      <c r="J6107">
        <v>5</v>
      </c>
      <c r="K6107">
        <v>10</v>
      </c>
      <c r="L6107">
        <v>15</v>
      </c>
      <c r="M6107">
        <v>1.391</v>
      </c>
    </row>
    <row r="6108" spans="1:13" ht="15" customHeight="1">
      <c r="A6108" t="s">
        <v>65</v>
      </c>
      <c r="B6108">
        <f t="shared" si="378"/>
        <v>33.695872999999999</v>
      </c>
      <c r="C6108">
        <f t="shared" si="379"/>
        <v>-117.859835</v>
      </c>
      <c r="D6108">
        <f t="shared" si="380"/>
        <v>37</v>
      </c>
      <c r="E6108">
        <v>2.5</v>
      </c>
      <c r="F6108">
        <f t="shared" si="381"/>
        <v>34.5</v>
      </c>
      <c r="G6108">
        <v>10.583</v>
      </c>
      <c r="H6108">
        <v>0.40200000000000002</v>
      </c>
      <c r="I6108">
        <v>3.7480000000000002</v>
      </c>
      <c r="J6108">
        <v>3</v>
      </c>
      <c r="K6108">
        <v>10</v>
      </c>
      <c r="L6108">
        <v>15</v>
      </c>
      <c r="M6108">
        <v>0.70499999999999996</v>
      </c>
    </row>
    <row r="6109" spans="1:13" ht="15" customHeight="1">
      <c r="A6109" t="s">
        <v>65</v>
      </c>
      <c r="B6109">
        <f t="shared" si="378"/>
        <v>33.695872999999999</v>
      </c>
      <c r="C6109">
        <f t="shared" si="379"/>
        <v>-117.859835</v>
      </c>
      <c r="D6109">
        <f t="shared" si="380"/>
        <v>37</v>
      </c>
      <c r="E6109">
        <v>3.5</v>
      </c>
      <c r="F6109">
        <f t="shared" si="381"/>
        <v>33.5</v>
      </c>
      <c r="G6109">
        <v>7.95</v>
      </c>
      <c r="H6109">
        <v>0.443</v>
      </c>
      <c r="I6109">
        <v>5.4960000000000004</v>
      </c>
      <c r="J6109">
        <v>3</v>
      </c>
      <c r="K6109">
        <v>8</v>
      </c>
      <c r="L6109">
        <v>12</v>
      </c>
      <c r="M6109">
        <v>0.52500000000000002</v>
      </c>
    </row>
    <row r="6110" spans="1:13" ht="15" customHeight="1">
      <c r="A6110" t="s">
        <v>65</v>
      </c>
      <c r="B6110">
        <f t="shared" si="378"/>
        <v>33.695872999999999</v>
      </c>
      <c r="C6110">
        <f t="shared" si="379"/>
        <v>-117.859835</v>
      </c>
      <c r="D6110">
        <f t="shared" si="380"/>
        <v>37</v>
      </c>
      <c r="E6110">
        <v>4.5</v>
      </c>
      <c r="F6110">
        <f t="shared" si="381"/>
        <v>32.5</v>
      </c>
      <c r="G6110">
        <v>7.9</v>
      </c>
      <c r="H6110">
        <v>0.34300000000000003</v>
      </c>
      <c r="I6110">
        <v>4.2830000000000004</v>
      </c>
      <c r="J6110">
        <v>3</v>
      </c>
      <c r="K6110">
        <v>8</v>
      </c>
      <c r="L6110">
        <v>12</v>
      </c>
      <c r="M6110">
        <v>0.51700000000000002</v>
      </c>
    </row>
    <row r="6111" spans="1:13" ht="15" customHeight="1">
      <c r="A6111" t="s">
        <v>65</v>
      </c>
      <c r="B6111">
        <f t="shared" si="378"/>
        <v>33.695872999999999</v>
      </c>
      <c r="C6111">
        <f t="shared" si="379"/>
        <v>-117.859835</v>
      </c>
      <c r="D6111">
        <f t="shared" si="380"/>
        <v>37</v>
      </c>
      <c r="E6111">
        <v>5.5</v>
      </c>
      <c r="F6111">
        <f t="shared" si="381"/>
        <v>31.5</v>
      </c>
      <c r="G6111">
        <v>7.8170000000000002</v>
      </c>
      <c r="H6111">
        <v>0.40500000000000003</v>
      </c>
      <c r="I6111">
        <v>5.0519999999999996</v>
      </c>
      <c r="J6111">
        <v>3</v>
      </c>
      <c r="K6111">
        <v>8</v>
      </c>
      <c r="L6111">
        <v>12</v>
      </c>
      <c r="M6111">
        <v>0.51300000000000001</v>
      </c>
    </row>
    <row r="6112" spans="1:13" ht="15" customHeight="1">
      <c r="A6112" t="s">
        <v>65</v>
      </c>
      <c r="B6112">
        <f t="shared" si="378"/>
        <v>33.695872999999999</v>
      </c>
      <c r="C6112">
        <f t="shared" si="379"/>
        <v>-117.859835</v>
      </c>
      <c r="D6112">
        <f t="shared" si="380"/>
        <v>37</v>
      </c>
      <c r="E6112">
        <v>6.5</v>
      </c>
      <c r="F6112">
        <f t="shared" si="381"/>
        <v>30.5</v>
      </c>
      <c r="G6112">
        <v>7.45</v>
      </c>
      <c r="H6112">
        <v>0.32800000000000001</v>
      </c>
      <c r="I6112">
        <v>4.3109999999999999</v>
      </c>
      <c r="J6112">
        <v>3</v>
      </c>
      <c r="K6112">
        <v>7</v>
      </c>
      <c r="L6112">
        <v>11</v>
      </c>
      <c r="M6112">
        <v>0.48299999999999998</v>
      </c>
    </row>
    <row r="6113" spans="1:13" ht="15" customHeight="1">
      <c r="A6113" t="s">
        <v>65</v>
      </c>
      <c r="B6113">
        <f t="shared" si="378"/>
        <v>33.695872999999999</v>
      </c>
      <c r="C6113">
        <f t="shared" si="379"/>
        <v>-117.859835</v>
      </c>
      <c r="D6113">
        <f t="shared" si="380"/>
        <v>37</v>
      </c>
      <c r="E6113">
        <v>7.5</v>
      </c>
      <c r="F6113">
        <f t="shared" si="381"/>
        <v>29.5</v>
      </c>
      <c r="G6113">
        <v>6.367</v>
      </c>
      <c r="H6113">
        <v>0.248</v>
      </c>
      <c r="I6113">
        <v>3.782</v>
      </c>
      <c r="J6113">
        <v>3</v>
      </c>
      <c r="K6113">
        <v>6</v>
      </c>
      <c r="L6113">
        <v>9</v>
      </c>
      <c r="M6113">
        <v>0.40899999999999997</v>
      </c>
    </row>
    <row r="6114" spans="1:13" ht="15" customHeight="1">
      <c r="A6114" t="s">
        <v>65</v>
      </c>
      <c r="B6114">
        <f t="shared" si="378"/>
        <v>33.695872999999999</v>
      </c>
      <c r="C6114">
        <f t="shared" si="379"/>
        <v>-117.859835</v>
      </c>
      <c r="D6114">
        <f t="shared" si="380"/>
        <v>37</v>
      </c>
      <c r="E6114">
        <v>8.5</v>
      </c>
      <c r="F6114">
        <f t="shared" si="381"/>
        <v>28.5</v>
      </c>
      <c r="G6114">
        <v>8.4499999999999993</v>
      </c>
      <c r="H6114">
        <v>0.28799999999999998</v>
      </c>
      <c r="I6114">
        <v>3.3210000000000002</v>
      </c>
      <c r="J6114">
        <v>3</v>
      </c>
      <c r="K6114">
        <v>8</v>
      </c>
      <c r="L6114">
        <v>12</v>
      </c>
      <c r="M6114">
        <v>0.54600000000000004</v>
      </c>
    </row>
    <row r="6115" spans="1:13" ht="15" customHeight="1">
      <c r="A6115" t="s">
        <v>65</v>
      </c>
      <c r="B6115">
        <f t="shared" si="378"/>
        <v>33.695872999999999</v>
      </c>
      <c r="C6115">
        <f t="shared" si="379"/>
        <v>-117.859835</v>
      </c>
      <c r="D6115">
        <f t="shared" si="380"/>
        <v>37</v>
      </c>
      <c r="E6115">
        <v>9.5</v>
      </c>
      <c r="F6115">
        <f t="shared" si="381"/>
        <v>27.5</v>
      </c>
      <c r="G6115">
        <v>7.5330000000000004</v>
      </c>
      <c r="H6115">
        <v>0.26300000000000001</v>
      </c>
      <c r="I6115">
        <v>3.391</v>
      </c>
      <c r="J6115">
        <v>3</v>
      </c>
      <c r="K6115">
        <v>7</v>
      </c>
      <c r="L6115">
        <v>11</v>
      </c>
      <c r="M6115">
        <v>0.48099999999999998</v>
      </c>
    </row>
    <row r="6116" spans="1:13" ht="15" customHeight="1">
      <c r="A6116" t="s">
        <v>65</v>
      </c>
      <c r="B6116">
        <f t="shared" si="378"/>
        <v>33.695872999999999</v>
      </c>
      <c r="C6116">
        <f t="shared" si="379"/>
        <v>-117.859835</v>
      </c>
      <c r="D6116">
        <f t="shared" si="380"/>
        <v>37</v>
      </c>
      <c r="E6116">
        <v>10.5</v>
      </c>
      <c r="F6116">
        <f t="shared" si="381"/>
        <v>26.5</v>
      </c>
      <c r="G6116">
        <v>10.243</v>
      </c>
      <c r="H6116">
        <v>0.29099999999999998</v>
      </c>
      <c r="I6116">
        <v>2.7829999999999999</v>
      </c>
      <c r="J6116">
        <v>4</v>
      </c>
      <c r="K6116">
        <v>7</v>
      </c>
      <c r="L6116">
        <v>10</v>
      </c>
      <c r="M6116">
        <v>0.65700000000000003</v>
      </c>
    </row>
    <row r="6117" spans="1:13" ht="15" customHeight="1">
      <c r="A6117" t="s">
        <v>65</v>
      </c>
      <c r="B6117">
        <f t="shared" si="378"/>
        <v>33.695872999999999</v>
      </c>
      <c r="C6117">
        <f t="shared" si="379"/>
        <v>-117.859835</v>
      </c>
      <c r="D6117">
        <f t="shared" si="380"/>
        <v>37</v>
      </c>
      <c r="E6117">
        <v>11.5</v>
      </c>
      <c r="F6117">
        <f t="shared" si="381"/>
        <v>25.5</v>
      </c>
      <c r="G6117">
        <v>7.633</v>
      </c>
      <c r="H6117">
        <v>0.23699999999999999</v>
      </c>
      <c r="I6117">
        <v>3.0150000000000001</v>
      </c>
      <c r="J6117">
        <v>3</v>
      </c>
      <c r="K6117">
        <v>8</v>
      </c>
      <c r="L6117">
        <v>11</v>
      </c>
      <c r="M6117">
        <v>0.47799999999999998</v>
      </c>
    </row>
    <row r="6118" spans="1:13" ht="15" customHeight="1">
      <c r="A6118" t="s">
        <v>65</v>
      </c>
      <c r="B6118">
        <f t="shared" si="378"/>
        <v>33.695872999999999</v>
      </c>
      <c r="C6118">
        <f t="shared" si="379"/>
        <v>-117.859835</v>
      </c>
      <c r="D6118">
        <f t="shared" si="380"/>
        <v>37</v>
      </c>
      <c r="E6118">
        <v>12.5</v>
      </c>
      <c r="F6118">
        <f t="shared" si="381"/>
        <v>24.5</v>
      </c>
      <c r="G6118">
        <v>10.050000000000001</v>
      </c>
      <c r="H6118">
        <v>0.35299999999999998</v>
      </c>
      <c r="I6118">
        <v>3.4359999999999999</v>
      </c>
      <c r="J6118">
        <v>3</v>
      </c>
      <c r="K6118">
        <v>10</v>
      </c>
      <c r="L6118">
        <v>13</v>
      </c>
      <c r="M6118">
        <v>0.63600000000000001</v>
      </c>
    </row>
    <row r="6119" spans="1:13" ht="15" customHeight="1">
      <c r="A6119" t="s">
        <v>65</v>
      </c>
      <c r="B6119">
        <f t="shared" si="378"/>
        <v>33.695872999999999</v>
      </c>
      <c r="C6119">
        <f t="shared" si="379"/>
        <v>-117.859835</v>
      </c>
      <c r="D6119">
        <f t="shared" si="380"/>
        <v>37</v>
      </c>
      <c r="E6119">
        <v>13.5</v>
      </c>
      <c r="F6119">
        <f t="shared" si="381"/>
        <v>23.5</v>
      </c>
      <c r="G6119">
        <v>11.083</v>
      </c>
      <c r="H6119">
        <v>0.52800000000000002</v>
      </c>
      <c r="I6119">
        <v>4.6820000000000004</v>
      </c>
      <c r="J6119">
        <v>3</v>
      </c>
      <c r="K6119">
        <v>11</v>
      </c>
      <c r="L6119">
        <v>13</v>
      </c>
      <c r="M6119">
        <v>0.69899999999999995</v>
      </c>
    </row>
    <row r="6120" spans="1:13" ht="15" customHeight="1">
      <c r="A6120" t="s">
        <v>65</v>
      </c>
      <c r="B6120">
        <f t="shared" si="378"/>
        <v>33.695872999999999</v>
      </c>
      <c r="C6120">
        <f t="shared" si="379"/>
        <v>-117.859835</v>
      </c>
      <c r="D6120">
        <f t="shared" si="380"/>
        <v>37</v>
      </c>
      <c r="E6120">
        <v>14.5</v>
      </c>
      <c r="F6120">
        <f t="shared" si="381"/>
        <v>22.5</v>
      </c>
      <c r="G6120">
        <v>8.2829999999999995</v>
      </c>
      <c r="H6120">
        <v>0.33</v>
      </c>
      <c r="I6120">
        <v>3.89</v>
      </c>
      <c r="J6120">
        <v>3</v>
      </c>
      <c r="K6120">
        <v>8</v>
      </c>
      <c r="L6120">
        <v>9</v>
      </c>
      <c r="M6120">
        <v>0.50800000000000001</v>
      </c>
    </row>
    <row r="6121" spans="1:13" ht="15" customHeight="1">
      <c r="A6121" t="s">
        <v>65</v>
      </c>
      <c r="B6121">
        <f t="shared" si="378"/>
        <v>33.695872999999999</v>
      </c>
      <c r="C6121">
        <f t="shared" si="379"/>
        <v>-117.859835</v>
      </c>
      <c r="D6121">
        <f t="shared" si="380"/>
        <v>37</v>
      </c>
      <c r="E6121">
        <v>15.5</v>
      </c>
      <c r="F6121">
        <f t="shared" si="381"/>
        <v>21.5</v>
      </c>
      <c r="G6121">
        <v>8.5169999999999995</v>
      </c>
      <c r="H6121">
        <v>0.31</v>
      </c>
      <c r="I6121">
        <v>3.556</v>
      </c>
      <c r="J6121">
        <v>3</v>
      </c>
      <c r="K6121">
        <v>8</v>
      </c>
      <c r="L6121">
        <v>9</v>
      </c>
      <c r="M6121">
        <v>0.52</v>
      </c>
    </row>
    <row r="6122" spans="1:13" ht="15" customHeight="1">
      <c r="A6122" t="s">
        <v>65</v>
      </c>
      <c r="B6122">
        <f t="shared" si="378"/>
        <v>33.695872999999999</v>
      </c>
      <c r="C6122">
        <f t="shared" si="379"/>
        <v>-117.859835</v>
      </c>
      <c r="D6122">
        <f t="shared" si="380"/>
        <v>37</v>
      </c>
      <c r="E6122">
        <v>16.5</v>
      </c>
      <c r="F6122">
        <f t="shared" si="381"/>
        <v>20.5</v>
      </c>
      <c r="G6122">
        <v>22.332999999999998</v>
      </c>
      <c r="H6122">
        <v>0.84699999999999998</v>
      </c>
      <c r="I6122">
        <v>3.7570000000000001</v>
      </c>
      <c r="J6122">
        <v>4</v>
      </c>
      <c r="K6122">
        <v>14</v>
      </c>
      <c r="L6122">
        <v>14</v>
      </c>
      <c r="M6122">
        <v>1.4370000000000001</v>
      </c>
    </row>
    <row r="6123" spans="1:13" ht="15" customHeight="1">
      <c r="A6123" t="s">
        <v>65</v>
      </c>
      <c r="B6123">
        <f t="shared" si="378"/>
        <v>33.695872999999999</v>
      </c>
      <c r="C6123">
        <f t="shared" si="379"/>
        <v>-117.859835</v>
      </c>
      <c r="D6123">
        <f t="shared" si="380"/>
        <v>37</v>
      </c>
      <c r="E6123">
        <v>17.5</v>
      </c>
      <c r="F6123">
        <f t="shared" si="381"/>
        <v>19.5</v>
      </c>
      <c r="G6123">
        <v>39.466999999999999</v>
      </c>
      <c r="H6123">
        <v>1.302</v>
      </c>
      <c r="I6123">
        <v>3.282</v>
      </c>
      <c r="J6123">
        <v>5</v>
      </c>
      <c r="K6123">
        <v>19</v>
      </c>
      <c r="L6123">
        <v>18</v>
      </c>
      <c r="M6123">
        <v>2.5750000000000002</v>
      </c>
    </row>
    <row r="6124" spans="1:13" ht="15" customHeight="1">
      <c r="A6124" t="s">
        <v>65</v>
      </c>
      <c r="B6124">
        <f t="shared" si="378"/>
        <v>33.695872999999999</v>
      </c>
      <c r="C6124">
        <f t="shared" si="379"/>
        <v>-117.859835</v>
      </c>
      <c r="D6124">
        <f t="shared" si="380"/>
        <v>37</v>
      </c>
      <c r="E6124">
        <v>18.5</v>
      </c>
      <c r="F6124">
        <f t="shared" si="381"/>
        <v>18.5</v>
      </c>
      <c r="G6124">
        <v>45.883000000000003</v>
      </c>
      <c r="H6124">
        <v>1.5720000000000001</v>
      </c>
      <c r="I6124">
        <v>3.4140000000000001</v>
      </c>
      <c r="J6124">
        <v>5</v>
      </c>
      <c r="K6124">
        <v>22</v>
      </c>
      <c r="L6124">
        <v>20</v>
      </c>
      <c r="M6124">
        <v>2.9950000000000001</v>
      </c>
    </row>
    <row r="6125" spans="1:13" ht="15" customHeight="1">
      <c r="A6125" t="s">
        <v>65</v>
      </c>
      <c r="B6125">
        <f t="shared" si="378"/>
        <v>33.695872999999999</v>
      </c>
      <c r="C6125">
        <f t="shared" si="379"/>
        <v>-117.859835</v>
      </c>
      <c r="D6125">
        <f t="shared" si="380"/>
        <v>37</v>
      </c>
      <c r="E6125">
        <v>19.5</v>
      </c>
      <c r="F6125">
        <f t="shared" si="381"/>
        <v>17.5</v>
      </c>
      <c r="G6125">
        <v>42.5</v>
      </c>
      <c r="H6125">
        <v>1.873</v>
      </c>
      <c r="I6125">
        <v>4.3890000000000002</v>
      </c>
      <c r="J6125">
        <v>4</v>
      </c>
      <c r="K6125">
        <v>27</v>
      </c>
      <c r="L6125">
        <v>24</v>
      </c>
      <c r="M6125">
        <v>2.7679999999999998</v>
      </c>
    </row>
    <row r="6126" spans="1:13" ht="15" customHeight="1">
      <c r="A6126" t="s">
        <v>65</v>
      </c>
      <c r="B6126">
        <f t="shared" si="378"/>
        <v>33.695872999999999</v>
      </c>
      <c r="C6126">
        <f t="shared" si="379"/>
        <v>-117.859835</v>
      </c>
      <c r="D6126">
        <f t="shared" si="380"/>
        <v>37</v>
      </c>
      <c r="E6126">
        <v>20.5</v>
      </c>
      <c r="F6126">
        <f t="shared" si="381"/>
        <v>16.5</v>
      </c>
      <c r="G6126">
        <v>39.871000000000002</v>
      </c>
      <c r="H6126">
        <v>1.859</v>
      </c>
      <c r="I6126">
        <v>4.641</v>
      </c>
      <c r="J6126">
        <v>4</v>
      </c>
      <c r="K6126">
        <v>26</v>
      </c>
      <c r="L6126">
        <v>22</v>
      </c>
      <c r="M6126">
        <v>2.5870000000000002</v>
      </c>
    </row>
    <row r="6127" spans="1:13" ht="15" customHeight="1">
      <c r="A6127" t="s">
        <v>65</v>
      </c>
      <c r="B6127">
        <f t="shared" si="378"/>
        <v>33.695872999999999</v>
      </c>
      <c r="C6127">
        <f t="shared" si="379"/>
        <v>-117.859835</v>
      </c>
      <c r="D6127">
        <f t="shared" si="380"/>
        <v>37</v>
      </c>
      <c r="E6127">
        <v>21.5</v>
      </c>
      <c r="F6127">
        <f t="shared" si="381"/>
        <v>15.5</v>
      </c>
      <c r="G6127">
        <v>36.866999999999997</v>
      </c>
      <c r="H6127">
        <v>1.617</v>
      </c>
      <c r="I6127">
        <v>4.3689999999999998</v>
      </c>
      <c r="J6127">
        <v>4</v>
      </c>
      <c r="K6127">
        <v>24</v>
      </c>
      <c r="L6127">
        <v>20</v>
      </c>
      <c r="M6127">
        <v>2.38</v>
      </c>
    </row>
    <row r="6128" spans="1:13" ht="15" customHeight="1">
      <c r="A6128" t="s">
        <v>65</v>
      </c>
      <c r="B6128">
        <f t="shared" si="378"/>
        <v>33.695872999999999</v>
      </c>
      <c r="C6128">
        <f t="shared" si="379"/>
        <v>-117.859835</v>
      </c>
      <c r="D6128">
        <f t="shared" si="380"/>
        <v>37</v>
      </c>
      <c r="E6128">
        <v>22.5</v>
      </c>
      <c r="F6128">
        <f t="shared" si="381"/>
        <v>14.5</v>
      </c>
      <c r="G6128">
        <v>34.317</v>
      </c>
      <c r="H6128">
        <v>1.3680000000000001</v>
      </c>
      <c r="I6128">
        <v>3.968</v>
      </c>
      <c r="J6128">
        <v>4</v>
      </c>
      <c r="K6128">
        <v>22</v>
      </c>
      <c r="L6128">
        <v>17</v>
      </c>
      <c r="M6128">
        <v>2.2080000000000002</v>
      </c>
    </row>
    <row r="6129" spans="1:13" ht="15" customHeight="1">
      <c r="A6129" t="s">
        <v>65</v>
      </c>
      <c r="B6129">
        <f t="shared" si="378"/>
        <v>33.695872999999999</v>
      </c>
      <c r="C6129">
        <f t="shared" si="379"/>
        <v>-117.859835</v>
      </c>
      <c r="D6129">
        <f t="shared" si="380"/>
        <v>37</v>
      </c>
      <c r="E6129">
        <v>23.5</v>
      </c>
      <c r="F6129">
        <f t="shared" si="381"/>
        <v>13.5</v>
      </c>
      <c r="G6129">
        <v>50.5</v>
      </c>
      <c r="H6129">
        <v>2.3029999999999999</v>
      </c>
      <c r="I6129">
        <v>4.5640000000000001</v>
      </c>
      <c r="J6129">
        <v>4</v>
      </c>
      <c r="K6129">
        <v>32</v>
      </c>
      <c r="L6129">
        <v>24</v>
      </c>
      <c r="M6129">
        <v>3.27</v>
      </c>
    </row>
    <row r="6130" spans="1:13" ht="15" customHeight="1">
      <c r="A6130" t="s">
        <v>65</v>
      </c>
      <c r="B6130">
        <f t="shared" si="378"/>
        <v>33.695872999999999</v>
      </c>
      <c r="C6130">
        <f t="shared" si="379"/>
        <v>-117.859835</v>
      </c>
      <c r="D6130">
        <f t="shared" si="380"/>
        <v>37</v>
      </c>
      <c r="E6130">
        <v>24.5</v>
      </c>
      <c r="F6130">
        <f t="shared" si="381"/>
        <v>12.5</v>
      </c>
      <c r="G6130">
        <v>61.317</v>
      </c>
      <c r="H6130">
        <v>2.6349999999999998</v>
      </c>
      <c r="I6130">
        <v>4.3040000000000003</v>
      </c>
      <c r="J6130">
        <v>5</v>
      </c>
      <c r="K6130">
        <v>29</v>
      </c>
      <c r="L6130">
        <v>21</v>
      </c>
      <c r="M6130">
        <v>3.9820000000000002</v>
      </c>
    </row>
    <row r="6131" spans="1:13" ht="15" customHeight="1">
      <c r="A6131" t="s">
        <v>65</v>
      </c>
      <c r="B6131">
        <f t="shared" si="378"/>
        <v>33.695872999999999</v>
      </c>
      <c r="C6131">
        <f t="shared" si="379"/>
        <v>-117.859835</v>
      </c>
      <c r="D6131">
        <f t="shared" si="380"/>
        <v>37</v>
      </c>
      <c r="E6131">
        <v>25.5</v>
      </c>
      <c r="F6131">
        <f t="shared" si="381"/>
        <v>11.5</v>
      </c>
      <c r="G6131">
        <v>162.21700000000001</v>
      </c>
      <c r="H6131">
        <v>7.8150000000000004</v>
      </c>
      <c r="I6131">
        <v>4.8220000000000001</v>
      </c>
      <c r="J6131">
        <v>11</v>
      </c>
      <c r="K6131">
        <v>155</v>
      </c>
      <c r="L6131">
        <v>112</v>
      </c>
      <c r="M6131" s="1">
        <v>9000000000</v>
      </c>
    </row>
    <row r="6132" spans="1:13" ht="15" customHeight="1">
      <c r="A6132" t="s">
        <v>65</v>
      </c>
      <c r="B6132">
        <f t="shared" si="378"/>
        <v>33.695872999999999</v>
      </c>
      <c r="C6132">
        <f t="shared" si="379"/>
        <v>-117.859835</v>
      </c>
      <c r="D6132">
        <f t="shared" si="380"/>
        <v>37</v>
      </c>
      <c r="E6132">
        <v>26.5</v>
      </c>
      <c r="F6132">
        <f t="shared" si="381"/>
        <v>10.5</v>
      </c>
      <c r="G6132">
        <v>94.85</v>
      </c>
      <c r="H6132">
        <v>4.6319999999999997</v>
      </c>
      <c r="I6132">
        <v>4.891</v>
      </c>
      <c r="J6132">
        <v>11</v>
      </c>
      <c r="K6132">
        <v>91</v>
      </c>
      <c r="L6132">
        <v>64</v>
      </c>
      <c r="M6132" s="1">
        <v>9000000000</v>
      </c>
    </row>
    <row r="6133" spans="1:13" ht="15" customHeight="1">
      <c r="A6133" t="s">
        <v>65</v>
      </c>
      <c r="B6133">
        <f t="shared" si="378"/>
        <v>33.695872999999999</v>
      </c>
      <c r="C6133">
        <f t="shared" si="379"/>
        <v>-117.859835</v>
      </c>
      <c r="D6133">
        <f t="shared" si="380"/>
        <v>37</v>
      </c>
      <c r="E6133">
        <v>27.5</v>
      </c>
      <c r="F6133">
        <f t="shared" si="381"/>
        <v>9.5</v>
      </c>
      <c r="G6133">
        <v>121</v>
      </c>
      <c r="H6133">
        <v>3.28</v>
      </c>
      <c r="I6133">
        <v>2.7149999999999999</v>
      </c>
      <c r="J6133">
        <v>7</v>
      </c>
      <c r="K6133">
        <v>39</v>
      </c>
      <c r="L6133">
        <v>27</v>
      </c>
      <c r="M6133" s="1">
        <v>9000000000</v>
      </c>
    </row>
    <row r="6134" spans="1:13" ht="15" customHeight="1">
      <c r="A6134" t="s">
        <v>65</v>
      </c>
      <c r="B6134">
        <f t="shared" si="378"/>
        <v>33.695872999999999</v>
      </c>
      <c r="C6134">
        <f t="shared" si="379"/>
        <v>-117.859835</v>
      </c>
      <c r="D6134">
        <f t="shared" si="380"/>
        <v>37</v>
      </c>
      <c r="E6134">
        <v>28.5</v>
      </c>
      <c r="F6134">
        <f t="shared" si="381"/>
        <v>8.5</v>
      </c>
      <c r="G6134">
        <v>60.9</v>
      </c>
      <c r="H6134">
        <v>2.8319999999999999</v>
      </c>
      <c r="I6134">
        <v>4.6609999999999996</v>
      </c>
      <c r="J6134">
        <v>4</v>
      </c>
      <c r="K6134">
        <v>39</v>
      </c>
      <c r="L6134">
        <v>27</v>
      </c>
      <c r="M6134">
        <v>3.9340000000000002</v>
      </c>
    </row>
    <row r="6135" spans="1:13" ht="15" customHeight="1">
      <c r="A6135" t="s">
        <v>65</v>
      </c>
      <c r="B6135">
        <f t="shared" si="378"/>
        <v>33.695872999999999</v>
      </c>
      <c r="C6135">
        <f t="shared" si="379"/>
        <v>-117.859835</v>
      </c>
      <c r="D6135">
        <f t="shared" si="380"/>
        <v>37</v>
      </c>
      <c r="E6135">
        <v>29.5</v>
      </c>
      <c r="F6135">
        <f t="shared" si="381"/>
        <v>7.5</v>
      </c>
      <c r="G6135">
        <v>55.082999999999998</v>
      </c>
      <c r="H6135">
        <v>2.3679999999999999</v>
      </c>
      <c r="I6135">
        <v>4.3070000000000004</v>
      </c>
      <c r="J6135">
        <v>5</v>
      </c>
      <c r="K6135">
        <v>26</v>
      </c>
      <c r="L6135">
        <v>18</v>
      </c>
      <c r="M6135">
        <v>3.5449999999999999</v>
      </c>
    </row>
    <row r="6136" spans="1:13" ht="15" customHeight="1">
      <c r="A6136" t="s">
        <v>65</v>
      </c>
      <c r="B6136">
        <f t="shared" si="378"/>
        <v>33.695872999999999</v>
      </c>
      <c r="C6136">
        <f t="shared" si="379"/>
        <v>-117.859835</v>
      </c>
      <c r="D6136">
        <f t="shared" si="380"/>
        <v>37</v>
      </c>
      <c r="E6136">
        <v>30.5</v>
      </c>
      <c r="F6136">
        <f t="shared" si="381"/>
        <v>6.5</v>
      </c>
      <c r="G6136">
        <v>61.417000000000002</v>
      </c>
      <c r="H6136">
        <v>2.56</v>
      </c>
      <c r="I6136">
        <v>4.1769999999999996</v>
      </c>
      <c r="J6136">
        <v>5</v>
      </c>
      <c r="K6136">
        <v>29</v>
      </c>
      <c r="L6136">
        <v>19</v>
      </c>
      <c r="M6136">
        <v>3.9609999999999999</v>
      </c>
    </row>
    <row r="6137" spans="1:13" ht="15" customHeight="1">
      <c r="A6137" t="s">
        <v>65</v>
      </c>
      <c r="B6137">
        <f t="shared" si="378"/>
        <v>33.695872999999999</v>
      </c>
      <c r="C6137">
        <f t="shared" si="379"/>
        <v>-117.859835</v>
      </c>
      <c r="D6137">
        <f t="shared" si="380"/>
        <v>37</v>
      </c>
      <c r="E6137">
        <v>31.5</v>
      </c>
      <c r="F6137">
        <f t="shared" si="381"/>
        <v>5.5</v>
      </c>
      <c r="G6137">
        <v>29.786000000000001</v>
      </c>
      <c r="H6137">
        <v>1.6839999999999999</v>
      </c>
      <c r="I6137">
        <v>5.6760000000000002</v>
      </c>
      <c r="J6137">
        <v>3</v>
      </c>
      <c r="K6137">
        <v>28</v>
      </c>
      <c r="L6137">
        <v>18</v>
      </c>
      <c r="M6137">
        <v>1.85</v>
      </c>
    </row>
    <row r="6138" spans="1:13" ht="15" customHeight="1">
      <c r="A6138" t="s">
        <v>65</v>
      </c>
      <c r="B6138">
        <f t="shared" si="378"/>
        <v>33.695872999999999</v>
      </c>
      <c r="C6138">
        <f t="shared" si="379"/>
        <v>-117.859835</v>
      </c>
      <c r="D6138">
        <f t="shared" si="380"/>
        <v>37</v>
      </c>
      <c r="E6138">
        <v>32.5</v>
      </c>
      <c r="F6138">
        <f t="shared" si="381"/>
        <v>4.5</v>
      </c>
      <c r="G6138">
        <v>81.016999999999996</v>
      </c>
      <c r="H6138">
        <v>3.1669999999999998</v>
      </c>
      <c r="I6138">
        <v>3.9129999999999998</v>
      </c>
      <c r="J6138">
        <v>5</v>
      </c>
      <c r="K6138">
        <v>39</v>
      </c>
      <c r="L6138">
        <v>25</v>
      </c>
      <c r="M6138">
        <v>5.2619999999999996</v>
      </c>
    </row>
    <row r="6139" spans="1:13" ht="15" customHeight="1">
      <c r="A6139" t="s">
        <v>65</v>
      </c>
      <c r="B6139">
        <f t="shared" si="378"/>
        <v>33.695872999999999</v>
      </c>
      <c r="C6139">
        <f t="shared" si="379"/>
        <v>-117.859835</v>
      </c>
      <c r="D6139">
        <f t="shared" si="380"/>
        <v>37</v>
      </c>
      <c r="E6139">
        <v>33.5</v>
      </c>
      <c r="F6139">
        <f t="shared" si="381"/>
        <v>3.5</v>
      </c>
      <c r="G6139">
        <v>48.533000000000001</v>
      </c>
      <c r="H6139">
        <v>1.992</v>
      </c>
      <c r="I6139">
        <v>4.1120000000000001</v>
      </c>
      <c r="J6139">
        <v>5</v>
      </c>
      <c r="K6139">
        <v>23</v>
      </c>
      <c r="L6139">
        <v>15</v>
      </c>
      <c r="M6139">
        <v>3.0920000000000001</v>
      </c>
    </row>
    <row r="6140" spans="1:13" ht="15" customHeight="1">
      <c r="A6140" t="s">
        <v>65</v>
      </c>
      <c r="B6140">
        <f t="shared" si="378"/>
        <v>33.695872999999999</v>
      </c>
      <c r="C6140">
        <f t="shared" si="379"/>
        <v>-117.859835</v>
      </c>
      <c r="D6140">
        <f t="shared" si="380"/>
        <v>37</v>
      </c>
      <c r="E6140">
        <v>34.5</v>
      </c>
      <c r="F6140">
        <f t="shared" si="381"/>
        <v>2.5</v>
      </c>
      <c r="G6140">
        <v>113.717</v>
      </c>
      <c r="H6140">
        <v>3.2480000000000002</v>
      </c>
      <c r="I6140">
        <v>2.859</v>
      </c>
      <c r="J6140">
        <v>6</v>
      </c>
      <c r="K6140">
        <v>44</v>
      </c>
      <c r="L6140">
        <v>28</v>
      </c>
      <c r="M6140">
        <v>7.4320000000000004</v>
      </c>
    </row>
    <row r="6141" spans="1:13" ht="15" customHeight="1">
      <c r="A6141" t="s">
        <v>65</v>
      </c>
      <c r="B6141">
        <f t="shared" si="378"/>
        <v>33.695872999999999</v>
      </c>
      <c r="C6141">
        <f t="shared" si="379"/>
        <v>-117.859835</v>
      </c>
      <c r="D6141">
        <f t="shared" si="380"/>
        <v>37</v>
      </c>
      <c r="E6141">
        <v>35.5</v>
      </c>
      <c r="F6141">
        <f t="shared" si="381"/>
        <v>1.5</v>
      </c>
      <c r="G6141">
        <v>208.3</v>
      </c>
      <c r="H6141">
        <v>3.8769999999999998</v>
      </c>
      <c r="I6141">
        <v>1.8620000000000001</v>
      </c>
      <c r="J6141">
        <v>8</v>
      </c>
      <c r="K6141">
        <v>50</v>
      </c>
      <c r="L6141">
        <v>31</v>
      </c>
      <c r="M6141" s="1">
        <v>9000000000</v>
      </c>
    </row>
    <row r="6142" spans="1:13" ht="15" customHeight="1">
      <c r="A6142" t="s">
        <v>65</v>
      </c>
      <c r="B6142">
        <f t="shared" si="378"/>
        <v>33.695872999999999</v>
      </c>
      <c r="C6142">
        <f t="shared" si="379"/>
        <v>-117.859835</v>
      </c>
      <c r="D6142">
        <f t="shared" si="380"/>
        <v>37</v>
      </c>
      <c r="E6142">
        <v>36.5</v>
      </c>
      <c r="F6142">
        <f t="shared" si="381"/>
        <v>0.5</v>
      </c>
      <c r="G6142">
        <v>185.6</v>
      </c>
      <c r="H6142">
        <v>5.12</v>
      </c>
      <c r="I6142">
        <v>2.76</v>
      </c>
      <c r="J6142">
        <v>7</v>
      </c>
      <c r="K6142">
        <v>59</v>
      </c>
      <c r="L6142">
        <v>36</v>
      </c>
      <c r="M6142" s="1">
        <v>9000000000</v>
      </c>
    </row>
    <row r="6143" spans="1:13" ht="15" customHeight="1">
      <c r="A6143" t="s">
        <v>65</v>
      </c>
      <c r="B6143">
        <f t="shared" si="378"/>
        <v>33.695872999999999</v>
      </c>
      <c r="C6143">
        <f t="shared" si="379"/>
        <v>-117.859835</v>
      </c>
      <c r="D6143">
        <f t="shared" si="380"/>
        <v>37</v>
      </c>
      <c r="E6143">
        <v>37.5</v>
      </c>
      <c r="F6143">
        <f t="shared" si="381"/>
        <v>-0.5</v>
      </c>
      <c r="G6143">
        <v>105.033</v>
      </c>
      <c r="H6143">
        <v>3.2549999999999999</v>
      </c>
      <c r="I6143">
        <v>3.1019999999999999</v>
      </c>
      <c r="J6143">
        <v>6</v>
      </c>
      <c r="K6143">
        <v>40</v>
      </c>
      <c r="L6143">
        <v>24</v>
      </c>
      <c r="M6143">
        <v>6.8419999999999996</v>
      </c>
    </row>
    <row r="6144" spans="1:13" ht="15" customHeight="1">
      <c r="A6144" t="s">
        <v>65</v>
      </c>
      <c r="B6144">
        <f t="shared" si="378"/>
        <v>33.695872999999999</v>
      </c>
      <c r="C6144">
        <f t="shared" si="379"/>
        <v>-117.859835</v>
      </c>
      <c r="D6144">
        <f t="shared" si="380"/>
        <v>37</v>
      </c>
      <c r="E6144">
        <v>38.5</v>
      </c>
      <c r="F6144">
        <f t="shared" si="381"/>
        <v>-1.5</v>
      </c>
      <c r="G6144">
        <v>64.332999999999998</v>
      </c>
      <c r="H6144">
        <v>1.7849999999999999</v>
      </c>
      <c r="I6144">
        <v>2.7789999999999999</v>
      </c>
      <c r="J6144">
        <v>6</v>
      </c>
      <c r="K6144">
        <v>25</v>
      </c>
      <c r="L6144">
        <v>15</v>
      </c>
      <c r="M6144">
        <v>4.125</v>
      </c>
    </row>
    <row r="6145" spans="1:13" ht="15" customHeight="1">
      <c r="A6145" t="s">
        <v>65</v>
      </c>
      <c r="B6145">
        <f t="shared" si="378"/>
        <v>33.695872999999999</v>
      </c>
      <c r="C6145">
        <f t="shared" si="379"/>
        <v>-117.859835</v>
      </c>
      <c r="D6145">
        <f t="shared" si="380"/>
        <v>37</v>
      </c>
      <c r="E6145">
        <v>39.5</v>
      </c>
      <c r="F6145">
        <f t="shared" si="381"/>
        <v>-2.5</v>
      </c>
      <c r="G6145">
        <v>26.167000000000002</v>
      </c>
      <c r="H6145">
        <v>0.89700000000000002</v>
      </c>
      <c r="I6145">
        <v>3.4380000000000002</v>
      </c>
      <c r="J6145">
        <v>5</v>
      </c>
      <c r="K6145">
        <v>12</v>
      </c>
      <c r="L6145">
        <v>7</v>
      </c>
      <c r="M6145">
        <v>1.577</v>
      </c>
    </row>
    <row r="6146" spans="1:13" ht="15" customHeight="1">
      <c r="A6146" t="s">
        <v>65</v>
      </c>
      <c r="B6146">
        <f t="shared" ref="B6146:B6209" si="382">VLOOKUP(A6146,XYdata,3,FALSE)</f>
        <v>33.695872999999999</v>
      </c>
      <c r="C6146">
        <f t="shared" ref="C6146:C6209" si="383">VLOOKUP(A6146,XYdata,2,FALSE)</f>
        <v>-117.859835</v>
      </c>
      <c r="D6146">
        <f t="shared" ref="D6146:D6209" si="384">VLOOKUP(A6146,Elevation,2,FALSE)</f>
        <v>37</v>
      </c>
      <c r="E6146">
        <v>40.5</v>
      </c>
      <c r="F6146">
        <f t="shared" si="381"/>
        <v>-3.5</v>
      </c>
      <c r="G6146">
        <v>32.85</v>
      </c>
      <c r="H6146">
        <v>1.2529999999999999</v>
      </c>
      <c r="I6146">
        <v>3.8250000000000002</v>
      </c>
      <c r="J6146">
        <v>5</v>
      </c>
      <c r="K6146">
        <v>16</v>
      </c>
      <c r="L6146">
        <v>9</v>
      </c>
      <c r="M6146">
        <v>2.0190000000000001</v>
      </c>
    </row>
    <row r="6147" spans="1:13" ht="15" customHeight="1">
      <c r="A6147" t="s">
        <v>65</v>
      </c>
      <c r="B6147">
        <f t="shared" si="382"/>
        <v>33.695872999999999</v>
      </c>
      <c r="C6147">
        <f t="shared" si="383"/>
        <v>-117.859835</v>
      </c>
      <c r="D6147">
        <f t="shared" si="384"/>
        <v>37</v>
      </c>
      <c r="E6147">
        <v>41.499000000000002</v>
      </c>
      <c r="F6147">
        <f t="shared" ref="F6147:F6210" si="385">D6147-E6147</f>
        <v>-4.4990000000000023</v>
      </c>
      <c r="G6147">
        <v>31.585999999999999</v>
      </c>
      <c r="H6147">
        <v>1.6040000000000001</v>
      </c>
      <c r="I6147">
        <v>5.0910000000000002</v>
      </c>
      <c r="J6147">
        <v>3</v>
      </c>
      <c r="K6147">
        <v>30</v>
      </c>
      <c r="L6147">
        <v>17</v>
      </c>
      <c r="M6147">
        <v>1.931</v>
      </c>
    </row>
    <row r="6148" spans="1:13" ht="15" customHeight="1">
      <c r="A6148" t="s">
        <v>65</v>
      </c>
      <c r="B6148">
        <f t="shared" si="382"/>
        <v>33.695872999999999</v>
      </c>
      <c r="C6148">
        <f t="shared" si="383"/>
        <v>-117.859835</v>
      </c>
      <c r="D6148">
        <f t="shared" si="384"/>
        <v>37</v>
      </c>
      <c r="E6148">
        <v>42.499000000000002</v>
      </c>
      <c r="F6148">
        <f t="shared" si="385"/>
        <v>-5.4990000000000023</v>
      </c>
      <c r="G6148">
        <v>41.767000000000003</v>
      </c>
      <c r="H6148">
        <v>1.7949999999999999</v>
      </c>
      <c r="I6148">
        <v>4.306</v>
      </c>
      <c r="J6148">
        <v>4</v>
      </c>
      <c r="K6148">
        <v>27</v>
      </c>
      <c r="L6148">
        <v>15</v>
      </c>
      <c r="M6148">
        <v>2.605</v>
      </c>
    </row>
    <row r="6149" spans="1:13" ht="15" customHeight="1">
      <c r="A6149" t="s">
        <v>65</v>
      </c>
      <c r="B6149">
        <f t="shared" si="382"/>
        <v>33.695872999999999</v>
      </c>
      <c r="C6149">
        <f t="shared" si="383"/>
        <v>-117.859835</v>
      </c>
      <c r="D6149">
        <f t="shared" si="384"/>
        <v>37</v>
      </c>
      <c r="E6149">
        <v>43.499000000000002</v>
      </c>
      <c r="F6149">
        <f t="shared" si="385"/>
        <v>-6.4990000000000023</v>
      </c>
      <c r="G6149">
        <v>47.732999999999997</v>
      </c>
      <c r="H6149">
        <v>1.9350000000000001</v>
      </c>
      <c r="I6149">
        <v>4.0590000000000002</v>
      </c>
      <c r="J6149">
        <v>5</v>
      </c>
      <c r="K6149">
        <v>23</v>
      </c>
      <c r="L6149">
        <v>13</v>
      </c>
      <c r="M6149">
        <v>2.9990000000000001</v>
      </c>
    </row>
    <row r="6150" spans="1:13" ht="15" customHeight="1">
      <c r="A6150" t="s">
        <v>65</v>
      </c>
      <c r="B6150">
        <f t="shared" si="382"/>
        <v>33.695872999999999</v>
      </c>
      <c r="C6150">
        <f t="shared" si="383"/>
        <v>-117.859835</v>
      </c>
      <c r="D6150">
        <f t="shared" si="384"/>
        <v>37</v>
      </c>
      <c r="E6150">
        <v>44.499000000000002</v>
      </c>
      <c r="F6150">
        <f t="shared" si="385"/>
        <v>-7.4990000000000023</v>
      </c>
      <c r="G6150">
        <v>142.15</v>
      </c>
      <c r="H6150">
        <v>3.4369999999999998</v>
      </c>
      <c r="I6150">
        <v>2.419</v>
      </c>
      <c r="J6150">
        <v>7</v>
      </c>
      <c r="K6150">
        <v>45</v>
      </c>
      <c r="L6150">
        <v>25</v>
      </c>
      <c r="M6150" s="1">
        <v>9000000000</v>
      </c>
    </row>
    <row r="6151" spans="1:13" ht="15" customHeight="1">
      <c r="A6151" t="s">
        <v>65</v>
      </c>
      <c r="B6151">
        <f t="shared" si="382"/>
        <v>33.695872999999999</v>
      </c>
      <c r="C6151">
        <f t="shared" si="383"/>
        <v>-117.859835</v>
      </c>
      <c r="D6151">
        <f t="shared" si="384"/>
        <v>37</v>
      </c>
      <c r="E6151">
        <v>45.499000000000002</v>
      </c>
      <c r="F6151">
        <f t="shared" si="385"/>
        <v>-8.4990000000000023</v>
      </c>
      <c r="G6151">
        <v>278.483</v>
      </c>
      <c r="H6151">
        <v>1.9530000000000001</v>
      </c>
      <c r="I6151">
        <v>0.70099999999999996</v>
      </c>
      <c r="J6151">
        <v>9</v>
      </c>
      <c r="K6151">
        <v>53</v>
      </c>
      <c r="L6151">
        <v>29</v>
      </c>
      <c r="M6151" s="1">
        <v>9000000000</v>
      </c>
    </row>
    <row r="6152" spans="1:13" ht="15" customHeight="1">
      <c r="A6152" t="s">
        <v>65</v>
      </c>
      <c r="B6152">
        <f t="shared" si="382"/>
        <v>33.695872999999999</v>
      </c>
      <c r="C6152">
        <f t="shared" si="383"/>
        <v>-117.859835</v>
      </c>
      <c r="D6152">
        <f t="shared" si="384"/>
        <v>37</v>
      </c>
      <c r="E6152">
        <v>46.499000000000002</v>
      </c>
      <c r="F6152">
        <f t="shared" si="385"/>
        <v>-9.4990000000000023</v>
      </c>
      <c r="G6152">
        <v>121.7</v>
      </c>
      <c r="H6152">
        <v>1.5920000000000001</v>
      </c>
      <c r="I6152">
        <v>1.306</v>
      </c>
      <c r="J6152">
        <v>8</v>
      </c>
      <c r="K6152">
        <v>29</v>
      </c>
      <c r="L6152">
        <v>16</v>
      </c>
      <c r="M6152" s="1">
        <v>9000000000</v>
      </c>
    </row>
    <row r="6153" spans="1:13" ht="15" customHeight="1">
      <c r="A6153" t="s">
        <v>65</v>
      </c>
      <c r="B6153">
        <f t="shared" si="382"/>
        <v>33.695872999999999</v>
      </c>
      <c r="C6153">
        <f t="shared" si="383"/>
        <v>-117.859835</v>
      </c>
      <c r="D6153">
        <f t="shared" si="384"/>
        <v>37</v>
      </c>
      <c r="E6153">
        <v>47.499000000000002</v>
      </c>
      <c r="F6153">
        <f t="shared" si="385"/>
        <v>-10.499000000000002</v>
      </c>
      <c r="G6153">
        <v>194.233</v>
      </c>
      <c r="H6153">
        <v>2.093</v>
      </c>
      <c r="I6153">
        <v>1.077</v>
      </c>
      <c r="J6153">
        <v>9</v>
      </c>
      <c r="K6153">
        <v>37</v>
      </c>
      <c r="L6153">
        <v>20</v>
      </c>
      <c r="M6153" s="1">
        <v>9000000000</v>
      </c>
    </row>
    <row r="6154" spans="1:13" ht="15" customHeight="1">
      <c r="A6154" t="s">
        <v>65</v>
      </c>
      <c r="B6154">
        <f t="shared" si="382"/>
        <v>33.695872999999999</v>
      </c>
      <c r="C6154">
        <f t="shared" si="383"/>
        <v>-117.859835</v>
      </c>
      <c r="D6154">
        <f t="shared" si="384"/>
        <v>37</v>
      </c>
      <c r="E6154">
        <v>48.499000000000002</v>
      </c>
      <c r="F6154">
        <f t="shared" si="385"/>
        <v>-11.499000000000002</v>
      </c>
      <c r="G6154">
        <v>190.5</v>
      </c>
      <c r="H6154">
        <v>1.175</v>
      </c>
      <c r="I6154">
        <v>0.61599999999999999</v>
      </c>
      <c r="J6154">
        <v>9</v>
      </c>
      <c r="K6154">
        <v>37</v>
      </c>
      <c r="L6154">
        <v>20</v>
      </c>
      <c r="M6154" s="1">
        <v>9000000000</v>
      </c>
    </row>
    <row r="6155" spans="1:13" ht="15" customHeight="1">
      <c r="A6155" t="s">
        <v>65</v>
      </c>
      <c r="B6155">
        <f t="shared" si="382"/>
        <v>33.695872999999999</v>
      </c>
      <c r="C6155">
        <f t="shared" si="383"/>
        <v>-117.859835</v>
      </c>
      <c r="D6155">
        <f t="shared" si="384"/>
        <v>37</v>
      </c>
      <c r="E6155">
        <v>49.499000000000002</v>
      </c>
      <c r="F6155">
        <f t="shared" si="385"/>
        <v>-12.499000000000002</v>
      </c>
      <c r="G6155">
        <v>97.766999999999996</v>
      </c>
      <c r="H6155">
        <v>2.238</v>
      </c>
      <c r="I6155">
        <v>2.2890000000000001</v>
      </c>
      <c r="J6155">
        <v>7</v>
      </c>
      <c r="K6155">
        <v>31</v>
      </c>
      <c r="L6155">
        <v>16</v>
      </c>
      <c r="M6155" s="1">
        <v>9000000000</v>
      </c>
    </row>
    <row r="6156" spans="1:13" ht="15" customHeight="1">
      <c r="A6156" t="s">
        <v>65</v>
      </c>
      <c r="B6156">
        <f t="shared" si="382"/>
        <v>33.695872999999999</v>
      </c>
      <c r="C6156">
        <f t="shared" si="383"/>
        <v>-117.859835</v>
      </c>
      <c r="D6156">
        <f t="shared" si="384"/>
        <v>37</v>
      </c>
      <c r="E6156">
        <v>50.499000000000002</v>
      </c>
      <c r="F6156">
        <f t="shared" si="385"/>
        <v>-13.499000000000002</v>
      </c>
      <c r="G6156">
        <v>120.217</v>
      </c>
      <c r="H6156">
        <v>2.1880000000000002</v>
      </c>
      <c r="I6156">
        <v>1.8180000000000001</v>
      </c>
      <c r="J6156">
        <v>7</v>
      </c>
      <c r="K6156">
        <v>38</v>
      </c>
      <c r="L6156">
        <v>20</v>
      </c>
      <c r="M6156" s="1">
        <v>9000000000</v>
      </c>
    </row>
    <row r="6157" spans="1:13" ht="15" customHeight="1">
      <c r="A6157" t="s">
        <v>65</v>
      </c>
      <c r="B6157">
        <f t="shared" si="382"/>
        <v>33.695872999999999</v>
      </c>
      <c r="C6157">
        <f t="shared" si="383"/>
        <v>-117.859835</v>
      </c>
      <c r="D6157">
        <f t="shared" si="384"/>
        <v>37</v>
      </c>
      <c r="E6157">
        <v>51.499000000000002</v>
      </c>
      <c r="F6157">
        <f t="shared" si="385"/>
        <v>-14.499000000000002</v>
      </c>
      <c r="G6157">
        <v>36.700000000000003</v>
      </c>
      <c r="H6157">
        <v>0.70499999999999996</v>
      </c>
      <c r="I6157">
        <v>1.8420000000000001</v>
      </c>
      <c r="J6157">
        <v>6</v>
      </c>
      <c r="K6157">
        <v>15</v>
      </c>
      <c r="L6157">
        <v>8</v>
      </c>
      <c r="M6157">
        <v>2.3410000000000002</v>
      </c>
    </row>
    <row r="6158" spans="1:13" ht="15" customHeight="1">
      <c r="A6158" t="s">
        <v>65</v>
      </c>
      <c r="B6158">
        <f t="shared" si="382"/>
        <v>33.695872999999999</v>
      </c>
      <c r="C6158">
        <f t="shared" si="383"/>
        <v>-117.859835</v>
      </c>
      <c r="D6158">
        <f t="shared" si="384"/>
        <v>37</v>
      </c>
      <c r="E6158">
        <v>52.499000000000002</v>
      </c>
      <c r="F6158">
        <f t="shared" si="385"/>
        <v>-15.499000000000002</v>
      </c>
      <c r="G6158">
        <v>34.286000000000001</v>
      </c>
      <c r="H6158">
        <v>0.89600000000000002</v>
      </c>
      <c r="I6158">
        <v>2.5310000000000001</v>
      </c>
      <c r="J6158">
        <v>6</v>
      </c>
      <c r="K6158">
        <v>14</v>
      </c>
      <c r="L6158">
        <v>7</v>
      </c>
      <c r="M6158">
        <v>2.1440000000000001</v>
      </c>
    </row>
    <row r="6159" spans="1:13" ht="15" customHeight="1">
      <c r="A6159" t="s">
        <v>65</v>
      </c>
      <c r="B6159">
        <f t="shared" si="382"/>
        <v>33.695872999999999</v>
      </c>
      <c r="C6159">
        <f t="shared" si="383"/>
        <v>-117.859835</v>
      </c>
      <c r="D6159">
        <f t="shared" si="384"/>
        <v>37</v>
      </c>
      <c r="E6159">
        <v>53.499000000000002</v>
      </c>
      <c r="F6159">
        <f t="shared" si="385"/>
        <v>-16.499000000000002</v>
      </c>
      <c r="G6159">
        <v>37.332999999999998</v>
      </c>
      <c r="H6159">
        <v>1.0349999999999999</v>
      </c>
      <c r="I6159">
        <v>2.72</v>
      </c>
      <c r="J6159">
        <v>6</v>
      </c>
      <c r="K6159">
        <v>15</v>
      </c>
      <c r="L6159">
        <v>8</v>
      </c>
      <c r="M6159">
        <v>2.3170000000000002</v>
      </c>
    </row>
    <row r="6160" spans="1:13" ht="15" customHeight="1">
      <c r="A6160" t="s">
        <v>65</v>
      </c>
      <c r="B6160">
        <f t="shared" si="382"/>
        <v>33.695872999999999</v>
      </c>
      <c r="C6160">
        <f t="shared" si="383"/>
        <v>-117.859835</v>
      </c>
      <c r="D6160">
        <f t="shared" si="384"/>
        <v>37</v>
      </c>
      <c r="E6160">
        <v>54.499000000000002</v>
      </c>
      <c r="F6160">
        <f t="shared" si="385"/>
        <v>-17.499000000000002</v>
      </c>
      <c r="G6160">
        <v>39.067</v>
      </c>
      <c r="H6160">
        <v>1.395</v>
      </c>
      <c r="I6160">
        <v>3.4950000000000001</v>
      </c>
      <c r="J6160">
        <v>5</v>
      </c>
      <c r="K6160">
        <v>19</v>
      </c>
      <c r="L6160">
        <v>10</v>
      </c>
      <c r="M6160">
        <v>2.4369999999999998</v>
      </c>
    </row>
    <row r="6161" spans="1:13" ht="15" customHeight="1">
      <c r="A6161" t="s">
        <v>65</v>
      </c>
      <c r="B6161">
        <f t="shared" si="382"/>
        <v>33.695872999999999</v>
      </c>
      <c r="C6161">
        <f t="shared" si="383"/>
        <v>-117.859835</v>
      </c>
      <c r="D6161">
        <f t="shared" si="384"/>
        <v>37</v>
      </c>
      <c r="E6161">
        <v>55.499000000000002</v>
      </c>
      <c r="F6161">
        <f t="shared" si="385"/>
        <v>-18.499000000000002</v>
      </c>
      <c r="G6161">
        <v>50.6</v>
      </c>
      <c r="H6161">
        <v>1.9950000000000001</v>
      </c>
      <c r="I6161">
        <v>3.9319999999999999</v>
      </c>
      <c r="J6161">
        <v>5</v>
      </c>
      <c r="K6161">
        <v>24</v>
      </c>
      <c r="L6161">
        <v>12</v>
      </c>
      <c r="M6161">
        <v>3.1539999999999999</v>
      </c>
    </row>
    <row r="6162" spans="1:13" ht="15" customHeight="1">
      <c r="A6162" t="s">
        <v>65</v>
      </c>
      <c r="B6162">
        <f t="shared" si="382"/>
        <v>33.695872999999999</v>
      </c>
      <c r="C6162">
        <f t="shared" si="383"/>
        <v>-117.859835</v>
      </c>
      <c r="D6162">
        <f t="shared" si="384"/>
        <v>37</v>
      </c>
      <c r="E6162">
        <v>56.499000000000002</v>
      </c>
      <c r="F6162">
        <f t="shared" si="385"/>
        <v>-19.499000000000002</v>
      </c>
      <c r="G6162">
        <v>163.68299999999999</v>
      </c>
      <c r="H6162">
        <v>5.6020000000000003</v>
      </c>
      <c r="I6162">
        <v>3.4239999999999999</v>
      </c>
      <c r="J6162">
        <v>6</v>
      </c>
      <c r="K6162">
        <v>63</v>
      </c>
      <c r="L6162">
        <v>32</v>
      </c>
      <c r="M6162">
        <v>10.676</v>
      </c>
    </row>
    <row r="6163" spans="1:13" ht="15" customHeight="1">
      <c r="A6163" t="s">
        <v>65</v>
      </c>
      <c r="B6163">
        <f t="shared" si="382"/>
        <v>33.695872999999999</v>
      </c>
      <c r="C6163">
        <f t="shared" si="383"/>
        <v>-117.859835</v>
      </c>
      <c r="D6163">
        <f t="shared" si="384"/>
        <v>37</v>
      </c>
      <c r="E6163">
        <v>57.499000000000002</v>
      </c>
      <c r="F6163">
        <f t="shared" si="385"/>
        <v>-20.499000000000002</v>
      </c>
      <c r="G6163">
        <v>152.96700000000001</v>
      </c>
      <c r="H6163">
        <v>5.0650000000000004</v>
      </c>
      <c r="I6163">
        <v>3.3130000000000002</v>
      </c>
      <c r="J6163">
        <v>6</v>
      </c>
      <c r="K6163">
        <v>59</v>
      </c>
      <c r="L6163">
        <v>30</v>
      </c>
      <c r="M6163">
        <v>9.9550000000000001</v>
      </c>
    </row>
    <row r="6164" spans="1:13" ht="15" customHeight="1">
      <c r="A6164" t="s">
        <v>65</v>
      </c>
      <c r="B6164">
        <f t="shared" si="382"/>
        <v>33.695872999999999</v>
      </c>
      <c r="C6164">
        <f t="shared" si="383"/>
        <v>-117.859835</v>
      </c>
      <c r="D6164">
        <f t="shared" si="384"/>
        <v>37</v>
      </c>
      <c r="E6164">
        <v>58.499000000000002</v>
      </c>
      <c r="F6164">
        <f t="shared" si="385"/>
        <v>-21.499000000000002</v>
      </c>
      <c r="G6164">
        <v>120.367</v>
      </c>
      <c r="H6164">
        <v>4.45</v>
      </c>
      <c r="I6164">
        <v>3.7</v>
      </c>
      <c r="J6164">
        <v>6</v>
      </c>
      <c r="K6164">
        <v>46</v>
      </c>
      <c r="L6164">
        <v>23</v>
      </c>
      <c r="M6164">
        <v>7.7789999999999999</v>
      </c>
    </row>
    <row r="6165" spans="1:13" ht="15" customHeight="1">
      <c r="A6165" t="s">
        <v>65</v>
      </c>
      <c r="B6165">
        <f t="shared" si="382"/>
        <v>33.695872999999999</v>
      </c>
      <c r="C6165">
        <f t="shared" si="383"/>
        <v>-117.859835</v>
      </c>
      <c r="D6165">
        <f t="shared" si="384"/>
        <v>37</v>
      </c>
      <c r="E6165">
        <v>59.499000000000002</v>
      </c>
      <c r="F6165">
        <f t="shared" si="385"/>
        <v>-22.499000000000002</v>
      </c>
      <c r="G6165">
        <v>36.232999999999997</v>
      </c>
      <c r="H6165">
        <v>1.665</v>
      </c>
      <c r="I6165">
        <v>4.6059999999999999</v>
      </c>
      <c r="J6165">
        <v>4</v>
      </c>
      <c r="K6165">
        <v>23</v>
      </c>
      <c r="L6165">
        <v>12</v>
      </c>
      <c r="M6165">
        <v>2.165</v>
      </c>
    </row>
    <row r="6166" spans="1:13" ht="15" customHeight="1">
      <c r="A6166" t="s">
        <v>65</v>
      </c>
      <c r="B6166">
        <f t="shared" si="382"/>
        <v>33.695872999999999</v>
      </c>
      <c r="C6166">
        <f t="shared" si="383"/>
        <v>-117.859835</v>
      </c>
      <c r="D6166">
        <f t="shared" si="384"/>
        <v>37</v>
      </c>
      <c r="E6166">
        <v>60.499000000000002</v>
      </c>
      <c r="F6166">
        <f t="shared" si="385"/>
        <v>-23.499000000000002</v>
      </c>
      <c r="G6166">
        <v>75.332999999999998</v>
      </c>
      <c r="H6166">
        <v>2.528</v>
      </c>
      <c r="I6166">
        <v>3.36</v>
      </c>
      <c r="J6166">
        <v>6</v>
      </c>
      <c r="K6166">
        <v>29</v>
      </c>
      <c r="L6166">
        <v>15</v>
      </c>
      <c r="M6166">
        <v>4.7679999999999998</v>
      </c>
    </row>
    <row r="6167" spans="1:13" ht="15" customHeight="1">
      <c r="A6167" t="s">
        <v>65</v>
      </c>
      <c r="B6167">
        <f t="shared" si="382"/>
        <v>33.695872999999999</v>
      </c>
      <c r="C6167">
        <f t="shared" si="383"/>
        <v>-117.859835</v>
      </c>
      <c r="D6167">
        <f t="shared" si="384"/>
        <v>37</v>
      </c>
      <c r="E6167">
        <v>61.499000000000002</v>
      </c>
      <c r="F6167">
        <f t="shared" si="385"/>
        <v>-24.499000000000002</v>
      </c>
      <c r="G6167">
        <v>25.033000000000001</v>
      </c>
      <c r="H6167">
        <v>0.8</v>
      </c>
      <c r="I6167">
        <v>3.202</v>
      </c>
      <c r="J6167">
        <v>5</v>
      </c>
      <c r="K6167">
        <v>12</v>
      </c>
      <c r="L6167">
        <v>6</v>
      </c>
      <c r="M6167">
        <v>1.413</v>
      </c>
    </row>
    <row r="6168" spans="1:13" ht="15" customHeight="1">
      <c r="A6168" t="s">
        <v>65</v>
      </c>
      <c r="B6168">
        <f t="shared" si="382"/>
        <v>33.695872999999999</v>
      </c>
      <c r="C6168">
        <f t="shared" si="383"/>
        <v>-117.859835</v>
      </c>
      <c r="D6168">
        <f t="shared" si="384"/>
        <v>37</v>
      </c>
      <c r="E6168">
        <v>62.499000000000002</v>
      </c>
      <c r="F6168">
        <f t="shared" si="385"/>
        <v>-25.499000000000002</v>
      </c>
      <c r="G6168">
        <v>27.443000000000001</v>
      </c>
      <c r="H6168">
        <v>0.8</v>
      </c>
      <c r="I6168">
        <v>2.92</v>
      </c>
      <c r="J6168">
        <v>5</v>
      </c>
      <c r="K6168">
        <v>13</v>
      </c>
      <c r="L6168">
        <v>7</v>
      </c>
      <c r="M6168">
        <v>1.57</v>
      </c>
    </row>
    <row r="6169" spans="1:13" ht="15" customHeight="1">
      <c r="A6169" t="s">
        <v>65</v>
      </c>
      <c r="B6169">
        <f t="shared" si="382"/>
        <v>33.695872999999999</v>
      </c>
      <c r="C6169">
        <f t="shared" si="383"/>
        <v>-117.859835</v>
      </c>
      <c r="D6169">
        <f t="shared" si="384"/>
        <v>37</v>
      </c>
      <c r="E6169">
        <v>63.499000000000002</v>
      </c>
      <c r="F6169">
        <f t="shared" si="385"/>
        <v>-26.499000000000002</v>
      </c>
      <c r="G6169">
        <v>24.55</v>
      </c>
      <c r="H6169">
        <v>0.69499999999999995</v>
      </c>
      <c r="I6169">
        <v>2.835</v>
      </c>
      <c r="J6169">
        <v>5</v>
      </c>
      <c r="K6169">
        <v>12</v>
      </c>
      <c r="L6169">
        <v>6</v>
      </c>
      <c r="M6169">
        <v>1.373</v>
      </c>
    </row>
    <row r="6170" spans="1:13" ht="15" customHeight="1">
      <c r="A6170" t="s">
        <v>65</v>
      </c>
      <c r="B6170">
        <f t="shared" si="382"/>
        <v>33.695872999999999</v>
      </c>
      <c r="C6170">
        <f t="shared" si="383"/>
        <v>-117.859835</v>
      </c>
      <c r="D6170">
        <f t="shared" si="384"/>
        <v>37</v>
      </c>
      <c r="E6170">
        <v>64.498999999999995</v>
      </c>
      <c r="F6170">
        <f t="shared" si="385"/>
        <v>-27.498999999999995</v>
      </c>
      <c r="G6170">
        <v>25.5</v>
      </c>
      <c r="H6170">
        <v>0.69799999999999995</v>
      </c>
      <c r="I6170">
        <v>2.7440000000000002</v>
      </c>
      <c r="J6170">
        <v>5</v>
      </c>
      <c r="K6170">
        <v>12</v>
      </c>
      <c r="L6170">
        <v>6</v>
      </c>
      <c r="M6170">
        <v>1.431</v>
      </c>
    </row>
    <row r="6171" spans="1:13" ht="15" customHeight="1">
      <c r="A6171" t="s">
        <v>65</v>
      </c>
      <c r="B6171">
        <f t="shared" si="382"/>
        <v>33.695872999999999</v>
      </c>
      <c r="C6171">
        <f t="shared" si="383"/>
        <v>-117.859835</v>
      </c>
      <c r="D6171">
        <f t="shared" si="384"/>
        <v>37</v>
      </c>
      <c r="E6171">
        <v>65.498999999999995</v>
      </c>
      <c r="F6171">
        <f t="shared" si="385"/>
        <v>-28.498999999999995</v>
      </c>
      <c r="G6171">
        <v>28.466999999999999</v>
      </c>
      <c r="H6171">
        <v>0.79500000000000004</v>
      </c>
      <c r="I6171">
        <v>2.794</v>
      </c>
      <c r="J6171">
        <v>5</v>
      </c>
      <c r="K6171">
        <v>14</v>
      </c>
      <c r="L6171">
        <v>7</v>
      </c>
      <c r="M6171">
        <v>1.627</v>
      </c>
    </row>
    <row r="6172" spans="1:13" ht="15" customHeight="1">
      <c r="A6172" t="s">
        <v>65</v>
      </c>
      <c r="B6172">
        <f t="shared" si="382"/>
        <v>33.695872999999999</v>
      </c>
      <c r="C6172">
        <f t="shared" si="383"/>
        <v>-117.859835</v>
      </c>
      <c r="D6172">
        <f t="shared" si="384"/>
        <v>37</v>
      </c>
      <c r="E6172">
        <v>66.498999999999995</v>
      </c>
      <c r="F6172">
        <f t="shared" si="385"/>
        <v>-29.498999999999995</v>
      </c>
      <c r="G6172">
        <v>28.95</v>
      </c>
      <c r="H6172">
        <v>1.0129999999999999</v>
      </c>
      <c r="I6172">
        <v>3.5</v>
      </c>
      <c r="J6172">
        <v>5</v>
      </c>
      <c r="K6172">
        <v>14</v>
      </c>
      <c r="L6172">
        <v>7</v>
      </c>
      <c r="M6172">
        <v>1.6559999999999999</v>
      </c>
    </row>
    <row r="6173" spans="1:13" ht="15" customHeight="1">
      <c r="A6173" t="s">
        <v>65</v>
      </c>
      <c r="B6173">
        <f t="shared" si="382"/>
        <v>33.695872999999999</v>
      </c>
      <c r="C6173">
        <f t="shared" si="383"/>
        <v>-117.859835</v>
      </c>
      <c r="D6173">
        <f t="shared" si="384"/>
        <v>37</v>
      </c>
      <c r="E6173">
        <v>67.498999999999995</v>
      </c>
      <c r="F6173">
        <f t="shared" si="385"/>
        <v>-30.498999999999995</v>
      </c>
      <c r="G6173">
        <v>34</v>
      </c>
      <c r="H6173">
        <v>1.353</v>
      </c>
      <c r="I6173">
        <v>3.9780000000000002</v>
      </c>
      <c r="J6173">
        <v>4</v>
      </c>
      <c r="K6173">
        <v>22</v>
      </c>
      <c r="L6173">
        <v>11</v>
      </c>
      <c r="M6173">
        <v>1.99</v>
      </c>
    </row>
    <row r="6174" spans="1:13" ht="15" customHeight="1">
      <c r="A6174" t="s">
        <v>65</v>
      </c>
      <c r="B6174">
        <f t="shared" si="382"/>
        <v>33.695872999999999</v>
      </c>
      <c r="C6174">
        <f t="shared" si="383"/>
        <v>-117.859835</v>
      </c>
      <c r="D6174">
        <f t="shared" si="384"/>
        <v>37</v>
      </c>
      <c r="E6174">
        <v>68.498999999999995</v>
      </c>
      <c r="F6174">
        <f t="shared" si="385"/>
        <v>-31.498999999999995</v>
      </c>
      <c r="G6174">
        <v>41.716999999999999</v>
      </c>
      <c r="H6174">
        <v>1.6930000000000001</v>
      </c>
      <c r="I6174">
        <v>4.0620000000000003</v>
      </c>
      <c r="J6174">
        <v>5</v>
      </c>
      <c r="K6174">
        <v>20</v>
      </c>
      <c r="L6174">
        <v>10</v>
      </c>
      <c r="M6174">
        <v>2.4969999999999999</v>
      </c>
    </row>
    <row r="6175" spans="1:13" ht="15" customHeight="1">
      <c r="A6175" t="s">
        <v>65</v>
      </c>
      <c r="B6175">
        <f t="shared" si="382"/>
        <v>33.695872999999999</v>
      </c>
      <c r="C6175">
        <f t="shared" si="383"/>
        <v>-117.859835</v>
      </c>
      <c r="D6175">
        <f t="shared" si="384"/>
        <v>37</v>
      </c>
      <c r="E6175">
        <v>69.498999999999995</v>
      </c>
      <c r="F6175">
        <f t="shared" si="385"/>
        <v>-32.498999999999995</v>
      </c>
      <c r="G6175">
        <v>149.96700000000001</v>
      </c>
      <c r="H6175">
        <v>6.3769999999999998</v>
      </c>
      <c r="I6175">
        <v>4.2539999999999996</v>
      </c>
      <c r="J6175">
        <v>11</v>
      </c>
      <c r="K6175">
        <v>144</v>
      </c>
      <c r="L6175">
        <v>72</v>
      </c>
      <c r="M6175" s="1">
        <v>9000000000</v>
      </c>
    </row>
    <row r="6176" spans="1:13" ht="15" customHeight="1">
      <c r="A6176" t="s">
        <v>65</v>
      </c>
      <c r="B6176">
        <f t="shared" si="382"/>
        <v>33.695872999999999</v>
      </c>
      <c r="C6176">
        <f t="shared" si="383"/>
        <v>-117.859835</v>
      </c>
      <c r="D6176">
        <f t="shared" si="384"/>
        <v>37</v>
      </c>
      <c r="E6176">
        <v>70.498999999999995</v>
      </c>
      <c r="F6176">
        <f t="shared" si="385"/>
        <v>-33.498999999999995</v>
      </c>
      <c r="G6176">
        <v>167.78299999999999</v>
      </c>
      <c r="H6176">
        <v>4.4370000000000003</v>
      </c>
      <c r="I6176">
        <v>2.6459999999999999</v>
      </c>
      <c r="J6176">
        <v>7</v>
      </c>
      <c r="K6176">
        <v>54</v>
      </c>
      <c r="L6176">
        <v>27</v>
      </c>
      <c r="M6176" s="1">
        <v>9000000000</v>
      </c>
    </row>
    <row r="6177" spans="1:13" ht="15" customHeight="1">
      <c r="A6177" t="s">
        <v>65</v>
      </c>
      <c r="B6177">
        <f t="shared" si="382"/>
        <v>33.695872999999999</v>
      </c>
      <c r="C6177">
        <f t="shared" si="383"/>
        <v>-117.859835</v>
      </c>
      <c r="D6177">
        <f t="shared" si="384"/>
        <v>37</v>
      </c>
      <c r="E6177">
        <v>71.498999999999995</v>
      </c>
      <c r="F6177">
        <f t="shared" si="385"/>
        <v>-34.498999999999995</v>
      </c>
      <c r="G6177">
        <v>271.31700000000001</v>
      </c>
      <c r="H6177">
        <v>4.1500000000000004</v>
      </c>
      <c r="I6177">
        <v>1.53</v>
      </c>
      <c r="J6177">
        <v>8</v>
      </c>
      <c r="K6177">
        <v>65</v>
      </c>
      <c r="L6177">
        <v>33</v>
      </c>
      <c r="M6177" s="1">
        <v>9000000000</v>
      </c>
    </row>
    <row r="6178" spans="1:13" ht="15" customHeight="1">
      <c r="A6178" t="s">
        <v>65</v>
      </c>
      <c r="B6178">
        <f t="shared" si="382"/>
        <v>33.695872999999999</v>
      </c>
      <c r="C6178">
        <f t="shared" si="383"/>
        <v>-117.859835</v>
      </c>
      <c r="D6178">
        <f t="shared" si="384"/>
        <v>37</v>
      </c>
      <c r="E6178">
        <v>72.498999999999995</v>
      </c>
      <c r="F6178">
        <f t="shared" si="385"/>
        <v>-35.498999999999995</v>
      </c>
      <c r="G6178">
        <v>78.528999999999996</v>
      </c>
      <c r="H6178">
        <v>1.86</v>
      </c>
      <c r="I6178">
        <v>2.37</v>
      </c>
      <c r="J6178">
        <v>6</v>
      </c>
      <c r="K6178">
        <v>30</v>
      </c>
      <c r="L6178">
        <v>15</v>
      </c>
      <c r="M6178">
        <v>4.9329999999999998</v>
      </c>
    </row>
    <row r="6179" spans="1:13" ht="15" customHeight="1">
      <c r="A6179" t="s">
        <v>65</v>
      </c>
      <c r="B6179">
        <f t="shared" si="382"/>
        <v>33.695872999999999</v>
      </c>
      <c r="C6179">
        <f t="shared" si="383"/>
        <v>-117.859835</v>
      </c>
      <c r="D6179">
        <f t="shared" si="384"/>
        <v>37</v>
      </c>
      <c r="E6179">
        <v>73.498999999999995</v>
      </c>
      <c r="F6179">
        <f t="shared" si="385"/>
        <v>-36.498999999999995</v>
      </c>
      <c r="G6179">
        <v>59.866999999999997</v>
      </c>
      <c r="H6179">
        <v>2.0630000000000002</v>
      </c>
      <c r="I6179">
        <v>3.4470000000000001</v>
      </c>
      <c r="J6179">
        <v>5</v>
      </c>
      <c r="K6179">
        <v>29</v>
      </c>
      <c r="L6179">
        <v>15</v>
      </c>
      <c r="M6179">
        <v>3.6880000000000002</v>
      </c>
    </row>
    <row r="6180" spans="1:13" ht="15" customHeight="1">
      <c r="A6180" t="s">
        <v>65</v>
      </c>
      <c r="B6180">
        <f t="shared" si="382"/>
        <v>33.695872999999999</v>
      </c>
      <c r="C6180">
        <f t="shared" si="383"/>
        <v>-117.859835</v>
      </c>
      <c r="D6180">
        <f t="shared" si="384"/>
        <v>37</v>
      </c>
      <c r="E6180">
        <v>74.498999999999995</v>
      </c>
      <c r="F6180">
        <f t="shared" si="385"/>
        <v>-37.498999999999995</v>
      </c>
      <c r="G6180">
        <v>74.882999999999996</v>
      </c>
      <c r="H6180">
        <v>2.19</v>
      </c>
      <c r="I6180">
        <v>2.927</v>
      </c>
      <c r="J6180">
        <v>6</v>
      </c>
      <c r="K6180">
        <v>29</v>
      </c>
      <c r="L6180">
        <v>15</v>
      </c>
      <c r="M6180">
        <v>4.6820000000000004</v>
      </c>
    </row>
    <row r="6181" spans="1:13" ht="15" customHeight="1">
      <c r="A6181" t="s">
        <v>65</v>
      </c>
      <c r="B6181">
        <f t="shared" si="382"/>
        <v>33.695872999999999</v>
      </c>
      <c r="C6181">
        <f t="shared" si="383"/>
        <v>-117.859835</v>
      </c>
      <c r="D6181">
        <f t="shared" si="384"/>
        <v>37</v>
      </c>
      <c r="E6181">
        <v>75.498999999999995</v>
      </c>
      <c r="F6181">
        <f t="shared" si="385"/>
        <v>-38.498999999999995</v>
      </c>
      <c r="G6181">
        <v>57.6</v>
      </c>
      <c r="H6181">
        <v>2.0129999999999999</v>
      </c>
      <c r="I6181">
        <v>3.4969999999999999</v>
      </c>
      <c r="J6181">
        <v>5</v>
      </c>
      <c r="K6181">
        <v>28</v>
      </c>
      <c r="L6181">
        <v>14</v>
      </c>
      <c r="M6181">
        <v>3.5259999999999998</v>
      </c>
    </row>
    <row r="6182" spans="1:13" ht="15" customHeight="1">
      <c r="A6182" t="s">
        <v>65</v>
      </c>
      <c r="B6182">
        <f t="shared" si="382"/>
        <v>33.695872999999999</v>
      </c>
      <c r="C6182">
        <f t="shared" si="383"/>
        <v>-117.859835</v>
      </c>
      <c r="D6182">
        <f t="shared" si="384"/>
        <v>37</v>
      </c>
      <c r="E6182">
        <v>76.498999999999995</v>
      </c>
      <c r="F6182">
        <f t="shared" si="385"/>
        <v>-39.498999999999995</v>
      </c>
      <c r="G6182">
        <v>40.65</v>
      </c>
      <c r="H6182">
        <v>1.627</v>
      </c>
      <c r="I6182">
        <v>4.0049999999999999</v>
      </c>
      <c r="J6182">
        <v>5</v>
      </c>
      <c r="K6182">
        <v>19</v>
      </c>
      <c r="L6182">
        <v>10</v>
      </c>
      <c r="M6182">
        <v>2.3919999999999999</v>
      </c>
    </row>
    <row r="6183" spans="1:13" ht="15" customHeight="1">
      <c r="A6183" t="s">
        <v>65</v>
      </c>
      <c r="B6183">
        <f t="shared" si="382"/>
        <v>33.695872999999999</v>
      </c>
      <c r="C6183">
        <f t="shared" si="383"/>
        <v>-117.859835</v>
      </c>
      <c r="D6183">
        <f t="shared" si="384"/>
        <v>37</v>
      </c>
      <c r="E6183">
        <v>77.498999999999995</v>
      </c>
      <c r="F6183">
        <f t="shared" si="385"/>
        <v>-40.498999999999995</v>
      </c>
      <c r="G6183">
        <v>160.75</v>
      </c>
      <c r="H6183">
        <v>2.7930000000000001</v>
      </c>
      <c r="I6183">
        <v>1.738</v>
      </c>
      <c r="J6183">
        <v>8</v>
      </c>
      <c r="K6183">
        <v>38</v>
      </c>
      <c r="L6183">
        <v>19</v>
      </c>
      <c r="M6183" s="1">
        <v>9000000000</v>
      </c>
    </row>
    <row r="6184" spans="1:13" ht="15" customHeight="1">
      <c r="A6184" t="s">
        <v>65</v>
      </c>
      <c r="B6184">
        <f t="shared" si="382"/>
        <v>33.695872999999999</v>
      </c>
      <c r="C6184">
        <f t="shared" si="383"/>
        <v>-117.859835</v>
      </c>
      <c r="D6184">
        <f t="shared" si="384"/>
        <v>37</v>
      </c>
      <c r="E6184">
        <v>78.498999999999995</v>
      </c>
      <c r="F6184">
        <f t="shared" si="385"/>
        <v>-41.498999999999995</v>
      </c>
      <c r="G6184">
        <v>192.333</v>
      </c>
      <c r="H6184">
        <v>4.37</v>
      </c>
      <c r="I6184">
        <v>2.2690000000000001</v>
      </c>
      <c r="J6184">
        <v>7</v>
      </c>
      <c r="K6184">
        <v>61</v>
      </c>
      <c r="L6184">
        <v>31</v>
      </c>
      <c r="M6184" s="1">
        <v>9000000000</v>
      </c>
    </row>
    <row r="6185" spans="1:13" ht="15" customHeight="1">
      <c r="A6185" t="s">
        <v>65</v>
      </c>
      <c r="B6185">
        <f t="shared" si="382"/>
        <v>33.695872999999999</v>
      </c>
      <c r="C6185">
        <f t="shared" si="383"/>
        <v>-117.859835</v>
      </c>
      <c r="D6185">
        <f t="shared" si="384"/>
        <v>37</v>
      </c>
      <c r="E6185">
        <v>79.498999999999995</v>
      </c>
      <c r="F6185">
        <f t="shared" si="385"/>
        <v>-42.498999999999995</v>
      </c>
      <c r="G6185">
        <v>114.033</v>
      </c>
      <c r="H6185">
        <v>5.5449999999999999</v>
      </c>
      <c r="I6185">
        <v>4.8550000000000004</v>
      </c>
      <c r="J6185">
        <v>11</v>
      </c>
      <c r="K6185">
        <v>109</v>
      </c>
      <c r="L6185">
        <v>55</v>
      </c>
      <c r="M6185" s="1">
        <v>9000000000</v>
      </c>
    </row>
    <row r="6186" spans="1:13" ht="15" customHeight="1">
      <c r="A6186" t="s">
        <v>65</v>
      </c>
      <c r="B6186">
        <f t="shared" si="382"/>
        <v>33.695872999999999</v>
      </c>
      <c r="C6186">
        <f t="shared" si="383"/>
        <v>-117.859835</v>
      </c>
      <c r="D6186">
        <f t="shared" si="384"/>
        <v>37</v>
      </c>
      <c r="E6186">
        <v>80.498999999999995</v>
      </c>
      <c r="F6186">
        <f t="shared" si="385"/>
        <v>-43.498999999999995</v>
      </c>
      <c r="G6186">
        <v>90.85</v>
      </c>
      <c r="H6186">
        <v>4.2350000000000003</v>
      </c>
      <c r="I6186">
        <v>4.6609999999999996</v>
      </c>
      <c r="J6186">
        <v>11</v>
      </c>
      <c r="K6186">
        <v>87</v>
      </c>
      <c r="L6186">
        <v>44</v>
      </c>
      <c r="M6186" s="1">
        <v>9000000000</v>
      </c>
    </row>
    <row r="6187" spans="1:13" ht="15" customHeight="1">
      <c r="A6187" t="s">
        <v>65</v>
      </c>
      <c r="B6187">
        <f t="shared" si="382"/>
        <v>33.695872999999999</v>
      </c>
      <c r="C6187">
        <f t="shared" si="383"/>
        <v>-117.859835</v>
      </c>
      <c r="D6187">
        <f t="shared" si="384"/>
        <v>37</v>
      </c>
      <c r="E6187">
        <v>81.498999999999995</v>
      </c>
      <c r="F6187">
        <f t="shared" si="385"/>
        <v>-44.498999999999995</v>
      </c>
      <c r="G6187">
        <v>105</v>
      </c>
      <c r="H6187">
        <v>3.0270000000000001</v>
      </c>
      <c r="I6187">
        <v>2.8839999999999999</v>
      </c>
      <c r="J6187">
        <v>6</v>
      </c>
      <c r="K6187">
        <v>40</v>
      </c>
      <c r="L6187">
        <v>20</v>
      </c>
      <c r="M6187">
        <v>6.66</v>
      </c>
    </row>
    <row r="6188" spans="1:13" ht="15" customHeight="1">
      <c r="A6188" t="s">
        <v>65</v>
      </c>
      <c r="B6188">
        <f t="shared" si="382"/>
        <v>33.695872999999999</v>
      </c>
      <c r="C6188">
        <f t="shared" si="383"/>
        <v>-117.859835</v>
      </c>
      <c r="D6188">
        <f t="shared" si="384"/>
        <v>37</v>
      </c>
      <c r="E6188">
        <v>82.498999999999995</v>
      </c>
      <c r="F6188">
        <f t="shared" si="385"/>
        <v>-45.498999999999995</v>
      </c>
      <c r="G6188">
        <v>28.8</v>
      </c>
      <c r="H6188">
        <v>0.78300000000000003</v>
      </c>
      <c r="I6188">
        <v>2.718</v>
      </c>
      <c r="J6188">
        <v>6</v>
      </c>
      <c r="K6188">
        <v>11</v>
      </c>
      <c r="L6188">
        <v>6</v>
      </c>
      <c r="M6188">
        <v>1.58</v>
      </c>
    </row>
    <row r="6189" spans="1:13" ht="15" customHeight="1">
      <c r="A6189" t="s">
        <v>65</v>
      </c>
      <c r="B6189">
        <f t="shared" si="382"/>
        <v>33.695872999999999</v>
      </c>
      <c r="C6189">
        <f t="shared" si="383"/>
        <v>-117.859835</v>
      </c>
      <c r="D6189">
        <f t="shared" si="384"/>
        <v>37</v>
      </c>
      <c r="E6189">
        <v>83.498999999999995</v>
      </c>
      <c r="F6189">
        <f t="shared" si="385"/>
        <v>-46.498999999999995</v>
      </c>
      <c r="G6189">
        <v>43.286000000000001</v>
      </c>
      <c r="H6189">
        <v>1.4330000000000001</v>
      </c>
      <c r="I6189">
        <v>3.3050000000000002</v>
      </c>
      <c r="J6189">
        <v>5</v>
      </c>
      <c r="K6189">
        <v>21</v>
      </c>
      <c r="L6189">
        <v>11</v>
      </c>
      <c r="M6189">
        <v>2.5449999999999999</v>
      </c>
    </row>
    <row r="6190" spans="1:13" ht="15" customHeight="1">
      <c r="A6190" t="s">
        <v>65</v>
      </c>
      <c r="B6190">
        <f t="shared" si="382"/>
        <v>33.695872999999999</v>
      </c>
      <c r="C6190">
        <f t="shared" si="383"/>
        <v>-117.859835</v>
      </c>
      <c r="D6190">
        <f t="shared" si="384"/>
        <v>37</v>
      </c>
      <c r="E6190">
        <v>84.498999999999995</v>
      </c>
      <c r="F6190">
        <f t="shared" si="385"/>
        <v>-47.498999999999995</v>
      </c>
      <c r="G6190">
        <v>53.783000000000001</v>
      </c>
      <c r="H6190">
        <v>2.12</v>
      </c>
      <c r="I6190">
        <v>3.9329999999999998</v>
      </c>
      <c r="J6190">
        <v>5</v>
      </c>
      <c r="K6190">
        <v>26</v>
      </c>
      <c r="L6190">
        <v>13</v>
      </c>
      <c r="M6190">
        <v>3.2440000000000002</v>
      </c>
    </row>
    <row r="6191" spans="1:13" ht="15" customHeight="1">
      <c r="A6191" t="s">
        <v>65</v>
      </c>
      <c r="B6191">
        <f t="shared" si="382"/>
        <v>33.695872999999999</v>
      </c>
      <c r="C6191">
        <f t="shared" si="383"/>
        <v>-117.859835</v>
      </c>
      <c r="D6191">
        <f t="shared" si="384"/>
        <v>37</v>
      </c>
      <c r="E6191">
        <v>85.498999999999995</v>
      </c>
      <c r="F6191">
        <f t="shared" si="385"/>
        <v>-48.498999999999995</v>
      </c>
      <c r="G6191">
        <v>94.95</v>
      </c>
      <c r="H6191">
        <v>5.1029999999999998</v>
      </c>
      <c r="I6191">
        <v>5.3630000000000004</v>
      </c>
      <c r="J6191">
        <v>11</v>
      </c>
      <c r="K6191">
        <v>91</v>
      </c>
      <c r="L6191">
        <v>46</v>
      </c>
      <c r="M6191" s="1">
        <v>9000000000</v>
      </c>
    </row>
    <row r="6192" spans="1:13" ht="15" customHeight="1">
      <c r="A6192" t="s">
        <v>65</v>
      </c>
      <c r="B6192">
        <f t="shared" si="382"/>
        <v>33.695872999999999</v>
      </c>
      <c r="C6192">
        <f t="shared" si="383"/>
        <v>-117.859835</v>
      </c>
      <c r="D6192">
        <f t="shared" si="384"/>
        <v>37</v>
      </c>
      <c r="E6192">
        <v>86.498999999999995</v>
      </c>
      <c r="F6192">
        <f t="shared" si="385"/>
        <v>-49.498999999999995</v>
      </c>
      <c r="G6192">
        <v>490.13299999999998</v>
      </c>
      <c r="H6192">
        <v>11.558</v>
      </c>
      <c r="I6192">
        <v>2.3580000000000001</v>
      </c>
      <c r="J6192">
        <v>12</v>
      </c>
      <c r="K6192">
        <v>235</v>
      </c>
      <c r="L6192">
        <v>118</v>
      </c>
      <c r="M6192" s="1">
        <v>9000000000</v>
      </c>
    </row>
    <row r="6193" spans="1:13" ht="15" customHeight="1">
      <c r="A6193" t="s">
        <v>65</v>
      </c>
      <c r="B6193">
        <f t="shared" si="382"/>
        <v>33.695872999999999</v>
      </c>
      <c r="C6193">
        <f t="shared" si="383"/>
        <v>-117.859835</v>
      </c>
      <c r="D6193">
        <f t="shared" si="384"/>
        <v>37</v>
      </c>
      <c r="E6193">
        <v>87.498999999999995</v>
      </c>
      <c r="F6193">
        <f t="shared" si="385"/>
        <v>-50.498999999999995</v>
      </c>
      <c r="G6193">
        <v>626.5</v>
      </c>
      <c r="H6193">
        <v>7.98</v>
      </c>
      <c r="I6193">
        <v>1.2729999999999999</v>
      </c>
      <c r="J6193">
        <v>9</v>
      </c>
      <c r="K6193">
        <v>120</v>
      </c>
      <c r="L6193">
        <v>60</v>
      </c>
      <c r="M6193" s="1">
        <v>9000000000</v>
      </c>
    </row>
    <row r="6194" spans="1:13" ht="15" customHeight="1">
      <c r="A6194" t="s">
        <v>66</v>
      </c>
      <c r="B6194">
        <f t="shared" si="382"/>
        <v>33.697358000000001</v>
      </c>
      <c r="C6194">
        <f t="shared" si="383"/>
        <v>-117.858698</v>
      </c>
      <c r="D6194">
        <f t="shared" si="384"/>
        <v>38</v>
      </c>
      <c r="E6194">
        <v>0.5</v>
      </c>
      <c r="F6194">
        <f t="shared" si="385"/>
        <v>37.5</v>
      </c>
      <c r="G6194">
        <v>3.4169999999999998</v>
      </c>
      <c r="H6194">
        <v>3.5000000000000003E-2</v>
      </c>
      <c r="I6194">
        <v>1.024</v>
      </c>
      <c r="J6194">
        <v>1</v>
      </c>
      <c r="K6194">
        <v>2</v>
      </c>
      <c r="L6194">
        <v>3</v>
      </c>
      <c r="M6194">
        <v>0.22600000000000001</v>
      </c>
    </row>
    <row r="6195" spans="1:13" ht="15" customHeight="1">
      <c r="A6195" t="s">
        <v>66</v>
      </c>
      <c r="B6195">
        <f t="shared" si="382"/>
        <v>33.697358000000001</v>
      </c>
      <c r="C6195">
        <f t="shared" si="383"/>
        <v>-117.858698</v>
      </c>
      <c r="D6195">
        <f t="shared" si="384"/>
        <v>38</v>
      </c>
      <c r="E6195">
        <v>1.5</v>
      </c>
      <c r="F6195">
        <f t="shared" si="385"/>
        <v>36.5</v>
      </c>
      <c r="G6195">
        <v>15.25</v>
      </c>
      <c r="H6195">
        <v>0.3</v>
      </c>
      <c r="I6195">
        <v>1.9670000000000001</v>
      </c>
      <c r="J6195">
        <v>5</v>
      </c>
      <c r="K6195">
        <v>7</v>
      </c>
      <c r="L6195">
        <v>11</v>
      </c>
      <c r="M6195">
        <v>1.0109999999999999</v>
      </c>
    </row>
    <row r="6196" spans="1:13" ht="15" customHeight="1">
      <c r="A6196" t="s">
        <v>66</v>
      </c>
      <c r="B6196">
        <f t="shared" si="382"/>
        <v>33.697358000000001</v>
      </c>
      <c r="C6196">
        <f t="shared" si="383"/>
        <v>-117.858698</v>
      </c>
      <c r="D6196">
        <f t="shared" si="384"/>
        <v>38</v>
      </c>
      <c r="E6196">
        <v>2.5</v>
      </c>
      <c r="F6196">
        <f t="shared" si="385"/>
        <v>35.5</v>
      </c>
      <c r="G6196">
        <v>13.7</v>
      </c>
      <c r="H6196">
        <v>0.51500000000000001</v>
      </c>
      <c r="I6196">
        <v>3.7450000000000001</v>
      </c>
      <c r="J6196">
        <v>4</v>
      </c>
      <c r="K6196">
        <v>9</v>
      </c>
      <c r="L6196">
        <v>14</v>
      </c>
      <c r="M6196">
        <v>0.90700000000000003</v>
      </c>
    </row>
    <row r="6197" spans="1:13" ht="15" customHeight="1">
      <c r="A6197" t="s">
        <v>66</v>
      </c>
      <c r="B6197">
        <f t="shared" si="382"/>
        <v>33.697358000000001</v>
      </c>
      <c r="C6197">
        <f t="shared" si="383"/>
        <v>-117.858698</v>
      </c>
      <c r="D6197">
        <f t="shared" si="384"/>
        <v>38</v>
      </c>
      <c r="E6197">
        <v>3.5</v>
      </c>
      <c r="F6197">
        <f t="shared" si="385"/>
        <v>34.5</v>
      </c>
      <c r="G6197">
        <v>18.933</v>
      </c>
      <c r="H6197">
        <v>0.36</v>
      </c>
      <c r="I6197">
        <v>1.9</v>
      </c>
      <c r="J6197">
        <v>6</v>
      </c>
      <c r="K6197">
        <v>7</v>
      </c>
      <c r="L6197">
        <v>11</v>
      </c>
      <c r="M6197">
        <v>1.25</v>
      </c>
    </row>
    <row r="6198" spans="1:13" ht="15" customHeight="1">
      <c r="A6198" t="s">
        <v>66</v>
      </c>
      <c r="B6198">
        <f t="shared" si="382"/>
        <v>33.697358000000001</v>
      </c>
      <c r="C6198">
        <f t="shared" si="383"/>
        <v>-117.858698</v>
      </c>
      <c r="D6198">
        <f t="shared" si="384"/>
        <v>38</v>
      </c>
      <c r="E6198">
        <v>4.5</v>
      </c>
      <c r="F6198">
        <f t="shared" si="385"/>
        <v>33.5</v>
      </c>
      <c r="G6198">
        <v>4.3</v>
      </c>
      <c r="H6198">
        <v>0.27200000000000002</v>
      </c>
      <c r="I6198">
        <v>6.2450000000000001</v>
      </c>
      <c r="J6198">
        <v>3</v>
      </c>
      <c r="K6198">
        <v>4</v>
      </c>
      <c r="L6198">
        <v>6</v>
      </c>
      <c r="M6198">
        <v>0.27300000000000002</v>
      </c>
    </row>
    <row r="6199" spans="1:13" ht="15" customHeight="1">
      <c r="A6199" t="s">
        <v>66</v>
      </c>
      <c r="B6199">
        <f t="shared" si="382"/>
        <v>33.697358000000001</v>
      </c>
      <c r="C6199">
        <f t="shared" si="383"/>
        <v>-117.858698</v>
      </c>
      <c r="D6199">
        <f t="shared" si="384"/>
        <v>38</v>
      </c>
      <c r="E6199">
        <v>5.5</v>
      </c>
      <c r="F6199">
        <f t="shared" si="385"/>
        <v>32.5</v>
      </c>
      <c r="G6199">
        <v>5.5670000000000002</v>
      </c>
      <c r="H6199">
        <v>0.26800000000000002</v>
      </c>
      <c r="I6199">
        <v>4.7080000000000002</v>
      </c>
      <c r="J6199">
        <v>3</v>
      </c>
      <c r="K6199">
        <v>5</v>
      </c>
      <c r="L6199">
        <v>8</v>
      </c>
      <c r="M6199">
        <v>0.35899999999999999</v>
      </c>
    </row>
    <row r="6200" spans="1:13" ht="15" customHeight="1">
      <c r="A6200" t="s">
        <v>66</v>
      </c>
      <c r="B6200">
        <f t="shared" si="382"/>
        <v>33.697358000000001</v>
      </c>
      <c r="C6200">
        <f t="shared" si="383"/>
        <v>-117.858698</v>
      </c>
      <c r="D6200">
        <f t="shared" si="384"/>
        <v>38</v>
      </c>
      <c r="E6200">
        <v>6.5</v>
      </c>
      <c r="F6200">
        <f t="shared" si="385"/>
        <v>31.5</v>
      </c>
      <c r="G6200">
        <v>2.0830000000000002</v>
      </c>
      <c r="H6200">
        <v>8.7999999999999995E-2</v>
      </c>
      <c r="I6200">
        <v>4.2060000000000004</v>
      </c>
      <c r="J6200">
        <v>3</v>
      </c>
      <c r="K6200">
        <v>2</v>
      </c>
      <c r="L6200">
        <v>3</v>
      </c>
      <c r="M6200">
        <v>0.115</v>
      </c>
    </row>
    <row r="6201" spans="1:13" ht="15" customHeight="1">
      <c r="A6201" t="s">
        <v>66</v>
      </c>
      <c r="B6201">
        <f t="shared" si="382"/>
        <v>33.697358000000001</v>
      </c>
      <c r="C6201">
        <f t="shared" si="383"/>
        <v>-117.858698</v>
      </c>
      <c r="D6201">
        <f t="shared" si="384"/>
        <v>38</v>
      </c>
      <c r="E6201">
        <v>7.5</v>
      </c>
      <c r="F6201">
        <f t="shared" si="385"/>
        <v>30.5</v>
      </c>
      <c r="G6201">
        <v>2.9329999999999998</v>
      </c>
      <c r="H6201">
        <v>0.127</v>
      </c>
      <c r="I6201">
        <v>4.1989999999999998</v>
      </c>
      <c r="J6201">
        <v>3</v>
      </c>
      <c r="K6201">
        <v>3</v>
      </c>
      <c r="L6201">
        <v>5</v>
      </c>
      <c r="M6201">
        <v>0.17199999999999999</v>
      </c>
    </row>
    <row r="6202" spans="1:13" ht="15" customHeight="1">
      <c r="A6202" t="s">
        <v>66</v>
      </c>
      <c r="B6202">
        <f t="shared" si="382"/>
        <v>33.697358000000001</v>
      </c>
      <c r="C6202">
        <f t="shared" si="383"/>
        <v>-117.858698</v>
      </c>
      <c r="D6202">
        <f t="shared" si="384"/>
        <v>38</v>
      </c>
      <c r="E6202">
        <v>8.5</v>
      </c>
      <c r="F6202">
        <f t="shared" si="385"/>
        <v>29.5</v>
      </c>
      <c r="G6202">
        <v>5</v>
      </c>
      <c r="H6202">
        <v>0.24199999999999999</v>
      </c>
      <c r="I6202">
        <v>4.7699999999999996</v>
      </c>
      <c r="J6202">
        <v>3</v>
      </c>
      <c r="K6202">
        <v>5</v>
      </c>
      <c r="L6202">
        <v>8</v>
      </c>
      <c r="M6202">
        <v>0.30399999999999999</v>
      </c>
    </row>
    <row r="6203" spans="1:13" ht="15" customHeight="1">
      <c r="A6203" t="s">
        <v>66</v>
      </c>
      <c r="B6203">
        <f t="shared" si="382"/>
        <v>33.697358000000001</v>
      </c>
      <c r="C6203">
        <f t="shared" si="383"/>
        <v>-117.858698</v>
      </c>
      <c r="D6203">
        <f t="shared" si="384"/>
        <v>38</v>
      </c>
      <c r="E6203">
        <v>9.5</v>
      </c>
      <c r="F6203">
        <f t="shared" si="385"/>
        <v>28.5</v>
      </c>
      <c r="G6203">
        <v>7.8170000000000002</v>
      </c>
      <c r="H6203">
        <v>0.32300000000000001</v>
      </c>
      <c r="I6203">
        <v>4.093</v>
      </c>
      <c r="J6203">
        <v>3</v>
      </c>
      <c r="K6203">
        <v>8</v>
      </c>
      <c r="L6203">
        <v>12</v>
      </c>
      <c r="M6203">
        <v>0.48899999999999999</v>
      </c>
    </row>
    <row r="6204" spans="1:13" ht="15" customHeight="1">
      <c r="A6204" t="s">
        <v>66</v>
      </c>
      <c r="B6204">
        <f t="shared" si="382"/>
        <v>33.697358000000001</v>
      </c>
      <c r="C6204">
        <f t="shared" si="383"/>
        <v>-117.858698</v>
      </c>
      <c r="D6204">
        <f t="shared" si="384"/>
        <v>38</v>
      </c>
      <c r="E6204">
        <v>10.5</v>
      </c>
      <c r="F6204">
        <f t="shared" si="385"/>
        <v>27.5</v>
      </c>
      <c r="G6204">
        <v>12.4</v>
      </c>
      <c r="H6204">
        <v>0.57999999999999996</v>
      </c>
      <c r="I6204">
        <v>4.6239999999999997</v>
      </c>
      <c r="J6204">
        <v>3</v>
      </c>
      <c r="K6204">
        <v>12</v>
      </c>
      <c r="L6204">
        <v>17</v>
      </c>
      <c r="M6204">
        <v>0.79500000000000004</v>
      </c>
    </row>
    <row r="6205" spans="1:13" ht="15" customHeight="1">
      <c r="A6205" t="s">
        <v>66</v>
      </c>
      <c r="B6205">
        <f t="shared" si="382"/>
        <v>33.697358000000001</v>
      </c>
      <c r="C6205">
        <f t="shared" si="383"/>
        <v>-117.858698</v>
      </c>
      <c r="D6205">
        <f t="shared" si="384"/>
        <v>38</v>
      </c>
      <c r="E6205">
        <v>11.5</v>
      </c>
      <c r="F6205">
        <f t="shared" si="385"/>
        <v>26.5</v>
      </c>
      <c r="G6205">
        <v>9.5670000000000002</v>
      </c>
      <c r="H6205">
        <v>0.46800000000000003</v>
      </c>
      <c r="I6205">
        <v>4.82</v>
      </c>
      <c r="J6205">
        <v>3</v>
      </c>
      <c r="K6205">
        <v>9</v>
      </c>
      <c r="L6205">
        <v>12</v>
      </c>
      <c r="M6205">
        <v>0.60199999999999998</v>
      </c>
    </row>
    <row r="6206" spans="1:13" ht="15" customHeight="1">
      <c r="A6206" t="s">
        <v>66</v>
      </c>
      <c r="B6206">
        <f t="shared" si="382"/>
        <v>33.697358000000001</v>
      </c>
      <c r="C6206">
        <f t="shared" si="383"/>
        <v>-117.858698</v>
      </c>
      <c r="D6206">
        <f t="shared" si="384"/>
        <v>38</v>
      </c>
      <c r="E6206">
        <v>12.5</v>
      </c>
      <c r="F6206">
        <f t="shared" si="385"/>
        <v>25.5</v>
      </c>
      <c r="G6206">
        <v>9.0329999999999995</v>
      </c>
      <c r="H6206">
        <v>0.44700000000000001</v>
      </c>
      <c r="I6206">
        <v>4.8819999999999997</v>
      </c>
      <c r="J6206">
        <v>3</v>
      </c>
      <c r="K6206">
        <v>9</v>
      </c>
      <c r="L6206">
        <v>11</v>
      </c>
      <c r="M6206">
        <v>0.56000000000000005</v>
      </c>
    </row>
    <row r="6207" spans="1:13" ht="15" customHeight="1">
      <c r="A6207" t="s">
        <v>66</v>
      </c>
      <c r="B6207">
        <f t="shared" si="382"/>
        <v>33.697358000000001</v>
      </c>
      <c r="C6207">
        <f t="shared" si="383"/>
        <v>-117.858698</v>
      </c>
      <c r="D6207">
        <f t="shared" si="384"/>
        <v>38</v>
      </c>
      <c r="E6207">
        <v>13.5</v>
      </c>
      <c r="F6207">
        <f t="shared" si="385"/>
        <v>24.5</v>
      </c>
      <c r="G6207">
        <v>8.75</v>
      </c>
      <c r="H6207">
        <v>0.48699999999999999</v>
      </c>
      <c r="I6207">
        <v>5.468</v>
      </c>
      <c r="J6207">
        <v>3</v>
      </c>
      <c r="K6207">
        <v>9</v>
      </c>
      <c r="L6207">
        <v>11</v>
      </c>
      <c r="M6207">
        <v>0.54</v>
      </c>
    </row>
    <row r="6208" spans="1:13" ht="15" customHeight="1">
      <c r="A6208" t="s">
        <v>66</v>
      </c>
      <c r="B6208">
        <f t="shared" si="382"/>
        <v>33.697358000000001</v>
      </c>
      <c r="C6208">
        <f t="shared" si="383"/>
        <v>-117.858698</v>
      </c>
      <c r="D6208">
        <f t="shared" si="384"/>
        <v>38</v>
      </c>
      <c r="E6208">
        <v>14.5</v>
      </c>
      <c r="F6208">
        <f t="shared" si="385"/>
        <v>23.5</v>
      </c>
      <c r="G6208">
        <v>5.65</v>
      </c>
      <c r="H6208">
        <v>0.32500000000000001</v>
      </c>
      <c r="I6208">
        <v>5.5709999999999997</v>
      </c>
      <c r="J6208">
        <v>3</v>
      </c>
      <c r="K6208">
        <v>6</v>
      </c>
      <c r="L6208">
        <v>7</v>
      </c>
      <c r="M6208">
        <v>0.33100000000000002</v>
      </c>
    </row>
    <row r="6209" spans="1:13" ht="15" customHeight="1">
      <c r="A6209" t="s">
        <v>66</v>
      </c>
      <c r="B6209">
        <f t="shared" si="382"/>
        <v>33.697358000000001</v>
      </c>
      <c r="C6209">
        <f t="shared" si="383"/>
        <v>-117.858698</v>
      </c>
      <c r="D6209">
        <f t="shared" si="384"/>
        <v>38</v>
      </c>
      <c r="E6209">
        <v>15.5</v>
      </c>
      <c r="F6209">
        <f t="shared" si="385"/>
        <v>22.5</v>
      </c>
      <c r="G6209">
        <v>4.8499999999999996</v>
      </c>
      <c r="H6209">
        <v>0.27200000000000002</v>
      </c>
      <c r="I6209">
        <v>5.4880000000000004</v>
      </c>
      <c r="J6209">
        <v>3</v>
      </c>
      <c r="K6209">
        <v>5</v>
      </c>
      <c r="L6209">
        <v>5</v>
      </c>
      <c r="M6209">
        <v>0.26800000000000002</v>
      </c>
    </row>
    <row r="6210" spans="1:13" ht="15" customHeight="1">
      <c r="A6210" t="s">
        <v>66</v>
      </c>
      <c r="B6210">
        <f t="shared" ref="B6210:B6273" si="386">VLOOKUP(A6210,XYdata,3,FALSE)</f>
        <v>33.697358000000001</v>
      </c>
      <c r="C6210">
        <f t="shared" ref="C6210:C6273" si="387">VLOOKUP(A6210,XYdata,2,FALSE)</f>
        <v>-117.858698</v>
      </c>
      <c r="D6210">
        <f t="shared" ref="D6210:D6273" si="388">VLOOKUP(A6210,Elevation,2,FALSE)</f>
        <v>38</v>
      </c>
      <c r="E6210">
        <v>16.5</v>
      </c>
      <c r="F6210">
        <f t="shared" si="385"/>
        <v>21.5</v>
      </c>
      <c r="G6210">
        <v>8.8000000000000007</v>
      </c>
      <c r="H6210">
        <v>0.42499999999999999</v>
      </c>
      <c r="I6210">
        <v>4.7750000000000004</v>
      </c>
      <c r="J6210">
        <v>3</v>
      </c>
      <c r="K6210">
        <v>9</v>
      </c>
      <c r="L6210">
        <v>9</v>
      </c>
      <c r="M6210">
        <v>0.52800000000000002</v>
      </c>
    </row>
    <row r="6211" spans="1:13" ht="15" customHeight="1">
      <c r="A6211" t="s">
        <v>66</v>
      </c>
      <c r="B6211">
        <f t="shared" si="386"/>
        <v>33.697358000000001</v>
      </c>
      <c r="C6211">
        <f t="shared" si="387"/>
        <v>-117.858698</v>
      </c>
      <c r="D6211">
        <f t="shared" si="388"/>
        <v>38</v>
      </c>
      <c r="E6211">
        <v>17.5</v>
      </c>
      <c r="F6211">
        <f t="shared" ref="F6211:F6274" si="389">D6211-E6211</f>
        <v>20.5</v>
      </c>
      <c r="G6211">
        <v>15.683</v>
      </c>
      <c r="H6211">
        <v>0.86799999999999999</v>
      </c>
      <c r="I6211">
        <v>5.49</v>
      </c>
      <c r="J6211">
        <v>3</v>
      </c>
      <c r="K6211">
        <v>15</v>
      </c>
      <c r="L6211">
        <v>15</v>
      </c>
      <c r="M6211">
        <v>0.98499999999999999</v>
      </c>
    </row>
    <row r="6212" spans="1:13" ht="15" customHeight="1">
      <c r="A6212" t="s">
        <v>66</v>
      </c>
      <c r="B6212">
        <f t="shared" si="386"/>
        <v>33.697358000000001</v>
      </c>
      <c r="C6212">
        <f t="shared" si="387"/>
        <v>-117.858698</v>
      </c>
      <c r="D6212">
        <f t="shared" si="388"/>
        <v>38</v>
      </c>
      <c r="E6212">
        <v>18.5</v>
      </c>
      <c r="F6212">
        <f t="shared" si="389"/>
        <v>19.5</v>
      </c>
      <c r="G6212">
        <v>19.132999999999999</v>
      </c>
      <c r="H6212">
        <v>0.67</v>
      </c>
      <c r="I6212">
        <v>3.472</v>
      </c>
      <c r="J6212">
        <v>4</v>
      </c>
      <c r="K6212">
        <v>12</v>
      </c>
      <c r="L6212">
        <v>11</v>
      </c>
      <c r="M6212">
        <v>1.2130000000000001</v>
      </c>
    </row>
    <row r="6213" spans="1:13" ht="15" customHeight="1">
      <c r="A6213" t="s">
        <v>66</v>
      </c>
      <c r="B6213">
        <f t="shared" si="386"/>
        <v>33.697358000000001</v>
      </c>
      <c r="C6213">
        <f t="shared" si="387"/>
        <v>-117.858698</v>
      </c>
      <c r="D6213">
        <f t="shared" si="388"/>
        <v>38</v>
      </c>
      <c r="E6213">
        <v>19.5</v>
      </c>
      <c r="F6213">
        <f t="shared" si="389"/>
        <v>18.5</v>
      </c>
      <c r="G6213">
        <v>17.817</v>
      </c>
      <c r="H6213">
        <v>0.32800000000000001</v>
      </c>
      <c r="I6213">
        <v>1.827</v>
      </c>
      <c r="J6213">
        <v>6</v>
      </c>
      <c r="K6213">
        <v>7</v>
      </c>
      <c r="L6213">
        <v>6</v>
      </c>
      <c r="M6213">
        <v>1.1200000000000001</v>
      </c>
    </row>
    <row r="6214" spans="1:13" ht="15" customHeight="1">
      <c r="A6214" t="s">
        <v>66</v>
      </c>
      <c r="B6214">
        <f t="shared" si="386"/>
        <v>33.697358000000001</v>
      </c>
      <c r="C6214">
        <f t="shared" si="387"/>
        <v>-117.858698</v>
      </c>
      <c r="D6214">
        <f t="shared" si="388"/>
        <v>38</v>
      </c>
      <c r="E6214">
        <v>20.5</v>
      </c>
      <c r="F6214">
        <f t="shared" si="389"/>
        <v>17.5</v>
      </c>
      <c r="G6214">
        <v>16.8</v>
      </c>
      <c r="H6214">
        <v>0.46700000000000003</v>
      </c>
      <c r="I6214">
        <v>2.7429999999999999</v>
      </c>
      <c r="J6214">
        <v>5</v>
      </c>
      <c r="K6214">
        <v>8</v>
      </c>
      <c r="L6214">
        <v>7</v>
      </c>
      <c r="M6214">
        <v>1.054</v>
      </c>
    </row>
    <row r="6215" spans="1:13" ht="15" customHeight="1">
      <c r="A6215" t="s">
        <v>66</v>
      </c>
      <c r="B6215">
        <f t="shared" si="386"/>
        <v>33.697358000000001</v>
      </c>
      <c r="C6215">
        <f t="shared" si="387"/>
        <v>-117.858698</v>
      </c>
      <c r="D6215">
        <f t="shared" si="388"/>
        <v>38</v>
      </c>
      <c r="E6215">
        <v>21.5</v>
      </c>
      <c r="F6215">
        <f t="shared" si="389"/>
        <v>16.5</v>
      </c>
      <c r="G6215">
        <v>29.283000000000001</v>
      </c>
      <c r="H6215">
        <v>0.96</v>
      </c>
      <c r="I6215">
        <v>3.26</v>
      </c>
      <c r="J6215">
        <v>5</v>
      </c>
      <c r="K6215">
        <v>14</v>
      </c>
      <c r="L6215">
        <v>12</v>
      </c>
      <c r="M6215">
        <v>1.8779999999999999</v>
      </c>
    </row>
    <row r="6216" spans="1:13" ht="15" customHeight="1">
      <c r="A6216" t="s">
        <v>66</v>
      </c>
      <c r="B6216">
        <f t="shared" si="386"/>
        <v>33.697358000000001</v>
      </c>
      <c r="C6216">
        <f t="shared" si="387"/>
        <v>-117.858698</v>
      </c>
      <c r="D6216">
        <f t="shared" si="388"/>
        <v>38</v>
      </c>
      <c r="E6216">
        <v>22.5</v>
      </c>
      <c r="F6216">
        <f t="shared" si="389"/>
        <v>15.5</v>
      </c>
      <c r="G6216">
        <v>76.816999999999993</v>
      </c>
      <c r="H6216">
        <v>1.012</v>
      </c>
      <c r="I6216">
        <v>1.3169999999999999</v>
      </c>
      <c r="J6216">
        <v>8</v>
      </c>
      <c r="K6216">
        <v>18</v>
      </c>
      <c r="L6216">
        <v>14</v>
      </c>
      <c r="M6216" s="1">
        <v>9000000000</v>
      </c>
    </row>
    <row r="6217" spans="1:13" ht="15" customHeight="1">
      <c r="A6217" t="s">
        <v>66</v>
      </c>
      <c r="B6217">
        <f t="shared" si="386"/>
        <v>33.697358000000001</v>
      </c>
      <c r="C6217">
        <f t="shared" si="387"/>
        <v>-117.858698</v>
      </c>
      <c r="D6217">
        <f t="shared" si="388"/>
        <v>38</v>
      </c>
      <c r="E6217">
        <v>23.5</v>
      </c>
      <c r="F6217">
        <f t="shared" si="389"/>
        <v>14.5</v>
      </c>
      <c r="G6217">
        <v>26.966999999999999</v>
      </c>
      <c r="H6217">
        <v>0.7</v>
      </c>
      <c r="I6217">
        <v>2.6040000000000001</v>
      </c>
      <c r="J6217">
        <v>6</v>
      </c>
      <c r="K6217">
        <v>10</v>
      </c>
      <c r="L6217">
        <v>8</v>
      </c>
      <c r="M6217">
        <v>1.698</v>
      </c>
    </row>
    <row r="6218" spans="1:13" ht="15" customHeight="1">
      <c r="A6218" t="s">
        <v>66</v>
      </c>
      <c r="B6218">
        <f t="shared" si="386"/>
        <v>33.697358000000001</v>
      </c>
      <c r="C6218">
        <f t="shared" si="387"/>
        <v>-117.858698</v>
      </c>
      <c r="D6218">
        <f t="shared" si="388"/>
        <v>38</v>
      </c>
      <c r="E6218">
        <v>24.5</v>
      </c>
      <c r="F6218">
        <f t="shared" si="389"/>
        <v>13.5</v>
      </c>
      <c r="G6218">
        <v>79.266999999999996</v>
      </c>
      <c r="H6218">
        <v>1.8720000000000001</v>
      </c>
      <c r="I6218">
        <v>2.3639999999999999</v>
      </c>
      <c r="J6218">
        <v>7</v>
      </c>
      <c r="K6218">
        <v>25</v>
      </c>
      <c r="L6218">
        <v>19</v>
      </c>
      <c r="M6218" s="1">
        <v>9000000000</v>
      </c>
    </row>
    <row r="6219" spans="1:13" ht="15" customHeight="1">
      <c r="A6219" t="s">
        <v>66</v>
      </c>
      <c r="B6219">
        <f t="shared" si="386"/>
        <v>33.697358000000001</v>
      </c>
      <c r="C6219">
        <f t="shared" si="387"/>
        <v>-117.858698</v>
      </c>
      <c r="D6219">
        <f t="shared" si="388"/>
        <v>38</v>
      </c>
      <c r="E6219">
        <v>25.5</v>
      </c>
      <c r="F6219">
        <f t="shared" si="389"/>
        <v>12.5</v>
      </c>
      <c r="G6219">
        <v>93.316999999999993</v>
      </c>
      <c r="H6219">
        <v>1.57</v>
      </c>
      <c r="I6219">
        <v>1.6839999999999999</v>
      </c>
      <c r="J6219">
        <v>7</v>
      </c>
      <c r="K6219">
        <v>30</v>
      </c>
      <c r="L6219">
        <v>22</v>
      </c>
      <c r="M6219" s="1">
        <v>9000000000</v>
      </c>
    </row>
    <row r="6220" spans="1:13" ht="15" customHeight="1">
      <c r="A6220" t="s">
        <v>66</v>
      </c>
      <c r="B6220">
        <f t="shared" si="386"/>
        <v>33.697358000000001</v>
      </c>
      <c r="C6220">
        <f t="shared" si="387"/>
        <v>-117.858698</v>
      </c>
      <c r="D6220">
        <f t="shared" si="388"/>
        <v>38</v>
      </c>
      <c r="E6220">
        <v>26.5</v>
      </c>
      <c r="F6220">
        <f t="shared" si="389"/>
        <v>11.5</v>
      </c>
      <c r="G6220">
        <v>132.88300000000001</v>
      </c>
      <c r="H6220">
        <v>2.19</v>
      </c>
      <c r="I6220">
        <v>1.65</v>
      </c>
      <c r="J6220">
        <v>8</v>
      </c>
      <c r="K6220">
        <v>32</v>
      </c>
      <c r="L6220">
        <v>23</v>
      </c>
      <c r="M6220" s="1">
        <v>9000000000</v>
      </c>
    </row>
    <row r="6221" spans="1:13" ht="15" customHeight="1">
      <c r="A6221" t="s">
        <v>66</v>
      </c>
      <c r="B6221">
        <f t="shared" si="386"/>
        <v>33.697358000000001</v>
      </c>
      <c r="C6221">
        <f t="shared" si="387"/>
        <v>-117.858698</v>
      </c>
      <c r="D6221">
        <f t="shared" si="388"/>
        <v>38</v>
      </c>
      <c r="E6221">
        <v>27.5</v>
      </c>
      <c r="F6221">
        <f t="shared" si="389"/>
        <v>10.5</v>
      </c>
      <c r="G6221">
        <v>204</v>
      </c>
      <c r="H6221">
        <v>2.383</v>
      </c>
      <c r="I6221">
        <v>1.169</v>
      </c>
      <c r="J6221">
        <v>9</v>
      </c>
      <c r="K6221">
        <v>39</v>
      </c>
      <c r="L6221">
        <v>27</v>
      </c>
      <c r="M6221" s="1">
        <v>9000000000</v>
      </c>
    </row>
    <row r="6222" spans="1:13" ht="15" customHeight="1">
      <c r="A6222" t="s">
        <v>66</v>
      </c>
      <c r="B6222">
        <f t="shared" si="386"/>
        <v>33.697358000000001</v>
      </c>
      <c r="C6222">
        <f t="shared" si="387"/>
        <v>-117.858698</v>
      </c>
      <c r="D6222">
        <f t="shared" si="388"/>
        <v>38</v>
      </c>
      <c r="E6222">
        <v>28.5</v>
      </c>
      <c r="F6222">
        <f t="shared" si="389"/>
        <v>9.5</v>
      </c>
      <c r="G6222">
        <v>127.15</v>
      </c>
      <c r="H6222">
        <v>2</v>
      </c>
      <c r="I6222">
        <v>1.575</v>
      </c>
      <c r="J6222">
        <v>8</v>
      </c>
      <c r="K6222">
        <v>30</v>
      </c>
      <c r="L6222">
        <v>21</v>
      </c>
      <c r="M6222" s="1">
        <v>9000000000</v>
      </c>
    </row>
    <row r="6223" spans="1:13" ht="15" customHeight="1">
      <c r="A6223" t="s">
        <v>66</v>
      </c>
      <c r="B6223">
        <f t="shared" si="386"/>
        <v>33.697358000000001</v>
      </c>
      <c r="C6223">
        <f t="shared" si="387"/>
        <v>-117.858698</v>
      </c>
      <c r="D6223">
        <f t="shared" si="388"/>
        <v>38</v>
      </c>
      <c r="E6223">
        <v>29.5</v>
      </c>
      <c r="F6223">
        <f t="shared" si="389"/>
        <v>8.5</v>
      </c>
      <c r="G6223">
        <v>43.267000000000003</v>
      </c>
      <c r="H6223">
        <v>1.81</v>
      </c>
      <c r="I6223">
        <v>4.2</v>
      </c>
      <c r="J6223">
        <v>4</v>
      </c>
      <c r="K6223">
        <v>28</v>
      </c>
      <c r="L6223">
        <v>19</v>
      </c>
      <c r="M6223">
        <v>2.7549999999999999</v>
      </c>
    </row>
    <row r="6224" spans="1:13" ht="15" customHeight="1">
      <c r="A6224" t="s">
        <v>66</v>
      </c>
      <c r="B6224">
        <f t="shared" si="386"/>
        <v>33.697358000000001</v>
      </c>
      <c r="C6224">
        <f t="shared" si="387"/>
        <v>-117.858698</v>
      </c>
      <c r="D6224">
        <f t="shared" si="388"/>
        <v>38</v>
      </c>
      <c r="E6224">
        <v>30.5</v>
      </c>
      <c r="F6224">
        <f t="shared" si="389"/>
        <v>7.5</v>
      </c>
      <c r="G6224">
        <v>33.482999999999997</v>
      </c>
      <c r="H6224">
        <v>1.258</v>
      </c>
      <c r="I6224">
        <v>3.7810000000000001</v>
      </c>
      <c r="J6224">
        <v>5</v>
      </c>
      <c r="K6224">
        <v>16</v>
      </c>
      <c r="L6224">
        <v>11</v>
      </c>
      <c r="M6224">
        <v>2.0960000000000001</v>
      </c>
    </row>
    <row r="6225" spans="1:13" ht="15" customHeight="1">
      <c r="A6225" t="s">
        <v>66</v>
      </c>
      <c r="B6225">
        <f t="shared" si="386"/>
        <v>33.697358000000001</v>
      </c>
      <c r="C6225">
        <f t="shared" si="387"/>
        <v>-117.858698</v>
      </c>
      <c r="D6225">
        <f t="shared" si="388"/>
        <v>38</v>
      </c>
      <c r="E6225">
        <v>31.5</v>
      </c>
      <c r="F6225">
        <f t="shared" si="389"/>
        <v>6.5</v>
      </c>
      <c r="G6225">
        <v>33.014000000000003</v>
      </c>
      <c r="H6225">
        <v>1.3129999999999999</v>
      </c>
      <c r="I6225">
        <v>3.9990000000000001</v>
      </c>
      <c r="J6225">
        <v>4</v>
      </c>
      <c r="K6225">
        <v>21</v>
      </c>
      <c r="L6225">
        <v>14</v>
      </c>
      <c r="M6225">
        <v>2.0609999999999999</v>
      </c>
    </row>
    <row r="6226" spans="1:13" ht="15" customHeight="1">
      <c r="A6226" t="s">
        <v>66</v>
      </c>
      <c r="B6226">
        <f t="shared" si="386"/>
        <v>33.697358000000001</v>
      </c>
      <c r="C6226">
        <f t="shared" si="387"/>
        <v>-117.858698</v>
      </c>
      <c r="D6226">
        <f t="shared" si="388"/>
        <v>38</v>
      </c>
      <c r="E6226">
        <v>32.5</v>
      </c>
      <c r="F6226">
        <f t="shared" si="389"/>
        <v>5.5</v>
      </c>
      <c r="G6226">
        <v>172.017</v>
      </c>
      <c r="H6226">
        <v>1.2070000000000001</v>
      </c>
      <c r="I6226">
        <v>0.70199999999999996</v>
      </c>
      <c r="J6226">
        <v>9</v>
      </c>
      <c r="K6226">
        <v>33</v>
      </c>
      <c r="L6226">
        <v>22</v>
      </c>
      <c r="M6226" s="1">
        <v>9000000000</v>
      </c>
    </row>
    <row r="6227" spans="1:13" ht="15" customHeight="1">
      <c r="A6227" t="s">
        <v>66</v>
      </c>
      <c r="B6227">
        <f t="shared" si="386"/>
        <v>33.697358000000001</v>
      </c>
      <c r="C6227">
        <f t="shared" si="387"/>
        <v>-117.858698</v>
      </c>
      <c r="D6227">
        <f t="shared" si="388"/>
        <v>38</v>
      </c>
      <c r="E6227">
        <v>33.5</v>
      </c>
      <c r="F6227">
        <f t="shared" si="389"/>
        <v>4.5</v>
      </c>
      <c r="G6227">
        <v>100.867</v>
      </c>
      <c r="H6227">
        <v>1.373</v>
      </c>
      <c r="I6227">
        <v>1.3640000000000001</v>
      </c>
      <c r="J6227">
        <v>8</v>
      </c>
      <c r="K6227">
        <v>24</v>
      </c>
      <c r="L6227">
        <v>15</v>
      </c>
      <c r="M6227" s="1">
        <v>9000000000</v>
      </c>
    </row>
    <row r="6228" spans="1:13" ht="15" customHeight="1">
      <c r="A6228" t="s">
        <v>66</v>
      </c>
      <c r="B6228">
        <f t="shared" si="386"/>
        <v>33.697358000000001</v>
      </c>
      <c r="C6228">
        <f t="shared" si="387"/>
        <v>-117.858698</v>
      </c>
      <c r="D6228">
        <f t="shared" si="388"/>
        <v>38</v>
      </c>
      <c r="E6228">
        <v>34.5</v>
      </c>
      <c r="F6228">
        <f t="shared" si="389"/>
        <v>3.5</v>
      </c>
      <c r="G6228">
        <v>32.017000000000003</v>
      </c>
      <c r="H6228">
        <v>1.5669999999999999</v>
      </c>
      <c r="I6228">
        <v>4.9160000000000004</v>
      </c>
      <c r="J6228">
        <v>3</v>
      </c>
      <c r="K6228">
        <v>31</v>
      </c>
      <c r="L6228">
        <v>20</v>
      </c>
      <c r="M6228">
        <v>1.9850000000000001</v>
      </c>
    </row>
    <row r="6229" spans="1:13" ht="15" customHeight="1">
      <c r="A6229" t="s">
        <v>66</v>
      </c>
      <c r="B6229">
        <f t="shared" si="386"/>
        <v>33.697358000000001</v>
      </c>
      <c r="C6229">
        <f t="shared" si="387"/>
        <v>-117.858698</v>
      </c>
      <c r="D6229">
        <f t="shared" si="388"/>
        <v>38</v>
      </c>
      <c r="E6229">
        <v>35.5</v>
      </c>
      <c r="F6229">
        <f t="shared" si="389"/>
        <v>2.5</v>
      </c>
      <c r="G6229">
        <v>23.966999999999999</v>
      </c>
      <c r="H6229">
        <v>0.71</v>
      </c>
      <c r="I6229">
        <v>2.9790000000000001</v>
      </c>
      <c r="J6229">
        <v>5</v>
      </c>
      <c r="K6229">
        <v>11</v>
      </c>
      <c r="L6229">
        <v>7</v>
      </c>
      <c r="M6229">
        <v>1.4450000000000001</v>
      </c>
    </row>
    <row r="6230" spans="1:13" ht="15" customHeight="1">
      <c r="A6230" t="s">
        <v>66</v>
      </c>
      <c r="B6230">
        <f t="shared" si="386"/>
        <v>33.697358000000001</v>
      </c>
      <c r="C6230">
        <f t="shared" si="387"/>
        <v>-117.858698</v>
      </c>
      <c r="D6230">
        <f t="shared" si="388"/>
        <v>38</v>
      </c>
      <c r="E6230">
        <v>36.5</v>
      </c>
      <c r="F6230">
        <f t="shared" si="389"/>
        <v>1.5</v>
      </c>
      <c r="G6230">
        <v>46.4</v>
      </c>
      <c r="H6230">
        <v>1.0880000000000001</v>
      </c>
      <c r="I6230">
        <v>2.3530000000000002</v>
      </c>
      <c r="J6230">
        <v>6</v>
      </c>
      <c r="K6230">
        <v>18</v>
      </c>
      <c r="L6230">
        <v>11</v>
      </c>
      <c r="M6230">
        <v>2.9350000000000001</v>
      </c>
    </row>
    <row r="6231" spans="1:13" ht="15" customHeight="1">
      <c r="A6231" t="s">
        <v>66</v>
      </c>
      <c r="B6231">
        <f t="shared" si="386"/>
        <v>33.697358000000001</v>
      </c>
      <c r="C6231">
        <f t="shared" si="387"/>
        <v>-117.858698</v>
      </c>
      <c r="D6231">
        <f t="shared" si="388"/>
        <v>38</v>
      </c>
      <c r="E6231">
        <v>37.5</v>
      </c>
      <c r="F6231">
        <f t="shared" si="389"/>
        <v>0.5</v>
      </c>
      <c r="G6231">
        <v>110.8</v>
      </c>
      <c r="H6231">
        <v>1.2529999999999999</v>
      </c>
      <c r="I6231">
        <v>1.133</v>
      </c>
      <c r="J6231">
        <v>8</v>
      </c>
      <c r="K6231">
        <v>26</v>
      </c>
      <c r="L6231">
        <v>16</v>
      </c>
      <c r="M6231" s="1">
        <v>9000000000</v>
      </c>
    </row>
    <row r="6232" spans="1:13" ht="15" customHeight="1">
      <c r="A6232" t="s">
        <v>66</v>
      </c>
      <c r="B6232">
        <f t="shared" si="386"/>
        <v>33.697358000000001</v>
      </c>
      <c r="C6232">
        <f t="shared" si="387"/>
        <v>-117.858698</v>
      </c>
      <c r="D6232">
        <f t="shared" si="388"/>
        <v>38</v>
      </c>
      <c r="E6232">
        <v>38.5</v>
      </c>
      <c r="F6232">
        <f t="shared" si="389"/>
        <v>-0.5</v>
      </c>
      <c r="G6232">
        <v>210.65</v>
      </c>
      <c r="H6232">
        <v>1.2</v>
      </c>
      <c r="I6232">
        <v>0.56999999999999995</v>
      </c>
      <c r="J6232">
        <v>9</v>
      </c>
      <c r="K6232">
        <v>40</v>
      </c>
      <c r="L6232">
        <v>24</v>
      </c>
      <c r="M6232" s="1">
        <v>9000000000</v>
      </c>
    </row>
    <row r="6233" spans="1:13" ht="15" customHeight="1">
      <c r="A6233" t="s">
        <v>66</v>
      </c>
      <c r="B6233">
        <f t="shared" si="386"/>
        <v>33.697358000000001</v>
      </c>
      <c r="C6233">
        <f t="shared" si="387"/>
        <v>-117.858698</v>
      </c>
      <c r="D6233">
        <f t="shared" si="388"/>
        <v>38</v>
      </c>
      <c r="E6233">
        <v>39.5</v>
      </c>
      <c r="F6233">
        <f t="shared" si="389"/>
        <v>-1.5</v>
      </c>
      <c r="G6233">
        <v>215.71700000000001</v>
      </c>
      <c r="H6233">
        <v>1.01</v>
      </c>
      <c r="I6233">
        <v>0.46899999999999997</v>
      </c>
      <c r="J6233">
        <v>9</v>
      </c>
      <c r="K6233">
        <v>41</v>
      </c>
      <c r="L6233">
        <v>24</v>
      </c>
      <c r="M6233" s="1">
        <v>9000000000</v>
      </c>
    </row>
    <row r="6234" spans="1:13" ht="15" customHeight="1">
      <c r="A6234" t="s">
        <v>66</v>
      </c>
      <c r="B6234">
        <f t="shared" si="386"/>
        <v>33.697358000000001</v>
      </c>
      <c r="C6234">
        <f t="shared" si="387"/>
        <v>-117.858698</v>
      </c>
      <c r="D6234">
        <f t="shared" si="388"/>
        <v>38</v>
      </c>
      <c r="E6234">
        <v>40.5</v>
      </c>
      <c r="F6234">
        <f t="shared" si="389"/>
        <v>-2.5</v>
      </c>
      <c r="G6234">
        <v>96.3</v>
      </c>
      <c r="H6234">
        <v>1.613</v>
      </c>
      <c r="I6234">
        <v>1.677</v>
      </c>
      <c r="J6234">
        <v>7</v>
      </c>
      <c r="K6234">
        <v>31</v>
      </c>
      <c r="L6234">
        <v>18</v>
      </c>
      <c r="M6234" s="1">
        <v>9000000000</v>
      </c>
    </row>
    <row r="6235" spans="1:13" ht="15" customHeight="1">
      <c r="A6235" t="s">
        <v>66</v>
      </c>
      <c r="B6235">
        <f t="shared" si="386"/>
        <v>33.697358000000001</v>
      </c>
      <c r="C6235">
        <f t="shared" si="387"/>
        <v>-117.858698</v>
      </c>
      <c r="D6235">
        <f t="shared" si="388"/>
        <v>38</v>
      </c>
      <c r="E6235">
        <v>41.499000000000002</v>
      </c>
      <c r="F6235">
        <f t="shared" si="389"/>
        <v>-3.4990000000000023</v>
      </c>
      <c r="G6235">
        <v>104.886</v>
      </c>
      <c r="H6235">
        <v>1.887</v>
      </c>
      <c r="I6235">
        <v>1.8009999999999999</v>
      </c>
      <c r="J6235">
        <v>7</v>
      </c>
      <c r="K6235">
        <v>33</v>
      </c>
      <c r="L6235">
        <v>19</v>
      </c>
      <c r="M6235" s="1">
        <v>9000000000</v>
      </c>
    </row>
    <row r="6236" spans="1:13" ht="15" customHeight="1">
      <c r="A6236" t="s">
        <v>66</v>
      </c>
      <c r="B6236">
        <f t="shared" si="386"/>
        <v>33.697358000000001</v>
      </c>
      <c r="C6236">
        <f t="shared" si="387"/>
        <v>-117.858698</v>
      </c>
      <c r="D6236">
        <f t="shared" si="388"/>
        <v>38</v>
      </c>
      <c r="E6236">
        <v>42.499000000000002</v>
      </c>
      <c r="F6236">
        <f t="shared" si="389"/>
        <v>-4.4990000000000023</v>
      </c>
      <c r="G6236">
        <v>47.767000000000003</v>
      </c>
      <c r="H6236">
        <v>1.353</v>
      </c>
      <c r="I6236">
        <v>2.843</v>
      </c>
      <c r="J6236">
        <v>6</v>
      </c>
      <c r="K6236">
        <v>18</v>
      </c>
      <c r="L6236">
        <v>10</v>
      </c>
      <c r="M6236">
        <v>3.0009999999999999</v>
      </c>
    </row>
    <row r="6237" spans="1:13" ht="15" customHeight="1">
      <c r="A6237" t="s">
        <v>66</v>
      </c>
      <c r="B6237">
        <f t="shared" si="386"/>
        <v>33.697358000000001</v>
      </c>
      <c r="C6237">
        <f t="shared" si="387"/>
        <v>-117.858698</v>
      </c>
      <c r="D6237">
        <f t="shared" si="388"/>
        <v>38</v>
      </c>
      <c r="E6237">
        <v>43.499000000000002</v>
      </c>
      <c r="F6237">
        <f t="shared" si="389"/>
        <v>-5.4990000000000023</v>
      </c>
      <c r="G6237">
        <v>67.082999999999998</v>
      </c>
      <c r="H6237">
        <v>1.087</v>
      </c>
      <c r="I6237">
        <v>1.623</v>
      </c>
      <c r="J6237">
        <v>7</v>
      </c>
      <c r="K6237">
        <v>21</v>
      </c>
      <c r="L6237">
        <v>12</v>
      </c>
      <c r="M6237" s="1">
        <v>9000000000</v>
      </c>
    </row>
    <row r="6238" spans="1:13" ht="15" customHeight="1">
      <c r="A6238" t="s">
        <v>66</v>
      </c>
      <c r="B6238">
        <f t="shared" si="386"/>
        <v>33.697358000000001</v>
      </c>
      <c r="C6238">
        <f t="shared" si="387"/>
        <v>-117.858698</v>
      </c>
      <c r="D6238">
        <f t="shared" si="388"/>
        <v>38</v>
      </c>
      <c r="E6238">
        <v>44.499000000000002</v>
      </c>
      <c r="F6238">
        <f t="shared" si="389"/>
        <v>-6.4990000000000023</v>
      </c>
      <c r="G6238">
        <v>99.167000000000002</v>
      </c>
      <c r="H6238">
        <v>1.5</v>
      </c>
      <c r="I6238">
        <v>1.514</v>
      </c>
      <c r="J6238">
        <v>7</v>
      </c>
      <c r="K6238">
        <v>32</v>
      </c>
      <c r="L6238">
        <v>18</v>
      </c>
      <c r="M6238" s="1">
        <v>9000000000</v>
      </c>
    </row>
    <row r="6239" spans="1:13" ht="15" customHeight="1">
      <c r="A6239" t="s">
        <v>66</v>
      </c>
      <c r="B6239">
        <f t="shared" si="386"/>
        <v>33.697358000000001</v>
      </c>
      <c r="C6239">
        <f t="shared" si="387"/>
        <v>-117.858698</v>
      </c>
      <c r="D6239">
        <f t="shared" si="388"/>
        <v>38</v>
      </c>
      <c r="E6239">
        <v>45.499000000000002</v>
      </c>
      <c r="F6239">
        <f t="shared" si="389"/>
        <v>-7.4990000000000023</v>
      </c>
      <c r="G6239">
        <v>119.467</v>
      </c>
      <c r="H6239">
        <v>1.1830000000000001</v>
      </c>
      <c r="I6239">
        <v>0.99099999999999999</v>
      </c>
      <c r="J6239">
        <v>8</v>
      </c>
      <c r="K6239">
        <v>29</v>
      </c>
      <c r="L6239">
        <v>16</v>
      </c>
      <c r="M6239" s="1">
        <v>9000000000</v>
      </c>
    </row>
    <row r="6240" spans="1:13" ht="15" customHeight="1">
      <c r="A6240" t="s">
        <v>66</v>
      </c>
      <c r="B6240">
        <f t="shared" si="386"/>
        <v>33.697358000000001</v>
      </c>
      <c r="C6240">
        <f t="shared" si="387"/>
        <v>-117.858698</v>
      </c>
      <c r="D6240">
        <f t="shared" si="388"/>
        <v>38</v>
      </c>
      <c r="E6240">
        <v>46.499000000000002</v>
      </c>
      <c r="F6240">
        <f t="shared" si="389"/>
        <v>-8.4990000000000023</v>
      </c>
      <c r="G6240">
        <v>24.167000000000002</v>
      </c>
      <c r="H6240">
        <v>0.877</v>
      </c>
      <c r="I6240">
        <v>3.62</v>
      </c>
      <c r="J6240">
        <v>5</v>
      </c>
      <c r="K6240">
        <v>12</v>
      </c>
      <c r="L6240">
        <v>7</v>
      </c>
      <c r="M6240">
        <v>1.425</v>
      </c>
    </row>
    <row r="6241" spans="1:13" ht="15" customHeight="1">
      <c r="A6241" t="s">
        <v>66</v>
      </c>
      <c r="B6241">
        <f t="shared" si="386"/>
        <v>33.697358000000001</v>
      </c>
      <c r="C6241">
        <f t="shared" si="387"/>
        <v>-117.858698</v>
      </c>
      <c r="D6241">
        <f t="shared" si="388"/>
        <v>38</v>
      </c>
      <c r="E6241">
        <v>47.499000000000002</v>
      </c>
      <c r="F6241">
        <f t="shared" si="389"/>
        <v>-9.4990000000000023</v>
      </c>
      <c r="G6241">
        <v>25.317</v>
      </c>
      <c r="H6241">
        <v>0.89800000000000002</v>
      </c>
      <c r="I6241">
        <v>3.4710000000000001</v>
      </c>
      <c r="J6241">
        <v>5</v>
      </c>
      <c r="K6241">
        <v>12</v>
      </c>
      <c r="L6241">
        <v>7</v>
      </c>
      <c r="M6241">
        <v>1.532</v>
      </c>
    </row>
    <row r="6242" spans="1:13" ht="15" customHeight="1">
      <c r="A6242" t="s">
        <v>66</v>
      </c>
      <c r="B6242">
        <f t="shared" si="386"/>
        <v>33.697358000000001</v>
      </c>
      <c r="C6242">
        <f t="shared" si="387"/>
        <v>-117.858698</v>
      </c>
      <c r="D6242">
        <f t="shared" si="388"/>
        <v>38</v>
      </c>
      <c r="E6242">
        <v>48.499000000000002</v>
      </c>
      <c r="F6242">
        <f t="shared" si="389"/>
        <v>-10.499000000000002</v>
      </c>
      <c r="G6242">
        <v>50.067</v>
      </c>
      <c r="H6242">
        <v>1.415</v>
      </c>
      <c r="I6242">
        <v>2.7810000000000001</v>
      </c>
      <c r="J6242">
        <v>6</v>
      </c>
      <c r="K6242">
        <v>19</v>
      </c>
      <c r="L6242">
        <v>10</v>
      </c>
      <c r="M6242">
        <v>3.1949999999999998</v>
      </c>
    </row>
    <row r="6243" spans="1:13" ht="15" customHeight="1">
      <c r="A6243" t="s">
        <v>66</v>
      </c>
      <c r="B6243">
        <f t="shared" si="386"/>
        <v>33.697358000000001</v>
      </c>
      <c r="C6243">
        <f t="shared" si="387"/>
        <v>-117.858698</v>
      </c>
      <c r="D6243">
        <f t="shared" si="388"/>
        <v>38</v>
      </c>
      <c r="E6243">
        <v>49.499000000000002</v>
      </c>
      <c r="F6243">
        <f t="shared" si="389"/>
        <v>-11.499000000000002</v>
      </c>
      <c r="G6243">
        <v>165.483</v>
      </c>
      <c r="H6243">
        <v>1.4930000000000001</v>
      </c>
      <c r="I6243">
        <v>0.90300000000000002</v>
      </c>
      <c r="J6243">
        <v>9</v>
      </c>
      <c r="K6243">
        <v>32</v>
      </c>
      <c r="L6243">
        <v>17</v>
      </c>
      <c r="M6243" s="1">
        <v>9000000000</v>
      </c>
    </row>
    <row r="6244" spans="1:13" ht="15" customHeight="1">
      <c r="A6244" t="s">
        <v>66</v>
      </c>
      <c r="B6244">
        <f t="shared" si="386"/>
        <v>33.697358000000001</v>
      </c>
      <c r="C6244">
        <f t="shared" si="387"/>
        <v>-117.858698</v>
      </c>
      <c r="D6244">
        <f t="shared" si="388"/>
        <v>38</v>
      </c>
      <c r="E6244">
        <v>50.499000000000002</v>
      </c>
      <c r="F6244">
        <f t="shared" si="389"/>
        <v>-12.499000000000002</v>
      </c>
      <c r="G6244">
        <v>63.716999999999999</v>
      </c>
      <c r="H6244">
        <v>1.6679999999999999</v>
      </c>
      <c r="I6244">
        <v>2.62</v>
      </c>
      <c r="J6244">
        <v>6</v>
      </c>
      <c r="K6244">
        <v>24</v>
      </c>
      <c r="L6244">
        <v>13</v>
      </c>
      <c r="M6244">
        <v>4.0389999999999997</v>
      </c>
    </row>
    <row r="6245" spans="1:13" ht="15" customHeight="1">
      <c r="A6245" t="s">
        <v>66</v>
      </c>
      <c r="B6245">
        <f t="shared" si="386"/>
        <v>33.697358000000001</v>
      </c>
      <c r="C6245">
        <f t="shared" si="387"/>
        <v>-117.858698</v>
      </c>
      <c r="D6245">
        <f t="shared" si="388"/>
        <v>38</v>
      </c>
      <c r="E6245">
        <v>51.499000000000002</v>
      </c>
      <c r="F6245">
        <f t="shared" si="389"/>
        <v>-13.499000000000002</v>
      </c>
      <c r="G6245">
        <v>19.95</v>
      </c>
      <c r="H6245">
        <v>0.69</v>
      </c>
      <c r="I6245">
        <v>3.4390000000000001</v>
      </c>
      <c r="J6245">
        <v>5</v>
      </c>
      <c r="K6245">
        <v>10</v>
      </c>
      <c r="L6245">
        <v>5</v>
      </c>
      <c r="M6245">
        <v>1.1279999999999999</v>
      </c>
    </row>
    <row r="6246" spans="1:13" ht="15" customHeight="1">
      <c r="A6246" t="s">
        <v>66</v>
      </c>
      <c r="B6246">
        <f t="shared" si="386"/>
        <v>33.697358000000001</v>
      </c>
      <c r="C6246">
        <f t="shared" si="387"/>
        <v>-117.858698</v>
      </c>
      <c r="D6246">
        <f t="shared" si="388"/>
        <v>38</v>
      </c>
      <c r="E6246">
        <v>52.499000000000002</v>
      </c>
      <c r="F6246">
        <f t="shared" si="389"/>
        <v>-14.499000000000002</v>
      </c>
      <c r="G6246">
        <v>15.670999999999999</v>
      </c>
      <c r="H6246">
        <v>0.44700000000000001</v>
      </c>
      <c r="I6246">
        <v>2.726</v>
      </c>
      <c r="J6246">
        <v>5</v>
      </c>
      <c r="K6246">
        <v>8</v>
      </c>
      <c r="L6246">
        <v>4</v>
      </c>
      <c r="M6246">
        <v>0.88</v>
      </c>
    </row>
    <row r="6247" spans="1:13" ht="15" customHeight="1">
      <c r="A6247" t="s">
        <v>66</v>
      </c>
      <c r="B6247">
        <f t="shared" si="386"/>
        <v>33.697358000000001</v>
      </c>
      <c r="C6247">
        <f t="shared" si="387"/>
        <v>-117.858698</v>
      </c>
      <c r="D6247">
        <f t="shared" si="388"/>
        <v>38</v>
      </c>
      <c r="E6247">
        <v>53.499000000000002</v>
      </c>
      <c r="F6247">
        <f t="shared" si="389"/>
        <v>-15.499000000000002</v>
      </c>
      <c r="G6247">
        <v>38.85</v>
      </c>
      <c r="H6247">
        <v>1.258</v>
      </c>
      <c r="I6247">
        <v>3.1379999999999999</v>
      </c>
      <c r="J6247">
        <v>5</v>
      </c>
      <c r="K6247">
        <v>19</v>
      </c>
      <c r="L6247">
        <v>10</v>
      </c>
      <c r="M6247">
        <v>2.456</v>
      </c>
    </row>
    <row r="6248" spans="1:13" ht="15" customHeight="1">
      <c r="A6248" t="s">
        <v>66</v>
      </c>
      <c r="B6248">
        <f t="shared" si="386"/>
        <v>33.697358000000001</v>
      </c>
      <c r="C6248">
        <f t="shared" si="387"/>
        <v>-117.858698</v>
      </c>
      <c r="D6248">
        <f t="shared" si="388"/>
        <v>38</v>
      </c>
      <c r="E6248">
        <v>54.499000000000002</v>
      </c>
      <c r="F6248">
        <f t="shared" si="389"/>
        <v>-16.499000000000002</v>
      </c>
      <c r="G6248">
        <v>124.05</v>
      </c>
      <c r="H6248">
        <v>2.6949999999999998</v>
      </c>
      <c r="I6248">
        <v>2.1720000000000002</v>
      </c>
      <c r="J6248">
        <v>7</v>
      </c>
      <c r="K6248">
        <v>40</v>
      </c>
      <c r="L6248">
        <v>20</v>
      </c>
      <c r="M6248" s="1">
        <v>9000000000</v>
      </c>
    </row>
    <row r="6249" spans="1:13" ht="15" customHeight="1">
      <c r="A6249" t="s">
        <v>66</v>
      </c>
      <c r="B6249">
        <f t="shared" si="386"/>
        <v>33.697358000000001</v>
      </c>
      <c r="C6249">
        <f t="shared" si="387"/>
        <v>-117.858698</v>
      </c>
      <c r="D6249">
        <f t="shared" si="388"/>
        <v>38</v>
      </c>
      <c r="E6249">
        <v>55.499000000000002</v>
      </c>
      <c r="F6249">
        <f t="shared" si="389"/>
        <v>-17.499000000000002</v>
      </c>
      <c r="G6249">
        <v>93.417000000000002</v>
      </c>
      <c r="H6249">
        <v>2.0179999999999998</v>
      </c>
      <c r="I6249">
        <v>2.1640000000000001</v>
      </c>
      <c r="J6249">
        <v>7</v>
      </c>
      <c r="K6249">
        <v>30</v>
      </c>
      <c r="L6249">
        <v>15</v>
      </c>
      <c r="M6249" s="1">
        <v>9000000000</v>
      </c>
    </row>
    <row r="6250" spans="1:13" ht="15" customHeight="1">
      <c r="A6250" t="s">
        <v>66</v>
      </c>
      <c r="B6250">
        <f t="shared" si="386"/>
        <v>33.697358000000001</v>
      </c>
      <c r="C6250">
        <f t="shared" si="387"/>
        <v>-117.858698</v>
      </c>
      <c r="D6250">
        <f t="shared" si="388"/>
        <v>38</v>
      </c>
      <c r="E6250">
        <v>56.499000000000002</v>
      </c>
      <c r="F6250">
        <f t="shared" si="389"/>
        <v>-18.499000000000002</v>
      </c>
      <c r="G6250">
        <v>33.466999999999999</v>
      </c>
      <c r="H6250">
        <v>1.0820000000000001</v>
      </c>
      <c r="I6250">
        <v>3.2429999999999999</v>
      </c>
      <c r="J6250">
        <v>5</v>
      </c>
      <c r="K6250">
        <v>16</v>
      </c>
      <c r="L6250">
        <v>8</v>
      </c>
      <c r="M6250">
        <v>1.9930000000000001</v>
      </c>
    </row>
    <row r="6251" spans="1:13" ht="15" customHeight="1">
      <c r="A6251" t="s">
        <v>66</v>
      </c>
      <c r="B6251">
        <f t="shared" si="386"/>
        <v>33.697358000000001</v>
      </c>
      <c r="C6251">
        <f t="shared" si="387"/>
        <v>-117.858698</v>
      </c>
      <c r="D6251">
        <f t="shared" si="388"/>
        <v>38</v>
      </c>
      <c r="E6251">
        <v>57.499000000000002</v>
      </c>
      <c r="F6251">
        <f t="shared" si="389"/>
        <v>-19.499000000000002</v>
      </c>
      <c r="G6251">
        <v>18.399999999999999</v>
      </c>
      <c r="H6251">
        <v>0.66800000000000004</v>
      </c>
      <c r="I6251">
        <v>3.6619999999999999</v>
      </c>
      <c r="J6251">
        <v>4</v>
      </c>
      <c r="K6251">
        <v>12</v>
      </c>
      <c r="L6251">
        <v>6</v>
      </c>
      <c r="M6251">
        <v>0.98299999999999998</v>
      </c>
    </row>
    <row r="6252" spans="1:13" ht="15" customHeight="1">
      <c r="A6252" t="s">
        <v>66</v>
      </c>
      <c r="B6252">
        <f t="shared" si="386"/>
        <v>33.697358000000001</v>
      </c>
      <c r="C6252">
        <f t="shared" si="387"/>
        <v>-117.858698</v>
      </c>
      <c r="D6252">
        <f t="shared" si="388"/>
        <v>38</v>
      </c>
      <c r="E6252">
        <v>58.499000000000002</v>
      </c>
      <c r="F6252">
        <f t="shared" si="389"/>
        <v>-20.499000000000002</v>
      </c>
      <c r="G6252">
        <v>17.783000000000001</v>
      </c>
      <c r="H6252">
        <v>0.58799999999999997</v>
      </c>
      <c r="I6252">
        <v>3.33</v>
      </c>
      <c r="J6252">
        <v>5</v>
      </c>
      <c r="K6252">
        <v>8</v>
      </c>
      <c r="L6252">
        <v>4</v>
      </c>
      <c r="M6252">
        <v>0.94</v>
      </c>
    </row>
    <row r="6253" spans="1:13" ht="15" customHeight="1">
      <c r="A6253" t="s">
        <v>66</v>
      </c>
      <c r="B6253">
        <f t="shared" si="386"/>
        <v>33.697358000000001</v>
      </c>
      <c r="C6253">
        <f t="shared" si="387"/>
        <v>-117.858698</v>
      </c>
      <c r="D6253">
        <f t="shared" si="388"/>
        <v>38</v>
      </c>
      <c r="E6253">
        <v>59.499000000000002</v>
      </c>
      <c r="F6253">
        <f t="shared" si="389"/>
        <v>-21.499000000000002</v>
      </c>
      <c r="G6253">
        <v>19.850000000000001</v>
      </c>
      <c r="H6253">
        <v>0.61199999999999999</v>
      </c>
      <c r="I6253">
        <v>3.1019999999999999</v>
      </c>
      <c r="J6253">
        <v>5</v>
      </c>
      <c r="K6253">
        <v>9</v>
      </c>
      <c r="L6253">
        <v>5</v>
      </c>
      <c r="M6253">
        <v>1.0720000000000001</v>
      </c>
    </row>
    <row r="6254" spans="1:13" ht="15" customHeight="1">
      <c r="A6254" t="s">
        <v>66</v>
      </c>
      <c r="B6254">
        <f t="shared" si="386"/>
        <v>33.697358000000001</v>
      </c>
      <c r="C6254">
        <f t="shared" si="387"/>
        <v>-117.858698</v>
      </c>
      <c r="D6254">
        <f t="shared" si="388"/>
        <v>38</v>
      </c>
      <c r="E6254">
        <v>60.499000000000002</v>
      </c>
      <c r="F6254">
        <f t="shared" si="389"/>
        <v>-22.499000000000002</v>
      </c>
      <c r="G6254">
        <v>28.317</v>
      </c>
      <c r="H6254">
        <v>1.1919999999999999</v>
      </c>
      <c r="I6254">
        <v>4.2229999999999999</v>
      </c>
      <c r="J6254">
        <v>4</v>
      </c>
      <c r="K6254">
        <v>18</v>
      </c>
      <c r="L6254">
        <v>9</v>
      </c>
      <c r="M6254">
        <v>1.635</v>
      </c>
    </row>
    <row r="6255" spans="1:13" ht="15" customHeight="1">
      <c r="A6255" t="s">
        <v>66</v>
      </c>
      <c r="B6255">
        <f t="shared" si="386"/>
        <v>33.697358000000001</v>
      </c>
      <c r="C6255">
        <f t="shared" si="387"/>
        <v>-117.858698</v>
      </c>
      <c r="D6255">
        <f t="shared" si="388"/>
        <v>38</v>
      </c>
      <c r="E6255">
        <v>61.499000000000002</v>
      </c>
      <c r="F6255">
        <f t="shared" si="389"/>
        <v>-23.499000000000002</v>
      </c>
      <c r="G6255">
        <v>139.46700000000001</v>
      </c>
      <c r="H6255">
        <v>2.4329999999999998</v>
      </c>
      <c r="I6255">
        <v>1.746</v>
      </c>
      <c r="J6255">
        <v>7</v>
      </c>
      <c r="K6255">
        <v>44</v>
      </c>
      <c r="L6255">
        <v>22</v>
      </c>
      <c r="M6255" s="1">
        <v>9000000000</v>
      </c>
    </row>
    <row r="6256" spans="1:13" ht="15" customHeight="1">
      <c r="A6256" t="s">
        <v>66</v>
      </c>
      <c r="B6256">
        <f t="shared" si="386"/>
        <v>33.697358000000001</v>
      </c>
      <c r="C6256">
        <f t="shared" si="387"/>
        <v>-117.858698</v>
      </c>
      <c r="D6256">
        <f t="shared" si="388"/>
        <v>38</v>
      </c>
      <c r="E6256">
        <v>62.499000000000002</v>
      </c>
      <c r="F6256">
        <f t="shared" si="389"/>
        <v>-24.499000000000002</v>
      </c>
      <c r="G6256">
        <v>92.057000000000002</v>
      </c>
      <c r="H6256">
        <v>2.2130000000000001</v>
      </c>
      <c r="I6256">
        <v>2.4079999999999999</v>
      </c>
      <c r="J6256">
        <v>7</v>
      </c>
      <c r="K6256">
        <v>29</v>
      </c>
      <c r="L6256">
        <v>15</v>
      </c>
      <c r="M6256" s="1">
        <v>9000000000</v>
      </c>
    </row>
    <row r="6257" spans="1:13" ht="15" customHeight="1">
      <c r="A6257" t="s">
        <v>66</v>
      </c>
      <c r="B6257">
        <f t="shared" si="386"/>
        <v>33.697358000000001</v>
      </c>
      <c r="C6257">
        <f t="shared" si="387"/>
        <v>-117.858698</v>
      </c>
      <c r="D6257">
        <f t="shared" si="388"/>
        <v>38</v>
      </c>
      <c r="E6257">
        <v>63.499000000000002</v>
      </c>
      <c r="F6257">
        <f t="shared" si="389"/>
        <v>-25.499000000000002</v>
      </c>
      <c r="G6257">
        <v>95.066999999999993</v>
      </c>
      <c r="H6257">
        <v>1.6619999999999999</v>
      </c>
      <c r="I6257">
        <v>1.7509999999999999</v>
      </c>
      <c r="J6257">
        <v>7</v>
      </c>
      <c r="K6257">
        <v>30</v>
      </c>
      <c r="L6257">
        <v>15</v>
      </c>
      <c r="M6257" s="1">
        <v>9000000000</v>
      </c>
    </row>
    <row r="6258" spans="1:13" ht="15" customHeight="1">
      <c r="A6258" t="s">
        <v>66</v>
      </c>
      <c r="B6258">
        <f t="shared" si="386"/>
        <v>33.697358000000001</v>
      </c>
      <c r="C6258">
        <f t="shared" si="387"/>
        <v>-117.858698</v>
      </c>
      <c r="D6258">
        <f t="shared" si="388"/>
        <v>38</v>
      </c>
      <c r="E6258">
        <v>64.498999999999995</v>
      </c>
      <c r="F6258">
        <f t="shared" si="389"/>
        <v>-26.498999999999995</v>
      </c>
      <c r="G6258">
        <v>26.7</v>
      </c>
      <c r="H6258">
        <v>0.92</v>
      </c>
      <c r="I6258">
        <v>3.4590000000000001</v>
      </c>
      <c r="J6258">
        <v>5</v>
      </c>
      <c r="K6258">
        <v>13</v>
      </c>
      <c r="L6258">
        <v>7</v>
      </c>
      <c r="M6258">
        <v>1.5109999999999999</v>
      </c>
    </row>
    <row r="6259" spans="1:13" ht="15" customHeight="1">
      <c r="A6259" t="s">
        <v>66</v>
      </c>
      <c r="B6259">
        <f t="shared" si="386"/>
        <v>33.697358000000001</v>
      </c>
      <c r="C6259">
        <f t="shared" si="387"/>
        <v>-117.858698</v>
      </c>
      <c r="D6259">
        <f t="shared" si="388"/>
        <v>38</v>
      </c>
      <c r="E6259">
        <v>65.498999999999995</v>
      </c>
      <c r="F6259">
        <f t="shared" si="389"/>
        <v>-27.498999999999995</v>
      </c>
      <c r="G6259">
        <v>23.05</v>
      </c>
      <c r="H6259">
        <v>0.76800000000000002</v>
      </c>
      <c r="I6259">
        <v>3.3479999999999999</v>
      </c>
      <c r="J6259">
        <v>5</v>
      </c>
      <c r="K6259">
        <v>11</v>
      </c>
      <c r="L6259">
        <v>6</v>
      </c>
      <c r="M6259">
        <v>1.2629999999999999</v>
      </c>
    </row>
    <row r="6260" spans="1:13" ht="15" customHeight="1">
      <c r="A6260" t="s">
        <v>66</v>
      </c>
      <c r="B6260">
        <f t="shared" si="386"/>
        <v>33.697358000000001</v>
      </c>
      <c r="C6260">
        <f t="shared" si="387"/>
        <v>-117.858698</v>
      </c>
      <c r="D6260">
        <f t="shared" si="388"/>
        <v>38</v>
      </c>
      <c r="E6260">
        <v>66.498999999999995</v>
      </c>
      <c r="F6260">
        <f t="shared" si="389"/>
        <v>-28.498999999999995</v>
      </c>
      <c r="G6260">
        <v>22.35</v>
      </c>
      <c r="H6260">
        <v>0.622</v>
      </c>
      <c r="I6260">
        <v>2.7919999999999998</v>
      </c>
      <c r="J6260">
        <v>5</v>
      </c>
      <c r="K6260">
        <v>11</v>
      </c>
      <c r="L6260">
        <v>6</v>
      </c>
      <c r="M6260">
        <v>1.214</v>
      </c>
    </row>
    <row r="6261" spans="1:13" ht="15" customHeight="1">
      <c r="A6261" t="s">
        <v>66</v>
      </c>
      <c r="B6261">
        <f t="shared" si="386"/>
        <v>33.697358000000001</v>
      </c>
      <c r="C6261">
        <f t="shared" si="387"/>
        <v>-117.858698</v>
      </c>
      <c r="D6261">
        <f t="shared" si="388"/>
        <v>38</v>
      </c>
      <c r="E6261">
        <v>67.498999999999995</v>
      </c>
      <c r="F6261">
        <f t="shared" si="389"/>
        <v>-29.498999999999995</v>
      </c>
      <c r="G6261">
        <v>22.6</v>
      </c>
      <c r="H6261">
        <v>0.82199999999999995</v>
      </c>
      <c r="I6261">
        <v>3.6440000000000001</v>
      </c>
      <c r="J6261">
        <v>4</v>
      </c>
      <c r="K6261">
        <v>14</v>
      </c>
      <c r="L6261">
        <v>7</v>
      </c>
      <c r="M6261">
        <v>1.228</v>
      </c>
    </row>
    <row r="6262" spans="1:13" ht="15" customHeight="1">
      <c r="A6262" t="s">
        <v>66</v>
      </c>
      <c r="B6262">
        <f t="shared" si="386"/>
        <v>33.697358000000001</v>
      </c>
      <c r="C6262">
        <f t="shared" si="387"/>
        <v>-117.858698</v>
      </c>
      <c r="D6262">
        <f t="shared" si="388"/>
        <v>38</v>
      </c>
      <c r="E6262">
        <v>68.498999999999995</v>
      </c>
      <c r="F6262">
        <f t="shared" si="389"/>
        <v>-30.498999999999995</v>
      </c>
      <c r="G6262">
        <v>24.617000000000001</v>
      </c>
      <c r="H6262">
        <v>1.337</v>
      </c>
      <c r="I6262">
        <v>5.4450000000000003</v>
      </c>
      <c r="J6262">
        <v>3</v>
      </c>
      <c r="K6262">
        <v>24</v>
      </c>
      <c r="L6262">
        <v>12</v>
      </c>
      <c r="M6262">
        <v>1.3580000000000001</v>
      </c>
    </row>
    <row r="6263" spans="1:13" ht="15" customHeight="1">
      <c r="A6263" t="s">
        <v>66</v>
      </c>
      <c r="B6263">
        <f t="shared" si="386"/>
        <v>33.697358000000001</v>
      </c>
      <c r="C6263">
        <f t="shared" si="387"/>
        <v>-117.858698</v>
      </c>
      <c r="D6263">
        <f t="shared" si="388"/>
        <v>38</v>
      </c>
      <c r="E6263">
        <v>69.498999999999995</v>
      </c>
      <c r="F6263">
        <f t="shared" si="389"/>
        <v>-31.498999999999995</v>
      </c>
      <c r="G6263">
        <v>20.582999999999998</v>
      </c>
      <c r="H6263">
        <v>0.92300000000000004</v>
      </c>
      <c r="I6263">
        <v>4.4969999999999999</v>
      </c>
      <c r="J6263">
        <v>3</v>
      </c>
      <c r="K6263">
        <v>20</v>
      </c>
      <c r="L6263">
        <v>10</v>
      </c>
      <c r="M6263">
        <v>1.0860000000000001</v>
      </c>
    </row>
    <row r="6264" spans="1:13" ht="15" customHeight="1">
      <c r="A6264" t="s">
        <v>66</v>
      </c>
      <c r="B6264">
        <f t="shared" si="386"/>
        <v>33.697358000000001</v>
      </c>
      <c r="C6264">
        <f t="shared" si="387"/>
        <v>-117.858698</v>
      </c>
      <c r="D6264">
        <f t="shared" si="388"/>
        <v>38</v>
      </c>
      <c r="E6264">
        <v>70.498999999999995</v>
      </c>
      <c r="F6264">
        <f t="shared" si="389"/>
        <v>-32.498999999999995</v>
      </c>
      <c r="G6264">
        <v>20.983000000000001</v>
      </c>
      <c r="H6264">
        <v>0.71499999999999997</v>
      </c>
      <c r="I6264">
        <v>3.4159999999999999</v>
      </c>
      <c r="J6264">
        <v>5</v>
      </c>
      <c r="K6264">
        <v>10</v>
      </c>
      <c r="L6264">
        <v>5</v>
      </c>
      <c r="M6264">
        <v>1.1080000000000001</v>
      </c>
    </row>
    <row r="6265" spans="1:13" ht="15" customHeight="1">
      <c r="A6265" t="s">
        <v>66</v>
      </c>
      <c r="B6265">
        <f t="shared" si="386"/>
        <v>33.697358000000001</v>
      </c>
      <c r="C6265">
        <f t="shared" si="387"/>
        <v>-117.858698</v>
      </c>
      <c r="D6265">
        <f t="shared" si="388"/>
        <v>38</v>
      </c>
      <c r="E6265">
        <v>71.498999999999995</v>
      </c>
      <c r="F6265">
        <f t="shared" si="389"/>
        <v>-33.498999999999995</v>
      </c>
      <c r="G6265">
        <v>21.332999999999998</v>
      </c>
      <c r="H6265">
        <v>0.69299999999999995</v>
      </c>
      <c r="I6265">
        <v>3.25</v>
      </c>
      <c r="J6265">
        <v>5</v>
      </c>
      <c r="K6265">
        <v>10</v>
      </c>
      <c r="L6265">
        <v>5</v>
      </c>
      <c r="M6265">
        <v>1.131</v>
      </c>
    </row>
    <row r="6266" spans="1:13" ht="15" customHeight="1">
      <c r="A6266" t="s">
        <v>66</v>
      </c>
      <c r="B6266">
        <f t="shared" si="386"/>
        <v>33.697358000000001</v>
      </c>
      <c r="C6266">
        <f t="shared" si="387"/>
        <v>-117.858698</v>
      </c>
      <c r="D6266">
        <f t="shared" si="388"/>
        <v>38</v>
      </c>
      <c r="E6266">
        <v>72.498999999999995</v>
      </c>
      <c r="F6266">
        <f t="shared" si="389"/>
        <v>-34.498999999999995</v>
      </c>
      <c r="G6266">
        <v>28.585999999999999</v>
      </c>
      <c r="H6266">
        <v>1.2230000000000001</v>
      </c>
      <c r="I6266">
        <v>4.2649999999999997</v>
      </c>
      <c r="J6266">
        <v>4</v>
      </c>
      <c r="K6266">
        <v>18</v>
      </c>
      <c r="L6266">
        <v>9</v>
      </c>
      <c r="M6266">
        <v>1.6160000000000001</v>
      </c>
    </row>
    <row r="6267" spans="1:13" ht="15" customHeight="1">
      <c r="A6267" t="s">
        <v>66</v>
      </c>
      <c r="B6267">
        <f t="shared" si="386"/>
        <v>33.697358000000001</v>
      </c>
      <c r="C6267">
        <f t="shared" si="387"/>
        <v>-117.858698</v>
      </c>
      <c r="D6267">
        <f t="shared" si="388"/>
        <v>38</v>
      </c>
      <c r="E6267">
        <v>73.498999999999995</v>
      </c>
      <c r="F6267">
        <f t="shared" si="389"/>
        <v>-35.498999999999995</v>
      </c>
      <c r="G6267">
        <v>33.1</v>
      </c>
      <c r="H6267">
        <v>1.127</v>
      </c>
      <c r="I6267">
        <v>3.4039999999999999</v>
      </c>
      <c r="J6267">
        <v>5</v>
      </c>
      <c r="K6267">
        <v>16</v>
      </c>
      <c r="L6267">
        <v>8</v>
      </c>
      <c r="M6267">
        <v>1.907</v>
      </c>
    </row>
    <row r="6268" spans="1:13" ht="15" customHeight="1">
      <c r="A6268" t="s">
        <v>66</v>
      </c>
      <c r="B6268">
        <f t="shared" si="386"/>
        <v>33.697358000000001</v>
      </c>
      <c r="C6268">
        <f t="shared" si="387"/>
        <v>-117.858698</v>
      </c>
      <c r="D6268">
        <f t="shared" si="388"/>
        <v>38</v>
      </c>
      <c r="E6268">
        <v>74.498999999999995</v>
      </c>
      <c r="F6268">
        <f t="shared" si="389"/>
        <v>-36.498999999999995</v>
      </c>
      <c r="G6268">
        <v>53.667000000000002</v>
      </c>
      <c r="H6268">
        <v>2.0049999999999999</v>
      </c>
      <c r="I6268">
        <v>3.7360000000000002</v>
      </c>
      <c r="J6268">
        <v>5</v>
      </c>
      <c r="K6268">
        <v>26</v>
      </c>
      <c r="L6268">
        <v>13</v>
      </c>
      <c r="M6268">
        <v>3.274</v>
      </c>
    </row>
    <row r="6269" spans="1:13" ht="15" customHeight="1">
      <c r="A6269" t="s">
        <v>66</v>
      </c>
      <c r="B6269">
        <f t="shared" si="386"/>
        <v>33.697358000000001</v>
      </c>
      <c r="C6269">
        <f t="shared" si="387"/>
        <v>-117.858698</v>
      </c>
      <c r="D6269">
        <f t="shared" si="388"/>
        <v>38</v>
      </c>
      <c r="E6269">
        <v>75.498999999999995</v>
      </c>
      <c r="F6269">
        <f t="shared" si="389"/>
        <v>-37.498999999999995</v>
      </c>
      <c r="G6269">
        <v>38.200000000000003</v>
      </c>
      <c r="H6269">
        <v>1.44</v>
      </c>
      <c r="I6269">
        <v>3.77</v>
      </c>
      <c r="J6269">
        <v>5</v>
      </c>
      <c r="K6269">
        <v>18</v>
      </c>
      <c r="L6269">
        <v>9</v>
      </c>
      <c r="M6269">
        <v>2.238</v>
      </c>
    </row>
    <row r="6270" spans="1:13" ht="15" customHeight="1">
      <c r="A6270" t="s">
        <v>66</v>
      </c>
      <c r="B6270">
        <f t="shared" si="386"/>
        <v>33.697358000000001</v>
      </c>
      <c r="C6270">
        <f t="shared" si="387"/>
        <v>-117.858698</v>
      </c>
      <c r="D6270">
        <f t="shared" si="388"/>
        <v>38</v>
      </c>
      <c r="E6270">
        <v>76.498999999999995</v>
      </c>
      <c r="F6270">
        <f t="shared" si="389"/>
        <v>-38.498999999999995</v>
      </c>
      <c r="G6270">
        <v>22.132999999999999</v>
      </c>
      <c r="H6270">
        <v>0.78300000000000003</v>
      </c>
      <c r="I6270">
        <v>3.5289999999999999</v>
      </c>
      <c r="J6270">
        <v>5</v>
      </c>
      <c r="K6270">
        <v>11</v>
      </c>
      <c r="L6270">
        <v>6</v>
      </c>
      <c r="M6270">
        <v>1.1679999999999999</v>
      </c>
    </row>
    <row r="6271" spans="1:13" ht="15" customHeight="1">
      <c r="A6271" t="s">
        <v>66</v>
      </c>
      <c r="B6271">
        <f t="shared" si="386"/>
        <v>33.697358000000001</v>
      </c>
      <c r="C6271">
        <f t="shared" si="387"/>
        <v>-117.858698</v>
      </c>
      <c r="D6271">
        <f t="shared" si="388"/>
        <v>38</v>
      </c>
      <c r="E6271">
        <v>77.498999999999995</v>
      </c>
      <c r="F6271">
        <f t="shared" si="389"/>
        <v>-39.498999999999995</v>
      </c>
      <c r="G6271">
        <v>31.9</v>
      </c>
      <c r="H6271">
        <v>1.2829999999999999</v>
      </c>
      <c r="I6271">
        <v>4.0060000000000002</v>
      </c>
      <c r="J6271">
        <v>4</v>
      </c>
      <c r="K6271">
        <v>20</v>
      </c>
      <c r="L6271">
        <v>10</v>
      </c>
      <c r="M6271">
        <v>1.819</v>
      </c>
    </row>
    <row r="6272" spans="1:13" ht="15" customHeight="1">
      <c r="A6272" t="s">
        <v>66</v>
      </c>
      <c r="B6272">
        <f t="shared" si="386"/>
        <v>33.697358000000001</v>
      </c>
      <c r="C6272">
        <f t="shared" si="387"/>
        <v>-117.858698</v>
      </c>
      <c r="D6272">
        <f t="shared" si="388"/>
        <v>38</v>
      </c>
      <c r="E6272">
        <v>78.498999999999995</v>
      </c>
      <c r="F6272">
        <f t="shared" si="389"/>
        <v>-40.498999999999995</v>
      </c>
      <c r="G6272">
        <v>26.3</v>
      </c>
      <c r="H6272">
        <v>0.86299999999999999</v>
      </c>
      <c r="I6272">
        <v>3.2349999999999999</v>
      </c>
      <c r="J6272">
        <v>5</v>
      </c>
      <c r="K6272">
        <v>13</v>
      </c>
      <c r="L6272">
        <v>7</v>
      </c>
      <c r="M6272">
        <v>1.458</v>
      </c>
    </row>
    <row r="6273" spans="1:13" ht="15" customHeight="1">
      <c r="A6273" t="s">
        <v>66</v>
      </c>
      <c r="B6273">
        <f t="shared" si="386"/>
        <v>33.697358000000001</v>
      </c>
      <c r="C6273">
        <f t="shared" si="387"/>
        <v>-117.858698</v>
      </c>
      <c r="D6273">
        <f t="shared" si="388"/>
        <v>38</v>
      </c>
      <c r="E6273">
        <v>79.498999999999995</v>
      </c>
      <c r="F6273">
        <f t="shared" si="389"/>
        <v>-41.498999999999995</v>
      </c>
      <c r="G6273">
        <v>44.732999999999997</v>
      </c>
      <c r="H6273">
        <v>1.8620000000000001</v>
      </c>
      <c r="I6273">
        <v>4.1159999999999997</v>
      </c>
      <c r="J6273">
        <v>5</v>
      </c>
      <c r="K6273">
        <v>22</v>
      </c>
      <c r="L6273">
        <v>11</v>
      </c>
      <c r="M6273">
        <v>2.6909999999999998</v>
      </c>
    </row>
    <row r="6274" spans="1:13" ht="15" customHeight="1">
      <c r="A6274" t="s">
        <v>66</v>
      </c>
      <c r="B6274">
        <f t="shared" ref="B6274:B6337" si="390">VLOOKUP(A6274,XYdata,3,FALSE)</f>
        <v>33.697358000000001</v>
      </c>
      <c r="C6274">
        <f t="shared" ref="C6274:C6337" si="391">VLOOKUP(A6274,XYdata,2,FALSE)</f>
        <v>-117.858698</v>
      </c>
      <c r="D6274">
        <f t="shared" ref="D6274:D6337" si="392">VLOOKUP(A6274,Elevation,2,FALSE)</f>
        <v>38</v>
      </c>
      <c r="E6274">
        <v>80.498999999999995</v>
      </c>
      <c r="F6274">
        <f t="shared" si="389"/>
        <v>-42.498999999999995</v>
      </c>
      <c r="G6274">
        <v>252.03299999999999</v>
      </c>
      <c r="H6274">
        <v>1.5469999999999999</v>
      </c>
      <c r="I6274">
        <v>0.61299999999999999</v>
      </c>
      <c r="J6274">
        <v>9</v>
      </c>
      <c r="K6274">
        <v>48</v>
      </c>
      <c r="L6274">
        <v>24</v>
      </c>
      <c r="M6274" s="1">
        <v>9000000000</v>
      </c>
    </row>
    <row r="6275" spans="1:13" ht="15" customHeight="1">
      <c r="A6275" t="s">
        <v>66</v>
      </c>
      <c r="B6275">
        <f t="shared" si="390"/>
        <v>33.697358000000001</v>
      </c>
      <c r="C6275">
        <f t="shared" si="391"/>
        <v>-117.858698</v>
      </c>
      <c r="D6275">
        <f t="shared" si="392"/>
        <v>38</v>
      </c>
      <c r="E6275">
        <v>81.498999999999995</v>
      </c>
      <c r="F6275">
        <f t="shared" ref="F6275:F6338" si="393">D6275-E6275</f>
        <v>-43.498999999999995</v>
      </c>
      <c r="G6275">
        <v>66.650000000000006</v>
      </c>
      <c r="H6275">
        <v>1.407</v>
      </c>
      <c r="I6275">
        <v>2.0910000000000002</v>
      </c>
      <c r="J6275">
        <v>7</v>
      </c>
      <c r="K6275">
        <v>21</v>
      </c>
      <c r="L6275">
        <v>11</v>
      </c>
      <c r="M6275" s="1">
        <v>9000000000</v>
      </c>
    </row>
    <row r="6276" spans="1:13" ht="15" customHeight="1">
      <c r="A6276" t="s">
        <v>66</v>
      </c>
      <c r="B6276">
        <f t="shared" si="390"/>
        <v>33.697358000000001</v>
      </c>
      <c r="C6276">
        <f t="shared" si="391"/>
        <v>-117.858698</v>
      </c>
      <c r="D6276">
        <f t="shared" si="392"/>
        <v>38</v>
      </c>
      <c r="E6276">
        <v>82.498999999999995</v>
      </c>
      <c r="F6276">
        <f t="shared" si="393"/>
        <v>-44.498999999999995</v>
      </c>
      <c r="G6276">
        <v>29.05</v>
      </c>
      <c r="H6276">
        <v>0.81</v>
      </c>
      <c r="I6276">
        <v>2.61</v>
      </c>
      <c r="J6276">
        <v>6</v>
      </c>
      <c r="K6276">
        <v>12</v>
      </c>
      <c r="L6276">
        <v>6</v>
      </c>
      <c r="M6276">
        <v>1.732</v>
      </c>
    </row>
    <row r="6277" spans="1:13" ht="15" customHeight="1">
      <c r="A6277" t="s">
        <v>66</v>
      </c>
      <c r="B6277">
        <f t="shared" si="390"/>
        <v>33.697358000000001</v>
      </c>
      <c r="C6277">
        <f t="shared" si="391"/>
        <v>-117.858698</v>
      </c>
      <c r="D6277">
        <f t="shared" si="392"/>
        <v>38</v>
      </c>
      <c r="E6277">
        <v>83.498999999999995</v>
      </c>
      <c r="F6277">
        <f t="shared" si="393"/>
        <v>-45.498999999999995</v>
      </c>
      <c r="G6277">
        <v>94.4</v>
      </c>
      <c r="H6277">
        <v>2.9529999999999998</v>
      </c>
      <c r="I6277">
        <v>3.1059999999999999</v>
      </c>
      <c r="J6277">
        <v>6</v>
      </c>
      <c r="K6277">
        <v>36</v>
      </c>
      <c r="L6277">
        <v>18</v>
      </c>
      <c r="M6277">
        <v>5.9969999999999999</v>
      </c>
    </row>
    <row r="6278" spans="1:13" ht="15" customHeight="1">
      <c r="A6278" t="s">
        <v>66</v>
      </c>
      <c r="B6278">
        <f t="shared" si="390"/>
        <v>33.697358000000001</v>
      </c>
      <c r="C6278">
        <f t="shared" si="391"/>
        <v>-117.858698</v>
      </c>
      <c r="D6278">
        <f t="shared" si="392"/>
        <v>38</v>
      </c>
      <c r="E6278">
        <v>84.498999999999995</v>
      </c>
      <c r="F6278">
        <f t="shared" si="393"/>
        <v>-46.498999999999995</v>
      </c>
      <c r="G6278">
        <v>73.316999999999993</v>
      </c>
      <c r="H6278">
        <v>2.7320000000000002</v>
      </c>
      <c r="I6278">
        <v>3.7330000000000001</v>
      </c>
      <c r="J6278">
        <v>5</v>
      </c>
      <c r="K6278">
        <v>35</v>
      </c>
      <c r="L6278">
        <v>18</v>
      </c>
      <c r="M6278">
        <v>4.5330000000000004</v>
      </c>
    </row>
    <row r="6279" spans="1:13" ht="15" customHeight="1">
      <c r="A6279" t="s">
        <v>66</v>
      </c>
      <c r="B6279">
        <f t="shared" si="390"/>
        <v>33.697358000000001</v>
      </c>
      <c r="C6279">
        <f t="shared" si="391"/>
        <v>-117.858698</v>
      </c>
      <c r="D6279">
        <f t="shared" si="392"/>
        <v>38</v>
      </c>
      <c r="E6279">
        <v>85.498999999999995</v>
      </c>
      <c r="F6279">
        <f t="shared" si="393"/>
        <v>-47.498999999999995</v>
      </c>
      <c r="G6279">
        <v>22.766999999999999</v>
      </c>
      <c r="H6279">
        <v>1.1850000000000001</v>
      </c>
      <c r="I6279">
        <v>5.2240000000000002</v>
      </c>
      <c r="J6279">
        <v>3</v>
      </c>
      <c r="K6279">
        <v>22</v>
      </c>
      <c r="L6279">
        <v>11</v>
      </c>
      <c r="M6279">
        <v>1.163</v>
      </c>
    </row>
    <row r="6280" spans="1:13" ht="15" customHeight="1">
      <c r="A6280" t="s">
        <v>66</v>
      </c>
      <c r="B6280">
        <f t="shared" si="390"/>
        <v>33.697358000000001</v>
      </c>
      <c r="C6280">
        <f t="shared" si="391"/>
        <v>-117.858698</v>
      </c>
      <c r="D6280">
        <f t="shared" si="392"/>
        <v>38</v>
      </c>
      <c r="E6280">
        <v>86.498999999999995</v>
      </c>
      <c r="F6280">
        <f t="shared" si="393"/>
        <v>-48.498999999999995</v>
      </c>
      <c r="G6280">
        <v>67.233000000000004</v>
      </c>
      <c r="H6280">
        <v>1.823</v>
      </c>
      <c r="I6280">
        <v>2.714</v>
      </c>
      <c r="J6280">
        <v>6</v>
      </c>
      <c r="K6280">
        <v>26</v>
      </c>
      <c r="L6280">
        <v>13</v>
      </c>
      <c r="M6280">
        <v>4.125</v>
      </c>
    </row>
    <row r="6281" spans="1:13" ht="15" customHeight="1">
      <c r="A6281" t="s">
        <v>66</v>
      </c>
      <c r="B6281">
        <f t="shared" si="390"/>
        <v>33.697358000000001</v>
      </c>
      <c r="C6281">
        <f t="shared" si="391"/>
        <v>-117.858698</v>
      </c>
      <c r="D6281">
        <f t="shared" si="392"/>
        <v>38</v>
      </c>
      <c r="E6281">
        <v>87.498999999999995</v>
      </c>
      <c r="F6281">
        <f t="shared" si="393"/>
        <v>-49.498999999999995</v>
      </c>
      <c r="G6281">
        <v>74.95</v>
      </c>
      <c r="H6281">
        <v>2.9969999999999999</v>
      </c>
      <c r="I6281">
        <v>4.0030000000000001</v>
      </c>
      <c r="J6281">
        <v>5</v>
      </c>
      <c r="K6281">
        <v>36</v>
      </c>
      <c r="L6281">
        <v>18</v>
      </c>
      <c r="M6281">
        <v>4.633</v>
      </c>
    </row>
    <row r="6282" spans="1:13" ht="15" customHeight="1">
      <c r="A6282" t="s">
        <v>66</v>
      </c>
      <c r="B6282">
        <f t="shared" si="390"/>
        <v>33.697358000000001</v>
      </c>
      <c r="C6282">
        <f t="shared" si="391"/>
        <v>-117.858698</v>
      </c>
      <c r="D6282">
        <f t="shared" si="392"/>
        <v>38</v>
      </c>
      <c r="E6282">
        <v>88.498999999999995</v>
      </c>
      <c r="F6282">
        <f t="shared" si="393"/>
        <v>-50.498999999999995</v>
      </c>
      <c r="G6282">
        <v>67.783000000000001</v>
      </c>
      <c r="H6282">
        <v>3.2370000000000001</v>
      </c>
      <c r="I6282">
        <v>4.782</v>
      </c>
      <c r="J6282">
        <v>4</v>
      </c>
      <c r="K6282">
        <v>43</v>
      </c>
      <c r="L6282">
        <v>22</v>
      </c>
      <c r="M6282">
        <v>4.1500000000000004</v>
      </c>
    </row>
    <row r="6283" spans="1:13" ht="15" customHeight="1">
      <c r="A6283" t="s">
        <v>66</v>
      </c>
      <c r="B6283">
        <f t="shared" si="390"/>
        <v>33.697358000000001</v>
      </c>
      <c r="C6283">
        <f t="shared" si="391"/>
        <v>-117.858698</v>
      </c>
      <c r="D6283">
        <f t="shared" si="392"/>
        <v>38</v>
      </c>
      <c r="E6283">
        <v>89.498999999999995</v>
      </c>
      <c r="F6283">
        <f t="shared" si="393"/>
        <v>-51.498999999999995</v>
      </c>
      <c r="G6283">
        <v>96.433000000000007</v>
      </c>
      <c r="H6283">
        <v>4.6150000000000002</v>
      </c>
      <c r="I6283">
        <v>4.7910000000000004</v>
      </c>
      <c r="J6283">
        <v>11</v>
      </c>
      <c r="K6283">
        <v>92</v>
      </c>
      <c r="L6283">
        <v>46</v>
      </c>
      <c r="M6283" s="1">
        <v>9000000000</v>
      </c>
    </row>
    <row r="6284" spans="1:13" ht="15" customHeight="1">
      <c r="A6284" t="s">
        <v>66</v>
      </c>
      <c r="B6284">
        <f t="shared" si="390"/>
        <v>33.697358000000001</v>
      </c>
      <c r="C6284">
        <f t="shared" si="391"/>
        <v>-117.858698</v>
      </c>
      <c r="D6284">
        <f t="shared" si="392"/>
        <v>38</v>
      </c>
      <c r="E6284">
        <v>90.498999999999995</v>
      </c>
      <c r="F6284">
        <f t="shared" si="393"/>
        <v>-52.498999999999995</v>
      </c>
      <c r="G6284">
        <v>149.93299999999999</v>
      </c>
      <c r="H6284">
        <v>3.2170000000000001</v>
      </c>
      <c r="I6284">
        <v>2.1480000000000001</v>
      </c>
      <c r="J6284">
        <v>7</v>
      </c>
      <c r="K6284">
        <v>48</v>
      </c>
      <c r="L6284">
        <v>24</v>
      </c>
      <c r="M6284" s="1">
        <v>9000000000</v>
      </c>
    </row>
    <row r="6285" spans="1:13" ht="15" customHeight="1">
      <c r="A6285" t="s">
        <v>66</v>
      </c>
      <c r="B6285">
        <f t="shared" si="390"/>
        <v>33.697358000000001</v>
      </c>
      <c r="C6285">
        <f t="shared" si="391"/>
        <v>-117.858698</v>
      </c>
      <c r="D6285">
        <f t="shared" si="392"/>
        <v>38</v>
      </c>
      <c r="E6285">
        <v>91.498999999999995</v>
      </c>
      <c r="F6285">
        <f t="shared" si="393"/>
        <v>-53.498999999999995</v>
      </c>
      <c r="G6285">
        <v>128.983</v>
      </c>
      <c r="H6285">
        <v>3.8929999999999998</v>
      </c>
      <c r="I6285">
        <v>3.0219999999999998</v>
      </c>
      <c r="J6285">
        <v>6</v>
      </c>
      <c r="K6285">
        <v>49</v>
      </c>
      <c r="L6285">
        <v>25</v>
      </c>
      <c r="M6285">
        <v>8.2140000000000004</v>
      </c>
    </row>
    <row r="6286" spans="1:13" ht="15" customHeight="1">
      <c r="A6286" t="s">
        <v>66</v>
      </c>
      <c r="B6286">
        <f t="shared" si="390"/>
        <v>33.697358000000001</v>
      </c>
      <c r="C6286">
        <f t="shared" si="391"/>
        <v>-117.858698</v>
      </c>
      <c r="D6286">
        <f t="shared" si="392"/>
        <v>38</v>
      </c>
      <c r="E6286">
        <v>92.498999999999995</v>
      </c>
      <c r="F6286">
        <f t="shared" si="393"/>
        <v>-54.498999999999995</v>
      </c>
      <c r="G6286">
        <v>146.30000000000001</v>
      </c>
      <c r="H6286">
        <v>2.6949999999999998</v>
      </c>
      <c r="I6286">
        <v>1.8440000000000001</v>
      </c>
      <c r="J6286">
        <v>7</v>
      </c>
      <c r="K6286">
        <v>47</v>
      </c>
      <c r="L6286">
        <v>24</v>
      </c>
      <c r="M6286" s="1">
        <v>9000000000</v>
      </c>
    </row>
    <row r="6287" spans="1:13" ht="15" customHeight="1">
      <c r="A6287" t="s">
        <v>66</v>
      </c>
      <c r="B6287">
        <f t="shared" si="390"/>
        <v>33.697358000000001</v>
      </c>
      <c r="C6287">
        <f t="shared" si="391"/>
        <v>-117.858698</v>
      </c>
      <c r="D6287">
        <f t="shared" si="392"/>
        <v>38</v>
      </c>
      <c r="E6287">
        <v>93.498999999999995</v>
      </c>
      <c r="F6287">
        <f t="shared" si="393"/>
        <v>-55.498999999999995</v>
      </c>
      <c r="G6287">
        <v>278.94299999999998</v>
      </c>
      <c r="H6287">
        <v>5.0430000000000001</v>
      </c>
      <c r="I6287">
        <v>1.8080000000000001</v>
      </c>
      <c r="J6287">
        <v>8</v>
      </c>
      <c r="K6287">
        <v>67</v>
      </c>
      <c r="L6287">
        <v>34</v>
      </c>
      <c r="M6287" s="1">
        <v>9000000000</v>
      </c>
    </row>
    <row r="6288" spans="1:13" ht="15" customHeight="1">
      <c r="A6288" t="s">
        <v>66</v>
      </c>
      <c r="B6288">
        <f t="shared" si="390"/>
        <v>33.697358000000001</v>
      </c>
      <c r="C6288">
        <f t="shared" si="391"/>
        <v>-117.858698</v>
      </c>
      <c r="D6288">
        <f t="shared" si="392"/>
        <v>38</v>
      </c>
      <c r="E6288">
        <v>94.498999999999995</v>
      </c>
      <c r="F6288">
        <f t="shared" si="393"/>
        <v>-56.498999999999995</v>
      </c>
      <c r="G6288">
        <v>296.13299999999998</v>
      </c>
      <c r="H6288">
        <v>4.3179999999999996</v>
      </c>
      <c r="I6288">
        <v>1.4590000000000001</v>
      </c>
      <c r="J6288">
        <v>8</v>
      </c>
      <c r="K6288">
        <v>71</v>
      </c>
      <c r="L6288">
        <v>36</v>
      </c>
      <c r="M6288" s="1">
        <v>9000000000</v>
      </c>
    </row>
    <row r="6289" spans="1:13" ht="15" customHeight="1">
      <c r="A6289" t="s">
        <v>66</v>
      </c>
      <c r="B6289">
        <f t="shared" si="390"/>
        <v>33.697358000000001</v>
      </c>
      <c r="C6289">
        <f t="shared" si="391"/>
        <v>-117.858698</v>
      </c>
      <c r="D6289">
        <f t="shared" si="392"/>
        <v>38</v>
      </c>
      <c r="E6289">
        <v>95.498999999999995</v>
      </c>
      <c r="F6289">
        <f t="shared" si="393"/>
        <v>-57.498999999999995</v>
      </c>
      <c r="G6289">
        <v>400.46699999999998</v>
      </c>
      <c r="H6289">
        <v>2.4319999999999999</v>
      </c>
      <c r="I6289">
        <v>0.60699999999999998</v>
      </c>
      <c r="J6289">
        <v>10</v>
      </c>
      <c r="K6289">
        <v>64</v>
      </c>
      <c r="L6289">
        <v>32</v>
      </c>
      <c r="M6289" s="1">
        <v>9000000000</v>
      </c>
    </row>
    <row r="6290" spans="1:13" ht="15" customHeight="1">
      <c r="A6290" t="s">
        <v>66</v>
      </c>
      <c r="B6290">
        <f t="shared" si="390"/>
        <v>33.697358000000001</v>
      </c>
      <c r="C6290">
        <f t="shared" si="391"/>
        <v>-117.858698</v>
      </c>
      <c r="D6290">
        <f t="shared" si="392"/>
        <v>38</v>
      </c>
      <c r="E6290">
        <v>96.498999999999995</v>
      </c>
      <c r="F6290">
        <f t="shared" si="393"/>
        <v>-58.498999999999995</v>
      </c>
      <c r="G6290">
        <v>299.03300000000002</v>
      </c>
      <c r="H6290">
        <v>3.9249999999999998</v>
      </c>
      <c r="I6290">
        <v>1.3129999999999999</v>
      </c>
      <c r="J6290">
        <v>9</v>
      </c>
      <c r="K6290">
        <v>57</v>
      </c>
      <c r="L6290">
        <v>29</v>
      </c>
      <c r="M6290" s="1">
        <v>9000000000</v>
      </c>
    </row>
    <row r="6291" spans="1:13" ht="15" customHeight="1">
      <c r="A6291" t="s">
        <v>66</v>
      </c>
      <c r="B6291">
        <f t="shared" si="390"/>
        <v>33.697358000000001</v>
      </c>
      <c r="C6291">
        <f t="shared" si="391"/>
        <v>-117.858698</v>
      </c>
      <c r="D6291">
        <f t="shared" si="392"/>
        <v>38</v>
      </c>
      <c r="E6291">
        <v>97.498999999999995</v>
      </c>
      <c r="F6291">
        <f t="shared" si="393"/>
        <v>-59.498999999999995</v>
      </c>
      <c r="G6291">
        <v>431.36700000000002</v>
      </c>
      <c r="H6291">
        <v>3.3620000000000001</v>
      </c>
      <c r="I6291">
        <v>0.77900000000000003</v>
      </c>
      <c r="J6291">
        <v>10</v>
      </c>
      <c r="K6291">
        <v>69</v>
      </c>
      <c r="L6291">
        <v>35</v>
      </c>
      <c r="M6291" s="1">
        <v>9000000000</v>
      </c>
    </row>
    <row r="6292" spans="1:13" ht="15" customHeight="1">
      <c r="A6292" t="s">
        <v>66</v>
      </c>
      <c r="B6292">
        <f t="shared" si="390"/>
        <v>33.697358000000001</v>
      </c>
      <c r="C6292">
        <f t="shared" si="391"/>
        <v>-117.858698</v>
      </c>
      <c r="D6292">
        <f t="shared" si="392"/>
        <v>38</v>
      </c>
      <c r="E6292">
        <v>98.498999999999995</v>
      </c>
      <c r="F6292">
        <f t="shared" si="393"/>
        <v>-60.498999999999995</v>
      </c>
      <c r="G6292">
        <v>461.55</v>
      </c>
      <c r="H6292">
        <v>2.3330000000000002</v>
      </c>
      <c r="I6292">
        <v>0.50600000000000001</v>
      </c>
      <c r="J6292">
        <v>10</v>
      </c>
      <c r="K6292">
        <v>74</v>
      </c>
      <c r="L6292">
        <v>37</v>
      </c>
      <c r="M6292" s="1">
        <v>9000000000</v>
      </c>
    </row>
    <row r="6293" spans="1:13" ht="15" customHeight="1">
      <c r="A6293" t="s">
        <v>66</v>
      </c>
      <c r="B6293">
        <f t="shared" si="390"/>
        <v>33.697358000000001</v>
      </c>
      <c r="C6293">
        <f t="shared" si="391"/>
        <v>-117.858698</v>
      </c>
      <c r="D6293">
        <f t="shared" si="392"/>
        <v>38</v>
      </c>
      <c r="E6293">
        <v>99.498999999999995</v>
      </c>
      <c r="F6293">
        <f t="shared" si="393"/>
        <v>-61.498999999999995</v>
      </c>
      <c r="G6293">
        <v>443.3</v>
      </c>
      <c r="H6293">
        <v>1.93</v>
      </c>
      <c r="I6293">
        <v>0.435</v>
      </c>
      <c r="J6293">
        <v>10</v>
      </c>
      <c r="K6293">
        <v>71</v>
      </c>
      <c r="L6293">
        <v>36</v>
      </c>
      <c r="M6293" s="1">
        <v>9000000000</v>
      </c>
    </row>
    <row r="6294" spans="1:13" ht="15" customHeight="1">
      <c r="A6294" t="s">
        <v>67</v>
      </c>
      <c r="B6294">
        <f t="shared" si="390"/>
        <v>33.699857000000002</v>
      </c>
      <c r="C6294">
        <f t="shared" si="391"/>
        <v>-117.856517</v>
      </c>
      <c r="D6294">
        <f t="shared" si="392"/>
        <v>41</v>
      </c>
      <c r="E6294">
        <v>0.5</v>
      </c>
      <c r="F6294">
        <f t="shared" si="393"/>
        <v>40.5</v>
      </c>
      <c r="G6294">
        <v>0</v>
      </c>
      <c r="H6294">
        <v>-2E-3</v>
      </c>
      <c r="I6294" s="1">
        <v>9000000000</v>
      </c>
      <c r="J6294" s="1">
        <v>9000000000</v>
      </c>
      <c r="K6294" s="1">
        <v>9000000000</v>
      </c>
      <c r="L6294" s="1">
        <v>9000000000</v>
      </c>
      <c r="M6294" s="1">
        <v>9000000000</v>
      </c>
    </row>
    <row r="6295" spans="1:13" ht="15" customHeight="1">
      <c r="A6295" t="s">
        <v>67</v>
      </c>
      <c r="B6295">
        <f t="shared" si="390"/>
        <v>33.699857000000002</v>
      </c>
      <c r="C6295">
        <f t="shared" si="391"/>
        <v>-117.856517</v>
      </c>
      <c r="D6295">
        <f t="shared" si="392"/>
        <v>41</v>
      </c>
      <c r="E6295">
        <v>1.5</v>
      </c>
      <c r="F6295">
        <f t="shared" si="393"/>
        <v>39.5</v>
      </c>
      <c r="G6295">
        <v>8.3000000000000007</v>
      </c>
      <c r="H6295">
        <v>0.14000000000000001</v>
      </c>
      <c r="I6295">
        <v>1.6870000000000001</v>
      </c>
      <c r="J6295">
        <v>5</v>
      </c>
      <c r="K6295">
        <v>4</v>
      </c>
      <c r="L6295">
        <v>6</v>
      </c>
      <c r="M6295">
        <v>0.55100000000000005</v>
      </c>
    </row>
    <row r="6296" spans="1:13" ht="15" customHeight="1">
      <c r="A6296" t="s">
        <v>67</v>
      </c>
      <c r="B6296">
        <f t="shared" si="390"/>
        <v>33.699857000000002</v>
      </c>
      <c r="C6296">
        <f t="shared" si="391"/>
        <v>-117.856517</v>
      </c>
      <c r="D6296">
        <f t="shared" si="392"/>
        <v>41</v>
      </c>
      <c r="E6296">
        <v>2.5</v>
      </c>
      <c r="F6296">
        <f t="shared" si="393"/>
        <v>38.5</v>
      </c>
      <c r="G6296">
        <v>8.3670000000000009</v>
      </c>
      <c r="H6296">
        <v>0.38300000000000001</v>
      </c>
      <c r="I6296">
        <v>4.5819999999999999</v>
      </c>
      <c r="J6296">
        <v>3</v>
      </c>
      <c r="K6296">
        <v>8</v>
      </c>
      <c r="L6296">
        <v>12</v>
      </c>
      <c r="M6296">
        <v>0.55200000000000005</v>
      </c>
    </row>
    <row r="6297" spans="1:13" ht="15" customHeight="1">
      <c r="A6297" t="s">
        <v>67</v>
      </c>
      <c r="B6297">
        <f t="shared" si="390"/>
        <v>33.699857000000002</v>
      </c>
      <c r="C6297">
        <f t="shared" si="391"/>
        <v>-117.856517</v>
      </c>
      <c r="D6297">
        <f t="shared" si="392"/>
        <v>41</v>
      </c>
      <c r="E6297">
        <v>3.5</v>
      </c>
      <c r="F6297">
        <f t="shared" si="393"/>
        <v>37.5</v>
      </c>
      <c r="G6297">
        <v>16.3</v>
      </c>
      <c r="H6297">
        <v>0.50700000000000001</v>
      </c>
      <c r="I6297">
        <v>3.1080000000000001</v>
      </c>
      <c r="J6297">
        <v>5</v>
      </c>
      <c r="K6297">
        <v>8</v>
      </c>
      <c r="L6297">
        <v>12</v>
      </c>
      <c r="M6297">
        <v>1.077</v>
      </c>
    </row>
    <row r="6298" spans="1:13" ht="15" customHeight="1">
      <c r="A6298" t="s">
        <v>67</v>
      </c>
      <c r="B6298">
        <f t="shared" si="390"/>
        <v>33.699857000000002</v>
      </c>
      <c r="C6298">
        <f t="shared" si="391"/>
        <v>-117.856517</v>
      </c>
      <c r="D6298">
        <f t="shared" si="392"/>
        <v>41</v>
      </c>
      <c r="E6298">
        <v>4.5</v>
      </c>
      <c r="F6298">
        <f t="shared" si="393"/>
        <v>36.5</v>
      </c>
      <c r="G6298">
        <v>11.282999999999999</v>
      </c>
      <c r="H6298">
        <v>0.36499999999999999</v>
      </c>
      <c r="I6298">
        <v>3.2250000000000001</v>
      </c>
      <c r="J6298">
        <v>4</v>
      </c>
      <c r="K6298">
        <v>7</v>
      </c>
      <c r="L6298">
        <v>11</v>
      </c>
      <c r="M6298">
        <v>0.74</v>
      </c>
    </row>
    <row r="6299" spans="1:13" ht="15" customHeight="1">
      <c r="A6299" t="s">
        <v>67</v>
      </c>
      <c r="B6299">
        <f t="shared" si="390"/>
        <v>33.699857000000002</v>
      </c>
      <c r="C6299">
        <f t="shared" si="391"/>
        <v>-117.856517</v>
      </c>
      <c r="D6299">
        <f t="shared" si="392"/>
        <v>41</v>
      </c>
      <c r="E6299">
        <v>5.5</v>
      </c>
      <c r="F6299">
        <f t="shared" si="393"/>
        <v>35.5</v>
      </c>
      <c r="G6299">
        <v>6.0170000000000003</v>
      </c>
      <c r="H6299">
        <v>0.22700000000000001</v>
      </c>
      <c r="I6299">
        <v>3.6560000000000001</v>
      </c>
      <c r="J6299">
        <v>3</v>
      </c>
      <c r="K6299">
        <v>6</v>
      </c>
      <c r="L6299">
        <v>9</v>
      </c>
      <c r="M6299">
        <v>0.39500000000000002</v>
      </c>
    </row>
    <row r="6300" spans="1:13" ht="15" customHeight="1">
      <c r="A6300" t="s">
        <v>67</v>
      </c>
      <c r="B6300">
        <f t="shared" si="390"/>
        <v>33.699857000000002</v>
      </c>
      <c r="C6300">
        <f t="shared" si="391"/>
        <v>-117.856517</v>
      </c>
      <c r="D6300">
        <f t="shared" si="392"/>
        <v>41</v>
      </c>
      <c r="E6300">
        <v>6.5</v>
      </c>
      <c r="F6300">
        <f t="shared" si="393"/>
        <v>34.5</v>
      </c>
      <c r="G6300">
        <v>5.5830000000000002</v>
      </c>
      <c r="H6300">
        <v>0.16200000000000001</v>
      </c>
      <c r="I6300">
        <v>2.7480000000000002</v>
      </c>
      <c r="J6300">
        <v>3</v>
      </c>
      <c r="K6300">
        <v>6</v>
      </c>
      <c r="L6300">
        <v>9</v>
      </c>
      <c r="M6300">
        <v>0.37</v>
      </c>
    </row>
    <row r="6301" spans="1:13" ht="15" customHeight="1">
      <c r="A6301" t="s">
        <v>67</v>
      </c>
      <c r="B6301">
        <f t="shared" si="390"/>
        <v>33.699857000000002</v>
      </c>
      <c r="C6301">
        <f t="shared" si="391"/>
        <v>-117.856517</v>
      </c>
      <c r="D6301">
        <f t="shared" si="392"/>
        <v>41</v>
      </c>
      <c r="E6301">
        <v>7.5</v>
      </c>
      <c r="F6301">
        <f t="shared" si="393"/>
        <v>33.5</v>
      </c>
      <c r="G6301">
        <v>6.3170000000000002</v>
      </c>
      <c r="H6301">
        <v>0.223</v>
      </c>
      <c r="I6301">
        <v>3.4180000000000001</v>
      </c>
      <c r="J6301">
        <v>3</v>
      </c>
      <c r="K6301">
        <v>6</v>
      </c>
      <c r="L6301">
        <v>9</v>
      </c>
      <c r="M6301">
        <v>0.41</v>
      </c>
    </row>
    <row r="6302" spans="1:13" ht="15" customHeight="1">
      <c r="A6302" t="s">
        <v>67</v>
      </c>
      <c r="B6302">
        <f t="shared" si="390"/>
        <v>33.699857000000002</v>
      </c>
      <c r="C6302">
        <f t="shared" si="391"/>
        <v>-117.856517</v>
      </c>
      <c r="D6302">
        <f t="shared" si="392"/>
        <v>41</v>
      </c>
      <c r="E6302">
        <v>8.5</v>
      </c>
      <c r="F6302">
        <f t="shared" si="393"/>
        <v>32.5</v>
      </c>
      <c r="G6302">
        <v>9.7829999999999995</v>
      </c>
      <c r="H6302">
        <v>0.52800000000000002</v>
      </c>
      <c r="I6302">
        <v>5.2830000000000004</v>
      </c>
      <c r="J6302">
        <v>3</v>
      </c>
      <c r="K6302">
        <v>10</v>
      </c>
      <c r="L6302">
        <v>15</v>
      </c>
      <c r="M6302">
        <v>0.63700000000000001</v>
      </c>
    </row>
    <row r="6303" spans="1:13" ht="15" customHeight="1">
      <c r="A6303" t="s">
        <v>67</v>
      </c>
      <c r="B6303">
        <f t="shared" si="390"/>
        <v>33.699857000000002</v>
      </c>
      <c r="C6303">
        <f t="shared" si="391"/>
        <v>-117.856517</v>
      </c>
      <c r="D6303">
        <f t="shared" si="392"/>
        <v>41</v>
      </c>
      <c r="E6303">
        <v>9.5</v>
      </c>
      <c r="F6303">
        <f t="shared" si="393"/>
        <v>31.5</v>
      </c>
      <c r="G6303">
        <v>7.9169999999999998</v>
      </c>
      <c r="H6303">
        <v>0.46500000000000002</v>
      </c>
      <c r="I6303">
        <v>5.7409999999999997</v>
      </c>
      <c r="J6303">
        <v>3</v>
      </c>
      <c r="K6303">
        <v>8</v>
      </c>
      <c r="L6303">
        <v>12</v>
      </c>
      <c r="M6303">
        <v>0.50600000000000001</v>
      </c>
    </row>
    <row r="6304" spans="1:13" ht="15" customHeight="1">
      <c r="A6304" t="s">
        <v>67</v>
      </c>
      <c r="B6304">
        <f t="shared" si="390"/>
        <v>33.699857000000002</v>
      </c>
      <c r="C6304">
        <f t="shared" si="391"/>
        <v>-117.856517</v>
      </c>
      <c r="D6304">
        <f t="shared" si="392"/>
        <v>41</v>
      </c>
      <c r="E6304">
        <v>10.5</v>
      </c>
      <c r="F6304">
        <f t="shared" si="393"/>
        <v>30.5</v>
      </c>
      <c r="G6304">
        <v>7.6</v>
      </c>
      <c r="H6304">
        <v>0.307</v>
      </c>
      <c r="I6304">
        <v>3.9380000000000002</v>
      </c>
      <c r="J6304">
        <v>3</v>
      </c>
      <c r="K6304">
        <v>7</v>
      </c>
      <c r="L6304">
        <v>11</v>
      </c>
      <c r="M6304">
        <v>0.48199999999999998</v>
      </c>
    </row>
    <row r="6305" spans="1:13" ht="15" customHeight="1">
      <c r="A6305" t="s">
        <v>67</v>
      </c>
      <c r="B6305">
        <f t="shared" si="390"/>
        <v>33.699857000000002</v>
      </c>
      <c r="C6305">
        <f t="shared" si="391"/>
        <v>-117.856517</v>
      </c>
      <c r="D6305">
        <f t="shared" si="392"/>
        <v>41</v>
      </c>
      <c r="E6305">
        <v>11.5</v>
      </c>
      <c r="F6305">
        <f t="shared" si="393"/>
        <v>29.5</v>
      </c>
      <c r="G6305">
        <v>10.4</v>
      </c>
      <c r="H6305">
        <v>0.43</v>
      </c>
      <c r="I6305">
        <v>4.0629999999999997</v>
      </c>
      <c r="J6305">
        <v>3</v>
      </c>
      <c r="K6305">
        <v>10</v>
      </c>
      <c r="L6305">
        <v>14</v>
      </c>
      <c r="M6305">
        <v>0.66300000000000003</v>
      </c>
    </row>
    <row r="6306" spans="1:13" ht="15" customHeight="1">
      <c r="A6306" t="s">
        <v>67</v>
      </c>
      <c r="B6306">
        <f t="shared" si="390"/>
        <v>33.699857000000002</v>
      </c>
      <c r="C6306">
        <f t="shared" si="391"/>
        <v>-117.856517</v>
      </c>
      <c r="D6306">
        <f t="shared" si="392"/>
        <v>41</v>
      </c>
      <c r="E6306">
        <v>12.5</v>
      </c>
      <c r="F6306">
        <f t="shared" si="393"/>
        <v>28.5</v>
      </c>
      <c r="G6306">
        <v>9.1669999999999998</v>
      </c>
      <c r="H6306">
        <v>0.307</v>
      </c>
      <c r="I6306">
        <v>3.28</v>
      </c>
      <c r="J6306">
        <v>3</v>
      </c>
      <c r="K6306">
        <v>9</v>
      </c>
      <c r="L6306">
        <v>12</v>
      </c>
      <c r="M6306">
        <v>0.57699999999999996</v>
      </c>
    </row>
    <row r="6307" spans="1:13" ht="15" customHeight="1">
      <c r="A6307" t="s">
        <v>67</v>
      </c>
      <c r="B6307">
        <f t="shared" si="390"/>
        <v>33.699857000000002</v>
      </c>
      <c r="C6307">
        <f t="shared" si="391"/>
        <v>-117.856517</v>
      </c>
      <c r="D6307">
        <f t="shared" si="392"/>
        <v>41</v>
      </c>
      <c r="E6307">
        <v>13.5</v>
      </c>
      <c r="F6307">
        <f t="shared" si="393"/>
        <v>27.5</v>
      </c>
      <c r="G6307">
        <v>9.2170000000000005</v>
      </c>
      <c r="H6307">
        <v>0.34699999999999998</v>
      </c>
      <c r="I6307">
        <v>3.7080000000000002</v>
      </c>
      <c r="J6307">
        <v>3</v>
      </c>
      <c r="K6307">
        <v>9</v>
      </c>
      <c r="L6307">
        <v>11</v>
      </c>
      <c r="M6307">
        <v>0.57299999999999995</v>
      </c>
    </row>
    <row r="6308" spans="1:13" ht="15" customHeight="1">
      <c r="A6308" t="s">
        <v>67</v>
      </c>
      <c r="B6308">
        <f t="shared" si="390"/>
        <v>33.699857000000002</v>
      </c>
      <c r="C6308">
        <f t="shared" si="391"/>
        <v>-117.856517</v>
      </c>
      <c r="D6308">
        <f t="shared" si="392"/>
        <v>41</v>
      </c>
      <c r="E6308">
        <v>14.5</v>
      </c>
      <c r="F6308">
        <f t="shared" si="393"/>
        <v>26.5</v>
      </c>
      <c r="G6308">
        <v>7.7169999999999996</v>
      </c>
      <c r="H6308">
        <v>0.39300000000000002</v>
      </c>
      <c r="I6308">
        <v>5.032</v>
      </c>
      <c r="J6308">
        <v>3</v>
      </c>
      <c r="K6308">
        <v>7</v>
      </c>
      <c r="L6308">
        <v>8</v>
      </c>
      <c r="M6308">
        <v>0.46700000000000003</v>
      </c>
    </row>
    <row r="6309" spans="1:13" ht="15" customHeight="1">
      <c r="A6309" t="s">
        <v>67</v>
      </c>
      <c r="B6309">
        <f t="shared" si="390"/>
        <v>33.699857000000002</v>
      </c>
      <c r="C6309">
        <f t="shared" si="391"/>
        <v>-117.856517</v>
      </c>
      <c r="D6309">
        <f t="shared" si="392"/>
        <v>41</v>
      </c>
      <c r="E6309">
        <v>15.5</v>
      </c>
      <c r="F6309">
        <f t="shared" si="393"/>
        <v>25.5</v>
      </c>
      <c r="G6309">
        <v>6.867</v>
      </c>
      <c r="H6309">
        <v>0.34200000000000003</v>
      </c>
      <c r="I6309">
        <v>4.8689999999999998</v>
      </c>
      <c r="J6309">
        <v>3</v>
      </c>
      <c r="K6309">
        <v>7</v>
      </c>
      <c r="L6309">
        <v>8</v>
      </c>
      <c r="M6309">
        <v>0.41</v>
      </c>
    </row>
    <row r="6310" spans="1:13" ht="15" customHeight="1">
      <c r="A6310" t="s">
        <v>67</v>
      </c>
      <c r="B6310">
        <f t="shared" si="390"/>
        <v>33.699857000000002</v>
      </c>
      <c r="C6310">
        <f t="shared" si="391"/>
        <v>-117.856517</v>
      </c>
      <c r="D6310">
        <f t="shared" si="392"/>
        <v>41</v>
      </c>
      <c r="E6310">
        <v>16.5</v>
      </c>
      <c r="F6310">
        <f t="shared" si="393"/>
        <v>24.5</v>
      </c>
      <c r="G6310">
        <v>12.35</v>
      </c>
      <c r="H6310">
        <v>0.59299999999999997</v>
      </c>
      <c r="I6310">
        <v>4.7590000000000003</v>
      </c>
      <c r="J6310">
        <v>3</v>
      </c>
      <c r="K6310">
        <v>12</v>
      </c>
      <c r="L6310">
        <v>13</v>
      </c>
      <c r="M6310">
        <v>0.76900000000000002</v>
      </c>
    </row>
    <row r="6311" spans="1:13" ht="15" customHeight="1">
      <c r="A6311" t="s">
        <v>67</v>
      </c>
      <c r="B6311">
        <f t="shared" si="390"/>
        <v>33.699857000000002</v>
      </c>
      <c r="C6311">
        <f t="shared" si="391"/>
        <v>-117.856517</v>
      </c>
      <c r="D6311">
        <f t="shared" si="392"/>
        <v>41</v>
      </c>
      <c r="E6311">
        <v>17.5</v>
      </c>
      <c r="F6311">
        <f t="shared" si="393"/>
        <v>23.5</v>
      </c>
      <c r="G6311">
        <v>18.899999999999999</v>
      </c>
      <c r="H6311">
        <v>0.72499999999999998</v>
      </c>
      <c r="I6311">
        <v>3.7989999999999999</v>
      </c>
      <c r="J6311">
        <v>4</v>
      </c>
      <c r="K6311">
        <v>12</v>
      </c>
      <c r="L6311">
        <v>12</v>
      </c>
      <c r="M6311">
        <v>1.206</v>
      </c>
    </row>
    <row r="6312" spans="1:13" ht="15" customHeight="1">
      <c r="A6312" t="s">
        <v>67</v>
      </c>
      <c r="B6312">
        <f t="shared" si="390"/>
        <v>33.699857000000002</v>
      </c>
      <c r="C6312">
        <f t="shared" si="391"/>
        <v>-117.856517</v>
      </c>
      <c r="D6312">
        <f t="shared" si="392"/>
        <v>41</v>
      </c>
      <c r="E6312">
        <v>18.5</v>
      </c>
      <c r="F6312">
        <f t="shared" si="393"/>
        <v>22.5</v>
      </c>
      <c r="G6312">
        <v>23.417000000000002</v>
      </c>
      <c r="H6312">
        <v>1.1950000000000001</v>
      </c>
      <c r="I6312">
        <v>5.0599999999999996</v>
      </c>
      <c r="J6312">
        <v>3</v>
      </c>
      <c r="K6312">
        <v>23</v>
      </c>
      <c r="L6312">
        <v>22</v>
      </c>
      <c r="M6312">
        <v>1.504</v>
      </c>
    </row>
    <row r="6313" spans="1:13" ht="15" customHeight="1">
      <c r="A6313" t="s">
        <v>67</v>
      </c>
      <c r="B6313">
        <f t="shared" si="390"/>
        <v>33.699857000000002</v>
      </c>
      <c r="C6313">
        <f t="shared" si="391"/>
        <v>-117.856517</v>
      </c>
      <c r="D6313">
        <f t="shared" si="392"/>
        <v>41</v>
      </c>
      <c r="E6313">
        <v>19.5</v>
      </c>
      <c r="F6313">
        <f t="shared" si="393"/>
        <v>21.5</v>
      </c>
      <c r="G6313">
        <v>49.15</v>
      </c>
      <c r="H6313">
        <v>1.702</v>
      </c>
      <c r="I6313">
        <v>3.4489999999999998</v>
      </c>
      <c r="J6313">
        <v>5</v>
      </c>
      <c r="K6313">
        <v>24</v>
      </c>
      <c r="L6313">
        <v>22</v>
      </c>
      <c r="M6313">
        <v>3.214</v>
      </c>
    </row>
    <row r="6314" spans="1:13" ht="15" customHeight="1">
      <c r="A6314" t="s">
        <v>67</v>
      </c>
      <c r="B6314">
        <f t="shared" si="390"/>
        <v>33.699857000000002</v>
      </c>
      <c r="C6314">
        <f t="shared" si="391"/>
        <v>-117.856517</v>
      </c>
      <c r="D6314">
        <f t="shared" si="392"/>
        <v>41</v>
      </c>
      <c r="E6314">
        <v>20.5</v>
      </c>
      <c r="F6314">
        <f t="shared" si="393"/>
        <v>20.5</v>
      </c>
      <c r="G6314">
        <v>60.843000000000004</v>
      </c>
      <c r="H6314">
        <v>3.1669999999999998</v>
      </c>
      <c r="I6314">
        <v>5.2050000000000001</v>
      </c>
      <c r="J6314">
        <v>11</v>
      </c>
      <c r="K6314">
        <v>58</v>
      </c>
      <c r="L6314">
        <v>51</v>
      </c>
      <c r="M6314" s="1">
        <v>9000000000</v>
      </c>
    </row>
    <row r="6315" spans="1:13" ht="15" customHeight="1">
      <c r="A6315" t="s">
        <v>67</v>
      </c>
      <c r="B6315">
        <f t="shared" si="390"/>
        <v>33.699857000000002</v>
      </c>
      <c r="C6315">
        <f t="shared" si="391"/>
        <v>-117.856517</v>
      </c>
      <c r="D6315">
        <f t="shared" si="392"/>
        <v>41</v>
      </c>
      <c r="E6315">
        <v>21.5</v>
      </c>
      <c r="F6315">
        <f t="shared" si="393"/>
        <v>19.5</v>
      </c>
      <c r="G6315">
        <v>39.482999999999997</v>
      </c>
      <c r="H6315">
        <v>2.375</v>
      </c>
      <c r="I6315">
        <v>6.0129999999999999</v>
      </c>
      <c r="J6315">
        <v>3</v>
      </c>
      <c r="K6315">
        <v>38</v>
      </c>
      <c r="L6315">
        <v>32</v>
      </c>
      <c r="M6315">
        <v>2.5499999999999998</v>
      </c>
    </row>
    <row r="6316" spans="1:13" ht="15" customHeight="1">
      <c r="A6316" t="s">
        <v>67</v>
      </c>
      <c r="B6316">
        <f t="shared" si="390"/>
        <v>33.699857000000002</v>
      </c>
      <c r="C6316">
        <f t="shared" si="391"/>
        <v>-117.856517</v>
      </c>
      <c r="D6316">
        <f t="shared" si="392"/>
        <v>41</v>
      </c>
      <c r="E6316">
        <v>22.5</v>
      </c>
      <c r="F6316">
        <f t="shared" si="393"/>
        <v>18.5</v>
      </c>
      <c r="G6316">
        <v>29.3</v>
      </c>
      <c r="H6316">
        <v>2.1320000000000001</v>
      </c>
      <c r="I6316">
        <v>7.2709999999999999</v>
      </c>
      <c r="J6316">
        <v>3</v>
      </c>
      <c r="K6316">
        <v>28</v>
      </c>
      <c r="L6316">
        <v>23</v>
      </c>
      <c r="M6316">
        <v>1.867</v>
      </c>
    </row>
    <row r="6317" spans="1:13" ht="15" customHeight="1">
      <c r="A6317" t="s">
        <v>67</v>
      </c>
      <c r="B6317">
        <f t="shared" si="390"/>
        <v>33.699857000000002</v>
      </c>
      <c r="C6317">
        <f t="shared" si="391"/>
        <v>-117.856517</v>
      </c>
      <c r="D6317">
        <f t="shared" si="392"/>
        <v>41</v>
      </c>
      <c r="E6317">
        <v>23.5</v>
      </c>
      <c r="F6317">
        <f t="shared" si="393"/>
        <v>17.5</v>
      </c>
      <c r="G6317">
        <v>19.317</v>
      </c>
      <c r="H6317">
        <v>1.333</v>
      </c>
      <c r="I6317">
        <v>6.9029999999999996</v>
      </c>
      <c r="J6317">
        <v>3</v>
      </c>
      <c r="K6317">
        <v>19</v>
      </c>
      <c r="L6317">
        <v>15</v>
      </c>
      <c r="M6317">
        <v>1.196</v>
      </c>
    </row>
    <row r="6318" spans="1:13" ht="15" customHeight="1">
      <c r="A6318" t="s">
        <v>67</v>
      </c>
      <c r="B6318">
        <f t="shared" si="390"/>
        <v>33.699857000000002</v>
      </c>
      <c r="C6318">
        <f t="shared" si="391"/>
        <v>-117.856517</v>
      </c>
      <c r="D6318">
        <f t="shared" si="392"/>
        <v>41</v>
      </c>
      <c r="E6318">
        <v>24.5</v>
      </c>
      <c r="F6318">
        <f t="shared" si="393"/>
        <v>16.5</v>
      </c>
      <c r="G6318">
        <v>116.883</v>
      </c>
      <c r="H6318">
        <v>1.5680000000000001</v>
      </c>
      <c r="I6318">
        <v>1.343</v>
      </c>
      <c r="J6318">
        <v>8</v>
      </c>
      <c r="K6318">
        <v>28</v>
      </c>
      <c r="L6318">
        <v>21</v>
      </c>
      <c r="M6318" s="1">
        <v>9000000000</v>
      </c>
    </row>
    <row r="6319" spans="1:13" ht="15" customHeight="1">
      <c r="A6319" t="s">
        <v>67</v>
      </c>
      <c r="B6319">
        <f t="shared" si="390"/>
        <v>33.699857000000002</v>
      </c>
      <c r="C6319">
        <f t="shared" si="391"/>
        <v>-117.856517</v>
      </c>
      <c r="D6319">
        <f t="shared" si="392"/>
        <v>41</v>
      </c>
      <c r="E6319">
        <v>25.5</v>
      </c>
      <c r="F6319">
        <f t="shared" si="393"/>
        <v>15.5</v>
      </c>
      <c r="G6319">
        <v>205.43299999999999</v>
      </c>
      <c r="H6319">
        <v>1.173</v>
      </c>
      <c r="I6319">
        <v>0.57099999999999995</v>
      </c>
      <c r="J6319">
        <v>9</v>
      </c>
      <c r="K6319">
        <v>39</v>
      </c>
      <c r="L6319">
        <v>29</v>
      </c>
      <c r="M6319" s="1">
        <v>9000000000</v>
      </c>
    </row>
    <row r="6320" spans="1:13" ht="15" customHeight="1">
      <c r="A6320" t="s">
        <v>67</v>
      </c>
      <c r="B6320">
        <f t="shared" si="390"/>
        <v>33.699857000000002</v>
      </c>
      <c r="C6320">
        <f t="shared" si="391"/>
        <v>-117.856517</v>
      </c>
      <c r="D6320">
        <f t="shared" si="392"/>
        <v>41</v>
      </c>
      <c r="E6320">
        <v>26.5</v>
      </c>
      <c r="F6320">
        <f t="shared" si="393"/>
        <v>14.5</v>
      </c>
      <c r="G6320">
        <v>211.56700000000001</v>
      </c>
      <c r="H6320">
        <v>0.95799999999999996</v>
      </c>
      <c r="I6320">
        <v>0.45300000000000001</v>
      </c>
      <c r="J6320">
        <v>9</v>
      </c>
      <c r="K6320">
        <v>41</v>
      </c>
      <c r="L6320">
        <v>30</v>
      </c>
      <c r="M6320" s="1">
        <v>9000000000</v>
      </c>
    </row>
    <row r="6321" spans="1:13" ht="15" customHeight="1">
      <c r="A6321" t="s">
        <v>67</v>
      </c>
      <c r="B6321">
        <f t="shared" si="390"/>
        <v>33.699857000000002</v>
      </c>
      <c r="C6321">
        <f t="shared" si="391"/>
        <v>-117.856517</v>
      </c>
      <c r="D6321">
        <f t="shared" si="392"/>
        <v>41</v>
      </c>
      <c r="E6321">
        <v>27.5</v>
      </c>
      <c r="F6321">
        <f t="shared" si="393"/>
        <v>13.5</v>
      </c>
      <c r="G6321">
        <v>192.56700000000001</v>
      </c>
      <c r="H6321">
        <v>0.96499999999999997</v>
      </c>
      <c r="I6321">
        <v>0.501</v>
      </c>
      <c r="J6321">
        <v>9</v>
      </c>
      <c r="K6321">
        <v>37</v>
      </c>
      <c r="L6321">
        <v>26</v>
      </c>
      <c r="M6321" s="1">
        <v>9000000000</v>
      </c>
    </row>
    <row r="6322" spans="1:13" ht="15" customHeight="1">
      <c r="A6322" t="s">
        <v>67</v>
      </c>
      <c r="B6322">
        <f t="shared" si="390"/>
        <v>33.699857000000002</v>
      </c>
      <c r="C6322">
        <f t="shared" si="391"/>
        <v>-117.856517</v>
      </c>
      <c r="D6322">
        <f t="shared" si="392"/>
        <v>41</v>
      </c>
      <c r="E6322">
        <v>28.5</v>
      </c>
      <c r="F6322">
        <f t="shared" si="393"/>
        <v>12.5</v>
      </c>
      <c r="G6322">
        <v>213.417</v>
      </c>
      <c r="H6322">
        <v>1.133</v>
      </c>
      <c r="I6322">
        <v>0.53100000000000003</v>
      </c>
      <c r="J6322">
        <v>9</v>
      </c>
      <c r="K6322">
        <v>41</v>
      </c>
      <c r="L6322">
        <v>29</v>
      </c>
      <c r="M6322" s="1">
        <v>9000000000</v>
      </c>
    </row>
    <row r="6323" spans="1:13" ht="15" customHeight="1">
      <c r="A6323" t="s">
        <v>67</v>
      </c>
      <c r="B6323">
        <f t="shared" si="390"/>
        <v>33.699857000000002</v>
      </c>
      <c r="C6323">
        <f t="shared" si="391"/>
        <v>-117.856517</v>
      </c>
      <c r="D6323">
        <f t="shared" si="392"/>
        <v>41</v>
      </c>
      <c r="E6323">
        <v>29.5</v>
      </c>
      <c r="F6323">
        <f t="shared" si="393"/>
        <v>11.5</v>
      </c>
      <c r="G6323">
        <v>240.93299999999999</v>
      </c>
      <c r="H6323">
        <v>1.1220000000000001</v>
      </c>
      <c r="I6323">
        <v>0.46500000000000002</v>
      </c>
      <c r="J6323">
        <v>9</v>
      </c>
      <c r="K6323">
        <v>46</v>
      </c>
      <c r="L6323">
        <v>32</v>
      </c>
      <c r="M6323" s="1">
        <v>9000000000</v>
      </c>
    </row>
    <row r="6324" spans="1:13" ht="15" customHeight="1">
      <c r="A6324" t="s">
        <v>67</v>
      </c>
      <c r="B6324">
        <f t="shared" si="390"/>
        <v>33.699857000000002</v>
      </c>
      <c r="C6324">
        <f t="shared" si="391"/>
        <v>-117.856517</v>
      </c>
      <c r="D6324">
        <f t="shared" si="392"/>
        <v>41</v>
      </c>
      <c r="E6324">
        <v>30.5</v>
      </c>
      <c r="F6324">
        <f t="shared" si="393"/>
        <v>10.5</v>
      </c>
      <c r="G6324">
        <v>227.583</v>
      </c>
      <c r="H6324">
        <v>1.363</v>
      </c>
      <c r="I6324">
        <v>0.59899999999999998</v>
      </c>
      <c r="J6324">
        <v>9</v>
      </c>
      <c r="K6324">
        <v>44</v>
      </c>
      <c r="L6324">
        <v>30</v>
      </c>
      <c r="M6324" s="1">
        <v>9000000000</v>
      </c>
    </row>
    <row r="6325" spans="1:13" ht="15" customHeight="1">
      <c r="A6325" t="s">
        <v>67</v>
      </c>
      <c r="B6325">
        <f t="shared" si="390"/>
        <v>33.699857000000002</v>
      </c>
      <c r="C6325">
        <f t="shared" si="391"/>
        <v>-117.856517</v>
      </c>
      <c r="D6325">
        <f t="shared" si="392"/>
        <v>41</v>
      </c>
      <c r="E6325">
        <v>31.5</v>
      </c>
      <c r="F6325">
        <f t="shared" si="393"/>
        <v>9.5</v>
      </c>
      <c r="G6325">
        <v>247.34299999999999</v>
      </c>
      <c r="H6325">
        <v>1.409</v>
      </c>
      <c r="I6325">
        <v>0.56899999999999995</v>
      </c>
      <c r="J6325">
        <v>9</v>
      </c>
      <c r="K6325">
        <v>47</v>
      </c>
      <c r="L6325">
        <v>32</v>
      </c>
      <c r="M6325" s="1">
        <v>9000000000</v>
      </c>
    </row>
    <row r="6326" spans="1:13" ht="15" customHeight="1">
      <c r="A6326" t="s">
        <v>67</v>
      </c>
      <c r="B6326">
        <f t="shared" si="390"/>
        <v>33.699857000000002</v>
      </c>
      <c r="C6326">
        <f t="shared" si="391"/>
        <v>-117.856517</v>
      </c>
      <c r="D6326">
        <f t="shared" si="392"/>
        <v>41</v>
      </c>
      <c r="E6326">
        <v>32.5</v>
      </c>
      <c r="F6326">
        <f t="shared" si="393"/>
        <v>8.5</v>
      </c>
      <c r="G6326">
        <v>260.767</v>
      </c>
      <c r="H6326">
        <v>1.4430000000000001</v>
      </c>
      <c r="I6326">
        <v>0.55300000000000005</v>
      </c>
      <c r="J6326">
        <v>9</v>
      </c>
      <c r="K6326">
        <v>50</v>
      </c>
      <c r="L6326">
        <v>33</v>
      </c>
      <c r="M6326" s="1">
        <v>9000000000</v>
      </c>
    </row>
    <row r="6327" spans="1:13" ht="15" customHeight="1">
      <c r="A6327" t="s">
        <v>67</v>
      </c>
      <c r="B6327">
        <f t="shared" si="390"/>
        <v>33.699857000000002</v>
      </c>
      <c r="C6327">
        <f t="shared" si="391"/>
        <v>-117.856517</v>
      </c>
      <c r="D6327">
        <f t="shared" si="392"/>
        <v>41</v>
      </c>
      <c r="E6327">
        <v>33.5</v>
      </c>
      <c r="F6327">
        <f t="shared" si="393"/>
        <v>7.5</v>
      </c>
      <c r="G6327">
        <v>312.78300000000002</v>
      </c>
      <c r="H6327">
        <v>2.1920000000000002</v>
      </c>
      <c r="I6327">
        <v>0.7</v>
      </c>
      <c r="J6327">
        <v>10</v>
      </c>
      <c r="K6327">
        <v>50</v>
      </c>
      <c r="L6327">
        <v>33</v>
      </c>
      <c r="M6327" s="1">
        <v>9000000000</v>
      </c>
    </row>
    <row r="6328" spans="1:13" ht="15" customHeight="1">
      <c r="A6328" t="s">
        <v>67</v>
      </c>
      <c r="B6328">
        <f t="shared" si="390"/>
        <v>33.699857000000002</v>
      </c>
      <c r="C6328">
        <f t="shared" si="391"/>
        <v>-117.856517</v>
      </c>
      <c r="D6328">
        <f t="shared" si="392"/>
        <v>41</v>
      </c>
      <c r="E6328">
        <v>34.5</v>
      </c>
      <c r="F6328">
        <f t="shared" si="393"/>
        <v>6.5</v>
      </c>
      <c r="G6328">
        <v>330.983</v>
      </c>
      <c r="H6328">
        <v>2.0630000000000002</v>
      </c>
      <c r="I6328">
        <v>0.623</v>
      </c>
      <c r="J6328">
        <v>10</v>
      </c>
      <c r="K6328">
        <v>53</v>
      </c>
      <c r="L6328">
        <v>34</v>
      </c>
      <c r="M6328" s="1">
        <v>9000000000</v>
      </c>
    </row>
    <row r="6329" spans="1:13" ht="15" customHeight="1">
      <c r="A6329" t="s">
        <v>67</v>
      </c>
      <c r="B6329">
        <f t="shared" si="390"/>
        <v>33.699857000000002</v>
      </c>
      <c r="C6329">
        <f t="shared" si="391"/>
        <v>-117.856517</v>
      </c>
      <c r="D6329">
        <f t="shared" si="392"/>
        <v>41</v>
      </c>
      <c r="E6329">
        <v>35.5</v>
      </c>
      <c r="F6329">
        <f t="shared" si="393"/>
        <v>5.5</v>
      </c>
      <c r="G6329">
        <v>189.4</v>
      </c>
      <c r="H6329">
        <v>1.397</v>
      </c>
      <c r="I6329">
        <v>0.73699999999999999</v>
      </c>
      <c r="J6329">
        <v>9</v>
      </c>
      <c r="K6329">
        <v>36</v>
      </c>
      <c r="L6329">
        <v>23</v>
      </c>
      <c r="M6329" s="1">
        <v>9000000000</v>
      </c>
    </row>
    <row r="6330" spans="1:13" ht="15" customHeight="1">
      <c r="A6330" t="s">
        <v>67</v>
      </c>
      <c r="B6330">
        <f t="shared" si="390"/>
        <v>33.699857000000002</v>
      </c>
      <c r="C6330">
        <f t="shared" si="391"/>
        <v>-117.856517</v>
      </c>
      <c r="D6330">
        <f t="shared" si="392"/>
        <v>41</v>
      </c>
      <c r="E6330">
        <v>36.5</v>
      </c>
      <c r="F6330">
        <f t="shared" si="393"/>
        <v>4.5</v>
      </c>
      <c r="G6330">
        <v>67.466999999999999</v>
      </c>
      <c r="H6330">
        <v>1.5129999999999999</v>
      </c>
      <c r="I6330">
        <v>2.226</v>
      </c>
      <c r="J6330">
        <v>7</v>
      </c>
      <c r="K6330">
        <v>22</v>
      </c>
      <c r="L6330">
        <v>14</v>
      </c>
      <c r="M6330" s="1">
        <v>9000000000</v>
      </c>
    </row>
    <row r="6331" spans="1:13" ht="15" customHeight="1">
      <c r="A6331" t="s">
        <v>67</v>
      </c>
      <c r="B6331">
        <f t="shared" si="390"/>
        <v>33.699857000000002</v>
      </c>
      <c r="C6331">
        <f t="shared" si="391"/>
        <v>-117.856517</v>
      </c>
      <c r="D6331">
        <f t="shared" si="392"/>
        <v>41</v>
      </c>
      <c r="E6331">
        <v>37.5</v>
      </c>
      <c r="F6331">
        <f t="shared" si="393"/>
        <v>3.5</v>
      </c>
      <c r="G6331">
        <v>149.767</v>
      </c>
      <c r="H6331">
        <v>1.452</v>
      </c>
      <c r="I6331">
        <v>0.97099999999999997</v>
      </c>
      <c r="J6331">
        <v>9</v>
      </c>
      <c r="K6331">
        <v>29</v>
      </c>
      <c r="L6331">
        <v>18</v>
      </c>
      <c r="M6331" s="1">
        <v>9000000000</v>
      </c>
    </row>
    <row r="6332" spans="1:13" ht="15" customHeight="1">
      <c r="A6332" t="s">
        <v>67</v>
      </c>
      <c r="B6332">
        <f t="shared" si="390"/>
        <v>33.699857000000002</v>
      </c>
      <c r="C6332">
        <f t="shared" si="391"/>
        <v>-117.856517</v>
      </c>
      <c r="D6332">
        <f t="shared" si="392"/>
        <v>41</v>
      </c>
      <c r="E6332">
        <v>38.5</v>
      </c>
      <c r="F6332">
        <f t="shared" si="393"/>
        <v>2.5</v>
      </c>
      <c r="G6332">
        <v>45.55</v>
      </c>
      <c r="H6332">
        <v>1.893</v>
      </c>
      <c r="I6332">
        <v>4.16</v>
      </c>
      <c r="J6332">
        <v>5</v>
      </c>
      <c r="K6332">
        <v>22</v>
      </c>
      <c r="L6332">
        <v>13</v>
      </c>
      <c r="M6332">
        <v>2.88</v>
      </c>
    </row>
    <row r="6333" spans="1:13" ht="15" customHeight="1">
      <c r="A6333" t="s">
        <v>67</v>
      </c>
      <c r="B6333">
        <f t="shared" si="390"/>
        <v>33.699857000000002</v>
      </c>
      <c r="C6333">
        <f t="shared" si="391"/>
        <v>-117.856517</v>
      </c>
      <c r="D6333">
        <f t="shared" si="392"/>
        <v>41</v>
      </c>
      <c r="E6333">
        <v>39.5</v>
      </c>
      <c r="F6333">
        <f t="shared" si="393"/>
        <v>1.5</v>
      </c>
      <c r="G6333">
        <v>153.233</v>
      </c>
      <c r="H6333">
        <v>3.085</v>
      </c>
      <c r="I6333">
        <v>2.0150000000000001</v>
      </c>
      <c r="J6333">
        <v>7</v>
      </c>
      <c r="K6333">
        <v>49</v>
      </c>
      <c r="L6333">
        <v>30</v>
      </c>
      <c r="M6333" s="1">
        <v>9000000000</v>
      </c>
    </row>
    <row r="6334" spans="1:13" ht="15" customHeight="1">
      <c r="A6334" t="s">
        <v>67</v>
      </c>
      <c r="B6334">
        <f t="shared" si="390"/>
        <v>33.699857000000002</v>
      </c>
      <c r="C6334">
        <f t="shared" si="391"/>
        <v>-117.856517</v>
      </c>
      <c r="D6334">
        <f t="shared" si="392"/>
        <v>41</v>
      </c>
      <c r="E6334">
        <v>40.5</v>
      </c>
      <c r="F6334">
        <f t="shared" si="393"/>
        <v>0.5</v>
      </c>
      <c r="G6334">
        <v>32.133000000000003</v>
      </c>
      <c r="H6334">
        <v>1.46</v>
      </c>
      <c r="I6334">
        <v>4.5720000000000001</v>
      </c>
      <c r="J6334">
        <v>4</v>
      </c>
      <c r="K6334">
        <v>20</v>
      </c>
      <c r="L6334">
        <v>12</v>
      </c>
      <c r="M6334">
        <v>1.966</v>
      </c>
    </row>
    <row r="6335" spans="1:13" ht="15" customHeight="1">
      <c r="A6335" t="s">
        <v>67</v>
      </c>
      <c r="B6335">
        <f t="shared" si="390"/>
        <v>33.699857000000002</v>
      </c>
      <c r="C6335">
        <f t="shared" si="391"/>
        <v>-117.856517</v>
      </c>
      <c r="D6335">
        <f t="shared" si="392"/>
        <v>41</v>
      </c>
      <c r="E6335">
        <v>41.499000000000002</v>
      </c>
      <c r="F6335">
        <f t="shared" si="393"/>
        <v>-0.49900000000000233</v>
      </c>
      <c r="G6335">
        <v>141.55699999999999</v>
      </c>
      <c r="H6335">
        <v>1.71</v>
      </c>
      <c r="I6335">
        <v>1.2090000000000001</v>
      </c>
      <c r="J6335">
        <v>8</v>
      </c>
      <c r="K6335">
        <v>34</v>
      </c>
      <c r="L6335">
        <v>20</v>
      </c>
      <c r="M6335" s="1">
        <v>9000000000</v>
      </c>
    </row>
    <row r="6336" spans="1:13" ht="15" customHeight="1">
      <c r="A6336" t="s">
        <v>67</v>
      </c>
      <c r="B6336">
        <f t="shared" si="390"/>
        <v>33.699857000000002</v>
      </c>
      <c r="C6336">
        <f t="shared" si="391"/>
        <v>-117.856517</v>
      </c>
      <c r="D6336">
        <f t="shared" si="392"/>
        <v>41</v>
      </c>
      <c r="E6336">
        <v>42.499000000000002</v>
      </c>
      <c r="F6336">
        <f t="shared" si="393"/>
        <v>-1.4990000000000023</v>
      </c>
      <c r="G6336">
        <v>114.2</v>
      </c>
      <c r="H6336">
        <v>1.738</v>
      </c>
      <c r="I6336">
        <v>1.522</v>
      </c>
      <c r="J6336">
        <v>8</v>
      </c>
      <c r="K6336">
        <v>27</v>
      </c>
      <c r="L6336">
        <v>16</v>
      </c>
      <c r="M6336" s="1">
        <v>9000000000</v>
      </c>
    </row>
    <row r="6337" spans="1:13" ht="15" customHeight="1">
      <c r="A6337" t="s">
        <v>67</v>
      </c>
      <c r="B6337">
        <f t="shared" si="390"/>
        <v>33.699857000000002</v>
      </c>
      <c r="C6337">
        <f t="shared" si="391"/>
        <v>-117.856517</v>
      </c>
      <c r="D6337">
        <f t="shared" si="392"/>
        <v>41</v>
      </c>
      <c r="E6337">
        <v>43.499000000000002</v>
      </c>
      <c r="F6337">
        <f t="shared" si="393"/>
        <v>-2.4990000000000023</v>
      </c>
      <c r="G6337">
        <v>38.5</v>
      </c>
      <c r="H6337">
        <v>1.657</v>
      </c>
      <c r="I6337">
        <v>4.2480000000000002</v>
      </c>
      <c r="J6337">
        <v>4</v>
      </c>
      <c r="K6337">
        <v>25</v>
      </c>
      <c r="L6337">
        <v>14</v>
      </c>
      <c r="M6337">
        <v>2.4249999999999998</v>
      </c>
    </row>
    <row r="6338" spans="1:13" ht="15" customHeight="1">
      <c r="A6338" t="s">
        <v>67</v>
      </c>
      <c r="B6338">
        <f t="shared" ref="B6338:B6401" si="394">VLOOKUP(A6338,XYdata,3,FALSE)</f>
        <v>33.699857000000002</v>
      </c>
      <c r="C6338">
        <f t="shared" ref="C6338:C6401" si="395">VLOOKUP(A6338,XYdata,2,FALSE)</f>
        <v>-117.856517</v>
      </c>
      <c r="D6338">
        <f t="shared" ref="D6338:D6401" si="396">VLOOKUP(A6338,Elevation,2,FALSE)</f>
        <v>41</v>
      </c>
      <c r="E6338">
        <v>44.499000000000002</v>
      </c>
      <c r="F6338">
        <f t="shared" si="393"/>
        <v>-3.4990000000000023</v>
      </c>
      <c r="G6338">
        <v>47.783000000000001</v>
      </c>
      <c r="H6338">
        <v>2.028</v>
      </c>
      <c r="I6338">
        <v>4.1950000000000003</v>
      </c>
      <c r="J6338">
        <v>5</v>
      </c>
      <c r="K6338">
        <v>23</v>
      </c>
      <c r="L6338">
        <v>13</v>
      </c>
      <c r="M6338">
        <v>3.044</v>
      </c>
    </row>
    <row r="6339" spans="1:13" ht="15" customHeight="1">
      <c r="A6339" t="s">
        <v>67</v>
      </c>
      <c r="B6339">
        <f t="shared" si="394"/>
        <v>33.699857000000002</v>
      </c>
      <c r="C6339">
        <f t="shared" si="395"/>
        <v>-117.856517</v>
      </c>
      <c r="D6339">
        <f t="shared" si="396"/>
        <v>41</v>
      </c>
      <c r="E6339">
        <v>45.499000000000002</v>
      </c>
      <c r="F6339">
        <f t="shared" ref="F6339:F6402" si="397">D6339-E6339</f>
        <v>-4.4990000000000023</v>
      </c>
      <c r="G6339">
        <v>253.13300000000001</v>
      </c>
      <c r="H6339">
        <v>3.9279999999999999</v>
      </c>
      <c r="I6339">
        <v>1.552</v>
      </c>
      <c r="J6339">
        <v>8</v>
      </c>
      <c r="K6339">
        <v>61</v>
      </c>
      <c r="L6339">
        <v>34</v>
      </c>
      <c r="M6339" s="1">
        <v>9000000000</v>
      </c>
    </row>
    <row r="6340" spans="1:13" ht="15" customHeight="1">
      <c r="A6340" t="s">
        <v>67</v>
      </c>
      <c r="B6340">
        <f t="shared" si="394"/>
        <v>33.699857000000002</v>
      </c>
      <c r="C6340">
        <f t="shared" si="395"/>
        <v>-117.856517</v>
      </c>
      <c r="D6340">
        <f t="shared" si="396"/>
        <v>41</v>
      </c>
      <c r="E6340">
        <v>46.499000000000002</v>
      </c>
      <c r="F6340">
        <f t="shared" si="397"/>
        <v>-5.4990000000000023</v>
      </c>
      <c r="G6340">
        <v>130.583</v>
      </c>
      <c r="H6340">
        <v>2.5880000000000001</v>
      </c>
      <c r="I6340">
        <v>1.9830000000000001</v>
      </c>
      <c r="J6340">
        <v>7</v>
      </c>
      <c r="K6340">
        <v>42</v>
      </c>
      <c r="L6340">
        <v>23</v>
      </c>
      <c r="M6340" s="1">
        <v>9000000000</v>
      </c>
    </row>
    <row r="6341" spans="1:13" ht="15" customHeight="1">
      <c r="A6341" t="s">
        <v>67</v>
      </c>
      <c r="B6341">
        <f t="shared" si="394"/>
        <v>33.699857000000002</v>
      </c>
      <c r="C6341">
        <f t="shared" si="395"/>
        <v>-117.856517</v>
      </c>
      <c r="D6341">
        <f t="shared" si="396"/>
        <v>41</v>
      </c>
      <c r="E6341">
        <v>47.499000000000002</v>
      </c>
      <c r="F6341">
        <f t="shared" si="397"/>
        <v>-6.4990000000000023</v>
      </c>
      <c r="G6341">
        <v>272.017</v>
      </c>
      <c r="H6341">
        <v>1.573</v>
      </c>
      <c r="I6341">
        <v>0.57799999999999996</v>
      </c>
      <c r="J6341">
        <v>9</v>
      </c>
      <c r="K6341">
        <v>52</v>
      </c>
      <c r="L6341">
        <v>29</v>
      </c>
      <c r="M6341" s="1">
        <v>9000000000</v>
      </c>
    </row>
    <row r="6342" spans="1:13" ht="15" customHeight="1">
      <c r="A6342" t="s">
        <v>67</v>
      </c>
      <c r="B6342">
        <f t="shared" si="394"/>
        <v>33.699857000000002</v>
      </c>
      <c r="C6342">
        <f t="shared" si="395"/>
        <v>-117.856517</v>
      </c>
      <c r="D6342">
        <f t="shared" si="396"/>
        <v>41</v>
      </c>
      <c r="E6342">
        <v>48.499000000000002</v>
      </c>
      <c r="F6342">
        <f t="shared" si="397"/>
        <v>-7.4990000000000023</v>
      </c>
      <c r="G6342">
        <v>288.61700000000002</v>
      </c>
      <c r="H6342">
        <v>1.452</v>
      </c>
      <c r="I6342">
        <v>0.503</v>
      </c>
      <c r="J6342">
        <v>10</v>
      </c>
      <c r="K6342">
        <v>46</v>
      </c>
      <c r="L6342">
        <v>25</v>
      </c>
      <c r="M6342" s="1">
        <v>9000000000</v>
      </c>
    </row>
    <row r="6343" spans="1:13" ht="15" customHeight="1">
      <c r="A6343" t="s">
        <v>67</v>
      </c>
      <c r="B6343">
        <f t="shared" si="394"/>
        <v>33.699857000000002</v>
      </c>
      <c r="C6343">
        <f t="shared" si="395"/>
        <v>-117.856517</v>
      </c>
      <c r="D6343">
        <f t="shared" si="396"/>
        <v>41</v>
      </c>
      <c r="E6343">
        <v>49.499000000000002</v>
      </c>
      <c r="F6343">
        <f t="shared" si="397"/>
        <v>-8.4990000000000023</v>
      </c>
      <c r="G6343">
        <v>221.917</v>
      </c>
      <c r="H6343">
        <v>2.157</v>
      </c>
      <c r="I6343">
        <v>0.97099999999999997</v>
      </c>
      <c r="J6343">
        <v>9</v>
      </c>
      <c r="K6343">
        <v>43</v>
      </c>
      <c r="L6343">
        <v>23</v>
      </c>
      <c r="M6343" s="1">
        <v>9000000000</v>
      </c>
    </row>
    <row r="6344" spans="1:13" ht="15" customHeight="1">
      <c r="A6344" t="s">
        <v>67</v>
      </c>
      <c r="B6344">
        <f t="shared" si="394"/>
        <v>33.699857000000002</v>
      </c>
      <c r="C6344">
        <f t="shared" si="395"/>
        <v>-117.856517</v>
      </c>
      <c r="D6344">
        <f t="shared" si="396"/>
        <v>41</v>
      </c>
      <c r="E6344">
        <v>50.499000000000002</v>
      </c>
      <c r="F6344">
        <f t="shared" si="397"/>
        <v>-9.4990000000000023</v>
      </c>
      <c r="G6344">
        <v>38.317</v>
      </c>
      <c r="H6344">
        <v>1.3049999999999999</v>
      </c>
      <c r="I6344">
        <v>3.3969999999999998</v>
      </c>
      <c r="J6344">
        <v>5</v>
      </c>
      <c r="K6344">
        <v>18</v>
      </c>
      <c r="L6344">
        <v>10</v>
      </c>
      <c r="M6344">
        <v>2.3570000000000002</v>
      </c>
    </row>
    <row r="6345" spans="1:13" ht="15" customHeight="1">
      <c r="A6345" t="s">
        <v>67</v>
      </c>
      <c r="B6345">
        <f t="shared" si="394"/>
        <v>33.699857000000002</v>
      </c>
      <c r="C6345">
        <f t="shared" si="395"/>
        <v>-117.856517</v>
      </c>
      <c r="D6345">
        <f t="shared" si="396"/>
        <v>41</v>
      </c>
      <c r="E6345">
        <v>51.499000000000002</v>
      </c>
      <c r="F6345">
        <f t="shared" si="397"/>
        <v>-10.499000000000002</v>
      </c>
      <c r="G6345">
        <v>22.417000000000002</v>
      </c>
      <c r="H6345">
        <v>0.63700000000000001</v>
      </c>
      <c r="I6345">
        <v>2.7719999999999998</v>
      </c>
      <c r="J6345">
        <v>5</v>
      </c>
      <c r="K6345">
        <v>11</v>
      </c>
      <c r="L6345">
        <v>6</v>
      </c>
      <c r="M6345">
        <v>1.323</v>
      </c>
    </row>
    <row r="6346" spans="1:13" ht="15" customHeight="1">
      <c r="A6346" t="s">
        <v>67</v>
      </c>
      <c r="B6346">
        <f t="shared" si="394"/>
        <v>33.699857000000002</v>
      </c>
      <c r="C6346">
        <f t="shared" si="395"/>
        <v>-117.856517</v>
      </c>
      <c r="D6346">
        <f t="shared" si="396"/>
        <v>41</v>
      </c>
      <c r="E6346">
        <v>52.499000000000002</v>
      </c>
      <c r="F6346">
        <f t="shared" si="397"/>
        <v>-11.499000000000002</v>
      </c>
      <c r="G6346">
        <v>24.786000000000001</v>
      </c>
      <c r="H6346">
        <v>0.93</v>
      </c>
      <c r="I6346">
        <v>3.5750000000000002</v>
      </c>
      <c r="J6346">
        <v>5</v>
      </c>
      <c r="K6346">
        <v>12</v>
      </c>
      <c r="L6346">
        <v>6</v>
      </c>
      <c r="M6346">
        <v>1.522</v>
      </c>
    </row>
    <row r="6347" spans="1:13" ht="15" customHeight="1">
      <c r="A6347" t="s">
        <v>67</v>
      </c>
      <c r="B6347">
        <f t="shared" si="394"/>
        <v>33.699857000000002</v>
      </c>
      <c r="C6347">
        <f t="shared" si="395"/>
        <v>-117.856517</v>
      </c>
      <c r="D6347">
        <f t="shared" si="396"/>
        <v>41</v>
      </c>
      <c r="E6347">
        <v>53.499000000000002</v>
      </c>
      <c r="F6347">
        <f t="shared" si="397"/>
        <v>-12.499000000000002</v>
      </c>
      <c r="G6347">
        <v>44.482999999999997</v>
      </c>
      <c r="H6347">
        <v>1.5649999999999999</v>
      </c>
      <c r="I6347">
        <v>3.4159999999999999</v>
      </c>
      <c r="J6347">
        <v>5</v>
      </c>
      <c r="K6347">
        <v>22</v>
      </c>
      <c r="L6347">
        <v>11</v>
      </c>
      <c r="M6347">
        <v>2.8380000000000001</v>
      </c>
    </row>
    <row r="6348" spans="1:13" ht="15" customHeight="1">
      <c r="A6348" t="s">
        <v>67</v>
      </c>
      <c r="B6348">
        <f t="shared" si="394"/>
        <v>33.699857000000002</v>
      </c>
      <c r="C6348">
        <f t="shared" si="395"/>
        <v>-117.856517</v>
      </c>
      <c r="D6348">
        <f t="shared" si="396"/>
        <v>41</v>
      </c>
      <c r="E6348">
        <v>54.499000000000002</v>
      </c>
      <c r="F6348">
        <f t="shared" si="397"/>
        <v>-13.499000000000002</v>
      </c>
      <c r="G6348">
        <v>162.13300000000001</v>
      </c>
      <c r="H6348">
        <v>2.3730000000000002</v>
      </c>
      <c r="I6348">
        <v>1.4650000000000001</v>
      </c>
      <c r="J6348">
        <v>8</v>
      </c>
      <c r="K6348">
        <v>39</v>
      </c>
      <c r="L6348">
        <v>20</v>
      </c>
      <c r="M6348" s="1">
        <v>9000000000</v>
      </c>
    </row>
    <row r="6349" spans="1:13" ht="15" customHeight="1">
      <c r="A6349" t="s">
        <v>67</v>
      </c>
      <c r="B6349">
        <f t="shared" si="394"/>
        <v>33.699857000000002</v>
      </c>
      <c r="C6349">
        <f t="shared" si="395"/>
        <v>-117.856517</v>
      </c>
      <c r="D6349">
        <f t="shared" si="396"/>
        <v>41</v>
      </c>
      <c r="E6349">
        <v>55.499000000000002</v>
      </c>
      <c r="F6349">
        <f t="shared" si="397"/>
        <v>-14.499000000000002</v>
      </c>
      <c r="G6349">
        <v>114.417</v>
      </c>
      <c r="H6349">
        <v>2.5299999999999998</v>
      </c>
      <c r="I6349">
        <v>2.2149999999999999</v>
      </c>
      <c r="J6349">
        <v>7</v>
      </c>
      <c r="K6349">
        <v>36</v>
      </c>
      <c r="L6349">
        <v>18</v>
      </c>
      <c r="M6349" s="1">
        <v>9000000000</v>
      </c>
    </row>
    <row r="6350" spans="1:13" ht="15" customHeight="1">
      <c r="A6350" t="s">
        <v>67</v>
      </c>
      <c r="B6350">
        <f t="shared" si="394"/>
        <v>33.699857000000002</v>
      </c>
      <c r="C6350">
        <f t="shared" si="395"/>
        <v>-117.856517</v>
      </c>
      <c r="D6350">
        <f t="shared" si="396"/>
        <v>41</v>
      </c>
      <c r="E6350">
        <v>56.499000000000002</v>
      </c>
      <c r="F6350">
        <f t="shared" si="397"/>
        <v>-15.499000000000002</v>
      </c>
      <c r="G6350">
        <v>229.63300000000001</v>
      </c>
      <c r="H6350">
        <v>3.9420000000000002</v>
      </c>
      <c r="I6350">
        <v>1.718</v>
      </c>
      <c r="J6350">
        <v>8</v>
      </c>
      <c r="K6350">
        <v>55</v>
      </c>
      <c r="L6350">
        <v>28</v>
      </c>
      <c r="M6350" s="1">
        <v>9000000000</v>
      </c>
    </row>
    <row r="6351" spans="1:13" ht="15" customHeight="1">
      <c r="A6351" t="s">
        <v>67</v>
      </c>
      <c r="B6351">
        <f t="shared" si="394"/>
        <v>33.699857000000002</v>
      </c>
      <c r="C6351">
        <f t="shared" si="395"/>
        <v>-117.856517</v>
      </c>
      <c r="D6351">
        <f t="shared" si="396"/>
        <v>41</v>
      </c>
      <c r="E6351">
        <v>57.499000000000002</v>
      </c>
      <c r="F6351">
        <f t="shared" si="397"/>
        <v>-16.499000000000002</v>
      </c>
      <c r="G6351">
        <v>79.216999999999999</v>
      </c>
      <c r="H6351">
        <v>1.32</v>
      </c>
      <c r="I6351">
        <v>1.67</v>
      </c>
      <c r="J6351">
        <v>7</v>
      </c>
      <c r="K6351">
        <v>25</v>
      </c>
      <c r="L6351">
        <v>13</v>
      </c>
      <c r="M6351" s="1">
        <v>9000000000</v>
      </c>
    </row>
    <row r="6352" spans="1:13" ht="15" customHeight="1">
      <c r="A6352" t="s">
        <v>67</v>
      </c>
      <c r="B6352">
        <f t="shared" si="394"/>
        <v>33.699857000000002</v>
      </c>
      <c r="C6352">
        <f t="shared" si="395"/>
        <v>-117.856517</v>
      </c>
      <c r="D6352">
        <f t="shared" si="396"/>
        <v>41</v>
      </c>
      <c r="E6352">
        <v>58.499000000000002</v>
      </c>
      <c r="F6352">
        <f t="shared" si="397"/>
        <v>-17.499000000000002</v>
      </c>
      <c r="G6352">
        <v>23.5</v>
      </c>
      <c r="H6352">
        <v>0.67200000000000004</v>
      </c>
      <c r="I6352">
        <v>2.8769999999999998</v>
      </c>
      <c r="J6352">
        <v>5</v>
      </c>
      <c r="K6352">
        <v>11</v>
      </c>
      <c r="L6352">
        <v>6</v>
      </c>
      <c r="M6352">
        <v>1.319</v>
      </c>
    </row>
    <row r="6353" spans="1:13" ht="15" customHeight="1">
      <c r="A6353" t="s">
        <v>67</v>
      </c>
      <c r="B6353">
        <f t="shared" si="394"/>
        <v>33.699857000000002</v>
      </c>
      <c r="C6353">
        <f t="shared" si="395"/>
        <v>-117.856517</v>
      </c>
      <c r="D6353">
        <f t="shared" si="396"/>
        <v>41</v>
      </c>
      <c r="E6353">
        <v>59.499000000000002</v>
      </c>
      <c r="F6353">
        <f t="shared" si="397"/>
        <v>-18.499000000000002</v>
      </c>
      <c r="G6353">
        <v>32.200000000000003</v>
      </c>
      <c r="H6353">
        <v>1.37</v>
      </c>
      <c r="I6353">
        <v>4.2750000000000004</v>
      </c>
      <c r="J6353">
        <v>4</v>
      </c>
      <c r="K6353">
        <v>20</v>
      </c>
      <c r="L6353">
        <v>10</v>
      </c>
      <c r="M6353">
        <v>1.895</v>
      </c>
    </row>
    <row r="6354" spans="1:13" ht="15" customHeight="1">
      <c r="A6354" t="s">
        <v>67</v>
      </c>
      <c r="B6354">
        <f t="shared" si="394"/>
        <v>33.699857000000002</v>
      </c>
      <c r="C6354">
        <f t="shared" si="395"/>
        <v>-117.856517</v>
      </c>
      <c r="D6354">
        <f t="shared" si="396"/>
        <v>41</v>
      </c>
      <c r="E6354">
        <v>60.499000000000002</v>
      </c>
      <c r="F6354">
        <f t="shared" si="397"/>
        <v>-19.499000000000002</v>
      </c>
      <c r="G6354">
        <v>23.8</v>
      </c>
      <c r="H6354">
        <v>0.73799999999999999</v>
      </c>
      <c r="I6354">
        <v>3.1219999999999999</v>
      </c>
      <c r="J6354">
        <v>5</v>
      </c>
      <c r="K6354">
        <v>11</v>
      </c>
      <c r="L6354">
        <v>6</v>
      </c>
      <c r="M6354">
        <v>1.331</v>
      </c>
    </row>
    <row r="6355" spans="1:13" ht="15" customHeight="1">
      <c r="A6355" t="s">
        <v>67</v>
      </c>
      <c r="B6355">
        <f t="shared" si="394"/>
        <v>33.699857000000002</v>
      </c>
      <c r="C6355">
        <f t="shared" si="395"/>
        <v>-117.856517</v>
      </c>
      <c r="D6355">
        <f t="shared" si="396"/>
        <v>41</v>
      </c>
      <c r="E6355">
        <v>61.499000000000002</v>
      </c>
      <c r="F6355">
        <f t="shared" si="397"/>
        <v>-20.499000000000002</v>
      </c>
      <c r="G6355">
        <v>30.632999999999999</v>
      </c>
      <c r="H6355">
        <v>1.1379999999999999</v>
      </c>
      <c r="I6355">
        <v>3.722</v>
      </c>
      <c r="J6355">
        <v>5</v>
      </c>
      <c r="K6355">
        <v>15</v>
      </c>
      <c r="L6355">
        <v>8</v>
      </c>
      <c r="M6355">
        <v>1.7889999999999999</v>
      </c>
    </row>
    <row r="6356" spans="1:13" ht="15" customHeight="1">
      <c r="A6356" t="s">
        <v>67</v>
      </c>
      <c r="B6356">
        <f t="shared" si="394"/>
        <v>33.699857000000002</v>
      </c>
      <c r="C6356">
        <f t="shared" si="395"/>
        <v>-117.856517</v>
      </c>
      <c r="D6356">
        <f t="shared" si="396"/>
        <v>41</v>
      </c>
      <c r="E6356">
        <v>62.499000000000002</v>
      </c>
      <c r="F6356">
        <f t="shared" si="397"/>
        <v>-21.499000000000002</v>
      </c>
      <c r="G6356">
        <v>84.114000000000004</v>
      </c>
      <c r="H6356">
        <v>2.9089999999999998</v>
      </c>
      <c r="I6356">
        <v>3.46</v>
      </c>
      <c r="J6356">
        <v>6</v>
      </c>
      <c r="K6356">
        <v>32</v>
      </c>
      <c r="L6356">
        <v>16</v>
      </c>
      <c r="M6356">
        <v>5.35</v>
      </c>
    </row>
    <row r="6357" spans="1:13" ht="15" customHeight="1">
      <c r="A6357" t="s">
        <v>67</v>
      </c>
      <c r="B6357">
        <f t="shared" si="394"/>
        <v>33.699857000000002</v>
      </c>
      <c r="C6357">
        <f t="shared" si="395"/>
        <v>-117.856517</v>
      </c>
      <c r="D6357">
        <f t="shared" si="396"/>
        <v>41</v>
      </c>
      <c r="E6357">
        <v>63.499000000000002</v>
      </c>
      <c r="F6357">
        <f t="shared" si="397"/>
        <v>-22.499000000000002</v>
      </c>
      <c r="G6357">
        <v>221.233</v>
      </c>
      <c r="H6357">
        <v>2.8079999999999998</v>
      </c>
      <c r="I6357">
        <v>1.27</v>
      </c>
      <c r="J6357">
        <v>9</v>
      </c>
      <c r="K6357">
        <v>42</v>
      </c>
      <c r="L6357">
        <v>21</v>
      </c>
      <c r="M6357" s="1">
        <v>9000000000</v>
      </c>
    </row>
    <row r="6358" spans="1:13" ht="15" customHeight="1">
      <c r="A6358" t="s">
        <v>67</v>
      </c>
      <c r="B6358">
        <f t="shared" si="394"/>
        <v>33.699857000000002</v>
      </c>
      <c r="C6358">
        <f t="shared" si="395"/>
        <v>-117.856517</v>
      </c>
      <c r="D6358">
        <f t="shared" si="396"/>
        <v>41</v>
      </c>
      <c r="E6358">
        <v>64.498999999999995</v>
      </c>
      <c r="F6358">
        <f t="shared" si="397"/>
        <v>-23.498999999999995</v>
      </c>
      <c r="G6358">
        <v>51.9</v>
      </c>
      <c r="H6358">
        <v>1.4650000000000001</v>
      </c>
      <c r="I6358">
        <v>2.827</v>
      </c>
      <c r="J6358">
        <v>6</v>
      </c>
      <c r="K6358">
        <v>20</v>
      </c>
      <c r="L6358">
        <v>10</v>
      </c>
      <c r="M6358">
        <v>3.1920000000000002</v>
      </c>
    </row>
    <row r="6359" spans="1:13" ht="15" customHeight="1">
      <c r="A6359" t="s">
        <v>67</v>
      </c>
      <c r="B6359">
        <f t="shared" si="394"/>
        <v>33.699857000000002</v>
      </c>
      <c r="C6359">
        <f t="shared" si="395"/>
        <v>-117.856517</v>
      </c>
      <c r="D6359">
        <f t="shared" si="396"/>
        <v>41</v>
      </c>
      <c r="E6359">
        <v>65.498999999999995</v>
      </c>
      <c r="F6359">
        <f t="shared" si="397"/>
        <v>-24.498999999999995</v>
      </c>
      <c r="G6359">
        <v>25.733000000000001</v>
      </c>
      <c r="H6359">
        <v>0.71199999999999997</v>
      </c>
      <c r="I6359">
        <v>2.7690000000000001</v>
      </c>
      <c r="J6359">
        <v>5</v>
      </c>
      <c r="K6359">
        <v>12</v>
      </c>
      <c r="L6359">
        <v>6</v>
      </c>
      <c r="M6359">
        <v>1.4470000000000001</v>
      </c>
    </row>
    <row r="6360" spans="1:13" ht="15" customHeight="1">
      <c r="A6360" t="s">
        <v>67</v>
      </c>
      <c r="B6360">
        <f t="shared" si="394"/>
        <v>33.699857000000002</v>
      </c>
      <c r="C6360">
        <f t="shared" si="395"/>
        <v>-117.856517</v>
      </c>
      <c r="D6360">
        <f t="shared" si="396"/>
        <v>41</v>
      </c>
      <c r="E6360">
        <v>66.498999999999995</v>
      </c>
      <c r="F6360">
        <f t="shared" si="397"/>
        <v>-25.498999999999995</v>
      </c>
      <c r="G6360">
        <v>26.983000000000001</v>
      </c>
      <c r="H6360">
        <v>0.68799999999999994</v>
      </c>
      <c r="I6360">
        <v>2.5489999999999999</v>
      </c>
      <c r="J6360">
        <v>6</v>
      </c>
      <c r="K6360">
        <v>10</v>
      </c>
      <c r="L6360">
        <v>5</v>
      </c>
      <c r="M6360">
        <v>1.5289999999999999</v>
      </c>
    </row>
    <row r="6361" spans="1:13" ht="15" customHeight="1">
      <c r="A6361" t="s">
        <v>67</v>
      </c>
      <c r="B6361">
        <f t="shared" si="394"/>
        <v>33.699857000000002</v>
      </c>
      <c r="C6361">
        <f t="shared" si="395"/>
        <v>-117.856517</v>
      </c>
      <c r="D6361">
        <f t="shared" si="396"/>
        <v>41</v>
      </c>
      <c r="E6361">
        <v>67.498999999999995</v>
      </c>
      <c r="F6361">
        <f t="shared" si="397"/>
        <v>-26.498999999999995</v>
      </c>
      <c r="G6361">
        <v>23.95</v>
      </c>
      <c r="H6361">
        <v>0.71</v>
      </c>
      <c r="I6361">
        <v>2.8940000000000001</v>
      </c>
      <c r="J6361">
        <v>5</v>
      </c>
      <c r="K6361">
        <v>12</v>
      </c>
      <c r="L6361">
        <v>6</v>
      </c>
      <c r="M6361">
        <v>1.361</v>
      </c>
    </row>
    <row r="6362" spans="1:13" ht="15" customHeight="1">
      <c r="A6362" t="s">
        <v>67</v>
      </c>
      <c r="B6362">
        <f t="shared" si="394"/>
        <v>33.699857000000002</v>
      </c>
      <c r="C6362">
        <f t="shared" si="395"/>
        <v>-117.856517</v>
      </c>
      <c r="D6362">
        <f t="shared" si="396"/>
        <v>41</v>
      </c>
      <c r="E6362">
        <v>68.498999999999995</v>
      </c>
      <c r="F6362">
        <f t="shared" si="397"/>
        <v>-27.498999999999995</v>
      </c>
      <c r="G6362">
        <v>21.983000000000001</v>
      </c>
      <c r="H6362">
        <v>0.81299999999999994</v>
      </c>
      <c r="I6362">
        <v>3.5059999999999998</v>
      </c>
      <c r="J6362">
        <v>5</v>
      </c>
      <c r="K6362">
        <v>11</v>
      </c>
      <c r="L6362">
        <v>6</v>
      </c>
      <c r="M6362">
        <v>1.268</v>
      </c>
    </row>
    <row r="6363" spans="1:13" ht="15" customHeight="1">
      <c r="A6363" t="s">
        <v>67</v>
      </c>
      <c r="B6363">
        <f t="shared" si="394"/>
        <v>33.699857000000002</v>
      </c>
      <c r="C6363">
        <f t="shared" si="395"/>
        <v>-117.856517</v>
      </c>
      <c r="D6363">
        <f t="shared" si="396"/>
        <v>41</v>
      </c>
      <c r="E6363">
        <v>69.498999999999995</v>
      </c>
      <c r="F6363">
        <f t="shared" si="397"/>
        <v>-28.498999999999995</v>
      </c>
      <c r="G6363">
        <v>24.067</v>
      </c>
      <c r="H6363">
        <v>1.06</v>
      </c>
      <c r="I6363">
        <v>4.226</v>
      </c>
      <c r="J6363">
        <v>4</v>
      </c>
      <c r="K6363">
        <v>16</v>
      </c>
      <c r="L6363">
        <v>8</v>
      </c>
      <c r="M6363">
        <v>1.389</v>
      </c>
    </row>
    <row r="6364" spans="1:13" ht="15" customHeight="1">
      <c r="A6364" t="s">
        <v>67</v>
      </c>
      <c r="B6364">
        <f t="shared" si="394"/>
        <v>33.699857000000002</v>
      </c>
      <c r="C6364">
        <f t="shared" si="395"/>
        <v>-117.856517</v>
      </c>
      <c r="D6364">
        <f t="shared" si="396"/>
        <v>41</v>
      </c>
      <c r="E6364">
        <v>70.498999999999995</v>
      </c>
      <c r="F6364">
        <f t="shared" si="397"/>
        <v>-29.498999999999995</v>
      </c>
      <c r="G6364">
        <v>24.082999999999998</v>
      </c>
      <c r="H6364">
        <v>0.83199999999999996</v>
      </c>
      <c r="I6364">
        <v>3.2589999999999999</v>
      </c>
      <c r="J6364">
        <v>5</v>
      </c>
      <c r="K6364">
        <v>12</v>
      </c>
      <c r="L6364">
        <v>6</v>
      </c>
      <c r="M6364">
        <v>1.4139999999999999</v>
      </c>
    </row>
    <row r="6365" spans="1:13" ht="15" customHeight="1">
      <c r="A6365" t="s">
        <v>67</v>
      </c>
      <c r="B6365">
        <f t="shared" si="394"/>
        <v>33.699857000000002</v>
      </c>
      <c r="C6365">
        <f t="shared" si="395"/>
        <v>-117.856517</v>
      </c>
      <c r="D6365">
        <f t="shared" si="396"/>
        <v>41</v>
      </c>
      <c r="E6365">
        <v>71.498999999999995</v>
      </c>
      <c r="F6365">
        <f t="shared" si="397"/>
        <v>-30.498999999999995</v>
      </c>
      <c r="G6365">
        <v>21.983000000000001</v>
      </c>
      <c r="H6365">
        <v>0.72499999999999998</v>
      </c>
      <c r="I6365">
        <v>3.0739999999999998</v>
      </c>
      <c r="J6365">
        <v>5</v>
      </c>
      <c r="K6365">
        <v>11</v>
      </c>
      <c r="L6365">
        <v>6</v>
      </c>
      <c r="M6365">
        <v>1.2809999999999999</v>
      </c>
    </row>
    <row r="6366" spans="1:13" ht="15" customHeight="1">
      <c r="A6366" t="s">
        <v>67</v>
      </c>
      <c r="B6366">
        <f t="shared" si="394"/>
        <v>33.699857000000002</v>
      </c>
      <c r="C6366">
        <f t="shared" si="395"/>
        <v>-117.856517</v>
      </c>
      <c r="D6366">
        <f t="shared" si="396"/>
        <v>41</v>
      </c>
      <c r="E6366">
        <v>72.498999999999995</v>
      </c>
      <c r="F6366">
        <f t="shared" si="397"/>
        <v>-31.498999999999995</v>
      </c>
      <c r="G6366">
        <v>36</v>
      </c>
      <c r="H6366">
        <v>1.57</v>
      </c>
      <c r="I6366">
        <v>4.2030000000000003</v>
      </c>
      <c r="J6366">
        <v>4</v>
      </c>
      <c r="K6366">
        <v>24</v>
      </c>
      <c r="L6366">
        <v>12</v>
      </c>
      <c r="M6366">
        <v>2.1949999999999998</v>
      </c>
    </row>
    <row r="6367" spans="1:13" ht="15" customHeight="1">
      <c r="A6367" t="s">
        <v>67</v>
      </c>
      <c r="B6367">
        <f t="shared" si="394"/>
        <v>33.699857000000002</v>
      </c>
      <c r="C6367">
        <f t="shared" si="395"/>
        <v>-117.856517</v>
      </c>
      <c r="D6367">
        <f t="shared" si="396"/>
        <v>41</v>
      </c>
      <c r="E6367">
        <v>73.498999999999995</v>
      </c>
      <c r="F6367">
        <f t="shared" si="397"/>
        <v>-32.498999999999995</v>
      </c>
      <c r="G6367">
        <v>88.066999999999993</v>
      </c>
      <c r="H6367">
        <v>3.03</v>
      </c>
      <c r="I6367">
        <v>3.4239999999999999</v>
      </c>
      <c r="J6367">
        <v>6</v>
      </c>
      <c r="K6367">
        <v>34</v>
      </c>
      <c r="L6367">
        <v>17</v>
      </c>
      <c r="M6367">
        <v>5.6</v>
      </c>
    </row>
    <row r="6368" spans="1:13" ht="15" customHeight="1">
      <c r="A6368" t="s">
        <v>67</v>
      </c>
      <c r="B6368">
        <f t="shared" si="394"/>
        <v>33.699857000000002</v>
      </c>
      <c r="C6368">
        <f t="shared" si="395"/>
        <v>-117.856517</v>
      </c>
      <c r="D6368">
        <f t="shared" si="396"/>
        <v>41</v>
      </c>
      <c r="E6368">
        <v>74.498999999999995</v>
      </c>
      <c r="F6368">
        <f t="shared" si="397"/>
        <v>-33.498999999999995</v>
      </c>
      <c r="G6368">
        <v>103.06699999999999</v>
      </c>
      <c r="H6368">
        <v>1.66</v>
      </c>
      <c r="I6368">
        <v>1.613</v>
      </c>
      <c r="J6368">
        <v>7</v>
      </c>
      <c r="K6368">
        <v>33</v>
      </c>
      <c r="L6368">
        <v>17</v>
      </c>
      <c r="M6368" s="1">
        <v>9000000000</v>
      </c>
    </row>
    <row r="6369" spans="1:13" ht="15" customHeight="1">
      <c r="A6369" t="s">
        <v>67</v>
      </c>
      <c r="B6369">
        <f t="shared" si="394"/>
        <v>33.699857000000002</v>
      </c>
      <c r="C6369">
        <f t="shared" si="395"/>
        <v>-117.856517</v>
      </c>
      <c r="D6369">
        <f t="shared" si="396"/>
        <v>41</v>
      </c>
      <c r="E6369">
        <v>75.498999999999995</v>
      </c>
      <c r="F6369">
        <f t="shared" si="397"/>
        <v>-34.498999999999995</v>
      </c>
      <c r="G6369">
        <v>78.05</v>
      </c>
      <c r="H6369">
        <v>2.57</v>
      </c>
      <c r="I6369">
        <v>3.2970000000000002</v>
      </c>
      <c r="J6369">
        <v>6</v>
      </c>
      <c r="K6369">
        <v>30</v>
      </c>
      <c r="L6369">
        <v>15</v>
      </c>
      <c r="M6369">
        <v>4.8890000000000002</v>
      </c>
    </row>
    <row r="6370" spans="1:13" ht="15" customHeight="1">
      <c r="A6370" t="s">
        <v>67</v>
      </c>
      <c r="B6370">
        <f t="shared" si="394"/>
        <v>33.699857000000002</v>
      </c>
      <c r="C6370">
        <f t="shared" si="395"/>
        <v>-117.856517</v>
      </c>
      <c r="D6370">
        <f t="shared" si="396"/>
        <v>41</v>
      </c>
      <c r="E6370">
        <v>76.498999999999995</v>
      </c>
      <c r="F6370">
        <f t="shared" si="397"/>
        <v>-35.498999999999995</v>
      </c>
      <c r="G6370">
        <v>97.816999999999993</v>
      </c>
      <c r="H6370">
        <v>2.7829999999999999</v>
      </c>
      <c r="I6370">
        <v>2.8479999999999999</v>
      </c>
      <c r="J6370">
        <v>6</v>
      </c>
      <c r="K6370">
        <v>37</v>
      </c>
      <c r="L6370">
        <v>19</v>
      </c>
      <c r="M6370">
        <v>6.2039999999999997</v>
      </c>
    </row>
    <row r="6371" spans="1:13" ht="15" customHeight="1">
      <c r="A6371" t="s">
        <v>67</v>
      </c>
      <c r="B6371">
        <f t="shared" si="394"/>
        <v>33.699857000000002</v>
      </c>
      <c r="C6371">
        <f t="shared" si="395"/>
        <v>-117.856517</v>
      </c>
      <c r="D6371">
        <f t="shared" si="396"/>
        <v>41</v>
      </c>
      <c r="E6371">
        <v>77.498999999999995</v>
      </c>
      <c r="F6371">
        <f t="shared" si="397"/>
        <v>-36.498999999999995</v>
      </c>
      <c r="G6371">
        <v>84.716999999999999</v>
      </c>
      <c r="H6371">
        <v>2.5270000000000001</v>
      </c>
      <c r="I6371">
        <v>2.9820000000000002</v>
      </c>
      <c r="J6371">
        <v>6</v>
      </c>
      <c r="K6371">
        <v>32</v>
      </c>
      <c r="L6371">
        <v>16</v>
      </c>
      <c r="M6371">
        <v>5.3330000000000002</v>
      </c>
    </row>
    <row r="6372" spans="1:13" ht="15" customHeight="1">
      <c r="A6372" t="s">
        <v>67</v>
      </c>
      <c r="B6372">
        <f t="shared" si="394"/>
        <v>33.699857000000002</v>
      </c>
      <c r="C6372">
        <f t="shared" si="395"/>
        <v>-117.856517</v>
      </c>
      <c r="D6372">
        <f t="shared" si="396"/>
        <v>41</v>
      </c>
      <c r="E6372">
        <v>78.498999999999995</v>
      </c>
      <c r="F6372">
        <f t="shared" si="397"/>
        <v>-37.498999999999995</v>
      </c>
      <c r="G6372">
        <v>33.25</v>
      </c>
      <c r="H6372">
        <v>0.96299999999999997</v>
      </c>
      <c r="I6372">
        <v>2.8889999999999998</v>
      </c>
      <c r="J6372">
        <v>6</v>
      </c>
      <c r="K6372">
        <v>13</v>
      </c>
      <c r="L6372">
        <v>7</v>
      </c>
      <c r="M6372">
        <v>1.903</v>
      </c>
    </row>
    <row r="6373" spans="1:13" ht="15" customHeight="1">
      <c r="A6373" t="s">
        <v>67</v>
      </c>
      <c r="B6373">
        <f t="shared" si="394"/>
        <v>33.699857000000002</v>
      </c>
      <c r="C6373">
        <f t="shared" si="395"/>
        <v>-117.856517</v>
      </c>
      <c r="D6373">
        <f t="shared" si="396"/>
        <v>41</v>
      </c>
      <c r="E6373">
        <v>79.498999999999995</v>
      </c>
      <c r="F6373">
        <f t="shared" si="397"/>
        <v>-38.498999999999995</v>
      </c>
      <c r="G6373">
        <v>47.966999999999999</v>
      </c>
      <c r="H6373">
        <v>2.02</v>
      </c>
      <c r="I6373">
        <v>4.1849999999999996</v>
      </c>
      <c r="J6373">
        <v>5</v>
      </c>
      <c r="K6373">
        <v>23</v>
      </c>
      <c r="L6373">
        <v>12</v>
      </c>
      <c r="M6373">
        <v>2.8929999999999998</v>
      </c>
    </row>
    <row r="6374" spans="1:13" ht="15" customHeight="1">
      <c r="A6374" t="s">
        <v>67</v>
      </c>
      <c r="B6374">
        <f t="shared" si="394"/>
        <v>33.699857000000002</v>
      </c>
      <c r="C6374">
        <f t="shared" si="395"/>
        <v>-117.856517</v>
      </c>
      <c r="D6374">
        <f t="shared" si="396"/>
        <v>41</v>
      </c>
      <c r="E6374">
        <v>80.498999999999995</v>
      </c>
      <c r="F6374">
        <f t="shared" si="397"/>
        <v>-39.498999999999995</v>
      </c>
      <c r="G6374">
        <v>77.599999999999994</v>
      </c>
      <c r="H6374">
        <v>2.8149999999999999</v>
      </c>
      <c r="I6374">
        <v>3.6269999999999998</v>
      </c>
      <c r="J6374">
        <v>5</v>
      </c>
      <c r="K6374">
        <v>37</v>
      </c>
      <c r="L6374">
        <v>19</v>
      </c>
      <c r="M6374">
        <v>4.8460000000000001</v>
      </c>
    </row>
    <row r="6375" spans="1:13" ht="15" customHeight="1">
      <c r="A6375" t="s">
        <v>67</v>
      </c>
      <c r="B6375">
        <f t="shared" si="394"/>
        <v>33.699857000000002</v>
      </c>
      <c r="C6375">
        <f t="shared" si="395"/>
        <v>-117.856517</v>
      </c>
      <c r="D6375">
        <f t="shared" si="396"/>
        <v>41</v>
      </c>
      <c r="E6375">
        <v>81.498999999999995</v>
      </c>
      <c r="F6375">
        <f t="shared" si="397"/>
        <v>-40.498999999999995</v>
      </c>
      <c r="G6375">
        <v>118.45</v>
      </c>
      <c r="H6375">
        <v>3.6019999999999999</v>
      </c>
      <c r="I6375">
        <v>3.0449999999999999</v>
      </c>
      <c r="J6375">
        <v>6</v>
      </c>
      <c r="K6375">
        <v>45</v>
      </c>
      <c r="L6375">
        <v>23</v>
      </c>
      <c r="M6375">
        <v>7.5529999999999999</v>
      </c>
    </row>
    <row r="6376" spans="1:13" ht="15" customHeight="1">
      <c r="A6376" t="s">
        <v>67</v>
      </c>
      <c r="B6376">
        <f t="shared" si="394"/>
        <v>33.699857000000002</v>
      </c>
      <c r="C6376">
        <f t="shared" si="395"/>
        <v>-117.856517</v>
      </c>
      <c r="D6376">
        <f t="shared" si="396"/>
        <v>41</v>
      </c>
      <c r="E6376">
        <v>82.498999999999995</v>
      </c>
      <c r="F6376">
        <f t="shared" si="397"/>
        <v>-41.498999999999995</v>
      </c>
      <c r="G6376">
        <v>257.43299999999999</v>
      </c>
      <c r="H6376">
        <v>2.202</v>
      </c>
      <c r="I6376">
        <v>0.85599999999999998</v>
      </c>
      <c r="J6376">
        <v>9</v>
      </c>
      <c r="K6376">
        <v>49</v>
      </c>
      <c r="L6376">
        <v>25</v>
      </c>
      <c r="M6376" s="1">
        <v>9000000000</v>
      </c>
    </row>
    <row r="6377" spans="1:13" ht="15" customHeight="1">
      <c r="A6377" t="s">
        <v>67</v>
      </c>
      <c r="B6377">
        <f t="shared" si="394"/>
        <v>33.699857000000002</v>
      </c>
      <c r="C6377">
        <f t="shared" si="395"/>
        <v>-117.856517</v>
      </c>
      <c r="D6377">
        <f t="shared" si="396"/>
        <v>41</v>
      </c>
      <c r="E6377">
        <v>83.498999999999995</v>
      </c>
      <c r="F6377">
        <f t="shared" si="397"/>
        <v>-42.498999999999995</v>
      </c>
      <c r="G6377">
        <v>67.942999999999998</v>
      </c>
      <c r="H6377">
        <v>2.7839999999999998</v>
      </c>
      <c r="I6377">
        <v>4.1040000000000001</v>
      </c>
      <c r="J6377">
        <v>5</v>
      </c>
      <c r="K6377">
        <v>32</v>
      </c>
      <c r="L6377">
        <v>16</v>
      </c>
      <c r="M6377">
        <v>4.1820000000000004</v>
      </c>
    </row>
    <row r="6378" spans="1:13" ht="15" customHeight="1">
      <c r="A6378" t="s">
        <v>67</v>
      </c>
      <c r="B6378">
        <f t="shared" si="394"/>
        <v>33.699857000000002</v>
      </c>
      <c r="C6378">
        <f t="shared" si="395"/>
        <v>-117.856517</v>
      </c>
      <c r="D6378">
        <f t="shared" si="396"/>
        <v>41</v>
      </c>
      <c r="E6378">
        <v>84.498999999999995</v>
      </c>
      <c r="F6378">
        <f t="shared" si="397"/>
        <v>-43.498999999999995</v>
      </c>
      <c r="G6378">
        <v>34</v>
      </c>
      <c r="H6378">
        <v>1.347</v>
      </c>
      <c r="I6378">
        <v>3.9710000000000001</v>
      </c>
      <c r="J6378">
        <v>4</v>
      </c>
      <c r="K6378">
        <v>22</v>
      </c>
      <c r="L6378">
        <v>11</v>
      </c>
      <c r="M6378">
        <v>1.9159999999999999</v>
      </c>
    </row>
    <row r="6379" spans="1:13" ht="15" customHeight="1">
      <c r="A6379" t="s">
        <v>67</v>
      </c>
      <c r="B6379">
        <f t="shared" si="394"/>
        <v>33.699857000000002</v>
      </c>
      <c r="C6379">
        <f t="shared" si="395"/>
        <v>-117.856517</v>
      </c>
      <c r="D6379">
        <f t="shared" si="396"/>
        <v>41</v>
      </c>
      <c r="E6379">
        <v>85.498999999999995</v>
      </c>
      <c r="F6379">
        <f t="shared" si="397"/>
        <v>-44.498999999999995</v>
      </c>
      <c r="G6379">
        <v>27.233000000000001</v>
      </c>
      <c r="H6379">
        <v>0.79300000000000004</v>
      </c>
      <c r="I6379">
        <v>2.9169999999999998</v>
      </c>
      <c r="J6379">
        <v>5</v>
      </c>
      <c r="K6379">
        <v>13</v>
      </c>
      <c r="L6379">
        <v>7</v>
      </c>
      <c r="M6379">
        <v>1.464</v>
      </c>
    </row>
    <row r="6380" spans="1:13" ht="15" customHeight="1">
      <c r="A6380" t="s">
        <v>67</v>
      </c>
      <c r="B6380">
        <f t="shared" si="394"/>
        <v>33.699857000000002</v>
      </c>
      <c r="C6380">
        <f t="shared" si="395"/>
        <v>-117.856517</v>
      </c>
      <c r="D6380">
        <f t="shared" si="396"/>
        <v>41</v>
      </c>
      <c r="E6380">
        <v>86.498999999999995</v>
      </c>
      <c r="F6380">
        <f t="shared" si="397"/>
        <v>-45.498999999999995</v>
      </c>
      <c r="G6380">
        <v>29.4</v>
      </c>
      <c r="H6380">
        <v>0.90200000000000002</v>
      </c>
      <c r="I6380">
        <v>3.0739999999999998</v>
      </c>
      <c r="J6380">
        <v>5</v>
      </c>
      <c r="K6380">
        <v>14</v>
      </c>
      <c r="L6380">
        <v>7</v>
      </c>
      <c r="M6380">
        <v>1.6020000000000001</v>
      </c>
    </row>
    <row r="6381" spans="1:13" ht="15" customHeight="1">
      <c r="A6381" t="s">
        <v>67</v>
      </c>
      <c r="B6381">
        <f t="shared" si="394"/>
        <v>33.699857000000002</v>
      </c>
      <c r="C6381">
        <f t="shared" si="395"/>
        <v>-117.856517</v>
      </c>
      <c r="D6381">
        <f t="shared" si="396"/>
        <v>41</v>
      </c>
      <c r="E6381">
        <v>87.498999999999995</v>
      </c>
      <c r="F6381">
        <f t="shared" si="397"/>
        <v>-46.498999999999995</v>
      </c>
      <c r="G6381">
        <v>40.883000000000003</v>
      </c>
      <c r="H6381">
        <v>1.7230000000000001</v>
      </c>
      <c r="I6381">
        <v>4.2149999999999999</v>
      </c>
      <c r="J6381">
        <v>4</v>
      </c>
      <c r="K6381">
        <v>26</v>
      </c>
      <c r="L6381">
        <v>13</v>
      </c>
      <c r="M6381">
        <v>2.3679999999999999</v>
      </c>
    </row>
    <row r="6382" spans="1:13" ht="15" customHeight="1">
      <c r="A6382" t="s">
        <v>67</v>
      </c>
      <c r="B6382">
        <f t="shared" si="394"/>
        <v>33.699857000000002</v>
      </c>
      <c r="C6382">
        <f t="shared" si="395"/>
        <v>-117.856517</v>
      </c>
      <c r="D6382">
        <f t="shared" si="396"/>
        <v>41</v>
      </c>
      <c r="E6382">
        <v>88.498999999999995</v>
      </c>
      <c r="F6382">
        <f t="shared" si="397"/>
        <v>-47.498999999999995</v>
      </c>
      <c r="G6382">
        <v>29.183</v>
      </c>
      <c r="H6382">
        <v>1.087</v>
      </c>
      <c r="I6382">
        <v>3.7130000000000001</v>
      </c>
      <c r="J6382">
        <v>5</v>
      </c>
      <c r="K6382">
        <v>14</v>
      </c>
      <c r="L6382">
        <v>7</v>
      </c>
      <c r="M6382">
        <v>1.589</v>
      </c>
    </row>
    <row r="6383" spans="1:13" ht="15" customHeight="1">
      <c r="A6383" t="s">
        <v>67</v>
      </c>
      <c r="B6383">
        <f t="shared" si="394"/>
        <v>33.699857000000002</v>
      </c>
      <c r="C6383">
        <f t="shared" si="395"/>
        <v>-117.856517</v>
      </c>
      <c r="D6383">
        <f t="shared" si="396"/>
        <v>41</v>
      </c>
      <c r="E6383">
        <v>89.498999999999995</v>
      </c>
      <c r="F6383">
        <f t="shared" si="397"/>
        <v>-48.498999999999995</v>
      </c>
      <c r="G6383">
        <v>97.983000000000004</v>
      </c>
      <c r="H6383">
        <v>2.1230000000000002</v>
      </c>
      <c r="I6383">
        <v>2.165</v>
      </c>
      <c r="J6383">
        <v>7</v>
      </c>
      <c r="K6383">
        <v>31</v>
      </c>
      <c r="L6383">
        <v>16</v>
      </c>
      <c r="M6383" s="1">
        <v>9000000000</v>
      </c>
    </row>
    <row r="6384" spans="1:13" ht="15" customHeight="1">
      <c r="A6384" t="s">
        <v>67</v>
      </c>
      <c r="B6384">
        <f t="shared" si="394"/>
        <v>33.699857000000002</v>
      </c>
      <c r="C6384">
        <f t="shared" si="395"/>
        <v>-117.856517</v>
      </c>
      <c r="D6384">
        <f t="shared" si="396"/>
        <v>41</v>
      </c>
      <c r="E6384">
        <v>90.498999999999995</v>
      </c>
      <c r="F6384">
        <f t="shared" si="397"/>
        <v>-49.498999999999995</v>
      </c>
      <c r="G6384">
        <v>268.38299999999998</v>
      </c>
      <c r="H6384">
        <v>5.657</v>
      </c>
      <c r="I6384">
        <v>2.1080000000000001</v>
      </c>
      <c r="J6384">
        <v>8</v>
      </c>
      <c r="K6384">
        <v>64</v>
      </c>
      <c r="L6384">
        <v>32</v>
      </c>
      <c r="M6384" s="1">
        <v>9000000000</v>
      </c>
    </row>
    <row r="6385" spans="1:13" ht="15" customHeight="1">
      <c r="A6385" t="s">
        <v>67</v>
      </c>
      <c r="B6385">
        <f t="shared" si="394"/>
        <v>33.699857000000002</v>
      </c>
      <c r="C6385">
        <f t="shared" si="395"/>
        <v>-117.856517</v>
      </c>
      <c r="D6385">
        <f t="shared" si="396"/>
        <v>41</v>
      </c>
      <c r="E6385">
        <v>91.498999999999995</v>
      </c>
      <c r="F6385">
        <f t="shared" si="397"/>
        <v>-50.498999999999995</v>
      </c>
      <c r="G6385">
        <v>294.06700000000001</v>
      </c>
      <c r="H6385">
        <v>5.702</v>
      </c>
      <c r="I6385">
        <v>1.9390000000000001</v>
      </c>
      <c r="J6385">
        <v>8</v>
      </c>
      <c r="K6385">
        <v>70</v>
      </c>
      <c r="L6385">
        <v>35</v>
      </c>
      <c r="M6385" s="1">
        <v>9000000000</v>
      </c>
    </row>
    <row r="6386" spans="1:13" ht="15" customHeight="1">
      <c r="A6386" t="s">
        <v>67</v>
      </c>
      <c r="B6386">
        <f t="shared" si="394"/>
        <v>33.699857000000002</v>
      </c>
      <c r="C6386">
        <f t="shared" si="395"/>
        <v>-117.856517</v>
      </c>
      <c r="D6386">
        <f t="shared" si="396"/>
        <v>41</v>
      </c>
      <c r="E6386">
        <v>92.498999999999995</v>
      </c>
      <c r="F6386">
        <f t="shared" si="397"/>
        <v>-51.498999999999995</v>
      </c>
      <c r="G6386">
        <v>437.31700000000001</v>
      </c>
      <c r="H6386">
        <v>4.8949999999999996</v>
      </c>
      <c r="I6386">
        <v>1.1200000000000001</v>
      </c>
      <c r="J6386">
        <v>9</v>
      </c>
      <c r="K6386">
        <v>84</v>
      </c>
      <c r="L6386">
        <v>42</v>
      </c>
      <c r="M6386" s="1">
        <v>9000000000</v>
      </c>
    </row>
    <row r="6387" spans="1:13" ht="15" customHeight="1">
      <c r="A6387" t="s">
        <v>67</v>
      </c>
      <c r="B6387">
        <f t="shared" si="394"/>
        <v>33.699857000000002</v>
      </c>
      <c r="C6387">
        <f t="shared" si="395"/>
        <v>-117.856517</v>
      </c>
      <c r="D6387">
        <f t="shared" si="396"/>
        <v>41</v>
      </c>
      <c r="E6387">
        <v>93.498999999999995</v>
      </c>
      <c r="F6387">
        <f t="shared" si="397"/>
        <v>-52.498999999999995</v>
      </c>
      <c r="G6387">
        <v>487.15699999999998</v>
      </c>
      <c r="H6387">
        <v>3.76</v>
      </c>
      <c r="I6387">
        <v>0.77200000000000002</v>
      </c>
      <c r="J6387">
        <v>10</v>
      </c>
      <c r="K6387">
        <v>78</v>
      </c>
      <c r="L6387">
        <v>39</v>
      </c>
      <c r="M6387" s="1">
        <v>9000000000</v>
      </c>
    </row>
    <row r="6388" spans="1:13" ht="15" customHeight="1">
      <c r="A6388" t="s">
        <v>67</v>
      </c>
      <c r="B6388">
        <f t="shared" si="394"/>
        <v>33.699857000000002</v>
      </c>
      <c r="C6388">
        <f t="shared" si="395"/>
        <v>-117.856517</v>
      </c>
      <c r="D6388">
        <f t="shared" si="396"/>
        <v>41</v>
      </c>
      <c r="E6388">
        <v>94.498999999999995</v>
      </c>
      <c r="F6388">
        <f t="shared" si="397"/>
        <v>-53.498999999999995</v>
      </c>
      <c r="G6388">
        <v>400.28300000000002</v>
      </c>
      <c r="H6388">
        <v>2.11</v>
      </c>
      <c r="I6388">
        <v>0.52700000000000002</v>
      </c>
      <c r="J6388">
        <v>10</v>
      </c>
      <c r="K6388">
        <v>64</v>
      </c>
      <c r="L6388">
        <v>32</v>
      </c>
      <c r="M6388" s="1">
        <v>9000000000</v>
      </c>
    </row>
    <row r="6389" spans="1:13" ht="15" customHeight="1">
      <c r="A6389" t="s">
        <v>67</v>
      </c>
      <c r="B6389">
        <f t="shared" si="394"/>
        <v>33.699857000000002</v>
      </c>
      <c r="C6389">
        <f t="shared" si="395"/>
        <v>-117.856517</v>
      </c>
      <c r="D6389">
        <f t="shared" si="396"/>
        <v>41</v>
      </c>
      <c r="E6389">
        <v>95.498999999999995</v>
      </c>
      <c r="F6389">
        <f t="shared" si="397"/>
        <v>-54.498999999999995</v>
      </c>
      <c r="G6389">
        <v>267.5</v>
      </c>
      <c r="H6389">
        <v>3.0169999999999999</v>
      </c>
      <c r="I6389">
        <v>1.1279999999999999</v>
      </c>
      <c r="J6389">
        <v>9</v>
      </c>
      <c r="K6389">
        <v>51</v>
      </c>
      <c r="L6389">
        <v>26</v>
      </c>
      <c r="M6389" s="1">
        <v>9000000000</v>
      </c>
    </row>
    <row r="6390" spans="1:13" ht="15" customHeight="1">
      <c r="A6390" t="s">
        <v>67</v>
      </c>
      <c r="B6390">
        <f t="shared" si="394"/>
        <v>33.699857000000002</v>
      </c>
      <c r="C6390">
        <f t="shared" si="395"/>
        <v>-117.856517</v>
      </c>
      <c r="D6390">
        <f t="shared" si="396"/>
        <v>41</v>
      </c>
      <c r="E6390">
        <v>96.498999999999995</v>
      </c>
      <c r="F6390">
        <f t="shared" si="397"/>
        <v>-55.498999999999995</v>
      </c>
      <c r="G6390">
        <v>85.483000000000004</v>
      </c>
      <c r="H6390">
        <v>3.903</v>
      </c>
      <c r="I6390">
        <v>4.556</v>
      </c>
      <c r="J6390">
        <v>11</v>
      </c>
      <c r="K6390">
        <v>82</v>
      </c>
      <c r="L6390">
        <v>41</v>
      </c>
      <c r="M6390" s="1">
        <v>9000000000</v>
      </c>
    </row>
    <row r="6391" spans="1:13" ht="15" customHeight="1">
      <c r="A6391" t="s">
        <v>67</v>
      </c>
      <c r="B6391">
        <f t="shared" si="394"/>
        <v>33.699857000000002</v>
      </c>
      <c r="C6391">
        <f t="shared" si="395"/>
        <v>-117.856517</v>
      </c>
      <c r="D6391">
        <f t="shared" si="396"/>
        <v>41</v>
      </c>
      <c r="E6391">
        <v>97.498999999999995</v>
      </c>
      <c r="F6391">
        <f t="shared" si="397"/>
        <v>-56.498999999999995</v>
      </c>
      <c r="G6391">
        <v>210.083</v>
      </c>
      <c r="H6391">
        <v>4.5679999999999996</v>
      </c>
      <c r="I6391">
        <v>2.173</v>
      </c>
      <c r="J6391">
        <v>7</v>
      </c>
      <c r="K6391">
        <v>67</v>
      </c>
      <c r="L6391">
        <v>34</v>
      </c>
      <c r="M6391" s="1">
        <v>9000000000</v>
      </c>
    </row>
    <row r="6392" spans="1:13" ht="15" customHeight="1">
      <c r="A6392" t="s">
        <v>67</v>
      </c>
      <c r="B6392">
        <f t="shared" si="394"/>
        <v>33.699857000000002</v>
      </c>
      <c r="C6392">
        <f t="shared" si="395"/>
        <v>-117.856517</v>
      </c>
      <c r="D6392">
        <f t="shared" si="396"/>
        <v>41</v>
      </c>
      <c r="E6392">
        <v>98.498999999999995</v>
      </c>
      <c r="F6392">
        <f t="shared" si="397"/>
        <v>-57.498999999999995</v>
      </c>
      <c r="G6392">
        <v>258.10000000000002</v>
      </c>
      <c r="H6392">
        <v>4.2699999999999996</v>
      </c>
      <c r="I6392">
        <v>1.655</v>
      </c>
      <c r="J6392">
        <v>8</v>
      </c>
      <c r="K6392">
        <v>62</v>
      </c>
      <c r="L6392">
        <v>31</v>
      </c>
      <c r="M6392" s="1">
        <v>9000000000</v>
      </c>
    </row>
    <row r="6393" spans="1:13" ht="15" customHeight="1">
      <c r="A6393" t="s">
        <v>67</v>
      </c>
      <c r="B6393">
        <f t="shared" si="394"/>
        <v>33.699857000000002</v>
      </c>
      <c r="C6393">
        <f t="shared" si="395"/>
        <v>-117.856517</v>
      </c>
      <c r="D6393">
        <f t="shared" si="396"/>
        <v>41</v>
      </c>
      <c r="E6393">
        <v>99.498999999999995</v>
      </c>
      <c r="F6393">
        <f t="shared" si="397"/>
        <v>-58.498999999999995</v>
      </c>
      <c r="G6393">
        <v>260.93299999999999</v>
      </c>
      <c r="H6393">
        <v>3.7</v>
      </c>
      <c r="I6393">
        <v>1.4179999999999999</v>
      </c>
      <c r="J6393">
        <v>8</v>
      </c>
      <c r="K6393">
        <v>62</v>
      </c>
      <c r="L6393">
        <v>31</v>
      </c>
      <c r="M6393" s="1">
        <v>9000000000</v>
      </c>
    </row>
    <row r="6394" spans="1:13" ht="15" customHeight="1">
      <c r="A6394" t="s">
        <v>67</v>
      </c>
      <c r="B6394">
        <f t="shared" si="394"/>
        <v>33.699857000000002</v>
      </c>
      <c r="C6394">
        <f t="shared" si="395"/>
        <v>-117.856517</v>
      </c>
      <c r="D6394">
        <f t="shared" si="396"/>
        <v>41</v>
      </c>
      <c r="E6394">
        <v>100.499</v>
      </c>
      <c r="F6394">
        <f t="shared" si="397"/>
        <v>-59.498999999999995</v>
      </c>
      <c r="G6394">
        <v>182.733</v>
      </c>
      <c r="H6394">
        <v>4.7430000000000003</v>
      </c>
      <c r="I6394">
        <v>2.597</v>
      </c>
      <c r="J6394">
        <v>7</v>
      </c>
      <c r="K6394">
        <v>58</v>
      </c>
      <c r="L6394">
        <v>29</v>
      </c>
      <c r="M6394" s="1">
        <v>9000000000</v>
      </c>
    </row>
    <row r="6395" spans="1:13" ht="15" customHeight="1">
      <c r="A6395" t="s">
        <v>67</v>
      </c>
      <c r="B6395">
        <f t="shared" si="394"/>
        <v>33.699857000000002</v>
      </c>
      <c r="C6395">
        <f t="shared" si="395"/>
        <v>-117.856517</v>
      </c>
      <c r="D6395">
        <f t="shared" si="396"/>
        <v>41</v>
      </c>
      <c r="E6395">
        <v>101.499</v>
      </c>
      <c r="F6395">
        <f t="shared" si="397"/>
        <v>-60.498999999999995</v>
      </c>
      <c r="G6395">
        <v>151.06700000000001</v>
      </c>
      <c r="H6395">
        <v>3.758</v>
      </c>
      <c r="I6395">
        <v>2.4900000000000002</v>
      </c>
      <c r="J6395">
        <v>7</v>
      </c>
      <c r="K6395">
        <v>48</v>
      </c>
      <c r="L6395">
        <v>24</v>
      </c>
      <c r="M6395" s="1">
        <v>9000000000</v>
      </c>
    </row>
    <row r="6396" spans="1:13" ht="15" customHeight="1">
      <c r="A6396" t="s">
        <v>67</v>
      </c>
      <c r="B6396">
        <f t="shared" si="394"/>
        <v>33.699857000000002</v>
      </c>
      <c r="C6396">
        <f t="shared" si="395"/>
        <v>-117.856517</v>
      </c>
      <c r="D6396">
        <f t="shared" si="396"/>
        <v>41</v>
      </c>
      <c r="E6396">
        <v>102.499</v>
      </c>
      <c r="F6396">
        <f t="shared" si="397"/>
        <v>-61.498999999999995</v>
      </c>
      <c r="G6396">
        <v>218.983</v>
      </c>
      <c r="H6396">
        <v>4.4450000000000003</v>
      </c>
      <c r="I6396">
        <v>2.0310000000000001</v>
      </c>
      <c r="J6396">
        <v>8</v>
      </c>
      <c r="K6396">
        <v>52</v>
      </c>
      <c r="L6396">
        <v>26</v>
      </c>
      <c r="M6396" s="1">
        <v>9000000000</v>
      </c>
    </row>
    <row r="6397" spans="1:13" ht="15" customHeight="1">
      <c r="A6397" t="s">
        <v>67</v>
      </c>
      <c r="B6397">
        <f t="shared" si="394"/>
        <v>33.699857000000002</v>
      </c>
      <c r="C6397">
        <f t="shared" si="395"/>
        <v>-117.856517</v>
      </c>
      <c r="D6397">
        <f t="shared" si="396"/>
        <v>41</v>
      </c>
      <c r="E6397">
        <v>103.499</v>
      </c>
      <c r="F6397">
        <f t="shared" si="397"/>
        <v>-62.498999999999995</v>
      </c>
      <c r="G6397">
        <v>211.93299999999999</v>
      </c>
      <c r="H6397">
        <v>5.5129999999999999</v>
      </c>
      <c r="I6397">
        <v>2.6030000000000002</v>
      </c>
      <c r="J6397">
        <v>7</v>
      </c>
      <c r="K6397">
        <v>68</v>
      </c>
      <c r="L6397">
        <v>34</v>
      </c>
      <c r="M6397" s="1">
        <v>9000000000</v>
      </c>
    </row>
    <row r="6398" spans="1:13" ht="15" customHeight="1">
      <c r="A6398" t="s">
        <v>67</v>
      </c>
      <c r="B6398">
        <f t="shared" si="394"/>
        <v>33.699857000000002</v>
      </c>
      <c r="C6398">
        <f t="shared" si="395"/>
        <v>-117.856517</v>
      </c>
      <c r="D6398">
        <f t="shared" si="396"/>
        <v>41</v>
      </c>
      <c r="E6398">
        <v>104.499</v>
      </c>
      <c r="F6398">
        <f t="shared" si="397"/>
        <v>-63.498999999999995</v>
      </c>
      <c r="G6398">
        <v>111.643</v>
      </c>
      <c r="H6398">
        <v>3.43</v>
      </c>
      <c r="I6398">
        <v>3.0750000000000002</v>
      </c>
      <c r="J6398">
        <v>6</v>
      </c>
      <c r="K6398">
        <v>43</v>
      </c>
      <c r="L6398">
        <v>22</v>
      </c>
      <c r="M6398">
        <v>7.008</v>
      </c>
    </row>
    <row r="6399" spans="1:13" ht="15" customHeight="1">
      <c r="A6399" t="s">
        <v>67</v>
      </c>
      <c r="B6399">
        <f t="shared" si="394"/>
        <v>33.699857000000002</v>
      </c>
      <c r="C6399">
        <f t="shared" si="395"/>
        <v>-117.856517</v>
      </c>
      <c r="D6399">
        <f t="shared" si="396"/>
        <v>41</v>
      </c>
      <c r="E6399">
        <v>105.499</v>
      </c>
      <c r="F6399">
        <f t="shared" si="397"/>
        <v>-64.498999999999995</v>
      </c>
      <c r="G6399">
        <v>163.85</v>
      </c>
      <c r="H6399">
        <v>3.988</v>
      </c>
      <c r="I6399">
        <v>2.4359999999999999</v>
      </c>
      <c r="J6399">
        <v>7</v>
      </c>
      <c r="K6399">
        <v>52</v>
      </c>
      <c r="L6399">
        <v>26</v>
      </c>
      <c r="M6399" s="1">
        <v>9000000000</v>
      </c>
    </row>
    <row r="6400" spans="1:13" ht="15" customHeight="1">
      <c r="A6400" t="s">
        <v>67</v>
      </c>
      <c r="B6400">
        <f t="shared" si="394"/>
        <v>33.699857000000002</v>
      </c>
      <c r="C6400">
        <f t="shared" si="395"/>
        <v>-117.856517</v>
      </c>
      <c r="D6400">
        <f t="shared" si="396"/>
        <v>41</v>
      </c>
      <c r="E6400">
        <v>106.499</v>
      </c>
      <c r="F6400">
        <f t="shared" si="397"/>
        <v>-65.498999999999995</v>
      </c>
      <c r="G6400">
        <v>123.68300000000001</v>
      </c>
      <c r="H6400">
        <v>3.3279999999999998</v>
      </c>
      <c r="I6400">
        <v>2.6930000000000001</v>
      </c>
      <c r="J6400">
        <v>7</v>
      </c>
      <c r="K6400">
        <v>39</v>
      </c>
      <c r="L6400">
        <v>20</v>
      </c>
      <c r="M6400" s="1">
        <v>9000000000</v>
      </c>
    </row>
    <row r="6401" spans="1:13" ht="15" customHeight="1">
      <c r="A6401" t="s">
        <v>67</v>
      </c>
      <c r="B6401">
        <f t="shared" si="394"/>
        <v>33.699857000000002</v>
      </c>
      <c r="C6401">
        <f t="shared" si="395"/>
        <v>-117.856517</v>
      </c>
      <c r="D6401">
        <f t="shared" si="396"/>
        <v>41</v>
      </c>
      <c r="E6401">
        <v>107.499</v>
      </c>
      <c r="F6401">
        <f t="shared" si="397"/>
        <v>-66.498999999999995</v>
      </c>
      <c r="G6401">
        <v>295.33300000000003</v>
      </c>
      <c r="H6401">
        <v>3.5019999999999998</v>
      </c>
      <c r="I6401">
        <v>1.1859999999999999</v>
      </c>
      <c r="J6401">
        <v>9</v>
      </c>
      <c r="K6401">
        <v>57</v>
      </c>
      <c r="L6401">
        <v>29</v>
      </c>
      <c r="M6401" s="1">
        <v>9000000000</v>
      </c>
    </row>
    <row r="6402" spans="1:13" ht="15" customHeight="1">
      <c r="A6402" t="s">
        <v>67</v>
      </c>
      <c r="B6402">
        <f t="shared" ref="B6402:B6465" si="398">VLOOKUP(A6402,XYdata,3,FALSE)</f>
        <v>33.699857000000002</v>
      </c>
      <c r="C6402">
        <f t="shared" ref="C6402:C6465" si="399">VLOOKUP(A6402,XYdata,2,FALSE)</f>
        <v>-117.856517</v>
      </c>
      <c r="D6402">
        <f t="shared" ref="D6402:D6465" si="400">VLOOKUP(A6402,Elevation,2,FALSE)</f>
        <v>41</v>
      </c>
      <c r="E6402">
        <v>108.499</v>
      </c>
      <c r="F6402">
        <f t="shared" si="397"/>
        <v>-67.498999999999995</v>
      </c>
      <c r="G6402">
        <v>247.4</v>
      </c>
      <c r="H6402">
        <v>3.2170000000000001</v>
      </c>
      <c r="I6402">
        <v>1.3009999999999999</v>
      </c>
      <c r="J6402">
        <v>9</v>
      </c>
      <c r="K6402">
        <v>47</v>
      </c>
      <c r="L6402">
        <v>24</v>
      </c>
      <c r="M6402" s="1">
        <v>9000000000</v>
      </c>
    </row>
    <row r="6403" spans="1:13" ht="15" customHeight="1">
      <c r="A6403" t="s">
        <v>67</v>
      </c>
      <c r="B6403">
        <f t="shared" si="398"/>
        <v>33.699857000000002</v>
      </c>
      <c r="C6403">
        <f t="shared" si="399"/>
        <v>-117.856517</v>
      </c>
      <c r="D6403">
        <f t="shared" si="400"/>
        <v>41</v>
      </c>
      <c r="E6403">
        <v>109.499</v>
      </c>
      <c r="F6403">
        <f t="shared" ref="F6403:F6466" si="401">D6403-E6403</f>
        <v>-68.498999999999995</v>
      </c>
      <c r="G6403">
        <v>76.082999999999998</v>
      </c>
      <c r="H6403">
        <v>1.923</v>
      </c>
      <c r="I6403">
        <v>2.532</v>
      </c>
      <c r="J6403">
        <v>6</v>
      </c>
      <c r="K6403">
        <v>29</v>
      </c>
      <c r="L6403">
        <v>15</v>
      </c>
      <c r="M6403">
        <v>4.6150000000000002</v>
      </c>
    </row>
    <row r="6404" spans="1:13" ht="15" customHeight="1">
      <c r="A6404" t="s">
        <v>67</v>
      </c>
      <c r="B6404">
        <f t="shared" si="398"/>
        <v>33.699857000000002</v>
      </c>
      <c r="C6404">
        <f t="shared" si="399"/>
        <v>-117.856517</v>
      </c>
      <c r="D6404">
        <f t="shared" si="400"/>
        <v>41</v>
      </c>
      <c r="E6404">
        <v>110.499</v>
      </c>
      <c r="F6404">
        <f t="shared" si="401"/>
        <v>-69.498999999999995</v>
      </c>
      <c r="G6404">
        <v>60.1</v>
      </c>
      <c r="H6404">
        <v>2.42</v>
      </c>
      <c r="I6404">
        <v>4.0330000000000004</v>
      </c>
      <c r="J6404">
        <v>5</v>
      </c>
      <c r="K6404">
        <v>29</v>
      </c>
      <c r="L6404">
        <v>15</v>
      </c>
      <c r="M6404">
        <v>3.5470000000000002</v>
      </c>
    </row>
    <row r="6405" spans="1:13" ht="15" customHeight="1">
      <c r="A6405" t="s">
        <v>67</v>
      </c>
      <c r="B6405">
        <f t="shared" si="398"/>
        <v>33.699857000000002</v>
      </c>
      <c r="C6405">
        <f t="shared" si="399"/>
        <v>-117.856517</v>
      </c>
      <c r="D6405">
        <f t="shared" si="400"/>
        <v>41</v>
      </c>
      <c r="E6405">
        <v>111.499</v>
      </c>
      <c r="F6405">
        <f t="shared" si="401"/>
        <v>-70.498999999999995</v>
      </c>
      <c r="G6405">
        <v>89.4</v>
      </c>
      <c r="H6405">
        <v>3.76</v>
      </c>
      <c r="I6405">
        <v>4.2110000000000003</v>
      </c>
      <c r="J6405">
        <v>5</v>
      </c>
      <c r="K6405">
        <v>43</v>
      </c>
      <c r="L6405">
        <v>22</v>
      </c>
      <c r="M6405">
        <v>5.4960000000000004</v>
      </c>
    </row>
    <row r="6406" spans="1:13" ht="15" customHeight="1">
      <c r="A6406" t="s">
        <v>67</v>
      </c>
      <c r="B6406">
        <f t="shared" si="398"/>
        <v>33.699857000000002</v>
      </c>
      <c r="C6406">
        <f t="shared" si="399"/>
        <v>-117.856517</v>
      </c>
      <c r="D6406">
        <f t="shared" si="400"/>
        <v>41</v>
      </c>
      <c r="E6406">
        <v>112.499</v>
      </c>
      <c r="F6406">
        <f t="shared" si="401"/>
        <v>-71.498999999999995</v>
      </c>
      <c r="G6406">
        <v>156.63300000000001</v>
      </c>
      <c r="H6406">
        <v>3.2549999999999999</v>
      </c>
      <c r="I6406">
        <v>2.0790000000000002</v>
      </c>
      <c r="J6406">
        <v>7</v>
      </c>
      <c r="K6406">
        <v>50</v>
      </c>
      <c r="L6406">
        <v>25</v>
      </c>
      <c r="M6406" s="1">
        <v>9000000000</v>
      </c>
    </row>
    <row r="6407" spans="1:13" ht="15" customHeight="1">
      <c r="A6407" t="s">
        <v>67</v>
      </c>
      <c r="B6407">
        <f t="shared" si="398"/>
        <v>33.699857000000002</v>
      </c>
      <c r="C6407">
        <f t="shared" si="399"/>
        <v>-117.856517</v>
      </c>
      <c r="D6407">
        <f t="shared" si="400"/>
        <v>41</v>
      </c>
      <c r="E6407">
        <v>113.499</v>
      </c>
      <c r="F6407">
        <f t="shared" si="401"/>
        <v>-72.498999999999995</v>
      </c>
      <c r="G6407">
        <v>55.6</v>
      </c>
      <c r="H6407">
        <v>2.7330000000000001</v>
      </c>
      <c r="I6407">
        <v>4.923</v>
      </c>
      <c r="J6407">
        <v>4</v>
      </c>
      <c r="K6407">
        <v>35</v>
      </c>
      <c r="L6407">
        <v>18</v>
      </c>
      <c r="M6407">
        <v>3.2360000000000002</v>
      </c>
    </row>
    <row r="6408" spans="1:13" ht="15" customHeight="1">
      <c r="A6408" t="s">
        <v>67</v>
      </c>
      <c r="B6408">
        <f t="shared" si="398"/>
        <v>33.699857000000002</v>
      </c>
      <c r="C6408">
        <f t="shared" si="399"/>
        <v>-117.856517</v>
      </c>
      <c r="D6408">
        <f t="shared" si="400"/>
        <v>41</v>
      </c>
      <c r="E6408">
        <v>114.499</v>
      </c>
      <c r="F6408">
        <f t="shared" si="401"/>
        <v>-73.498999999999995</v>
      </c>
      <c r="G6408">
        <v>32.871000000000002</v>
      </c>
      <c r="H6408">
        <v>1.3959999999999999</v>
      </c>
      <c r="I6408">
        <v>4.2549999999999999</v>
      </c>
      <c r="J6408">
        <v>4</v>
      </c>
      <c r="K6408">
        <v>21</v>
      </c>
      <c r="L6408">
        <v>11</v>
      </c>
      <c r="M6408">
        <v>1.7170000000000001</v>
      </c>
    </row>
    <row r="6409" spans="1:13" ht="15" customHeight="1">
      <c r="A6409" t="s">
        <v>67</v>
      </c>
      <c r="B6409">
        <f t="shared" si="398"/>
        <v>33.699857000000002</v>
      </c>
      <c r="C6409">
        <f t="shared" si="399"/>
        <v>-117.856517</v>
      </c>
      <c r="D6409">
        <f t="shared" si="400"/>
        <v>41</v>
      </c>
      <c r="E6409">
        <v>115.499</v>
      </c>
      <c r="F6409">
        <f t="shared" si="401"/>
        <v>-74.498999999999995</v>
      </c>
      <c r="G6409">
        <v>46.017000000000003</v>
      </c>
      <c r="H6409">
        <v>1.8879999999999999</v>
      </c>
      <c r="I6409">
        <v>4.1070000000000002</v>
      </c>
      <c r="J6409">
        <v>5</v>
      </c>
      <c r="K6409">
        <v>22</v>
      </c>
      <c r="L6409">
        <v>11</v>
      </c>
      <c r="M6409">
        <v>2.5920000000000001</v>
      </c>
    </row>
    <row r="6410" spans="1:13" ht="15" customHeight="1">
      <c r="A6410" t="s">
        <v>67</v>
      </c>
      <c r="B6410">
        <f t="shared" si="398"/>
        <v>33.699857000000002</v>
      </c>
      <c r="C6410">
        <f t="shared" si="399"/>
        <v>-117.856517</v>
      </c>
      <c r="D6410">
        <f t="shared" si="400"/>
        <v>41</v>
      </c>
      <c r="E6410">
        <v>116.499</v>
      </c>
      <c r="F6410">
        <f t="shared" si="401"/>
        <v>-75.498999999999995</v>
      </c>
      <c r="G6410">
        <v>33.683</v>
      </c>
      <c r="H6410">
        <v>1.383</v>
      </c>
      <c r="I6410">
        <v>4.1130000000000004</v>
      </c>
      <c r="J6410">
        <v>4</v>
      </c>
      <c r="K6410">
        <v>21</v>
      </c>
      <c r="L6410">
        <v>11</v>
      </c>
      <c r="M6410">
        <v>1.764</v>
      </c>
    </row>
    <row r="6411" spans="1:13" ht="15" customHeight="1">
      <c r="A6411" t="s">
        <v>67</v>
      </c>
      <c r="B6411">
        <f t="shared" si="398"/>
        <v>33.699857000000002</v>
      </c>
      <c r="C6411">
        <f t="shared" si="399"/>
        <v>-117.856517</v>
      </c>
      <c r="D6411">
        <f t="shared" si="400"/>
        <v>41</v>
      </c>
      <c r="E6411">
        <v>117.498</v>
      </c>
      <c r="F6411">
        <f t="shared" si="401"/>
        <v>-76.498000000000005</v>
      </c>
      <c r="G6411">
        <v>33.417000000000002</v>
      </c>
      <c r="H6411">
        <v>1.3779999999999999</v>
      </c>
      <c r="I6411">
        <v>4.1269999999999998</v>
      </c>
      <c r="J6411">
        <v>4</v>
      </c>
      <c r="K6411">
        <v>21</v>
      </c>
      <c r="L6411">
        <v>11</v>
      </c>
      <c r="M6411">
        <v>1.744</v>
      </c>
    </row>
    <row r="6412" spans="1:13" ht="15" customHeight="1">
      <c r="A6412" t="s">
        <v>67</v>
      </c>
      <c r="B6412">
        <f t="shared" si="398"/>
        <v>33.699857000000002</v>
      </c>
      <c r="C6412">
        <f t="shared" si="399"/>
        <v>-117.856517</v>
      </c>
      <c r="D6412">
        <f t="shared" si="400"/>
        <v>41</v>
      </c>
      <c r="E6412">
        <v>118.498</v>
      </c>
      <c r="F6412">
        <f t="shared" si="401"/>
        <v>-77.498000000000005</v>
      </c>
      <c r="G6412">
        <v>33.049999999999997</v>
      </c>
      <c r="H6412">
        <v>1.462</v>
      </c>
      <c r="I6412">
        <v>4.423</v>
      </c>
      <c r="J6412">
        <v>4</v>
      </c>
      <c r="K6412">
        <v>21</v>
      </c>
      <c r="L6412">
        <v>11</v>
      </c>
      <c r="M6412">
        <v>1.7170000000000001</v>
      </c>
    </row>
    <row r="6413" spans="1:13" ht="15" customHeight="1">
      <c r="A6413" t="s">
        <v>67</v>
      </c>
      <c r="B6413">
        <f t="shared" si="398"/>
        <v>33.699857000000002</v>
      </c>
      <c r="C6413">
        <f t="shared" si="399"/>
        <v>-117.856517</v>
      </c>
      <c r="D6413">
        <f t="shared" si="400"/>
        <v>41</v>
      </c>
      <c r="E6413">
        <v>119.498</v>
      </c>
      <c r="F6413">
        <f t="shared" si="401"/>
        <v>-78.498000000000005</v>
      </c>
      <c r="G6413">
        <v>33.966999999999999</v>
      </c>
      <c r="H6413">
        <v>1.357</v>
      </c>
      <c r="I6413">
        <v>3.992</v>
      </c>
      <c r="J6413">
        <v>4</v>
      </c>
      <c r="K6413">
        <v>22</v>
      </c>
      <c r="L6413">
        <v>11</v>
      </c>
      <c r="M6413">
        <v>1.7749999999999999</v>
      </c>
    </row>
    <row r="6414" spans="1:13" ht="15" customHeight="1">
      <c r="A6414" t="s">
        <v>67</v>
      </c>
      <c r="B6414">
        <f t="shared" si="398"/>
        <v>33.699857000000002</v>
      </c>
      <c r="C6414">
        <f t="shared" si="399"/>
        <v>-117.856517</v>
      </c>
      <c r="D6414">
        <f t="shared" si="400"/>
        <v>41</v>
      </c>
      <c r="E6414">
        <v>120.498</v>
      </c>
      <c r="F6414">
        <f t="shared" si="401"/>
        <v>-79.498000000000005</v>
      </c>
      <c r="G6414">
        <v>31.85</v>
      </c>
      <c r="H6414">
        <v>1.123</v>
      </c>
      <c r="I6414">
        <v>3.5249999999999999</v>
      </c>
      <c r="J6414">
        <v>5</v>
      </c>
      <c r="K6414">
        <v>15</v>
      </c>
      <c r="L6414">
        <v>8</v>
      </c>
      <c r="M6414">
        <v>1.63</v>
      </c>
    </row>
    <row r="6415" spans="1:13" ht="15" customHeight="1">
      <c r="A6415" t="s">
        <v>67</v>
      </c>
      <c r="B6415">
        <f t="shared" si="398"/>
        <v>33.699857000000002</v>
      </c>
      <c r="C6415">
        <f t="shared" si="399"/>
        <v>-117.856517</v>
      </c>
      <c r="D6415">
        <f t="shared" si="400"/>
        <v>41</v>
      </c>
      <c r="E6415">
        <v>121.498</v>
      </c>
      <c r="F6415">
        <f t="shared" si="401"/>
        <v>-80.498000000000005</v>
      </c>
      <c r="G6415">
        <v>36.450000000000003</v>
      </c>
      <c r="H6415">
        <v>1.655</v>
      </c>
      <c r="I6415">
        <v>4.5339999999999998</v>
      </c>
      <c r="J6415">
        <v>4</v>
      </c>
      <c r="K6415">
        <v>23</v>
      </c>
      <c r="L6415">
        <v>12</v>
      </c>
      <c r="M6415">
        <v>1.9339999999999999</v>
      </c>
    </row>
    <row r="6416" spans="1:13" ht="15" customHeight="1">
      <c r="A6416" t="s">
        <v>67</v>
      </c>
      <c r="B6416">
        <f t="shared" si="398"/>
        <v>33.699857000000002</v>
      </c>
      <c r="C6416">
        <f t="shared" si="399"/>
        <v>-117.856517</v>
      </c>
      <c r="D6416">
        <f t="shared" si="400"/>
        <v>41</v>
      </c>
      <c r="E6416">
        <v>122.498</v>
      </c>
      <c r="F6416">
        <f t="shared" si="401"/>
        <v>-81.498000000000005</v>
      </c>
      <c r="G6416">
        <v>34.017000000000003</v>
      </c>
      <c r="H6416">
        <v>1.6950000000000001</v>
      </c>
      <c r="I6416">
        <v>4.9800000000000004</v>
      </c>
      <c r="J6416">
        <v>3</v>
      </c>
      <c r="K6416">
        <v>33</v>
      </c>
      <c r="L6416">
        <v>17</v>
      </c>
      <c r="M6416">
        <v>1.766</v>
      </c>
    </row>
    <row r="6417" spans="1:13" ht="15" customHeight="1">
      <c r="A6417" t="s">
        <v>67</v>
      </c>
      <c r="B6417">
        <f t="shared" si="398"/>
        <v>33.699857000000002</v>
      </c>
      <c r="C6417">
        <f t="shared" si="399"/>
        <v>-117.856517</v>
      </c>
      <c r="D6417">
        <f t="shared" si="400"/>
        <v>41</v>
      </c>
      <c r="E6417">
        <v>123.498</v>
      </c>
      <c r="F6417">
        <f t="shared" si="401"/>
        <v>-82.498000000000005</v>
      </c>
      <c r="G6417">
        <v>30.45</v>
      </c>
      <c r="H6417">
        <v>1.2749999999999999</v>
      </c>
      <c r="I6417">
        <v>4.18</v>
      </c>
      <c r="J6417">
        <v>4</v>
      </c>
      <c r="K6417">
        <v>19</v>
      </c>
      <c r="L6417">
        <v>10</v>
      </c>
      <c r="M6417">
        <v>1.526</v>
      </c>
    </row>
    <row r="6418" spans="1:13" ht="15" customHeight="1">
      <c r="A6418" t="s">
        <v>67</v>
      </c>
      <c r="B6418">
        <f t="shared" si="398"/>
        <v>33.699857000000002</v>
      </c>
      <c r="C6418">
        <f t="shared" si="399"/>
        <v>-117.856517</v>
      </c>
      <c r="D6418">
        <f t="shared" si="400"/>
        <v>41</v>
      </c>
      <c r="E6418">
        <v>124.498</v>
      </c>
      <c r="F6418">
        <f t="shared" si="401"/>
        <v>-83.498000000000005</v>
      </c>
      <c r="G6418">
        <v>32</v>
      </c>
      <c r="H6418">
        <v>1.462</v>
      </c>
      <c r="I6418">
        <v>4.556</v>
      </c>
      <c r="J6418">
        <v>4</v>
      </c>
      <c r="K6418">
        <v>20</v>
      </c>
      <c r="L6418">
        <v>10</v>
      </c>
      <c r="M6418">
        <v>1.627</v>
      </c>
    </row>
    <row r="6419" spans="1:13" ht="15" customHeight="1">
      <c r="A6419" t="s">
        <v>67</v>
      </c>
      <c r="B6419">
        <f t="shared" si="398"/>
        <v>33.699857000000002</v>
      </c>
      <c r="C6419">
        <f t="shared" si="399"/>
        <v>-117.856517</v>
      </c>
      <c r="D6419">
        <f t="shared" si="400"/>
        <v>41</v>
      </c>
      <c r="E6419">
        <v>125.498</v>
      </c>
      <c r="F6419">
        <f t="shared" si="401"/>
        <v>-84.498000000000005</v>
      </c>
      <c r="G6419">
        <v>31.786000000000001</v>
      </c>
      <c r="H6419">
        <v>1.159</v>
      </c>
      <c r="I6419">
        <v>3.6339999999999999</v>
      </c>
      <c r="J6419">
        <v>5</v>
      </c>
      <c r="K6419">
        <v>15</v>
      </c>
      <c r="L6419">
        <v>8</v>
      </c>
      <c r="M6419">
        <v>1.61</v>
      </c>
    </row>
    <row r="6420" spans="1:13" ht="15" customHeight="1">
      <c r="A6420" t="s">
        <v>67</v>
      </c>
      <c r="B6420">
        <f t="shared" si="398"/>
        <v>33.699857000000002</v>
      </c>
      <c r="C6420">
        <f t="shared" si="399"/>
        <v>-117.856517</v>
      </c>
      <c r="D6420">
        <f t="shared" si="400"/>
        <v>41</v>
      </c>
      <c r="E6420">
        <v>126.498</v>
      </c>
      <c r="F6420">
        <f t="shared" si="401"/>
        <v>-85.498000000000005</v>
      </c>
      <c r="G6420">
        <v>34.283000000000001</v>
      </c>
      <c r="H6420">
        <v>1.4330000000000001</v>
      </c>
      <c r="I6420">
        <v>4.1589999999999998</v>
      </c>
      <c r="J6420">
        <v>4</v>
      </c>
      <c r="K6420">
        <v>22</v>
      </c>
      <c r="L6420">
        <v>11</v>
      </c>
      <c r="M6420">
        <v>1.778</v>
      </c>
    </row>
    <row r="6421" spans="1:13" ht="15" customHeight="1">
      <c r="A6421" t="s">
        <v>67</v>
      </c>
      <c r="B6421">
        <f t="shared" si="398"/>
        <v>33.699857000000002</v>
      </c>
      <c r="C6421">
        <f t="shared" si="399"/>
        <v>-117.856517</v>
      </c>
      <c r="D6421">
        <f t="shared" si="400"/>
        <v>41</v>
      </c>
      <c r="E6421">
        <v>127.498</v>
      </c>
      <c r="F6421">
        <f t="shared" si="401"/>
        <v>-86.498000000000005</v>
      </c>
      <c r="G6421">
        <v>33.4</v>
      </c>
      <c r="H6421">
        <v>1.345</v>
      </c>
      <c r="I6421">
        <v>4.0049999999999999</v>
      </c>
      <c r="J6421">
        <v>4</v>
      </c>
      <c r="K6421">
        <v>21</v>
      </c>
      <c r="L6421">
        <v>11</v>
      </c>
      <c r="M6421">
        <v>1.7150000000000001</v>
      </c>
    </row>
    <row r="6422" spans="1:13" ht="15" customHeight="1">
      <c r="A6422" t="s">
        <v>67</v>
      </c>
      <c r="B6422">
        <f t="shared" si="398"/>
        <v>33.699857000000002</v>
      </c>
      <c r="C6422">
        <f t="shared" si="399"/>
        <v>-117.856517</v>
      </c>
      <c r="D6422">
        <f t="shared" si="400"/>
        <v>41</v>
      </c>
      <c r="E6422">
        <v>128.49799999999999</v>
      </c>
      <c r="F6422">
        <f t="shared" si="401"/>
        <v>-87.49799999999999</v>
      </c>
      <c r="G6422">
        <v>35.133000000000003</v>
      </c>
      <c r="H6422">
        <v>1.5529999999999999</v>
      </c>
      <c r="I6422">
        <v>4.3940000000000001</v>
      </c>
      <c r="J6422">
        <v>4</v>
      </c>
      <c r="K6422">
        <v>23</v>
      </c>
      <c r="L6422">
        <v>12</v>
      </c>
      <c r="M6422">
        <v>1.829</v>
      </c>
    </row>
    <row r="6423" spans="1:13" ht="15" customHeight="1">
      <c r="A6423" t="s">
        <v>67</v>
      </c>
      <c r="B6423">
        <f t="shared" si="398"/>
        <v>33.699857000000002</v>
      </c>
      <c r="C6423">
        <f t="shared" si="399"/>
        <v>-117.856517</v>
      </c>
      <c r="D6423">
        <f t="shared" si="400"/>
        <v>41</v>
      </c>
      <c r="E6423">
        <v>129.49799999999999</v>
      </c>
      <c r="F6423">
        <f t="shared" si="401"/>
        <v>-88.49799999999999</v>
      </c>
      <c r="G6423">
        <v>32.366999999999997</v>
      </c>
      <c r="H6423">
        <v>1.4570000000000001</v>
      </c>
      <c r="I6423">
        <v>4.4610000000000003</v>
      </c>
      <c r="J6423">
        <v>4</v>
      </c>
      <c r="K6423">
        <v>21</v>
      </c>
      <c r="L6423">
        <v>11</v>
      </c>
      <c r="M6423">
        <v>1.6439999999999999</v>
      </c>
    </row>
    <row r="6424" spans="1:13" ht="15" customHeight="1">
      <c r="A6424" t="s">
        <v>67</v>
      </c>
      <c r="B6424">
        <f t="shared" si="398"/>
        <v>33.699857000000002</v>
      </c>
      <c r="C6424">
        <f t="shared" si="399"/>
        <v>-117.856517</v>
      </c>
      <c r="D6424">
        <f t="shared" si="400"/>
        <v>41</v>
      </c>
      <c r="E6424">
        <v>130.49799999999999</v>
      </c>
      <c r="F6424">
        <f t="shared" si="401"/>
        <v>-89.49799999999999</v>
      </c>
      <c r="G6424">
        <v>31.4</v>
      </c>
      <c r="H6424">
        <v>0</v>
      </c>
      <c r="I6424">
        <v>0</v>
      </c>
      <c r="J6424">
        <v>8</v>
      </c>
      <c r="K6424" s="1">
        <v>9000000000</v>
      </c>
      <c r="L6424" s="1">
        <v>9000000000</v>
      </c>
      <c r="M6424" s="1">
        <v>9000000000</v>
      </c>
    </row>
    <row r="6425" spans="1:13" ht="15" customHeight="1">
      <c r="A6425" t="s">
        <v>68</v>
      </c>
      <c r="B6425">
        <f t="shared" si="398"/>
        <v>33.699297000000001</v>
      </c>
      <c r="C6425">
        <f t="shared" si="399"/>
        <v>-117.854817</v>
      </c>
      <c r="D6425">
        <f t="shared" si="400"/>
        <v>41</v>
      </c>
      <c r="E6425">
        <v>0.5</v>
      </c>
      <c r="F6425">
        <f t="shared" si="401"/>
        <v>40.5</v>
      </c>
      <c r="G6425">
        <v>0.2</v>
      </c>
      <c r="H6425">
        <v>0.01</v>
      </c>
      <c r="I6425">
        <v>4.6150000000000002</v>
      </c>
      <c r="J6425">
        <v>2</v>
      </c>
      <c r="K6425">
        <v>0</v>
      </c>
      <c r="L6425">
        <v>0</v>
      </c>
      <c r="M6425">
        <v>1.2999999999999999E-2</v>
      </c>
    </row>
    <row r="6426" spans="1:13" ht="15" customHeight="1">
      <c r="A6426" t="s">
        <v>68</v>
      </c>
      <c r="B6426">
        <f t="shared" si="398"/>
        <v>33.699297000000001</v>
      </c>
      <c r="C6426">
        <f t="shared" si="399"/>
        <v>-117.854817</v>
      </c>
      <c r="D6426">
        <f t="shared" si="400"/>
        <v>41</v>
      </c>
      <c r="E6426">
        <v>1.5</v>
      </c>
      <c r="F6426">
        <f t="shared" si="401"/>
        <v>39.5</v>
      </c>
      <c r="G6426">
        <v>33.700000000000003</v>
      </c>
      <c r="H6426">
        <v>1.44</v>
      </c>
      <c r="I6426">
        <v>4.2439999999999998</v>
      </c>
      <c r="J6426">
        <v>4</v>
      </c>
      <c r="K6426">
        <v>22</v>
      </c>
      <c r="L6426">
        <v>33</v>
      </c>
      <c r="M6426">
        <v>2.2570000000000001</v>
      </c>
    </row>
    <row r="6427" spans="1:13" ht="15" customHeight="1">
      <c r="A6427" t="s">
        <v>68</v>
      </c>
      <c r="B6427">
        <f t="shared" si="398"/>
        <v>33.699297000000001</v>
      </c>
      <c r="C6427">
        <f t="shared" si="399"/>
        <v>-117.854817</v>
      </c>
      <c r="D6427">
        <f t="shared" si="400"/>
        <v>41</v>
      </c>
      <c r="E6427">
        <v>2.5</v>
      </c>
      <c r="F6427">
        <f t="shared" si="401"/>
        <v>38.5</v>
      </c>
      <c r="G6427">
        <v>26.617000000000001</v>
      </c>
      <c r="H6427">
        <v>1.0720000000000001</v>
      </c>
      <c r="I6427">
        <v>4.0289999999999999</v>
      </c>
      <c r="J6427">
        <v>4</v>
      </c>
      <c r="K6427">
        <v>17</v>
      </c>
      <c r="L6427">
        <v>26</v>
      </c>
      <c r="M6427">
        <v>1.764</v>
      </c>
    </row>
    <row r="6428" spans="1:13" ht="15" customHeight="1">
      <c r="A6428" t="s">
        <v>68</v>
      </c>
      <c r="B6428">
        <f t="shared" si="398"/>
        <v>33.699297000000001</v>
      </c>
      <c r="C6428">
        <f t="shared" si="399"/>
        <v>-117.854817</v>
      </c>
      <c r="D6428">
        <f t="shared" si="400"/>
        <v>41</v>
      </c>
      <c r="E6428">
        <v>3.5</v>
      </c>
      <c r="F6428">
        <f t="shared" si="401"/>
        <v>37.5</v>
      </c>
      <c r="G6428">
        <v>18.067</v>
      </c>
      <c r="H6428">
        <v>0.77300000000000002</v>
      </c>
      <c r="I6428">
        <v>4.2880000000000003</v>
      </c>
      <c r="J6428">
        <v>3</v>
      </c>
      <c r="K6428">
        <v>17</v>
      </c>
      <c r="L6428">
        <v>26</v>
      </c>
      <c r="M6428">
        <v>1.1890000000000001</v>
      </c>
    </row>
    <row r="6429" spans="1:13" ht="15" customHeight="1">
      <c r="A6429" t="s">
        <v>68</v>
      </c>
      <c r="B6429">
        <f t="shared" si="398"/>
        <v>33.699297000000001</v>
      </c>
      <c r="C6429">
        <f t="shared" si="399"/>
        <v>-117.854817</v>
      </c>
      <c r="D6429">
        <f t="shared" si="400"/>
        <v>41</v>
      </c>
      <c r="E6429">
        <v>4.5</v>
      </c>
      <c r="F6429">
        <f t="shared" si="401"/>
        <v>36.5</v>
      </c>
      <c r="G6429">
        <v>16.382999999999999</v>
      </c>
      <c r="H6429">
        <v>0.70199999999999996</v>
      </c>
      <c r="I6429">
        <v>4.2830000000000004</v>
      </c>
      <c r="J6429">
        <v>3</v>
      </c>
      <c r="K6429">
        <v>16</v>
      </c>
      <c r="L6429">
        <v>24</v>
      </c>
      <c r="M6429">
        <v>1.075</v>
      </c>
    </row>
    <row r="6430" spans="1:13" ht="15" customHeight="1">
      <c r="A6430" t="s">
        <v>68</v>
      </c>
      <c r="B6430">
        <f t="shared" si="398"/>
        <v>33.699297000000001</v>
      </c>
      <c r="C6430">
        <f t="shared" si="399"/>
        <v>-117.854817</v>
      </c>
      <c r="D6430">
        <f t="shared" si="400"/>
        <v>41</v>
      </c>
      <c r="E6430">
        <v>5.5</v>
      </c>
      <c r="F6430">
        <f t="shared" si="401"/>
        <v>35.5</v>
      </c>
      <c r="G6430">
        <v>18.433</v>
      </c>
      <c r="H6430">
        <v>0.873</v>
      </c>
      <c r="I6430">
        <v>4.742</v>
      </c>
      <c r="J6430">
        <v>3</v>
      </c>
      <c r="K6430">
        <v>18</v>
      </c>
      <c r="L6430">
        <v>27</v>
      </c>
      <c r="M6430">
        <v>1.206</v>
      </c>
    </row>
    <row r="6431" spans="1:13" ht="15" customHeight="1">
      <c r="A6431" t="s">
        <v>68</v>
      </c>
      <c r="B6431">
        <f t="shared" si="398"/>
        <v>33.699297000000001</v>
      </c>
      <c r="C6431">
        <f t="shared" si="399"/>
        <v>-117.854817</v>
      </c>
      <c r="D6431">
        <f t="shared" si="400"/>
        <v>41</v>
      </c>
      <c r="E6431">
        <v>6.5</v>
      </c>
      <c r="F6431">
        <f t="shared" si="401"/>
        <v>34.5</v>
      </c>
      <c r="G6431">
        <v>13.532999999999999</v>
      </c>
      <c r="H6431">
        <v>0.73799999999999999</v>
      </c>
      <c r="I6431">
        <v>5.4619999999999997</v>
      </c>
      <c r="J6431">
        <v>3</v>
      </c>
      <c r="K6431">
        <v>13</v>
      </c>
      <c r="L6431">
        <v>20</v>
      </c>
      <c r="M6431">
        <v>0.875</v>
      </c>
    </row>
    <row r="6432" spans="1:13" ht="15" customHeight="1">
      <c r="A6432" t="s">
        <v>68</v>
      </c>
      <c r="B6432">
        <f t="shared" si="398"/>
        <v>33.699297000000001</v>
      </c>
      <c r="C6432">
        <f t="shared" si="399"/>
        <v>-117.854817</v>
      </c>
      <c r="D6432">
        <f t="shared" si="400"/>
        <v>41</v>
      </c>
      <c r="E6432">
        <v>7.5</v>
      </c>
      <c r="F6432">
        <f t="shared" si="401"/>
        <v>33.5</v>
      </c>
      <c r="G6432">
        <v>8.9670000000000005</v>
      </c>
      <c r="H6432">
        <v>0.437</v>
      </c>
      <c r="I6432">
        <v>4.87</v>
      </c>
      <c r="J6432">
        <v>3</v>
      </c>
      <c r="K6432">
        <v>9</v>
      </c>
      <c r="L6432">
        <v>14</v>
      </c>
      <c r="M6432">
        <v>0.56799999999999995</v>
      </c>
    </row>
    <row r="6433" spans="1:13" ht="15" customHeight="1">
      <c r="A6433" t="s">
        <v>68</v>
      </c>
      <c r="B6433">
        <f t="shared" si="398"/>
        <v>33.699297000000001</v>
      </c>
      <c r="C6433">
        <f t="shared" si="399"/>
        <v>-117.854817</v>
      </c>
      <c r="D6433">
        <f t="shared" si="400"/>
        <v>41</v>
      </c>
      <c r="E6433">
        <v>8.5</v>
      </c>
      <c r="F6433">
        <f t="shared" si="401"/>
        <v>32.5</v>
      </c>
      <c r="G6433">
        <v>11.65</v>
      </c>
      <c r="H6433">
        <v>0.33</v>
      </c>
      <c r="I6433">
        <v>2.8370000000000002</v>
      </c>
      <c r="J6433">
        <v>4</v>
      </c>
      <c r="K6433">
        <v>7</v>
      </c>
      <c r="L6433">
        <v>11</v>
      </c>
      <c r="M6433">
        <v>0.74199999999999999</v>
      </c>
    </row>
    <row r="6434" spans="1:13" ht="15" customHeight="1">
      <c r="A6434" t="s">
        <v>68</v>
      </c>
      <c r="B6434">
        <f t="shared" si="398"/>
        <v>33.699297000000001</v>
      </c>
      <c r="C6434">
        <f t="shared" si="399"/>
        <v>-117.854817</v>
      </c>
      <c r="D6434">
        <f t="shared" si="400"/>
        <v>41</v>
      </c>
      <c r="E6434">
        <v>9.5</v>
      </c>
      <c r="F6434">
        <f t="shared" si="401"/>
        <v>31.5</v>
      </c>
      <c r="G6434">
        <v>7.6669999999999998</v>
      </c>
      <c r="H6434">
        <v>0.2</v>
      </c>
      <c r="I6434">
        <v>2.609</v>
      </c>
      <c r="J6434">
        <v>4</v>
      </c>
      <c r="K6434">
        <v>5</v>
      </c>
      <c r="L6434">
        <v>8</v>
      </c>
      <c r="M6434">
        <v>0.47299999999999998</v>
      </c>
    </row>
    <row r="6435" spans="1:13" ht="15" customHeight="1">
      <c r="A6435" t="s">
        <v>68</v>
      </c>
      <c r="B6435">
        <f t="shared" si="398"/>
        <v>33.699297000000001</v>
      </c>
      <c r="C6435">
        <f t="shared" si="399"/>
        <v>-117.854817</v>
      </c>
      <c r="D6435">
        <f t="shared" si="400"/>
        <v>41</v>
      </c>
      <c r="E6435">
        <v>10.5</v>
      </c>
      <c r="F6435">
        <f t="shared" si="401"/>
        <v>30.5</v>
      </c>
      <c r="G6435">
        <v>8.4710000000000001</v>
      </c>
      <c r="H6435">
        <v>0.29699999999999999</v>
      </c>
      <c r="I6435">
        <v>3.508</v>
      </c>
      <c r="J6435">
        <v>3</v>
      </c>
      <c r="K6435">
        <v>8</v>
      </c>
      <c r="L6435">
        <v>11</v>
      </c>
      <c r="M6435">
        <v>0.52300000000000002</v>
      </c>
    </row>
    <row r="6436" spans="1:13" ht="15" customHeight="1">
      <c r="A6436" t="s">
        <v>68</v>
      </c>
      <c r="B6436">
        <f t="shared" si="398"/>
        <v>33.699297000000001</v>
      </c>
      <c r="C6436">
        <f t="shared" si="399"/>
        <v>-117.854817</v>
      </c>
      <c r="D6436">
        <f t="shared" si="400"/>
        <v>41</v>
      </c>
      <c r="E6436">
        <v>11.5</v>
      </c>
      <c r="F6436">
        <f t="shared" si="401"/>
        <v>29.5</v>
      </c>
      <c r="G6436">
        <v>8.8170000000000002</v>
      </c>
      <c r="H6436">
        <v>0.29199999999999998</v>
      </c>
      <c r="I6436">
        <v>3.2890000000000001</v>
      </c>
      <c r="J6436">
        <v>3</v>
      </c>
      <c r="K6436">
        <v>8</v>
      </c>
      <c r="L6436">
        <v>11</v>
      </c>
      <c r="M6436">
        <v>0.54500000000000004</v>
      </c>
    </row>
    <row r="6437" spans="1:13" ht="15" customHeight="1">
      <c r="A6437" t="s">
        <v>68</v>
      </c>
      <c r="B6437">
        <f t="shared" si="398"/>
        <v>33.699297000000001</v>
      </c>
      <c r="C6437">
        <f t="shared" si="399"/>
        <v>-117.854817</v>
      </c>
      <c r="D6437">
        <f t="shared" si="400"/>
        <v>41</v>
      </c>
      <c r="E6437">
        <v>12.5</v>
      </c>
      <c r="F6437">
        <f t="shared" si="401"/>
        <v>28.5</v>
      </c>
      <c r="G6437">
        <v>9.1170000000000009</v>
      </c>
      <c r="H6437">
        <v>0.27800000000000002</v>
      </c>
      <c r="I6437">
        <v>3.0529999999999999</v>
      </c>
      <c r="J6437">
        <v>4</v>
      </c>
      <c r="K6437">
        <v>6</v>
      </c>
      <c r="L6437">
        <v>8</v>
      </c>
      <c r="M6437">
        <v>0.55800000000000005</v>
      </c>
    </row>
    <row r="6438" spans="1:13" ht="15" customHeight="1">
      <c r="A6438" t="s">
        <v>68</v>
      </c>
      <c r="B6438">
        <f t="shared" si="398"/>
        <v>33.699297000000001</v>
      </c>
      <c r="C6438">
        <f t="shared" si="399"/>
        <v>-117.854817</v>
      </c>
      <c r="D6438">
        <f t="shared" si="400"/>
        <v>41</v>
      </c>
      <c r="E6438">
        <v>13.5</v>
      </c>
      <c r="F6438">
        <f t="shared" si="401"/>
        <v>27.5</v>
      </c>
      <c r="G6438">
        <v>10.132999999999999</v>
      </c>
      <c r="H6438">
        <v>0.28499999999999998</v>
      </c>
      <c r="I6438">
        <v>2.7989999999999999</v>
      </c>
      <c r="J6438">
        <v>4</v>
      </c>
      <c r="K6438">
        <v>7</v>
      </c>
      <c r="L6438">
        <v>8</v>
      </c>
      <c r="M6438">
        <v>0.625</v>
      </c>
    </row>
    <row r="6439" spans="1:13" ht="15" customHeight="1">
      <c r="A6439" t="s">
        <v>68</v>
      </c>
      <c r="B6439">
        <f t="shared" si="398"/>
        <v>33.699297000000001</v>
      </c>
      <c r="C6439">
        <f t="shared" si="399"/>
        <v>-117.854817</v>
      </c>
      <c r="D6439">
        <f t="shared" si="400"/>
        <v>41</v>
      </c>
      <c r="E6439">
        <v>14.5</v>
      </c>
      <c r="F6439">
        <f t="shared" si="401"/>
        <v>26.5</v>
      </c>
      <c r="G6439">
        <v>10.867000000000001</v>
      </c>
      <c r="H6439">
        <v>0.32700000000000001</v>
      </c>
      <c r="I6439">
        <v>2.988</v>
      </c>
      <c r="J6439">
        <v>4</v>
      </c>
      <c r="K6439">
        <v>7</v>
      </c>
      <c r="L6439">
        <v>8</v>
      </c>
      <c r="M6439">
        <v>0.67100000000000004</v>
      </c>
    </row>
    <row r="6440" spans="1:13" ht="15" customHeight="1">
      <c r="A6440" t="s">
        <v>68</v>
      </c>
      <c r="B6440">
        <f t="shared" si="398"/>
        <v>33.699297000000001</v>
      </c>
      <c r="C6440">
        <f t="shared" si="399"/>
        <v>-117.854817</v>
      </c>
      <c r="D6440">
        <f t="shared" si="400"/>
        <v>41</v>
      </c>
      <c r="E6440">
        <v>15.5</v>
      </c>
      <c r="F6440">
        <f t="shared" si="401"/>
        <v>25.5</v>
      </c>
      <c r="G6440">
        <v>10</v>
      </c>
      <c r="H6440">
        <v>0.377</v>
      </c>
      <c r="I6440">
        <v>3.742</v>
      </c>
      <c r="J6440">
        <v>3</v>
      </c>
      <c r="K6440">
        <v>10</v>
      </c>
      <c r="L6440">
        <v>11</v>
      </c>
      <c r="M6440">
        <v>0.60899999999999999</v>
      </c>
    </row>
    <row r="6441" spans="1:13" ht="15" customHeight="1">
      <c r="A6441" t="s">
        <v>68</v>
      </c>
      <c r="B6441">
        <f t="shared" si="398"/>
        <v>33.699297000000001</v>
      </c>
      <c r="C6441">
        <f t="shared" si="399"/>
        <v>-117.854817</v>
      </c>
      <c r="D6441">
        <f t="shared" si="400"/>
        <v>41</v>
      </c>
      <c r="E6441">
        <v>16.5</v>
      </c>
      <c r="F6441">
        <f t="shared" si="401"/>
        <v>24.5</v>
      </c>
      <c r="G6441">
        <v>4.95</v>
      </c>
      <c r="H6441">
        <v>0.128</v>
      </c>
      <c r="I6441">
        <v>2.5409999999999999</v>
      </c>
      <c r="J6441">
        <v>3</v>
      </c>
      <c r="K6441">
        <v>5</v>
      </c>
      <c r="L6441">
        <v>5</v>
      </c>
      <c r="M6441">
        <v>0.27100000000000002</v>
      </c>
    </row>
    <row r="6442" spans="1:13" ht="15" customHeight="1">
      <c r="A6442" t="s">
        <v>68</v>
      </c>
      <c r="B6442">
        <f t="shared" si="398"/>
        <v>33.699297000000001</v>
      </c>
      <c r="C6442">
        <f t="shared" si="399"/>
        <v>-117.854817</v>
      </c>
      <c r="D6442">
        <f t="shared" si="400"/>
        <v>41</v>
      </c>
      <c r="E6442">
        <v>17.5</v>
      </c>
      <c r="F6442">
        <f t="shared" si="401"/>
        <v>23.5</v>
      </c>
      <c r="G6442">
        <v>5.7169999999999996</v>
      </c>
      <c r="H6442">
        <v>0.13</v>
      </c>
      <c r="I6442">
        <v>2.2480000000000002</v>
      </c>
      <c r="J6442">
        <v>4</v>
      </c>
      <c r="K6442">
        <v>4</v>
      </c>
      <c r="L6442">
        <v>4</v>
      </c>
      <c r="M6442">
        <v>0.316</v>
      </c>
    </row>
    <row r="6443" spans="1:13" ht="15" customHeight="1">
      <c r="A6443" t="s">
        <v>68</v>
      </c>
      <c r="B6443">
        <f t="shared" si="398"/>
        <v>33.699297000000001</v>
      </c>
      <c r="C6443">
        <f t="shared" si="399"/>
        <v>-117.854817</v>
      </c>
      <c r="D6443">
        <f t="shared" si="400"/>
        <v>41</v>
      </c>
      <c r="E6443">
        <v>18.5</v>
      </c>
      <c r="F6443">
        <f t="shared" si="401"/>
        <v>22.5</v>
      </c>
      <c r="G6443">
        <v>5.25</v>
      </c>
      <c r="H6443">
        <v>0.13200000000000001</v>
      </c>
      <c r="I6443">
        <v>2.4689999999999999</v>
      </c>
      <c r="J6443">
        <v>3</v>
      </c>
      <c r="K6443">
        <v>5</v>
      </c>
      <c r="L6443">
        <v>5</v>
      </c>
      <c r="M6443">
        <v>0.28199999999999997</v>
      </c>
    </row>
    <row r="6444" spans="1:13" ht="15" customHeight="1">
      <c r="A6444" t="s">
        <v>68</v>
      </c>
      <c r="B6444">
        <f t="shared" si="398"/>
        <v>33.699297000000001</v>
      </c>
      <c r="C6444">
        <f t="shared" si="399"/>
        <v>-117.854817</v>
      </c>
      <c r="D6444">
        <f t="shared" si="400"/>
        <v>41</v>
      </c>
      <c r="E6444">
        <v>19.5</v>
      </c>
      <c r="F6444">
        <f t="shared" si="401"/>
        <v>21.5</v>
      </c>
      <c r="G6444">
        <v>11.75</v>
      </c>
      <c r="H6444">
        <v>0.40200000000000002</v>
      </c>
      <c r="I6444">
        <v>3.4180000000000001</v>
      </c>
      <c r="J6444">
        <v>4</v>
      </c>
      <c r="K6444">
        <v>8</v>
      </c>
      <c r="L6444">
        <v>7</v>
      </c>
      <c r="M6444">
        <v>0.70499999999999996</v>
      </c>
    </row>
    <row r="6445" spans="1:13" ht="15" customHeight="1">
      <c r="A6445" t="s">
        <v>68</v>
      </c>
      <c r="B6445">
        <f t="shared" si="398"/>
        <v>33.699297000000001</v>
      </c>
      <c r="C6445">
        <f t="shared" si="399"/>
        <v>-117.854817</v>
      </c>
      <c r="D6445">
        <f t="shared" si="400"/>
        <v>41</v>
      </c>
      <c r="E6445">
        <v>20.5</v>
      </c>
      <c r="F6445">
        <f t="shared" si="401"/>
        <v>20.5</v>
      </c>
      <c r="G6445">
        <v>39.299999999999997</v>
      </c>
      <c r="H6445">
        <v>1.2090000000000001</v>
      </c>
      <c r="I6445">
        <v>3.08</v>
      </c>
      <c r="J6445">
        <v>5</v>
      </c>
      <c r="K6445">
        <v>19</v>
      </c>
      <c r="L6445">
        <v>16</v>
      </c>
      <c r="M6445">
        <v>2.5339999999999998</v>
      </c>
    </row>
    <row r="6446" spans="1:13" ht="15" customHeight="1">
      <c r="A6446" t="s">
        <v>68</v>
      </c>
      <c r="B6446">
        <f t="shared" si="398"/>
        <v>33.699297000000001</v>
      </c>
      <c r="C6446">
        <f t="shared" si="399"/>
        <v>-117.854817</v>
      </c>
      <c r="D6446">
        <f t="shared" si="400"/>
        <v>41</v>
      </c>
      <c r="E6446">
        <v>21.5</v>
      </c>
      <c r="F6446">
        <f t="shared" si="401"/>
        <v>19.5</v>
      </c>
      <c r="G6446">
        <v>71.650000000000006</v>
      </c>
      <c r="H6446">
        <v>3.4119999999999999</v>
      </c>
      <c r="I6446">
        <v>4.7619999999999996</v>
      </c>
      <c r="J6446">
        <v>11</v>
      </c>
      <c r="K6446">
        <v>69</v>
      </c>
      <c r="L6446">
        <v>57</v>
      </c>
      <c r="M6446" s="1">
        <v>9000000000</v>
      </c>
    </row>
    <row r="6447" spans="1:13" ht="15" customHeight="1">
      <c r="A6447" t="s">
        <v>68</v>
      </c>
      <c r="B6447">
        <f t="shared" si="398"/>
        <v>33.699297000000001</v>
      </c>
      <c r="C6447">
        <f t="shared" si="399"/>
        <v>-117.854817</v>
      </c>
      <c r="D6447">
        <f t="shared" si="400"/>
        <v>41</v>
      </c>
      <c r="E6447">
        <v>22.5</v>
      </c>
      <c r="F6447">
        <f t="shared" si="401"/>
        <v>18.5</v>
      </c>
      <c r="G6447">
        <v>48.683</v>
      </c>
      <c r="H6447">
        <v>2.5470000000000002</v>
      </c>
      <c r="I6447">
        <v>5.2290000000000001</v>
      </c>
      <c r="J6447">
        <v>3</v>
      </c>
      <c r="K6447">
        <v>47</v>
      </c>
      <c r="L6447">
        <v>37</v>
      </c>
      <c r="M6447">
        <v>3.1560000000000001</v>
      </c>
    </row>
    <row r="6448" spans="1:13" ht="15" customHeight="1">
      <c r="A6448" t="s">
        <v>68</v>
      </c>
      <c r="B6448">
        <f t="shared" si="398"/>
        <v>33.699297000000001</v>
      </c>
      <c r="C6448">
        <f t="shared" si="399"/>
        <v>-117.854817</v>
      </c>
      <c r="D6448">
        <f t="shared" si="400"/>
        <v>41</v>
      </c>
      <c r="E6448">
        <v>23.5</v>
      </c>
      <c r="F6448">
        <f t="shared" si="401"/>
        <v>17.5</v>
      </c>
      <c r="G6448">
        <v>41.383000000000003</v>
      </c>
      <c r="H6448">
        <v>1.96</v>
      </c>
      <c r="I6448">
        <v>4.7359999999999998</v>
      </c>
      <c r="J6448">
        <v>4</v>
      </c>
      <c r="K6448">
        <v>26</v>
      </c>
      <c r="L6448">
        <v>20</v>
      </c>
      <c r="M6448">
        <v>2.6640000000000001</v>
      </c>
    </row>
    <row r="6449" spans="1:13" ht="15" customHeight="1">
      <c r="A6449" t="s">
        <v>68</v>
      </c>
      <c r="B6449">
        <f t="shared" si="398"/>
        <v>33.699297000000001</v>
      </c>
      <c r="C6449">
        <f t="shared" si="399"/>
        <v>-117.854817</v>
      </c>
      <c r="D6449">
        <f t="shared" si="400"/>
        <v>41</v>
      </c>
      <c r="E6449">
        <v>24.5</v>
      </c>
      <c r="F6449">
        <f t="shared" si="401"/>
        <v>16.5</v>
      </c>
      <c r="G6449">
        <v>31.95</v>
      </c>
      <c r="H6449">
        <v>1.9470000000000001</v>
      </c>
      <c r="I6449">
        <v>6.0960000000000001</v>
      </c>
      <c r="J6449">
        <v>3</v>
      </c>
      <c r="K6449">
        <v>31</v>
      </c>
      <c r="L6449">
        <v>23</v>
      </c>
      <c r="M6449">
        <v>2.0299999999999998</v>
      </c>
    </row>
    <row r="6450" spans="1:13" ht="15" customHeight="1">
      <c r="A6450" t="s">
        <v>68</v>
      </c>
      <c r="B6450">
        <f t="shared" si="398"/>
        <v>33.699297000000001</v>
      </c>
      <c r="C6450">
        <f t="shared" si="399"/>
        <v>-117.854817</v>
      </c>
      <c r="D6450">
        <f t="shared" si="400"/>
        <v>41</v>
      </c>
      <c r="E6450">
        <v>25.5</v>
      </c>
      <c r="F6450">
        <f t="shared" si="401"/>
        <v>15.5</v>
      </c>
      <c r="G6450">
        <v>114.033</v>
      </c>
      <c r="H6450">
        <v>2.1429999999999998</v>
      </c>
      <c r="I6450">
        <v>1.88</v>
      </c>
      <c r="J6450">
        <v>7</v>
      </c>
      <c r="K6450">
        <v>36</v>
      </c>
      <c r="L6450">
        <v>26</v>
      </c>
      <c r="M6450" s="1">
        <v>9000000000</v>
      </c>
    </row>
    <row r="6451" spans="1:13" ht="15" customHeight="1">
      <c r="A6451" t="s">
        <v>68</v>
      </c>
      <c r="B6451">
        <f t="shared" si="398"/>
        <v>33.699297000000001</v>
      </c>
      <c r="C6451">
        <f t="shared" si="399"/>
        <v>-117.854817</v>
      </c>
      <c r="D6451">
        <f t="shared" si="400"/>
        <v>41</v>
      </c>
      <c r="E6451">
        <v>26.5</v>
      </c>
      <c r="F6451">
        <f t="shared" si="401"/>
        <v>14.5</v>
      </c>
      <c r="G6451">
        <v>259.46699999999998</v>
      </c>
      <c r="H6451">
        <v>1.32</v>
      </c>
      <c r="I6451">
        <v>0.50900000000000001</v>
      </c>
      <c r="J6451">
        <v>9</v>
      </c>
      <c r="K6451">
        <v>50</v>
      </c>
      <c r="L6451">
        <v>36</v>
      </c>
      <c r="M6451" s="1">
        <v>9000000000</v>
      </c>
    </row>
    <row r="6452" spans="1:13" ht="15" customHeight="1">
      <c r="A6452" t="s">
        <v>68</v>
      </c>
      <c r="B6452">
        <f t="shared" si="398"/>
        <v>33.699297000000001</v>
      </c>
      <c r="C6452">
        <f t="shared" si="399"/>
        <v>-117.854817</v>
      </c>
      <c r="D6452">
        <f t="shared" si="400"/>
        <v>41</v>
      </c>
      <c r="E6452">
        <v>27.5</v>
      </c>
      <c r="F6452">
        <f t="shared" si="401"/>
        <v>13.5</v>
      </c>
      <c r="G6452">
        <v>151.06700000000001</v>
      </c>
      <c r="H6452">
        <v>1.462</v>
      </c>
      <c r="I6452">
        <v>0.96799999999999997</v>
      </c>
      <c r="J6452">
        <v>9</v>
      </c>
      <c r="K6452">
        <v>29</v>
      </c>
      <c r="L6452">
        <v>20</v>
      </c>
      <c r="M6452" s="1">
        <v>9000000000</v>
      </c>
    </row>
    <row r="6453" spans="1:13" ht="15" customHeight="1">
      <c r="A6453" t="s">
        <v>68</v>
      </c>
      <c r="B6453">
        <f t="shared" si="398"/>
        <v>33.699297000000001</v>
      </c>
      <c r="C6453">
        <f t="shared" si="399"/>
        <v>-117.854817</v>
      </c>
      <c r="D6453">
        <f t="shared" si="400"/>
        <v>41</v>
      </c>
      <c r="E6453">
        <v>28.5</v>
      </c>
      <c r="F6453">
        <f t="shared" si="401"/>
        <v>12.5</v>
      </c>
      <c r="G6453">
        <v>41.582999999999998</v>
      </c>
      <c r="H6453">
        <v>1.9279999999999999</v>
      </c>
      <c r="I6453">
        <v>4.6479999999999997</v>
      </c>
      <c r="J6453">
        <v>4</v>
      </c>
      <c r="K6453">
        <v>26</v>
      </c>
      <c r="L6453">
        <v>18</v>
      </c>
      <c r="M6453">
        <v>2.65</v>
      </c>
    </row>
    <row r="6454" spans="1:13" ht="15" customHeight="1">
      <c r="A6454" t="s">
        <v>68</v>
      </c>
      <c r="B6454">
        <f t="shared" si="398"/>
        <v>33.699297000000001</v>
      </c>
      <c r="C6454">
        <f t="shared" si="399"/>
        <v>-117.854817</v>
      </c>
      <c r="D6454">
        <f t="shared" si="400"/>
        <v>41</v>
      </c>
      <c r="E6454">
        <v>29.5</v>
      </c>
      <c r="F6454">
        <f t="shared" si="401"/>
        <v>11.5</v>
      </c>
      <c r="G6454">
        <v>37.799999999999997</v>
      </c>
      <c r="H6454">
        <v>2.0299999999999998</v>
      </c>
      <c r="I6454">
        <v>5.375</v>
      </c>
      <c r="J6454">
        <v>3</v>
      </c>
      <c r="K6454">
        <v>36</v>
      </c>
      <c r="L6454">
        <v>24</v>
      </c>
      <c r="M6454">
        <v>2.3980000000000001</v>
      </c>
    </row>
    <row r="6455" spans="1:13" ht="15" customHeight="1">
      <c r="A6455" t="s">
        <v>68</v>
      </c>
      <c r="B6455">
        <f t="shared" si="398"/>
        <v>33.699297000000001</v>
      </c>
      <c r="C6455">
        <f t="shared" si="399"/>
        <v>-117.854817</v>
      </c>
      <c r="D6455">
        <f t="shared" si="400"/>
        <v>41</v>
      </c>
      <c r="E6455">
        <v>30.5</v>
      </c>
      <c r="F6455">
        <f t="shared" si="401"/>
        <v>10.5</v>
      </c>
      <c r="G6455">
        <v>26.882999999999999</v>
      </c>
      <c r="H6455">
        <v>1.1950000000000001</v>
      </c>
      <c r="I6455">
        <v>4.4509999999999996</v>
      </c>
      <c r="J6455">
        <v>4</v>
      </c>
      <c r="K6455">
        <v>17</v>
      </c>
      <c r="L6455">
        <v>11</v>
      </c>
      <c r="M6455">
        <v>1.6659999999999999</v>
      </c>
    </row>
    <row r="6456" spans="1:13" ht="15" customHeight="1">
      <c r="A6456" t="s">
        <v>68</v>
      </c>
      <c r="B6456">
        <f t="shared" si="398"/>
        <v>33.699297000000001</v>
      </c>
      <c r="C6456">
        <f t="shared" si="399"/>
        <v>-117.854817</v>
      </c>
      <c r="D6456">
        <f t="shared" si="400"/>
        <v>41</v>
      </c>
      <c r="E6456">
        <v>31.5</v>
      </c>
      <c r="F6456">
        <f t="shared" si="401"/>
        <v>9.5</v>
      </c>
      <c r="G6456">
        <v>51.771000000000001</v>
      </c>
      <c r="H6456">
        <v>1.3069999999999999</v>
      </c>
      <c r="I6456">
        <v>2.5259999999999998</v>
      </c>
      <c r="J6456">
        <v>6</v>
      </c>
      <c r="K6456">
        <v>20</v>
      </c>
      <c r="L6456">
        <v>13</v>
      </c>
      <c r="M6456">
        <v>3.323</v>
      </c>
    </row>
    <row r="6457" spans="1:13" ht="15" customHeight="1">
      <c r="A6457" t="s">
        <v>68</v>
      </c>
      <c r="B6457">
        <f t="shared" si="398"/>
        <v>33.699297000000001</v>
      </c>
      <c r="C6457">
        <f t="shared" si="399"/>
        <v>-117.854817</v>
      </c>
      <c r="D6457">
        <f t="shared" si="400"/>
        <v>41</v>
      </c>
      <c r="E6457">
        <v>32.5</v>
      </c>
      <c r="F6457">
        <f t="shared" si="401"/>
        <v>8.5</v>
      </c>
      <c r="G6457">
        <v>72.433000000000007</v>
      </c>
      <c r="H6457">
        <v>2.8969999999999998</v>
      </c>
      <c r="I6457">
        <v>4.0030000000000001</v>
      </c>
      <c r="J6457">
        <v>5</v>
      </c>
      <c r="K6457">
        <v>35</v>
      </c>
      <c r="L6457">
        <v>23</v>
      </c>
      <c r="M6457">
        <v>4.6920000000000002</v>
      </c>
    </row>
    <row r="6458" spans="1:13" ht="15" customHeight="1">
      <c r="A6458" t="s">
        <v>68</v>
      </c>
      <c r="B6458">
        <f t="shared" si="398"/>
        <v>33.699297000000001</v>
      </c>
      <c r="C6458">
        <f t="shared" si="399"/>
        <v>-117.854817</v>
      </c>
      <c r="D6458">
        <f t="shared" si="400"/>
        <v>41</v>
      </c>
      <c r="E6458">
        <v>33.5</v>
      </c>
      <c r="F6458">
        <f t="shared" si="401"/>
        <v>7.5</v>
      </c>
      <c r="G6458">
        <v>39.85</v>
      </c>
      <c r="H6458">
        <v>1.8049999999999999</v>
      </c>
      <c r="I6458">
        <v>4.5389999999999997</v>
      </c>
      <c r="J6458">
        <v>4</v>
      </c>
      <c r="K6458">
        <v>25</v>
      </c>
      <c r="L6458">
        <v>16</v>
      </c>
      <c r="M6458">
        <v>2.5150000000000001</v>
      </c>
    </row>
    <row r="6459" spans="1:13" ht="15" customHeight="1">
      <c r="A6459" t="s">
        <v>68</v>
      </c>
      <c r="B6459">
        <f t="shared" si="398"/>
        <v>33.699297000000001</v>
      </c>
      <c r="C6459">
        <f t="shared" si="399"/>
        <v>-117.854817</v>
      </c>
      <c r="D6459">
        <f t="shared" si="400"/>
        <v>41</v>
      </c>
      <c r="E6459">
        <v>34.5</v>
      </c>
      <c r="F6459">
        <f t="shared" si="401"/>
        <v>6.5</v>
      </c>
      <c r="G6459">
        <v>19.132999999999999</v>
      </c>
      <c r="H6459">
        <v>0.86</v>
      </c>
      <c r="I6459">
        <v>4.5069999999999997</v>
      </c>
      <c r="J6459">
        <v>3</v>
      </c>
      <c r="K6459">
        <v>18</v>
      </c>
      <c r="L6459">
        <v>11</v>
      </c>
      <c r="M6459">
        <v>1.1319999999999999</v>
      </c>
    </row>
    <row r="6460" spans="1:13" ht="15" customHeight="1">
      <c r="A6460" t="s">
        <v>68</v>
      </c>
      <c r="B6460">
        <f t="shared" si="398"/>
        <v>33.699297000000001</v>
      </c>
      <c r="C6460">
        <f t="shared" si="399"/>
        <v>-117.854817</v>
      </c>
      <c r="D6460">
        <f t="shared" si="400"/>
        <v>41</v>
      </c>
      <c r="E6460">
        <v>35.5</v>
      </c>
      <c r="F6460">
        <f t="shared" si="401"/>
        <v>5.5</v>
      </c>
      <c r="G6460">
        <v>75.3</v>
      </c>
      <c r="H6460">
        <v>1.8879999999999999</v>
      </c>
      <c r="I6460">
        <v>2.5089999999999999</v>
      </c>
      <c r="J6460">
        <v>6</v>
      </c>
      <c r="K6460">
        <v>29</v>
      </c>
      <c r="L6460">
        <v>18</v>
      </c>
      <c r="M6460">
        <v>4.8719999999999999</v>
      </c>
    </row>
    <row r="6461" spans="1:13" ht="15" customHeight="1">
      <c r="A6461" t="s">
        <v>68</v>
      </c>
      <c r="B6461">
        <f t="shared" si="398"/>
        <v>33.699297000000001</v>
      </c>
      <c r="C6461">
        <f t="shared" si="399"/>
        <v>-117.854817</v>
      </c>
      <c r="D6461">
        <f t="shared" si="400"/>
        <v>41</v>
      </c>
      <c r="E6461">
        <v>36.5</v>
      </c>
      <c r="F6461">
        <f t="shared" si="401"/>
        <v>4.5</v>
      </c>
      <c r="G6461">
        <v>202.31700000000001</v>
      </c>
      <c r="H6461">
        <v>1.1950000000000001</v>
      </c>
      <c r="I6461">
        <v>0.59099999999999997</v>
      </c>
      <c r="J6461">
        <v>9</v>
      </c>
      <c r="K6461">
        <v>39</v>
      </c>
      <c r="L6461">
        <v>24</v>
      </c>
      <c r="M6461" s="1">
        <v>9000000000</v>
      </c>
    </row>
    <row r="6462" spans="1:13" ht="15" customHeight="1">
      <c r="A6462" t="s">
        <v>68</v>
      </c>
      <c r="B6462">
        <f t="shared" si="398"/>
        <v>33.699297000000001</v>
      </c>
      <c r="C6462">
        <f t="shared" si="399"/>
        <v>-117.854817</v>
      </c>
      <c r="D6462">
        <f t="shared" si="400"/>
        <v>41</v>
      </c>
      <c r="E6462">
        <v>37.5</v>
      </c>
      <c r="F6462">
        <f t="shared" si="401"/>
        <v>3.5</v>
      </c>
      <c r="G6462">
        <v>121.15</v>
      </c>
      <c r="H6462">
        <v>1.5429999999999999</v>
      </c>
      <c r="I6462">
        <v>1.2729999999999999</v>
      </c>
      <c r="J6462">
        <v>8</v>
      </c>
      <c r="K6462">
        <v>29</v>
      </c>
      <c r="L6462">
        <v>18</v>
      </c>
      <c r="M6462" s="1">
        <v>9000000000</v>
      </c>
    </row>
    <row r="6463" spans="1:13" ht="15" customHeight="1">
      <c r="A6463" t="s">
        <v>68</v>
      </c>
      <c r="B6463">
        <f t="shared" si="398"/>
        <v>33.699297000000001</v>
      </c>
      <c r="C6463">
        <f t="shared" si="399"/>
        <v>-117.854817</v>
      </c>
      <c r="D6463">
        <f t="shared" si="400"/>
        <v>41</v>
      </c>
      <c r="E6463">
        <v>38.5</v>
      </c>
      <c r="F6463">
        <f t="shared" si="401"/>
        <v>2.5</v>
      </c>
      <c r="G6463">
        <v>36.067</v>
      </c>
      <c r="H6463">
        <v>1.2949999999999999</v>
      </c>
      <c r="I6463">
        <v>3.5819999999999999</v>
      </c>
      <c r="J6463">
        <v>5</v>
      </c>
      <c r="K6463">
        <v>17</v>
      </c>
      <c r="L6463">
        <v>10</v>
      </c>
      <c r="M6463">
        <v>2.2530000000000001</v>
      </c>
    </row>
    <row r="6464" spans="1:13" ht="15" customHeight="1">
      <c r="A6464" t="s">
        <v>68</v>
      </c>
      <c r="B6464">
        <f t="shared" si="398"/>
        <v>33.699297000000001</v>
      </c>
      <c r="C6464">
        <f t="shared" si="399"/>
        <v>-117.854817</v>
      </c>
      <c r="D6464">
        <f t="shared" si="400"/>
        <v>41</v>
      </c>
      <c r="E6464">
        <v>39.5</v>
      </c>
      <c r="F6464">
        <f t="shared" si="401"/>
        <v>1.5</v>
      </c>
      <c r="G6464">
        <v>55.45</v>
      </c>
      <c r="H6464">
        <v>1.8320000000000001</v>
      </c>
      <c r="I6464">
        <v>3.3029999999999999</v>
      </c>
      <c r="J6464">
        <v>5</v>
      </c>
      <c r="K6464">
        <v>27</v>
      </c>
      <c r="L6464">
        <v>16</v>
      </c>
      <c r="M6464">
        <v>3.5350000000000001</v>
      </c>
    </row>
    <row r="6465" spans="1:13" ht="15" customHeight="1">
      <c r="A6465" t="s">
        <v>68</v>
      </c>
      <c r="B6465">
        <f t="shared" si="398"/>
        <v>33.699297000000001</v>
      </c>
      <c r="C6465">
        <f t="shared" si="399"/>
        <v>-117.854817</v>
      </c>
      <c r="D6465">
        <f t="shared" si="400"/>
        <v>41</v>
      </c>
      <c r="E6465">
        <v>40.5</v>
      </c>
      <c r="F6465">
        <f t="shared" si="401"/>
        <v>0.5</v>
      </c>
      <c r="G6465">
        <v>53.982999999999997</v>
      </c>
      <c r="H6465">
        <v>2.6480000000000001</v>
      </c>
      <c r="I6465">
        <v>4.9119999999999999</v>
      </c>
      <c r="J6465">
        <v>4</v>
      </c>
      <c r="K6465">
        <v>34</v>
      </c>
      <c r="L6465">
        <v>20</v>
      </c>
      <c r="M6465">
        <v>3.4289999999999998</v>
      </c>
    </row>
    <row r="6466" spans="1:13" ht="15" customHeight="1">
      <c r="A6466" t="s">
        <v>68</v>
      </c>
      <c r="B6466">
        <f t="shared" ref="B6466:B6529" si="402">VLOOKUP(A6466,XYdata,3,FALSE)</f>
        <v>33.699297000000001</v>
      </c>
      <c r="C6466">
        <f t="shared" ref="C6466:C6529" si="403">VLOOKUP(A6466,XYdata,2,FALSE)</f>
        <v>-117.854817</v>
      </c>
      <c r="D6466">
        <f t="shared" ref="D6466:D6529" si="404">VLOOKUP(A6466,Elevation,2,FALSE)</f>
        <v>41</v>
      </c>
      <c r="E6466">
        <v>41.499000000000002</v>
      </c>
      <c r="F6466">
        <f t="shared" si="401"/>
        <v>-0.49900000000000233</v>
      </c>
      <c r="G6466">
        <v>71.2</v>
      </c>
      <c r="H6466">
        <v>2.0539999999999998</v>
      </c>
      <c r="I6466">
        <v>2.8879999999999999</v>
      </c>
      <c r="J6466">
        <v>6</v>
      </c>
      <c r="K6466">
        <v>27</v>
      </c>
      <c r="L6466">
        <v>16</v>
      </c>
      <c r="M6466">
        <v>4.5730000000000004</v>
      </c>
    </row>
    <row r="6467" spans="1:13" ht="15" customHeight="1">
      <c r="A6467" t="s">
        <v>68</v>
      </c>
      <c r="B6467">
        <f t="shared" si="402"/>
        <v>33.699297000000001</v>
      </c>
      <c r="C6467">
        <f t="shared" si="403"/>
        <v>-117.854817</v>
      </c>
      <c r="D6467">
        <f t="shared" si="404"/>
        <v>41</v>
      </c>
      <c r="E6467">
        <v>42.499000000000002</v>
      </c>
      <c r="F6467">
        <f t="shared" ref="F6467:F6530" si="405">D6467-E6467</f>
        <v>-1.4990000000000023</v>
      </c>
      <c r="G6467">
        <v>93.65</v>
      </c>
      <c r="H6467">
        <v>2.552</v>
      </c>
      <c r="I6467">
        <v>2.726</v>
      </c>
      <c r="J6467">
        <v>6</v>
      </c>
      <c r="K6467">
        <v>36</v>
      </c>
      <c r="L6467">
        <v>21</v>
      </c>
      <c r="M6467">
        <v>6.0670000000000002</v>
      </c>
    </row>
    <row r="6468" spans="1:13" ht="15" customHeight="1">
      <c r="A6468" t="s">
        <v>68</v>
      </c>
      <c r="B6468">
        <f t="shared" si="402"/>
        <v>33.699297000000001</v>
      </c>
      <c r="C6468">
        <f t="shared" si="403"/>
        <v>-117.854817</v>
      </c>
      <c r="D6468">
        <f t="shared" si="404"/>
        <v>41</v>
      </c>
      <c r="E6468">
        <v>43.499000000000002</v>
      </c>
      <c r="F6468">
        <f t="shared" si="405"/>
        <v>-2.4990000000000023</v>
      </c>
      <c r="G6468">
        <v>190.28299999999999</v>
      </c>
      <c r="H6468">
        <v>2.323</v>
      </c>
      <c r="I6468">
        <v>1.222</v>
      </c>
      <c r="J6468">
        <v>8</v>
      </c>
      <c r="K6468">
        <v>46</v>
      </c>
      <c r="L6468">
        <v>26</v>
      </c>
      <c r="M6468" s="1">
        <v>9000000000</v>
      </c>
    </row>
    <row r="6469" spans="1:13" ht="15" customHeight="1">
      <c r="A6469" t="s">
        <v>68</v>
      </c>
      <c r="B6469">
        <f t="shared" si="402"/>
        <v>33.699297000000001</v>
      </c>
      <c r="C6469">
        <f t="shared" si="403"/>
        <v>-117.854817</v>
      </c>
      <c r="D6469">
        <f t="shared" si="404"/>
        <v>41</v>
      </c>
      <c r="E6469">
        <v>44.499000000000002</v>
      </c>
      <c r="F6469">
        <f t="shared" si="405"/>
        <v>-3.4990000000000023</v>
      </c>
      <c r="G6469">
        <v>223.7</v>
      </c>
      <c r="H6469">
        <v>1.917</v>
      </c>
      <c r="I6469">
        <v>0.85699999999999998</v>
      </c>
      <c r="J6469">
        <v>9</v>
      </c>
      <c r="K6469">
        <v>43</v>
      </c>
      <c r="L6469">
        <v>24</v>
      </c>
      <c r="M6469" s="1">
        <v>9000000000</v>
      </c>
    </row>
    <row r="6470" spans="1:13" ht="15" customHeight="1">
      <c r="A6470" t="s">
        <v>68</v>
      </c>
      <c r="B6470">
        <f t="shared" si="402"/>
        <v>33.699297000000001</v>
      </c>
      <c r="C6470">
        <f t="shared" si="403"/>
        <v>-117.854817</v>
      </c>
      <c r="D6470">
        <f t="shared" si="404"/>
        <v>41</v>
      </c>
      <c r="E6470">
        <v>45.499000000000002</v>
      </c>
      <c r="F6470">
        <f t="shared" si="405"/>
        <v>-4.4990000000000023</v>
      </c>
      <c r="G6470">
        <v>237.38300000000001</v>
      </c>
      <c r="H6470">
        <v>2.1230000000000002</v>
      </c>
      <c r="I6470">
        <v>0.89400000000000002</v>
      </c>
      <c r="J6470">
        <v>9</v>
      </c>
      <c r="K6470">
        <v>45</v>
      </c>
      <c r="L6470">
        <v>25</v>
      </c>
      <c r="M6470" s="1">
        <v>9000000000</v>
      </c>
    </row>
    <row r="6471" spans="1:13" ht="15" customHeight="1">
      <c r="A6471" t="s">
        <v>68</v>
      </c>
      <c r="B6471">
        <f t="shared" si="402"/>
        <v>33.699297000000001</v>
      </c>
      <c r="C6471">
        <f t="shared" si="403"/>
        <v>-117.854817</v>
      </c>
      <c r="D6471">
        <f t="shared" si="404"/>
        <v>41</v>
      </c>
      <c r="E6471">
        <v>46.499000000000002</v>
      </c>
      <c r="F6471">
        <f t="shared" si="405"/>
        <v>-5.4990000000000023</v>
      </c>
      <c r="G6471">
        <v>266.96699999999998</v>
      </c>
      <c r="H6471">
        <v>1.875</v>
      </c>
      <c r="I6471">
        <v>0.70199999999999996</v>
      </c>
      <c r="J6471">
        <v>9</v>
      </c>
      <c r="K6471">
        <v>51</v>
      </c>
      <c r="L6471">
        <v>28</v>
      </c>
      <c r="M6471" s="1">
        <v>9000000000</v>
      </c>
    </row>
    <row r="6472" spans="1:13" ht="15" customHeight="1">
      <c r="A6472" t="s">
        <v>68</v>
      </c>
      <c r="B6472">
        <f t="shared" si="402"/>
        <v>33.699297000000001</v>
      </c>
      <c r="C6472">
        <f t="shared" si="403"/>
        <v>-117.854817</v>
      </c>
      <c r="D6472">
        <f t="shared" si="404"/>
        <v>41</v>
      </c>
      <c r="E6472">
        <v>47.499000000000002</v>
      </c>
      <c r="F6472">
        <f t="shared" si="405"/>
        <v>-6.4990000000000023</v>
      </c>
      <c r="G6472">
        <v>269.017</v>
      </c>
      <c r="H6472">
        <v>1.67</v>
      </c>
      <c r="I6472">
        <v>0.621</v>
      </c>
      <c r="J6472">
        <v>9</v>
      </c>
      <c r="K6472">
        <v>52</v>
      </c>
      <c r="L6472">
        <v>28</v>
      </c>
      <c r="M6472" s="1">
        <v>9000000000</v>
      </c>
    </row>
    <row r="6473" spans="1:13" ht="15" customHeight="1">
      <c r="A6473" t="s">
        <v>68</v>
      </c>
      <c r="B6473">
        <f t="shared" si="402"/>
        <v>33.699297000000001</v>
      </c>
      <c r="C6473">
        <f t="shared" si="403"/>
        <v>-117.854817</v>
      </c>
      <c r="D6473">
        <f t="shared" si="404"/>
        <v>41</v>
      </c>
      <c r="E6473">
        <v>48.499000000000002</v>
      </c>
      <c r="F6473">
        <f t="shared" si="405"/>
        <v>-7.4990000000000023</v>
      </c>
      <c r="G6473">
        <v>323.46699999999998</v>
      </c>
      <c r="H6473">
        <v>1.8879999999999999</v>
      </c>
      <c r="I6473">
        <v>0.58299999999999996</v>
      </c>
      <c r="J6473">
        <v>10</v>
      </c>
      <c r="K6473">
        <v>52</v>
      </c>
      <c r="L6473">
        <v>28</v>
      </c>
      <c r="M6473" s="1">
        <v>9000000000</v>
      </c>
    </row>
    <row r="6474" spans="1:13" ht="15" customHeight="1">
      <c r="A6474" t="s">
        <v>68</v>
      </c>
      <c r="B6474">
        <f t="shared" si="402"/>
        <v>33.699297000000001</v>
      </c>
      <c r="C6474">
        <f t="shared" si="403"/>
        <v>-117.854817</v>
      </c>
      <c r="D6474">
        <f t="shared" si="404"/>
        <v>41</v>
      </c>
      <c r="E6474">
        <v>49.499000000000002</v>
      </c>
      <c r="F6474">
        <f t="shared" si="405"/>
        <v>-8.4990000000000023</v>
      </c>
      <c r="G6474">
        <v>334.58300000000003</v>
      </c>
      <c r="H6474">
        <v>1.913</v>
      </c>
      <c r="I6474">
        <v>0.57199999999999995</v>
      </c>
      <c r="J6474">
        <v>10</v>
      </c>
      <c r="K6474">
        <v>53</v>
      </c>
      <c r="L6474">
        <v>28</v>
      </c>
      <c r="M6474" s="1">
        <v>9000000000</v>
      </c>
    </row>
    <row r="6475" spans="1:13" ht="15" customHeight="1">
      <c r="A6475" t="s">
        <v>68</v>
      </c>
      <c r="B6475">
        <f t="shared" si="402"/>
        <v>33.699297000000001</v>
      </c>
      <c r="C6475">
        <f t="shared" si="403"/>
        <v>-117.854817</v>
      </c>
      <c r="D6475">
        <f t="shared" si="404"/>
        <v>41</v>
      </c>
      <c r="E6475">
        <v>50.499000000000002</v>
      </c>
      <c r="F6475">
        <f t="shared" si="405"/>
        <v>-9.4990000000000023</v>
      </c>
      <c r="G6475">
        <v>291.3</v>
      </c>
      <c r="H6475">
        <v>1.647</v>
      </c>
      <c r="I6475">
        <v>0.56499999999999995</v>
      </c>
      <c r="J6475">
        <v>10</v>
      </c>
      <c r="K6475">
        <v>47</v>
      </c>
      <c r="L6475">
        <v>25</v>
      </c>
      <c r="M6475" s="1">
        <v>9000000000</v>
      </c>
    </row>
    <row r="6476" spans="1:13" ht="15" customHeight="1">
      <c r="A6476" t="s">
        <v>68</v>
      </c>
      <c r="B6476">
        <f t="shared" si="402"/>
        <v>33.699297000000001</v>
      </c>
      <c r="C6476">
        <f t="shared" si="403"/>
        <v>-117.854817</v>
      </c>
      <c r="D6476">
        <f t="shared" si="404"/>
        <v>41</v>
      </c>
      <c r="E6476">
        <v>51.499000000000002</v>
      </c>
      <c r="F6476">
        <f t="shared" si="405"/>
        <v>-10.499000000000002</v>
      </c>
      <c r="G6476">
        <v>319.61700000000002</v>
      </c>
      <c r="H6476">
        <v>1.6879999999999999</v>
      </c>
      <c r="I6476">
        <v>0.52800000000000002</v>
      </c>
      <c r="J6476">
        <v>10</v>
      </c>
      <c r="K6476">
        <v>51</v>
      </c>
      <c r="L6476">
        <v>26</v>
      </c>
      <c r="M6476" s="1">
        <v>9000000000</v>
      </c>
    </row>
    <row r="6477" spans="1:13" ht="15" customHeight="1">
      <c r="A6477" t="s">
        <v>68</v>
      </c>
      <c r="B6477">
        <f t="shared" si="402"/>
        <v>33.699297000000001</v>
      </c>
      <c r="C6477">
        <f t="shared" si="403"/>
        <v>-117.854817</v>
      </c>
      <c r="D6477">
        <f t="shared" si="404"/>
        <v>41</v>
      </c>
      <c r="E6477">
        <v>52.499000000000002</v>
      </c>
      <c r="F6477">
        <f t="shared" si="405"/>
        <v>-11.499000000000002</v>
      </c>
      <c r="G6477">
        <v>328.4</v>
      </c>
      <c r="H6477">
        <v>1.9690000000000001</v>
      </c>
      <c r="I6477">
        <v>0.59899999999999998</v>
      </c>
      <c r="J6477">
        <v>10</v>
      </c>
      <c r="K6477">
        <v>52</v>
      </c>
      <c r="L6477">
        <v>27</v>
      </c>
      <c r="M6477" s="1">
        <v>9000000000</v>
      </c>
    </row>
    <row r="6478" spans="1:13" ht="15" customHeight="1">
      <c r="A6478" t="s">
        <v>68</v>
      </c>
      <c r="B6478">
        <f t="shared" si="402"/>
        <v>33.699297000000001</v>
      </c>
      <c r="C6478">
        <f t="shared" si="403"/>
        <v>-117.854817</v>
      </c>
      <c r="D6478">
        <f t="shared" si="404"/>
        <v>41</v>
      </c>
      <c r="E6478">
        <v>53.499000000000002</v>
      </c>
      <c r="F6478">
        <f t="shared" si="405"/>
        <v>-12.499000000000002</v>
      </c>
      <c r="G6478">
        <v>330.483</v>
      </c>
      <c r="H6478">
        <v>2.0979999999999999</v>
      </c>
      <c r="I6478">
        <v>0.63500000000000001</v>
      </c>
      <c r="J6478">
        <v>10</v>
      </c>
      <c r="K6478">
        <v>53</v>
      </c>
      <c r="L6478">
        <v>27</v>
      </c>
      <c r="M6478" s="1">
        <v>9000000000</v>
      </c>
    </row>
    <row r="6479" spans="1:13" ht="15" customHeight="1">
      <c r="A6479" t="s">
        <v>68</v>
      </c>
      <c r="B6479">
        <f t="shared" si="402"/>
        <v>33.699297000000001</v>
      </c>
      <c r="C6479">
        <f t="shared" si="403"/>
        <v>-117.854817</v>
      </c>
      <c r="D6479">
        <f t="shared" si="404"/>
        <v>41</v>
      </c>
      <c r="E6479">
        <v>54.499000000000002</v>
      </c>
      <c r="F6479">
        <f t="shared" si="405"/>
        <v>-13.499000000000002</v>
      </c>
      <c r="G6479">
        <v>320.3</v>
      </c>
      <c r="H6479">
        <v>2.0249999999999999</v>
      </c>
      <c r="I6479">
        <v>0.63200000000000001</v>
      </c>
      <c r="J6479">
        <v>10</v>
      </c>
      <c r="K6479">
        <v>51</v>
      </c>
      <c r="L6479">
        <v>26</v>
      </c>
      <c r="M6479" s="1">
        <v>9000000000</v>
      </c>
    </row>
    <row r="6480" spans="1:13" ht="15" customHeight="1">
      <c r="A6480" t="s">
        <v>68</v>
      </c>
      <c r="B6480">
        <f t="shared" si="402"/>
        <v>33.699297000000001</v>
      </c>
      <c r="C6480">
        <f t="shared" si="403"/>
        <v>-117.854817</v>
      </c>
      <c r="D6480">
        <f t="shared" si="404"/>
        <v>41</v>
      </c>
      <c r="E6480">
        <v>55.499000000000002</v>
      </c>
      <c r="F6480">
        <f t="shared" si="405"/>
        <v>-14.499000000000002</v>
      </c>
      <c r="G6480">
        <v>334.31700000000001</v>
      </c>
      <c r="H6480">
        <v>2.88</v>
      </c>
      <c r="I6480">
        <v>0.86099999999999999</v>
      </c>
      <c r="J6480">
        <v>9</v>
      </c>
      <c r="K6480">
        <v>64</v>
      </c>
      <c r="L6480">
        <v>32</v>
      </c>
      <c r="M6480" s="1">
        <v>9000000000</v>
      </c>
    </row>
    <row r="6481" spans="1:13" ht="15" customHeight="1">
      <c r="A6481" t="s">
        <v>68</v>
      </c>
      <c r="B6481">
        <f t="shared" si="402"/>
        <v>33.699297000000001</v>
      </c>
      <c r="C6481">
        <f t="shared" si="403"/>
        <v>-117.854817</v>
      </c>
      <c r="D6481">
        <f t="shared" si="404"/>
        <v>41</v>
      </c>
      <c r="E6481">
        <v>56.499000000000002</v>
      </c>
      <c r="F6481">
        <f t="shared" si="405"/>
        <v>-15.499000000000002</v>
      </c>
      <c r="G6481">
        <v>312.39999999999998</v>
      </c>
      <c r="H6481">
        <v>4.08</v>
      </c>
      <c r="I6481">
        <v>1.3049999999999999</v>
      </c>
      <c r="J6481">
        <v>9</v>
      </c>
      <c r="K6481">
        <v>60</v>
      </c>
      <c r="L6481">
        <v>30</v>
      </c>
      <c r="M6481" s="1">
        <v>9000000000</v>
      </c>
    </row>
    <row r="6482" spans="1:13" ht="15" customHeight="1">
      <c r="A6482" t="s">
        <v>68</v>
      </c>
      <c r="B6482">
        <f t="shared" si="402"/>
        <v>33.699297000000001</v>
      </c>
      <c r="C6482">
        <f t="shared" si="403"/>
        <v>-117.854817</v>
      </c>
      <c r="D6482">
        <f t="shared" si="404"/>
        <v>41</v>
      </c>
      <c r="E6482">
        <v>57.499000000000002</v>
      </c>
      <c r="F6482">
        <f t="shared" si="405"/>
        <v>-16.499000000000002</v>
      </c>
      <c r="G6482">
        <v>227.28299999999999</v>
      </c>
      <c r="H6482">
        <v>2.8849999999999998</v>
      </c>
      <c r="I6482">
        <v>1.268</v>
      </c>
      <c r="J6482">
        <v>9</v>
      </c>
      <c r="K6482">
        <v>44</v>
      </c>
      <c r="L6482">
        <v>22</v>
      </c>
      <c r="M6482" s="1">
        <v>9000000000</v>
      </c>
    </row>
    <row r="6483" spans="1:13" ht="15" customHeight="1">
      <c r="A6483" t="s">
        <v>68</v>
      </c>
      <c r="B6483">
        <f t="shared" si="402"/>
        <v>33.699297000000001</v>
      </c>
      <c r="C6483">
        <f t="shared" si="403"/>
        <v>-117.854817</v>
      </c>
      <c r="D6483">
        <f t="shared" si="404"/>
        <v>41</v>
      </c>
      <c r="E6483">
        <v>58.499000000000002</v>
      </c>
      <c r="F6483">
        <f t="shared" si="405"/>
        <v>-17.499000000000002</v>
      </c>
      <c r="G6483">
        <v>32.5</v>
      </c>
      <c r="H6483">
        <v>0.873</v>
      </c>
      <c r="I6483">
        <v>2.6459999999999999</v>
      </c>
      <c r="J6483">
        <v>6</v>
      </c>
      <c r="K6483">
        <v>13</v>
      </c>
      <c r="L6483">
        <v>7</v>
      </c>
      <c r="M6483">
        <v>1.958</v>
      </c>
    </row>
    <row r="6484" spans="1:13" ht="15" customHeight="1">
      <c r="A6484" t="s">
        <v>68</v>
      </c>
      <c r="B6484">
        <f t="shared" si="402"/>
        <v>33.699297000000001</v>
      </c>
      <c r="C6484">
        <f t="shared" si="403"/>
        <v>-117.854817</v>
      </c>
      <c r="D6484">
        <f t="shared" si="404"/>
        <v>41</v>
      </c>
      <c r="E6484">
        <v>59.499000000000002</v>
      </c>
      <c r="F6484">
        <f t="shared" si="405"/>
        <v>-18.499000000000002</v>
      </c>
      <c r="G6484">
        <v>25.95</v>
      </c>
      <c r="H6484">
        <v>0.71199999999999997</v>
      </c>
      <c r="I6484">
        <v>2.621</v>
      </c>
      <c r="J6484">
        <v>6</v>
      </c>
      <c r="K6484">
        <v>10</v>
      </c>
      <c r="L6484">
        <v>5</v>
      </c>
      <c r="M6484">
        <v>1.5640000000000001</v>
      </c>
    </row>
    <row r="6485" spans="1:13" ht="15" customHeight="1">
      <c r="A6485" t="s">
        <v>68</v>
      </c>
      <c r="B6485">
        <f t="shared" si="402"/>
        <v>33.699297000000001</v>
      </c>
      <c r="C6485">
        <f t="shared" si="403"/>
        <v>-117.854817</v>
      </c>
      <c r="D6485">
        <f t="shared" si="404"/>
        <v>41</v>
      </c>
      <c r="E6485">
        <v>60.499000000000002</v>
      </c>
      <c r="F6485">
        <f t="shared" si="405"/>
        <v>-19.499000000000002</v>
      </c>
      <c r="G6485">
        <v>24.85</v>
      </c>
      <c r="H6485">
        <v>0.8</v>
      </c>
      <c r="I6485">
        <v>3.004</v>
      </c>
      <c r="J6485">
        <v>5</v>
      </c>
      <c r="K6485">
        <v>13</v>
      </c>
      <c r="L6485">
        <v>7</v>
      </c>
      <c r="M6485">
        <v>1.526</v>
      </c>
    </row>
    <row r="6486" spans="1:13" ht="15" customHeight="1">
      <c r="A6486" t="s">
        <v>68</v>
      </c>
      <c r="B6486">
        <f t="shared" si="402"/>
        <v>33.699297000000001</v>
      </c>
      <c r="C6486">
        <f t="shared" si="403"/>
        <v>-117.854817</v>
      </c>
      <c r="D6486">
        <f t="shared" si="404"/>
        <v>41</v>
      </c>
      <c r="E6486">
        <v>61.499000000000002</v>
      </c>
      <c r="F6486">
        <f t="shared" si="405"/>
        <v>-20.499000000000002</v>
      </c>
      <c r="G6486">
        <v>90.417000000000002</v>
      </c>
      <c r="H6486">
        <v>3.117</v>
      </c>
      <c r="I6486">
        <v>3.431</v>
      </c>
      <c r="J6486">
        <v>6</v>
      </c>
      <c r="K6486">
        <v>35</v>
      </c>
      <c r="L6486">
        <v>18</v>
      </c>
      <c r="M6486">
        <v>5.8019999999999996</v>
      </c>
    </row>
    <row r="6487" spans="1:13" ht="15" customHeight="1">
      <c r="A6487" t="s">
        <v>68</v>
      </c>
      <c r="B6487">
        <f t="shared" si="402"/>
        <v>33.699297000000001</v>
      </c>
      <c r="C6487">
        <f t="shared" si="403"/>
        <v>-117.854817</v>
      </c>
      <c r="D6487">
        <f t="shared" si="404"/>
        <v>41</v>
      </c>
      <c r="E6487">
        <v>62.499000000000002</v>
      </c>
      <c r="F6487">
        <f t="shared" si="405"/>
        <v>-21.499000000000002</v>
      </c>
      <c r="G6487">
        <v>145.30000000000001</v>
      </c>
      <c r="H6487">
        <v>3.4140000000000001</v>
      </c>
      <c r="I6487">
        <v>2.3519999999999999</v>
      </c>
      <c r="J6487">
        <v>7</v>
      </c>
      <c r="K6487">
        <v>46</v>
      </c>
      <c r="L6487">
        <v>23</v>
      </c>
      <c r="M6487" s="1">
        <v>9000000000</v>
      </c>
    </row>
    <row r="6488" spans="1:13" ht="15" customHeight="1">
      <c r="A6488" t="s">
        <v>68</v>
      </c>
      <c r="B6488">
        <f t="shared" si="402"/>
        <v>33.699297000000001</v>
      </c>
      <c r="C6488">
        <f t="shared" si="403"/>
        <v>-117.854817</v>
      </c>
      <c r="D6488">
        <f t="shared" si="404"/>
        <v>41</v>
      </c>
      <c r="E6488">
        <v>63.499000000000002</v>
      </c>
      <c r="F6488">
        <f t="shared" si="405"/>
        <v>-22.499000000000002</v>
      </c>
      <c r="G6488">
        <v>23.983000000000001</v>
      </c>
      <c r="H6488">
        <v>0.747</v>
      </c>
      <c r="I6488">
        <v>3.1219999999999999</v>
      </c>
      <c r="J6488">
        <v>5</v>
      </c>
      <c r="K6488">
        <v>11</v>
      </c>
      <c r="L6488">
        <v>6</v>
      </c>
      <c r="M6488">
        <v>1.3320000000000001</v>
      </c>
    </row>
    <row r="6489" spans="1:13" ht="15" customHeight="1">
      <c r="A6489" t="s">
        <v>68</v>
      </c>
      <c r="B6489">
        <f t="shared" si="402"/>
        <v>33.699297000000001</v>
      </c>
      <c r="C6489">
        <f t="shared" si="403"/>
        <v>-117.854817</v>
      </c>
      <c r="D6489">
        <f t="shared" si="404"/>
        <v>41</v>
      </c>
      <c r="E6489">
        <v>64.498999999999995</v>
      </c>
      <c r="F6489">
        <f t="shared" si="405"/>
        <v>-23.498999999999995</v>
      </c>
      <c r="G6489">
        <v>24.15</v>
      </c>
      <c r="H6489">
        <v>0.753</v>
      </c>
      <c r="I6489">
        <v>3.1150000000000002</v>
      </c>
      <c r="J6489">
        <v>5</v>
      </c>
      <c r="K6489">
        <v>12</v>
      </c>
      <c r="L6489">
        <v>6</v>
      </c>
      <c r="M6489">
        <v>1.3460000000000001</v>
      </c>
    </row>
    <row r="6490" spans="1:13" ht="15" customHeight="1">
      <c r="A6490" t="s">
        <v>68</v>
      </c>
      <c r="B6490">
        <f t="shared" si="402"/>
        <v>33.699297000000001</v>
      </c>
      <c r="C6490">
        <f t="shared" si="403"/>
        <v>-117.854817</v>
      </c>
      <c r="D6490">
        <f t="shared" si="404"/>
        <v>41</v>
      </c>
      <c r="E6490">
        <v>65.498999999999995</v>
      </c>
      <c r="F6490">
        <f t="shared" si="405"/>
        <v>-24.498999999999995</v>
      </c>
      <c r="G6490">
        <v>26.132999999999999</v>
      </c>
      <c r="H6490">
        <v>0.69499999999999995</v>
      </c>
      <c r="I6490">
        <v>2.6389999999999998</v>
      </c>
      <c r="J6490">
        <v>6</v>
      </c>
      <c r="K6490">
        <v>10</v>
      </c>
      <c r="L6490">
        <v>5</v>
      </c>
      <c r="M6490">
        <v>1.4850000000000001</v>
      </c>
    </row>
    <row r="6491" spans="1:13" ht="15" customHeight="1">
      <c r="A6491" t="s">
        <v>68</v>
      </c>
      <c r="B6491">
        <f t="shared" si="402"/>
        <v>33.699297000000001</v>
      </c>
      <c r="C6491">
        <f t="shared" si="403"/>
        <v>-117.854817</v>
      </c>
      <c r="D6491">
        <f t="shared" si="404"/>
        <v>41</v>
      </c>
      <c r="E6491">
        <v>66.498999999999995</v>
      </c>
      <c r="F6491">
        <f t="shared" si="405"/>
        <v>-25.498999999999995</v>
      </c>
      <c r="G6491">
        <v>25.533000000000001</v>
      </c>
      <c r="H6491">
        <v>0.77500000000000002</v>
      </c>
      <c r="I6491">
        <v>2.99</v>
      </c>
      <c r="J6491">
        <v>5</v>
      </c>
      <c r="K6491">
        <v>12</v>
      </c>
      <c r="L6491">
        <v>6</v>
      </c>
      <c r="M6491">
        <v>1.4530000000000001</v>
      </c>
    </row>
    <row r="6492" spans="1:13" ht="15" customHeight="1">
      <c r="A6492" t="s">
        <v>68</v>
      </c>
      <c r="B6492">
        <f t="shared" si="402"/>
        <v>33.699297000000001</v>
      </c>
      <c r="C6492">
        <f t="shared" si="403"/>
        <v>-117.854817</v>
      </c>
      <c r="D6492">
        <f t="shared" si="404"/>
        <v>41</v>
      </c>
      <c r="E6492">
        <v>67.498999999999995</v>
      </c>
      <c r="F6492">
        <f t="shared" si="405"/>
        <v>-26.498999999999995</v>
      </c>
      <c r="G6492">
        <v>26.317</v>
      </c>
      <c r="H6492">
        <v>1.0629999999999999</v>
      </c>
      <c r="I6492">
        <v>3.9209999999999998</v>
      </c>
      <c r="J6492">
        <v>4</v>
      </c>
      <c r="K6492">
        <v>17</v>
      </c>
      <c r="L6492">
        <v>9</v>
      </c>
      <c r="M6492">
        <v>1.5289999999999999</v>
      </c>
    </row>
    <row r="6493" spans="1:13" ht="15" customHeight="1">
      <c r="A6493" t="s">
        <v>68</v>
      </c>
      <c r="B6493">
        <f t="shared" si="402"/>
        <v>33.699297000000001</v>
      </c>
      <c r="C6493">
        <f t="shared" si="403"/>
        <v>-117.854817</v>
      </c>
      <c r="D6493">
        <f t="shared" si="404"/>
        <v>41</v>
      </c>
      <c r="E6493">
        <v>68.498999999999995</v>
      </c>
      <c r="F6493">
        <f t="shared" si="405"/>
        <v>-27.498999999999995</v>
      </c>
      <c r="G6493">
        <v>25.016999999999999</v>
      </c>
      <c r="H6493">
        <v>0.92300000000000004</v>
      </c>
      <c r="I6493">
        <v>3.54</v>
      </c>
      <c r="J6493">
        <v>5</v>
      </c>
      <c r="K6493">
        <v>12</v>
      </c>
      <c r="L6493">
        <v>6</v>
      </c>
      <c r="M6493">
        <v>1.456</v>
      </c>
    </row>
    <row r="6494" spans="1:13" ht="15" customHeight="1">
      <c r="A6494" t="s">
        <v>68</v>
      </c>
      <c r="B6494">
        <f t="shared" si="402"/>
        <v>33.699297000000001</v>
      </c>
      <c r="C6494">
        <f t="shared" si="403"/>
        <v>-117.854817</v>
      </c>
      <c r="D6494">
        <f t="shared" si="404"/>
        <v>41</v>
      </c>
      <c r="E6494">
        <v>69.498999999999995</v>
      </c>
      <c r="F6494">
        <f t="shared" si="405"/>
        <v>-28.498999999999995</v>
      </c>
      <c r="G6494">
        <v>83.983000000000004</v>
      </c>
      <c r="H6494">
        <v>3.93</v>
      </c>
      <c r="I6494">
        <v>4.6420000000000003</v>
      </c>
      <c r="J6494">
        <v>11</v>
      </c>
      <c r="K6494">
        <v>81</v>
      </c>
      <c r="L6494">
        <v>41</v>
      </c>
      <c r="M6494" s="1">
        <v>9000000000</v>
      </c>
    </row>
    <row r="6495" spans="1:13" ht="15" customHeight="1">
      <c r="A6495" t="s">
        <v>68</v>
      </c>
      <c r="B6495">
        <f t="shared" si="402"/>
        <v>33.699297000000001</v>
      </c>
      <c r="C6495">
        <f t="shared" si="403"/>
        <v>-117.854817</v>
      </c>
      <c r="D6495">
        <f t="shared" si="404"/>
        <v>41</v>
      </c>
      <c r="E6495">
        <v>70.498999999999995</v>
      </c>
      <c r="F6495">
        <f t="shared" si="405"/>
        <v>-29.498999999999995</v>
      </c>
      <c r="G6495">
        <v>141.05000000000001</v>
      </c>
      <c r="H6495">
        <v>5.407</v>
      </c>
      <c r="I6495">
        <v>3.835</v>
      </c>
      <c r="J6495">
        <v>12</v>
      </c>
      <c r="K6495">
        <v>68</v>
      </c>
      <c r="L6495">
        <v>34</v>
      </c>
      <c r="M6495" s="1">
        <v>9000000000</v>
      </c>
    </row>
    <row r="6496" spans="1:13" ht="15" customHeight="1">
      <c r="A6496" t="s">
        <v>68</v>
      </c>
      <c r="B6496">
        <f t="shared" si="402"/>
        <v>33.699297000000001</v>
      </c>
      <c r="C6496">
        <f t="shared" si="403"/>
        <v>-117.854817</v>
      </c>
      <c r="D6496">
        <f t="shared" si="404"/>
        <v>41</v>
      </c>
      <c r="E6496">
        <v>71.498999999999995</v>
      </c>
      <c r="F6496">
        <f t="shared" si="405"/>
        <v>-30.498999999999995</v>
      </c>
      <c r="G6496">
        <v>346.71699999999998</v>
      </c>
      <c r="H6496">
        <v>3.827</v>
      </c>
      <c r="I6496">
        <v>1.1040000000000001</v>
      </c>
      <c r="J6496">
        <v>9</v>
      </c>
      <c r="K6496">
        <v>66</v>
      </c>
      <c r="L6496">
        <v>33</v>
      </c>
      <c r="M6496" s="1">
        <v>9000000000</v>
      </c>
    </row>
    <row r="6497" spans="1:13" ht="15" customHeight="1">
      <c r="A6497" t="s">
        <v>68</v>
      </c>
      <c r="B6497">
        <f t="shared" si="402"/>
        <v>33.699297000000001</v>
      </c>
      <c r="C6497">
        <f t="shared" si="403"/>
        <v>-117.854817</v>
      </c>
      <c r="D6497">
        <f t="shared" si="404"/>
        <v>41</v>
      </c>
      <c r="E6497">
        <v>72.498999999999995</v>
      </c>
      <c r="F6497">
        <f t="shared" si="405"/>
        <v>-31.498999999999995</v>
      </c>
      <c r="G6497">
        <v>180.286</v>
      </c>
      <c r="H6497">
        <v>3.0960000000000001</v>
      </c>
      <c r="I6497">
        <v>1.718</v>
      </c>
      <c r="J6497">
        <v>8</v>
      </c>
      <c r="K6497">
        <v>43</v>
      </c>
      <c r="L6497">
        <v>22</v>
      </c>
      <c r="M6497" s="1">
        <v>9000000000</v>
      </c>
    </row>
    <row r="6498" spans="1:13" ht="15" customHeight="1">
      <c r="A6498" t="s">
        <v>68</v>
      </c>
      <c r="B6498">
        <f t="shared" si="402"/>
        <v>33.699297000000001</v>
      </c>
      <c r="C6498">
        <f t="shared" si="403"/>
        <v>-117.854817</v>
      </c>
      <c r="D6498">
        <f t="shared" si="404"/>
        <v>41</v>
      </c>
      <c r="E6498">
        <v>73.498999999999995</v>
      </c>
      <c r="F6498">
        <f t="shared" si="405"/>
        <v>-32.498999999999995</v>
      </c>
      <c r="G6498">
        <v>380.71699999999998</v>
      </c>
      <c r="H6498">
        <v>2.33</v>
      </c>
      <c r="I6498">
        <v>0.61199999999999999</v>
      </c>
      <c r="J6498">
        <v>10</v>
      </c>
      <c r="K6498">
        <v>61</v>
      </c>
      <c r="L6498">
        <v>31</v>
      </c>
      <c r="M6498" s="1">
        <v>9000000000</v>
      </c>
    </row>
    <row r="6499" spans="1:13" ht="15" customHeight="1">
      <c r="A6499" t="s">
        <v>68</v>
      </c>
      <c r="B6499">
        <f t="shared" si="402"/>
        <v>33.699297000000001</v>
      </c>
      <c r="C6499">
        <f t="shared" si="403"/>
        <v>-117.854817</v>
      </c>
      <c r="D6499">
        <f t="shared" si="404"/>
        <v>41</v>
      </c>
      <c r="E6499">
        <v>74.498999999999995</v>
      </c>
      <c r="F6499">
        <f t="shared" si="405"/>
        <v>-33.498999999999995</v>
      </c>
      <c r="G6499">
        <v>208.417</v>
      </c>
      <c r="H6499">
        <v>2.5550000000000002</v>
      </c>
      <c r="I6499">
        <v>1.226</v>
      </c>
      <c r="J6499">
        <v>9</v>
      </c>
      <c r="K6499">
        <v>40</v>
      </c>
      <c r="L6499">
        <v>20</v>
      </c>
      <c r="M6499" s="1">
        <v>9000000000</v>
      </c>
    </row>
    <row r="6500" spans="1:13" ht="15" customHeight="1">
      <c r="A6500" t="s">
        <v>68</v>
      </c>
      <c r="B6500">
        <f t="shared" si="402"/>
        <v>33.699297000000001</v>
      </c>
      <c r="C6500">
        <f t="shared" si="403"/>
        <v>-117.854817</v>
      </c>
      <c r="D6500">
        <f t="shared" si="404"/>
        <v>41</v>
      </c>
      <c r="E6500">
        <v>75.498999999999995</v>
      </c>
      <c r="F6500">
        <f t="shared" si="405"/>
        <v>-34.498999999999995</v>
      </c>
      <c r="G6500">
        <v>105.733</v>
      </c>
      <c r="H6500">
        <v>3.238</v>
      </c>
      <c r="I6500">
        <v>3.0649999999999999</v>
      </c>
      <c r="J6500">
        <v>6</v>
      </c>
      <c r="K6500">
        <v>40</v>
      </c>
      <c r="L6500">
        <v>20</v>
      </c>
      <c r="M6500">
        <v>6.73</v>
      </c>
    </row>
    <row r="6501" spans="1:13" ht="15" customHeight="1">
      <c r="A6501" t="s">
        <v>68</v>
      </c>
      <c r="B6501">
        <f t="shared" si="402"/>
        <v>33.699297000000001</v>
      </c>
      <c r="C6501">
        <f t="shared" si="403"/>
        <v>-117.854817</v>
      </c>
      <c r="D6501">
        <f t="shared" si="404"/>
        <v>41</v>
      </c>
      <c r="E6501">
        <v>76.498999999999995</v>
      </c>
      <c r="F6501">
        <f t="shared" si="405"/>
        <v>-35.498999999999995</v>
      </c>
      <c r="G6501">
        <v>73.566999999999993</v>
      </c>
      <c r="H6501">
        <v>1.9650000000000001</v>
      </c>
      <c r="I6501">
        <v>2.673</v>
      </c>
      <c r="J6501">
        <v>6</v>
      </c>
      <c r="K6501">
        <v>28</v>
      </c>
      <c r="L6501">
        <v>14</v>
      </c>
      <c r="M6501">
        <v>4.5830000000000002</v>
      </c>
    </row>
    <row r="6502" spans="1:13" ht="15" customHeight="1">
      <c r="A6502" t="s">
        <v>68</v>
      </c>
      <c r="B6502">
        <f t="shared" si="402"/>
        <v>33.699297000000001</v>
      </c>
      <c r="C6502">
        <f t="shared" si="403"/>
        <v>-117.854817</v>
      </c>
      <c r="D6502">
        <f t="shared" si="404"/>
        <v>41</v>
      </c>
      <c r="E6502">
        <v>77.498999999999995</v>
      </c>
      <c r="F6502">
        <f t="shared" si="405"/>
        <v>-36.498999999999995</v>
      </c>
      <c r="G6502">
        <v>32.75</v>
      </c>
      <c r="H6502">
        <v>0.92</v>
      </c>
      <c r="I6502">
        <v>2.8090000000000002</v>
      </c>
      <c r="J6502">
        <v>6</v>
      </c>
      <c r="K6502">
        <v>13</v>
      </c>
      <c r="L6502">
        <v>7</v>
      </c>
      <c r="M6502">
        <v>1.8620000000000001</v>
      </c>
    </row>
    <row r="6503" spans="1:13" ht="15" customHeight="1">
      <c r="A6503" t="s">
        <v>68</v>
      </c>
      <c r="B6503">
        <f t="shared" si="402"/>
        <v>33.699297000000001</v>
      </c>
      <c r="C6503">
        <f t="shared" si="403"/>
        <v>-117.854817</v>
      </c>
      <c r="D6503">
        <f t="shared" si="404"/>
        <v>41</v>
      </c>
      <c r="E6503">
        <v>78.498999999999995</v>
      </c>
      <c r="F6503">
        <f t="shared" si="405"/>
        <v>-37.498999999999995</v>
      </c>
      <c r="G6503">
        <v>41.45</v>
      </c>
      <c r="H6503">
        <v>1.4330000000000001</v>
      </c>
      <c r="I6503">
        <v>3.4550000000000001</v>
      </c>
      <c r="J6503">
        <v>5</v>
      </c>
      <c r="K6503">
        <v>20</v>
      </c>
      <c r="L6503">
        <v>10</v>
      </c>
      <c r="M6503">
        <v>2.44</v>
      </c>
    </row>
    <row r="6504" spans="1:13" ht="15" customHeight="1">
      <c r="A6504" t="s">
        <v>68</v>
      </c>
      <c r="B6504">
        <f t="shared" si="402"/>
        <v>33.699297000000001</v>
      </c>
      <c r="C6504">
        <f t="shared" si="403"/>
        <v>-117.854817</v>
      </c>
      <c r="D6504">
        <f t="shared" si="404"/>
        <v>41</v>
      </c>
      <c r="E6504">
        <v>79.498999999999995</v>
      </c>
      <c r="F6504">
        <f t="shared" si="405"/>
        <v>-38.498999999999995</v>
      </c>
      <c r="G6504">
        <v>258.96699999999998</v>
      </c>
      <c r="H6504">
        <v>4.8879999999999999</v>
      </c>
      <c r="I6504">
        <v>1.8879999999999999</v>
      </c>
      <c r="J6504">
        <v>8</v>
      </c>
      <c r="K6504">
        <v>62</v>
      </c>
      <c r="L6504">
        <v>31</v>
      </c>
      <c r="M6504" s="1">
        <v>9000000000</v>
      </c>
    </row>
    <row r="6505" spans="1:13" ht="15" customHeight="1">
      <c r="A6505" t="s">
        <v>68</v>
      </c>
      <c r="B6505">
        <f t="shared" si="402"/>
        <v>33.699297000000001</v>
      </c>
      <c r="C6505">
        <f t="shared" si="403"/>
        <v>-117.854817</v>
      </c>
      <c r="D6505">
        <f t="shared" si="404"/>
        <v>41</v>
      </c>
      <c r="E6505">
        <v>80.498999999999995</v>
      </c>
      <c r="F6505">
        <f t="shared" si="405"/>
        <v>-39.498999999999995</v>
      </c>
      <c r="G6505">
        <v>305.56700000000001</v>
      </c>
      <c r="H6505">
        <v>3.0880000000000001</v>
      </c>
      <c r="I6505">
        <v>1.0109999999999999</v>
      </c>
      <c r="J6505">
        <v>9</v>
      </c>
      <c r="K6505">
        <v>59</v>
      </c>
      <c r="L6505">
        <v>30</v>
      </c>
      <c r="M6505" s="1">
        <v>9000000000</v>
      </c>
    </row>
    <row r="6506" spans="1:13" ht="15" customHeight="1">
      <c r="A6506" t="s">
        <v>68</v>
      </c>
      <c r="B6506">
        <f t="shared" si="402"/>
        <v>33.699297000000001</v>
      </c>
      <c r="C6506">
        <f t="shared" si="403"/>
        <v>-117.854817</v>
      </c>
      <c r="D6506">
        <f t="shared" si="404"/>
        <v>41</v>
      </c>
      <c r="E6506">
        <v>81.498999999999995</v>
      </c>
      <c r="F6506">
        <f t="shared" si="405"/>
        <v>-40.498999999999995</v>
      </c>
      <c r="G6506">
        <v>292.483</v>
      </c>
      <c r="H6506">
        <v>3.5550000000000002</v>
      </c>
      <c r="I6506">
        <v>1.2150000000000001</v>
      </c>
      <c r="J6506">
        <v>9</v>
      </c>
      <c r="K6506">
        <v>56</v>
      </c>
      <c r="L6506">
        <v>28</v>
      </c>
      <c r="M6506" s="1">
        <v>9000000000</v>
      </c>
    </row>
    <row r="6507" spans="1:13" ht="15" customHeight="1">
      <c r="A6507" t="s">
        <v>68</v>
      </c>
      <c r="B6507">
        <f t="shared" si="402"/>
        <v>33.699297000000001</v>
      </c>
      <c r="C6507">
        <f t="shared" si="403"/>
        <v>-117.854817</v>
      </c>
      <c r="D6507">
        <f t="shared" si="404"/>
        <v>41</v>
      </c>
      <c r="E6507">
        <v>82.498999999999995</v>
      </c>
      <c r="F6507">
        <f t="shared" si="405"/>
        <v>-41.498999999999995</v>
      </c>
      <c r="G6507">
        <v>140.69999999999999</v>
      </c>
      <c r="H6507">
        <v>4.1900000000000004</v>
      </c>
      <c r="I6507">
        <v>2.9780000000000002</v>
      </c>
      <c r="J6507">
        <v>6</v>
      </c>
      <c r="K6507">
        <v>54</v>
      </c>
      <c r="L6507">
        <v>27</v>
      </c>
      <c r="M6507">
        <v>9.0389999999999997</v>
      </c>
    </row>
    <row r="6508" spans="1:13" ht="15" customHeight="1">
      <c r="A6508" t="s">
        <v>68</v>
      </c>
      <c r="B6508">
        <f t="shared" si="402"/>
        <v>33.699297000000001</v>
      </c>
      <c r="C6508">
        <f t="shared" si="403"/>
        <v>-117.854817</v>
      </c>
      <c r="D6508">
        <f t="shared" si="404"/>
        <v>41</v>
      </c>
      <c r="E6508">
        <v>83.498999999999995</v>
      </c>
      <c r="F6508">
        <f t="shared" si="405"/>
        <v>-42.498999999999995</v>
      </c>
      <c r="G6508">
        <v>46.856999999999999</v>
      </c>
      <c r="H6508">
        <v>1.85</v>
      </c>
      <c r="I6508">
        <v>3.9449999999999998</v>
      </c>
      <c r="J6508">
        <v>5</v>
      </c>
      <c r="K6508">
        <v>22</v>
      </c>
      <c r="L6508">
        <v>11</v>
      </c>
      <c r="M6508">
        <v>2.78</v>
      </c>
    </row>
    <row r="6509" spans="1:13" ht="15" customHeight="1">
      <c r="A6509" t="s">
        <v>68</v>
      </c>
      <c r="B6509">
        <f t="shared" si="402"/>
        <v>33.699297000000001</v>
      </c>
      <c r="C6509">
        <f t="shared" si="403"/>
        <v>-117.854817</v>
      </c>
      <c r="D6509">
        <f t="shared" si="404"/>
        <v>41</v>
      </c>
      <c r="E6509">
        <v>84.498999999999995</v>
      </c>
      <c r="F6509">
        <f t="shared" si="405"/>
        <v>-43.498999999999995</v>
      </c>
      <c r="G6509">
        <v>38.017000000000003</v>
      </c>
      <c r="H6509">
        <v>1.36</v>
      </c>
      <c r="I6509">
        <v>3.5680000000000001</v>
      </c>
      <c r="J6509">
        <v>5</v>
      </c>
      <c r="K6509">
        <v>18</v>
      </c>
      <c r="L6509">
        <v>9</v>
      </c>
      <c r="M6509">
        <v>2.19</v>
      </c>
    </row>
    <row r="6510" spans="1:13" ht="15" customHeight="1">
      <c r="A6510" t="s">
        <v>68</v>
      </c>
      <c r="B6510">
        <f t="shared" si="402"/>
        <v>33.699297000000001</v>
      </c>
      <c r="C6510">
        <f t="shared" si="403"/>
        <v>-117.854817</v>
      </c>
      <c r="D6510">
        <f t="shared" si="404"/>
        <v>41</v>
      </c>
      <c r="E6510">
        <v>85.498999999999995</v>
      </c>
      <c r="F6510">
        <f t="shared" si="405"/>
        <v>-44.498999999999995</v>
      </c>
      <c r="G6510">
        <v>26.082999999999998</v>
      </c>
      <c r="H6510">
        <v>0.68200000000000005</v>
      </c>
      <c r="I6510">
        <v>2.597</v>
      </c>
      <c r="J6510">
        <v>6</v>
      </c>
      <c r="K6510">
        <v>10</v>
      </c>
      <c r="L6510">
        <v>5</v>
      </c>
      <c r="M6510">
        <v>1.395</v>
      </c>
    </row>
    <row r="6511" spans="1:13" ht="15" customHeight="1">
      <c r="A6511" t="s">
        <v>68</v>
      </c>
      <c r="B6511">
        <f t="shared" si="402"/>
        <v>33.699297000000001</v>
      </c>
      <c r="C6511">
        <f t="shared" si="403"/>
        <v>-117.854817</v>
      </c>
      <c r="D6511">
        <f t="shared" si="404"/>
        <v>41</v>
      </c>
      <c r="E6511">
        <v>86.498999999999995</v>
      </c>
      <c r="F6511">
        <f t="shared" si="405"/>
        <v>-45.498999999999995</v>
      </c>
      <c r="G6511">
        <v>32.6</v>
      </c>
      <c r="H6511">
        <v>1.24</v>
      </c>
      <c r="I6511">
        <v>3.7789999999999999</v>
      </c>
      <c r="J6511">
        <v>5</v>
      </c>
      <c r="K6511">
        <v>16</v>
      </c>
      <c r="L6511">
        <v>8</v>
      </c>
      <c r="M6511">
        <v>1.829</v>
      </c>
    </row>
    <row r="6512" spans="1:13" ht="15" customHeight="1">
      <c r="A6512" t="s">
        <v>68</v>
      </c>
      <c r="B6512">
        <f t="shared" si="402"/>
        <v>33.699297000000001</v>
      </c>
      <c r="C6512">
        <f t="shared" si="403"/>
        <v>-117.854817</v>
      </c>
      <c r="D6512">
        <f t="shared" si="404"/>
        <v>41</v>
      </c>
      <c r="E6512">
        <v>87.498999999999995</v>
      </c>
      <c r="F6512">
        <f t="shared" si="405"/>
        <v>-46.498999999999995</v>
      </c>
      <c r="G6512">
        <v>40.466999999999999</v>
      </c>
      <c r="H6512">
        <v>1.468</v>
      </c>
      <c r="I6512">
        <v>3.6019999999999999</v>
      </c>
      <c r="J6512">
        <v>5</v>
      </c>
      <c r="K6512">
        <v>20</v>
      </c>
      <c r="L6512">
        <v>10</v>
      </c>
      <c r="M6512">
        <v>2.355</v>
      </c>
    </row>
    <row r="6513" spans="1:13" ht="15" customHeight="1">
      <c r="A6513" t="s">
        <v>68</v>
      </c>
      <c r="B6513">
        <f t="shared" si="402"/>
        <v>33.699297000000001</v>
      </c>
      <c r="C6513">
        <f t="shared" si="403"/>
        <v>-117.854817</v>
      </c>
      <c r="D6513">
        <f t="shared" si="404"/>
        <v>41</v>
      </c>
      <c r="E6513">
        <v>88.498999999999995</v>
      </c>
      <c r="F6513">
        <f t="shared" si="405"/>
        <v>-47.498999999999995</v>
      </c>
      <c r="G6513">
        <v>63.15</v>
      </c>
      <c r="H6513">
        <v>2.9430000000000001</v>
      </c>
      <c r="I6513">
        <v>4.6379999999999999</v>
      </c>
      <c r="J6513">
        <v>4</v>
      </c>
      <c r="K6513">
        <v>41</v>
      </c>
      <c r="L6513">
        <v>21</v>
      </c>
      <c r="M6513">
        <v>3.8639999999999999</v>
      </c>
    </row>
    <row r="6514" spans="1:13" ht="15" customHeight="1">
      <c r="A6514" t="s">
        <v>68</v>
      </c>
      <c r="B6514">
        <f t="shared" si="402"/>
        <v>33.699297000000001</v>
      </c>
      <c r="C6514">
        <f t="shared" si="403"/>
        <v>-117.854817</v>
      </c>
      <c r="D6514">
        <f t="shared" si="404"/>
        <v>41</v>
      </c>
      <c r="E6514">
        <v>89.498999999999995</v>
      </c>
      <c r="F6514">
        <f t="shared" si="405"/>
        <v>-48.498999999999995</v>
      </c>
      <c r="G6514">
        <v>97.082999999999998</v>
      </c>
      <c r="H6514">
        <v>2.8380000000000001</v>
      </c>
      <c r="I6514">
        <v>2.9169999999999998</v>
      </c>
      <c r="J6514">
        <v>6</v>
      </c>
      <c r="K6514">
        <v>37</v>
      </c>
      <c r="L6514">
        <v>19</v>
      </c>
      <c r="M6514">
        <v>6.1159999999999997</v>
      </c>
    </row>
    <row r="6515" spans="1:13" ht="15" customHeight="1">
      <c r="A6515" t="s">
        <v>68</v>
      </c>
      <c r="B6515">
        <f t="shared" si="402"/>
        <v>33.699297000000001</v>
      </c>
      <c r="C6515">
        <f t="shared" si="403"/>
        <v>-117.854817</v>
      </c>
      <c r="D6515">
        <f t="shared" si="404"/>
        <v>41</v>
      </c>
      <c r="E6515">
        <v>90.498999999999995</v>
      </c>
      <c r="F6515">
        <f t="shared" si="405"/>
        <v>-49.498999999999995</v>
      </c>
      <c r="G6515">
        <v>298.35000000000002</v>
      </c>
      <c r="H6515">
        <v>4.8</v>
      </c>
      <c r="I6515">
        <v>1.609</v>
      </c>
      <c r="J6515">
        <v>8</v>
      </c>
      <c r="K6515">
        <v>71</v>
      </c>
      <c r="L6515">
        <v>36</v>
      </c>
      <c r="M6515" s="1">
        <v>9000000000</v>
      </c>
    </row>
    <row r="6516" spans="1:13" ht="15" customHeight="1">
      <c r="A6516" t="s">
        <v>68</v>
      </c>
      <c r="B6516">
        <f t="shared" si="402"/>
        <v>33.699297000000001</v>
      </c>
      <c r="C6516">
        <f t="shared" si="403"/>
        <v>-117.854817</v>
      </c>
      <c r="D6516">
        <f t="shared" si="404"/>
        <v>41</v>
      </c>
      <c r="E6516">
        <v>91.498999999999995</v>
      </c>
      <c r="F6516">
        <f t="shared" si="405"/>
        <v>-50.498999999999995</v>
      </c>
      <c r="G6516">
        <v>124.05</v>
      </c>
      <c r="H6516">
        <v>4.4020000000000001</v>
      </c>
      <c r="I6516">
        <v>3.5489999999999999</v>
      </c>
      <c r="J6516">
        <v>6</v>
      </c>
      <c r="K6516">
        <v>48</v>
      </c>
      <c r="L6516">
        <v>24</v>
      </c>
      <c r="M6516">
        <v>7.8890000000000002</v>
      </c>
    </row>
    <row r="6517" spans="1:13" ht="15" customHeight="1">
      <c r="A6517" t="s">
        <v>68</v>
      </c>
      <c r="B6517">
        <f t="shared" si="402"/>
        <v>33.699297000000001</v>
      </c>
      <c r="C6517">
        <f t="shared" si="403"/>
        <v>-117.854817</v>
      </c>
      <c r="D6517">
        <f t="shared" si="404"/>
        <v>41</v>
      </c>
      <c r="E6517">
        <v>92.498999999999995</v>
      </c>
      <c r="F6517">
        <f t="shared" si="405"/>
        <v>-51.498999999999995</v>
      </c>
      <c r="G6517">
        <v>449.88299999999998</v>
      </c>
      <c r="H6517">
        <v>6.6280000000000001</v>
      </c>
      <c r="I6517">
        <v>1.474</v>
      </c>
      <c r="J6517">
        <v>9</v>
      </c>
      <c r="K6517">
        <v>86</v>
      </c>
      <c r="L6517">
        <v>43</v>
      </c>
      <c r="M6517" s="1">
        <v>9000000000</v>
      </c>
    </row>
    <row r="6518" spans="1:13" ht="15" customHeight="1">
      <c r="A6518" t="s">
        <v>68</v>
      </c>
      <c r="B6518">
        <f t="shared" si="402"/>
        <v>33.699297000000001</v>
      </c>
      <c r="C6518">
        <f t="shared" si="403"/>
        <v>-117.854817</v>
      </c>
      <c r="D6518">
        <f t="shared" si="404"/>
        <v>41</v>
      </c>
      <c r="E6518">
        <v>93.498999999999995</v>
      </c>
      <c r="F6518">
        <f t="shared" si="405"/>
        <v>-52.498999999999995</v>
      </c>
      <c r="G6518">
        <v>472.1</v>
      </c>
      <c r="H6518">
        <v>5.43</v>
      </c>
      <c r="I6518">
        <v>1.1499999999999999</v>
      </c>
      <c r="J6518">
        <v>9</v>
      </c>
      <c r="K6518">
        <v>90</v>
      </c>
      <c r="L6518">
        <v>45</v>
      </c>
      <c r="M6518" s="1">
        <v>9000000000</v>
      </c>
    </row>
    <row r="6519" spans="1:13" ht="15" customHeight="1">
      <c r="A6519" t="s">
        <v>69</v>
      </c>
      <c r="B6519">
        <f t="shared" si="402"/>
        <v>33.697446999999997</v>
      </c>
      <c r="C6519">
        <f t="shared" si="403"/>
        <v>-117.85691799999999</v>
      </c>
      <c r="D6519">
        <f t="shared" si="404"/>
        <v>39</v>
      </c>
      <c r="E6519">
        <v>0.5</v>
      </c>
      <c r="F6519">
        <f t="shared" si="405"/>
        <v>38.5</v>
      </c>
      <c r="G6519">
        <v>1.0169999999999999</v>
      </c>
      <c r="H6519">
        <v>8.0000000000000002E-3</v>
      </c>
      <c r="I6519">
        <v>0.82</v>
      </c>
      <c r="J6519">
        <v>1</v>
      </c>
      <c r="K6519">
        <v>0</v>
      </c>
      <c r="L6519">
        <v>0</v>
      </c>
      <c r="M6519">
        <v>6.6000000000000003E-2</v>
      </c>
    </row>
    <row r="6520" spans="1:13" ht="15" customHeight="1">
      <c r="A6520" t="s">
        <v>69</v>
      </c>
      <c r="B6520">
        <f t="shared" si="402"/>
        <v>33.697446999999997</v>
      </c>
      <c r="C6520">
        <f t="shared" si="403"/>
        <v>-117.85691799999999</v>
      </c>
      <c r="D6520">
        <f t="shared" si="404"/>
        <v>39</v>
      </c>
      <c r="E6520">
        <v>1.5</v>
      </c>
      <c r="F6520">
        <f t="shared" si="405"/>
        <v>37.5</v>
      </c>
      <c r="G6520">
        <v>57.133000000000003</v>
      </c>
      <c r="H6520">
        <v>1.0269999999999999</v>
      </c>
      <c r="I6520">
        <v>1.7969999999999999</v>
      </c>
      <c r="J6520">
        <v>7</v>
      </c>
      <c r="K6520">
        <v>18</v>
      </c>
      <c r="L6520">
        <v>27</v>
      </c>
      <c r="M6520" s="1">
        <v>9000000000</v>
      </c>
    </row>
    <row r="6521" spans="1:13" ht="15" customHeight="1">
      <c r="A6521" t="s">
        <v>69</v>
      </c>
      <c r="B6521">
        <f t="shared" si="402"/>
        <v>33.697446999999997</v>
      </c>
      <c r="C6521">
        <f t="shared" si="403"/>
        <v>-117.85691799999999</v>
      </c>
      <c r="D6521">
        <f t="shared" si="404"/>
        <v>39</v>
      </c>
      <c r="E6521">
        <v>2.5</v>
      </c>
      <c r="F6521">
        <f t="shared" si="405"/>
        <v>36.5</v>
      </c>
      <c r="G6521">
        <v>26.983000000000001</v>
      </c>
      <c r="H6521">
        <v>8.3000000000000004E-2</v>
      </c>
      <c r="I6521">
        <v>0.309</v>
      </c>
      <c r="J6521">
        <v>7</v>
      </c>
      <c r="K6521">
        <v>9</v>
      </c>
      <c r="L6521">
        <v>14</v>
      </c>
      <c r="M6521" s="1">
        <v>9000000000</v>
      </c>
    </row>
    <row r="6522" spans="1:13" ht="15" customHeight="1">
      <c r="A6522" t="s">
        <v>69</v>
      </c>
      <c r="B6522">
        <f t="shared" si="402"/>
        <v>33.697446999999997</v>
      </c>
      <c r="C6522">
        <f t="shared" si="403"/>
        <v>-117.85691799999999</v>
      </c>
      <c r="D6522">
        <f t="shared" si="404"/>
        <v>39</v>
      </c>
      <c r="E6522">
        <v>3.5</v>
      </c>
      <c r="F6522">
        <f t="shared" si="405"/>
        <v>35.5</v>
      </c>
      <c r="G6522">
        <v>33.883000000000003</v>
      </c>
      <c r="H6522">
        <v>0.378</v>
      </c>
      <c r="I6522">
        <v>1.117</v>
      </c>
      <c r="J6522">
        <v>7</v>
      </c>
      <c r="K6522">
        <v>11</v>
      </c>
      <c r="L6522">
        <v>17</v>
      </c>
      <c r="M6522" s="1">
        <v>9000000000</v>
      </c>
    </row>
    <row r="6523" spans="1:13" ht="15" customHeight="1">
      <c r="A6523" t="s">
        <v>69</v>
      </c>
      <c r="B6523">
        <f t="shared" si="402"/>
        <v>33.697446999999997</v>
      </c>
      <c r="C6523">
        <f t="shared" si="403"/>
        <v>-117.85691799999999</v>
      </c>
      <c r="D6523">
        <f t="shared" si="404"/>
        <v>39</v>
      </c>
      <c r="E6523">
        <v>4.5</v>
      </c>
      <c r="F6523">
        <f t="shared" si="405"/>
        <v>34.5</v>
      </c>
      <c r="G6523">
        <v>43.732999999999997</v>
      </c>
      <c r="H6523">
        <v>0.92800000000000005</v>
      </c>
      <c r="I6523">
        <v>2.1230000000000002</v>
      </c>
      <c r="J6523">
        <v>6</v>
      </c>
      <c r="K6523">
        <v>17</v>
      </c>
      <c r="L6523">
        <v>26</v>
      </c>
      <c r="M6523">
        <v>2.8980000000000001</v>
      </c>
    </row>
    <row r="6524" spans="1:13" ht="15" customHeight="1">
      <c r="A6524" t="s">
        <v>69</v>
      </c>
      <c r="B6524">
        <f t="shared" si="402"/>
        <v>33.697446999999997</v>
      </c>
      <c r="C6524">
        <f t="shared" si="403"/>
        <v>-117.85691799999999</v>
      </c>
      <c r="D6524">
        <f t="shared" si="404"/>
        <v>39</v>
      </c>
      <c r="E6524">
        <v>5.5</v>
      </c>
      <c r="F6524">
        <f t="shared" si="405"/>
        <v>33.5</v>
      </c>
      <c r="G6524">
        <v>41.433</v>
      </c>
      <c r="H6524">
        <v>1.7849999999999999</v>
      </c>
      <c r="I6524">
        <v>4.3099999999999996</v>
      </c>
      <c r="J6524">
        <v>4</v>
      </c>
      <c r="K6524">
        <v>26</v>
      </c>
      <c r="L6524">
        <v>39</v>
      </c>
      <c r="M6524">
        <v>2.74</v>
      </c>
    </row>
    <row r="6525" spans="1:13" ht="15" customHeight="1">
      <c r="A6525" t="s">
        <v>69</v>
      </c>
      <c r="B6525">
        <f t="shared" si="402"/>
        <v>33.697446999999997</v>
      </c>
      <c r="C6525">
        <f t="shared" si="403"/>
        <v>-117.85691799999999</v>
      </c>
      <c r="D6525">
        <f t="shared" si="404"/>
        <v>39</v>
      </c>
      <c r="E6525">
        <v>6.5</v>
      </c>
      <c r="F6525">
        <f t="shared" si="405"/>
        <v>32.5</v>
      </c>
      <c r="G6525">
        <v>31.733000000000001</v>
      </c>
      <c r="H6525">
        <v>1.403</v>
      </c>
      <c r="I6525">
        <v>4.4249999999999998</v>
      </c>
      <c r="J6525">
        <v>4</v>
      </c>
      <c r="K6525">
        <v>20</v>
      </c>
      <c r="L6525">
        <v>30</v>
      </c>
      <c r="M6525">
        <v>2.089</v>
      </c>
    </row>
    <row r="6526" spans="1:13" ht="15" customHeight="1">
      <c r="A6526" t="s">
        <v>69</v>
      </c>
      <c r="B6526">
        <f t="shared" si="402"/>
        <v>33.697446999999997</v>
      </c>
      <c r="C6526">
        <f t="shared" si="403"/>
        <v>-117.85691799999999</v>
      </c>
      <c r="D6526">
        <f t="shared" si="404"/>
        <v>39</v>
      </c>
      <c r="E6526">
        <v>7.5</v>
      </c>
      <c r="F6526">
        <f t="shared" si="405"/>
        <v>31.5</v>
      </c>
      <c r="G6526">
        <v>19.067</v>
      </c>
      <c r="H6526">
        <v>0.85</v>
      </c>
      <c r="I6526">
        <v>4.4619999999999997</v>
      </c>
      <c r="J6526">
        <v>3</v>
      </c>
      <c r="K6526">
        <v>18</v>
      </c>
      <c r="L6526">
        <v>27</v>
      </c>
      <c r="M6526">
        <v>1.24</v>
      </c>
    </row>
    <row r="6527" spans="1:13" ht="15" customHeight="1">
      <c r="A6527" t="s">
        <v>69</v>
      </c>
      <c r="B6527">
        <f t="shared" si="402"/>
        <v>33.697446999999997</v>
      </c>
      <c r="C6527">
        <f t="shared" si="403"/>
        <v>-117.85691799999999</v>
      </c>
      <c r="D6527">
        <f t="shared" si="404"/>
        <v>39</v>
      </c>
      <c r="E6527">
        <v>8.5</v>
      </c>
      <c r="F6527">
        <f t="shared" si="405"/>
        <v>30.5</v>
      </c>
      <c r="G6527">
        <v>21.082999999999998</v>
      </c>
      <c r="H6527">
        <v>0.73699999999999999</v>
      </c>
      <c r="I6527">
        <v>3.5</v>
      </c>
      <c r="J6527">
        <v>5</v>
      </c>
      <c r="K6527">
        <v>10</v>
      </c>
      <c r="L6527">
        <v>15</v>
      </c>
      <c r="M6527">
        <v>1.369</v>
      </c>
    </row>
    <row r="6528" spans="1:13" ht="15" customHeight="1">
      <c r="A6528" t="s">
        <v>69</v>
      </c>
      <c r="B6528">
        <f t="shared" si="402"/>
        <v>33.697446999999997</v>
      </c>
      <c r="C6528">
        <f t="shared" si="403"/>
        <v>-117.85691799999999</v>
      </c>
      <c r="D6528">
        <f t="shared" si="404"/>
        <v>39</v>
      </c>
      <c r="E6528">
        <v>9.5</v>
      </c>
      <c r="F6528">
        <f t="shared" si="405"/>
        <v>29.5</v>
      </c>
      <c r="G6528">
        <v>21.783000000000001</v>
      </c>
      <c r="H6528">
        <v>0.747</v>
      </c>
      <c r="I6528">
        <v>3.43</v>
      </c>
      <c r="J6528">
        <v>5</v>
      </c>
      <c r="K6528">
        <v>10</v>
      </c>
      <c r="L6528">
        <v>15</v>
      </c>
      <c r="M6528">
        <v>1.413</v>
      </c>
    </row>
    <row r="6529" spans="1:13" ht="15" customHeight="1">
      <c r="A6529" t="s">
        <v>69</v>
      </c>
      <c r="B6529">
        <f t="shared" si="402"/>
        <v>33.697446999999997</v>
      </c>
      <c r="C6529">
        <f t="shared" si="403"/>
        <v>-117.85691799999999</v>
      </c>
      <c r="D6529">
        <f t="shared" si="404"/>
        <v>39</v>
      </c>
      <c r="E6529">
        <v>10.5</v>
      </c>
      <c r="F6529">
        <f t="shared" si="405"/>
        <v>28.5</v>
      </c>
      <c r="G6529">
        <v>17.314</v>
      </c>
      <c r="H6529">
        <v>0.72899999999999998</v>
      </c>
      <c r="I6529">
        <v>4.2009999999999996</v>
      </c>
      <c r="J6529">
        <v>3</v>
      </c>
      <c r="K6529">
        <v>17</v>
      </c>
      <c r="L6529">
        <v>24</v>
      </c>
      <c r="M6529">
        <v>1.1140000000000001</v>
      </c>
    </row>
    <row r="6530" spans="1:13" ht="15" customHeight="1">
      <c r="A6530" t="s">
        <v>69</v>
      </c>
      <c r="B6530">
        <f t="shared" ref="B6530:B6593" si="406">VLOOKUP(A6530,XYdata,3,FALSE)</f>
        <v>33.697446999999997</v>
      </c>
      <c r="C6530">
        <f t="shared" ref="C6530:C6593" si="407">VLOOKUP(A6530,XYdata,2,FALSE)</f>
        <v>-117.85691799999999</v>
      </c>
      <c r="D6530">
        <f t="shared" ref="D6530:D6593" si="408">VLOOKUP(A6530,Elevation,2,FALSE)</f>
        <v>39</v>
      </c>
      <c r="E6530">
        <v>11.5</v>
      </c>
      <c r="F6530">
        <f t="shared" si="405"/>
        <v>27.5</v>
      </c>
      <c r="G6530">
        <v>11.467000000000001</v>
      </c>
      <c r="H6530">
        <v>0.49299999999999999</v>
      </c>
      <c r="I6530">
        <v>4.2770000000000001</v>
      </c>
      <c r="J6530">
        <v>3</v>
      </c>
      <c r="K6530">
        <v>11</v>
      </c>
      <c r="L6530">
        <v>14</v>
      </c>
      <c r="M6530">
        <v>0.72199999999999998</v>
      </c>
    </row>
    <row r="6531" spans="1:13" ht="15" customHeight="1">
      <c r="A6531" t="s">
        <v>69</v>
      </c>
      <c r="B6531">
        <f t="shared" si="406"/>
        <v>33.697446999999997</v>
      </c>
      <c r="C6531">
        <f t="shared" si="407"/>
        <v>-117.85691799999999</v>
      </c>
      <c r="D6531">
        <f t="shared" si="408"/>
        <v>39</v>
      </c>
      <c r="E6531">
        <v>12.5</v>
      </c>
      <c r="F6531">
        <f t="shared" ref="F6531:F6594" si="409">D6531-E6531</f>
        <v>26.5</v>
      </c>
      <c r="G6531">
        <v>12.2</v>
      </c>
      <c r="H6531">
        <v>0.45</v>
      </c>
      <c r="I6531">
        <v>3.6389999999999998</v>
      </c>
      <c r="J6531">
        <v>4</v>
      </c>
      <c r="K6531">
        <v>8</v>
      </c>
      <c r="L6531">
        <v>10</v>
      </c>
      <c r="M6531">
        <v>0.77400000000000002</v>
      </c>
    </row>
    <row r="6532" spans="1:13" ht="15" customHeight="1">
      <c r="A6532" t="s">
        <v>69</v>
      </c>
      <c r="B6532">
        <f t="shared" si="406"/>
        <v>33.697446999999997</v>
      </c>
      <c r="C6532">
        <f t="shared" si="407"/>
        <v>-117.85691799999999</v>
      </c>
      <c r="D6532">
        <f t="shared" si="408"/>
        <v>39</v>
      </c>
      <c r="E6532">
        <v>13.5</v>
      </c>
      <c r="F6532">
        <f t="shared" si="409"/>
        <v>25.5</v>
      </c>
      <c r="G6532">
        <v>13.1</v>
      </c>
      <c r="H6532">
        <v>0.53300000000000003</v>
      </c>
      <c r="I6532">
        <v>4.01</v>
      </c>
      <c r="J6532">
        <v>3</v>
      </c>
      <c r="K6532">
        <v>13</v>
      </c>
      <c r="L6532">
        <v>15</v>
      </c>
      <c r="M6532">
        <v>0.83199999999999996</v>
      </c>
    </row>
    <row r="6533" spans="1:13" ht="15" customHeight="1">
      <c r="A6533" t="s">
        <v>69</v>
      </c>
      <c r="B6533">
        <f t="shared" si="406"/>
        <v>33.697446999999997</v>
      </c>
      <c r="C6533">
        <f t="shared" si="407"/>
        <v>-117.85691799999999</v>
      </c>
      <c r="D6533">
        <f t="shared" si="408"/>
        <v>39</v>
      </c>
      <c r="E6533">
        <v>14.5</v>
      </c>
      <c r="F6533">
        <f t="shared" si="409"/>
        <v>24.5</v>
      </c>
      <c r="G6533">
        <v>10.282999999999999</v>
      </c>
      <c r="H6533">
        <v>0.38</v>
      </c>
      <c r="I6533">
        <v>3.6360000000000001</v>
      </c>
      <c r="J6533">
        <v>3</v>
      </c>
      <c r="K6533">
        <v>10</v>
      </c>
      <c r="L6533">
        <v>11</v>
      </c>
      <c r="M6533">
        <v>0.63800000000000001</v>
      </c>
    </row>
    <row r="6534" spans="1:13" ht="15" customHeight="1">
      <c r="A6534" t="s">
        <v>69</v>
      </c>
      <c r="B6534">
        <f t="shared" si="406"/>
        <v>33.697446999999997</v>
      </c>
      <c r="C6534">
        <f t="shared" si="407"/>
        <v>-117.85691799999999</v>
      </c>
      <c r="D6534">
        <f t="shared" si="408"/>
        <v>39</v>
      </c>
      <c r="E6534">
        <v>15.5</v>
      </c>
      <c r="F6534">
        <f t="shared" si="409"/>
        <v>23.5</v>
      </c>
      <c r="G6534">
        <v>13.933</v>
      </c>
      <c r="H6534">
        <v>0.56699999999999995</v>
      </c>
      <c r="I6534">
        <v>4.048</v>
      </c>
      <c r="J6534">
        <v>3</v>
      </c>
      <c r="K6534">
        <v>13</v>
      </c>
      <c r="L6534">
        <v>14</v>
      </c>
      <c r="M6534">
        <v>0.87</v>
      </c>
    </row>
    <row r="6535" spans="1:13" ht="15" customHeight="1">
      <c r="A6535" t="s">
        <v>69</v>
      </c>
      <c r="B6535">
        <f t="shared" si="406"/>
        <v>33.697446999999997</v>
      </c>
      <c r="C6535">
        <f t="shared" si="407"/>
        <v>-117.85691799999999</v>
      </c>
      <c r="D6535">
        <f t="shared" si="408"/>
        <v>39</v>
      </c>
      <c r="E6535">
        <v>16.5</v>
      </c>
      <c r="F6535">
        <f t="shared" si="409"/>
        <v>22.5</v>
      </c>
      <c r="G6535">
        <v>10</v>
      </c>
      <c r="H6535">
        <v>0.45300000000000001</v>
      </c>
      <c r="I6535">
        <v>4.548</v>
      </c>
      <c r="J6535">
        <v>3</v>
      </c>
      <c r="K6535">
        <v>10</v>
      </c>
      <c r="L6535">
        <v>10</v>
      </c>
      <c r="M6535">
        <v>0.59699999999999998</v>
      </c>
    </row>
    <row r="6536" spans="1:13" ht="15" customHeight="1">
      <c r="A6536" t="s">
        <v>69</v>
      </c>
      <c r="B6536">
        <f t="shared" si="406"/>
        <v>33.697446999999997</v>
      </c>
      <c r="C6536">
        <f t="shared" si="407"/>
        <v>-117.85691799999999</v>
      </c>
      <c r="D6536">
        <f t="shared" si="408"/>
        <v>39</v>
      </c>
      <c r="E6536">
        <v>17.5</v>
      </c>
      <c r="F6536">
        <f t="shared" si="409"/>
        <v>21.5</v>
      </c>
      <c r="G6536">
        <v>13.75</v>
      </c>
      <c r="H6536">
        <v>0.55300000000000005</v>
      </c>
      <c r="I6536">
        <v>4.0389999999999997</v>
      </c>
      <c r="J6536">
        <v>3</v>
      </c>
      <c r="K6536">
        <v>13</v>
      </c>
      <c r="L6536">
        <v>12</v>
      </c>
      <c r="M6536">
        <v>0.84199999999999997</v>
      </c>
    </row>
    <row r="6537" spans="1:13" ht="15" customHeight="1">
      <c r="A6537" t="s">
        <v>69</v>
      </c>
      <c r="B6537">
        <f t="shared" si="406"/>
        <v>33.697446999999997</v>
      </c>
      <c r="C6537">
        <f t="shared" si="407"/>
        <v>-117.85691799999999</v>
      </c>
      <c r="D6537">
        <f t="shared" si="408"/>
        <v>39</v>
      </c>
      <c r="E6537">
        <v>18.5</v>
      </c>
      <c r="F6537">
        <f t="shared" si="409"/>
        <v>20.5</v>
      </c>
      <c r="G6537">
        <v>17.832999999999998</v>
      </c>
      <c r="H6537">
        <v>0.99299999999999999</v>
      </c>
      <c r="I6537">
        <v>5.5810000000000004</v>
      </c>
      <c r="J6537">
        <v>3</v>
      </c>
      <c r="K6537">
        <v>17</v>
      </c>
      <c r="L6537">
        <v>15</v>
      </c>
      <c r="M6537">
        <v>1.111</v>
      </c>
    </row>
    <row r="6538" spans="1:13" ht="15" customHeight="1">
      <c r="A6538" t="s">
        <v>69</v>
      </c>
      <c r="B6538">
        <f t="shared" si="406"/>
        <v>33.697446999999997</v>
      </c>
      <c r="C6538">
        <f t="shared" si="407"/>
        <v>-117.85691799999999</v>
      </c>
      <c r="D6538">
        <f t="shared" si="408"/>
        <v>39</v>
      </c>
      <c r="E6538">
        <v>19.5</v>
      </c>
      <c r="F6538">
        <f t="shared" si="409"/>
        <v>19.5</v>
      </c>
      <c r="G6538">
        <v>19.433</v>
      </c>
      <c r="H6538">
        <v>0.48799999999999999</v>
      </c>
      <c r="I6538">
        <v>2.5129999999999999</v>
      </c>
      <c r="J6538">
        <v>5</v>
      </c>
      <c r="K6538">
        <v>9</v>
      </c>
      <c r="L6538">
        <v>8</v>
      </c>
      <c r="M6538">
        <v>1.216</v>
      </c>
    </row>
    <row r="6539" spans="1:13" ht="15" customHeight="1">
      <c r="A6539" t="s">
        <v>69</v>
      </c>
      <c r="B6539">
        <f t="shared" si="406"/>
        <v>33.697446999999997</v>
      </c>
      <c r="C6539">
        <f t="shared" si="407"/>
        <v>-117.85691799999999</v>
      </c>
      <c r="D6539">
        <f t="shared" si="408"/>
        <v>39</v>
      </c>
      <c r="E6539">
        <v>20.5</v>
      </c>
      <c r="F6539">
        <f t="shared" si="409"/>
        <v>18.5</v>
      </c>
      <c r="G6539">
        <v>52.170999999999999</v>
      </c>
      <c r="H6539">
        <v>2.1070000000000002</v>
      </c>
      <c r="I6539">
        <v>4.0330000000000004</v>
      </c>
      <c r="J6539">
        <v>5</v>
      </c>
      <c r="K6539">
        <v>25</v>
      </c>
      <c r="L6539">
        <v>21</v>
      </c>
      <c r="M6539">
        <v>3.399</v>
      </c>
    </row>
    <row r="6540" spans="1:13" ht="15" customHeight="1">
      <c r="A6540" t="s">
        <v>69</v>
      </c>
      <c r="B6540">
        <f t="shared" si="406"/>
        <v>33.697446999999997</v>
      </c>
      <c r="C6540">
        <f t="shared" si="407"/>
        <v>-117.85691799999999</v>
      </c>
      <c r="D6540">
        <f t="shared" si="408"/>
        <v>39</v>
      </c>
      <c r="E6540">
        <v>21.5</v>
      </c>
      <c r="F6540">
        <f t="shared" si="409"/>
        <v>17.5</v>
      </c>
      <c r="G6540">
        <v>33.767000000000003</v>
      </c>
      <c r="H6540">
        <v>0.93300000000000005</v>
      </c>
      <c r="I6540">
        <v>2.7719999999999998</v>
      </c>
      <c r="J6540">
        <v>6</v>
      </c>
      <c r="K6540">
        <v>13</v>
      </c>
      <c r="L6540">
        <v>11</v>
      </c>
      <c r="M6540">
        <v>2.157</v>
      </c>
    </row>
    <row r="6541" spans="1:13" ht="15" customHeight="1">
      <c r="A6541" t="s">
        <v>69</v>
      </c>
      <c r="B6541">
        <f t="shared" si="406"/>
        <v>33.697446999999997</v>
      </c>
      <c r="C6541">
        <f t="shared" si="407"/>
        <v>-117.85691799999999</v>
      </c>
      <c r="D6541">
        <f t="shared" si="408"/>
        <v>39</v>
      </c>
      <c r="E6541">
        <v>22.5</v>
      </c>
      <c r="F6541">
        <f t="shared" si="409"/>
        <v>16.5</v>
      </c>
      <c r="G6541">
        <v>25.632999999999999</v>
      </c>
      <c r="H6541">
        <v>1.0649999999999999</v>
      </c>
      <c r="I6541">
        <v>4.1660000000000004</v>
      </c>
      <c r="J6541">
        <v>4</v>
      </c>
      <c r="K6541">
        <v>16</v>
      </c>
      <c r="L6541">
        <v>12</v>
      </c>
      <c r="M6541">
        <v>1.6120000000000001</v>
      </c>
    </row>
    <row r="6542" spans="1:13" ht="15" customHeight="1">
      <c r="A6542" t="s">
        <v>69</v>
      </c>
      <c r="B6542">
        <f t="shared" si="406"/>
        <v>33.697446999999997</v>
      </c>
      <c r="C6542">
        <f t="shared" si="407"/>
        <v>-117.85691799999999</v>
      </c>
      <c r="D6542">
        <f t="shared" si="408"/>
        <v>39</v>
      </c>
      <c r="E6542">
        <v>23.5</v>
      </c>
      <c r="F6542">
        <f t="shared" si="409"/>
        <v>15.5</v>
      </c>
      <c r="G6542">
        <v>12.7</v>
      </c>
      <c r="H6542">
        <v>0.46800000000000003</v>
      </c>
      <c r="I6542">
        <v>3.7170000000000001</v>
      </c>
      <c r="J6542">
        <v>4</v>
      </c>
      <c r="K6542">
        <v>8</v>
      </c>
      <c r="L6542">
        <v>6</v>
      </c>
      <c r="M6542">
        <v>0.74399999999999999</v>
      </c>
    </row>
    <row r="6543" spans="1:13" ht="15" customHeight="1">
      <c r="A6543" t="s">
        <v>69</v>
      </c>
      <c r="B6543">
        <f t="shared" si="406"/>
        <v>33.697446999999997</v>
      </c>
      <c r="C6543">
        <f t="shared" si="407"/>
        <v>-117.85691799999999</v>
      </c>
      <c r="D6543">
        <f t="shared" si="408"/>
        <v>39</v>
      </c>
      <c r="E6543">
        <v>24.5</v>
      </c>
      <c r="F6543">
        <f t="shared" si="409"/>
        <v>14.5</v>
      </c>
      <c r="G6543">
        <v>17.783000000000001</v>
      </c>
      <c r="H6543">
        <v>0.66500000000000004</v>
      </c>
      <c r="I6543">
        <v>3.7570000000000001</v>
      </c>
      <c r="J6543">
        <v>4</v>
      </c>
      <c r="K6543">
        <v>11</v>
      </c>
      <c r="L6543">
        <v>8</v>
      </c>
      <c r="M6543">
        <v>1.08</v>
      </c>
    </row>
    <row r="6544" spans="1:13" ht="15" customHeight="1">
      <c r="A6544" t="s">
        <v>69</v>
      </c>
      <c r="B6544">
        <f t="shared" si="406"/>
        <v>33.697446999999997</v>
      </c>
      <c r="C6544">
        <f t="shared" si="407"/>
        <v>-117.85691799999999</v>
      </c>
      <c r="D6544">
        <f t="shared" si="408"/>
        <v>39</v>
      </c>
      <c r="E6544">
        <v>25.5</v>
      </c>
      <c r="F6544">
        <f t="shared" si="409"/>
        <v>13.5</v>
      </c>
      <c r="G6544">
        <v>27.582999999999998</v>
      </c>
      <c r="H6544">
        <v>1.133</v>
      </c>
      <c r="I6544">
        <v>4.1239999999999997</v>
      </c>
      <c r="J6544">
        <v>4</v>
      </c>
      <c r="K6544">
        <v>18</v>
      </c>
      <c r="L6544">
        <v>13</v>
      </c>
      <c r="M6544">
        <v>1.728</v>
      </c>
    </row>
    <row r="6545" spans="1:13" ht="15" customHeight="1">
      <c r="A6545" t="s">
        <v>69</v>
      </c>
      <c r="B6545">
        <f t="shared" si="406"/>
        <v>33.697446999999997</v>
      </c>
      <c r="C6545">
        <f t="shared" si="407"/>
        <v>-117.85691799999999</v>
      </c>
      <c r="D6545">
        <f t="shared" si="408"/>
        <v>39</v>
      </c>
      <c r="E6545">
        <v>26.5</v>
      </c>
      <c r="F6545">
        <f t="shared" si="409"/>
        <v>12.5</v>
      </c>
      <c r="G6545">
        <v>80.5</v>
      </c>
      <c r="H6545">
        <v>1.02</v>
      </c>
      <c r="I6545">
        <v>1.2689999999999999</v>
      </c>
      <c r="J6545">
        <v>8</v>
      </c>
      <c r="K6545">
        <v>19</v>
      </c>
      <c r="L6545">
        <v>13</v>
      </c>
      <c r="M6545" s="1">
        <v>9000000000</v>
      </c>
    </row>
    <row r="6546" spans="1:13" ht="15" customHeight="1">
      <c r="A6546" t="s">
        <v>69</v>
      </c>
      <c r="B6546">
        <f t="shared" si="406"/>
        <v>33.697446999999997</v>
      </c>
      <c r="C6546">
        <f t="shared" si="407"/>
        <v>-117.85691799999999</v>
      </c>
      <c r="D6546">
        <f t="shared" si="408"/>
        <v>39</v>
      </c>
      <c r="E6546">
        <v>27.5</v>
      </c>
      <c r="F6546">
        <f t="shared" si="409"/>
        <v>11.5</v>
      </c>
      <c r="G6546">
        <v>103.6</v>
      </c>
      <c r="H6546">
        <v>0.54200000000000004</v>
      </c>
      <c r="I6546">
        <v>0.52400000000000002</v>
      </c>
      <c r="J6546">
        <v>9</v>
      </c>
      <c r="K6546">
        <v>20</v>
      </c>
      <c r="L6546">
        <v>14</v>
      </c>
      <c r="M6546" s="1">
        <v>9000000000</v>
      </c>
    </row>
    <row r="6547" spans="1:13" ht="15" customHeight="1">
      <c r="A6547" t="s">
        <v>69</v>
      </c>
      <c r="B6547">
        <f t="shared" si="406"/>
        <v>33.697446999999997</v>
      </c>
      <c r="C6547">
        <f t="shared" si="407"/>
        <v>-117.85691799999999</v>
      </c>
      <c r="D6547">
        <f t="shared" si="408"/>
        <v>39</v>
      </c>
      <c r="E6547">
        <v>28.5</v>
      </c>
      <c r="F6547">
        <f t="shared" si="409"/>
        <v>10.5</v>
      </c>
      <c r="G6547">
        <v>89.117000000000004</v>
      </c>
      <c r="H6547">
        <v>0.40300000000000002</v>
      </c>
      <c r="I6547">
        <v>0.45400000000000001</v>
      </c>
      <c r="J6547">
        <v>8</v>
      </c>
      <c r="K6547">
        <v>21</v>
      </c>
      <c r="L6547">
        <v>14</v>
      </c>
      <c r="M6547" s="1">
        <v>9000000000</v>
      </c>
    </row>
    <row r="6548" spans="1:13" ht="15" customHeight="1">
      <c r="A6548" t="s">
        <v>69</v>
      </c>
      <c r="B6548">
        <f t="shared" si="406"/>
        <v>33.697446999999997</v>
      </c>
      <c r="C6548">
        <f t="shared" si="407"/>
        <v>-117.85691799999999</v>
      </c>
      <c r="D6548">
        <f t="shared" si="408"/>
        <v>39</v>
      </c>
      <c r="E6548">
        <v>29.5</v>
      </c>
      <c r="F6548">
        <f t="shared" si="409"/>
        <v>9.5</v>
      </c>
      <c r="G6548">
        <v>55.85</v>
      </c>
      <c r="H6548">
        <v>0.54300000000000004</v>
      </c>
      <c r="I6548">
        <v>0.97399999999999998</v>
      </c>
      <c r="J6548">
        <v>7</v>
      </c>
      <c r="K6548">
        <v>18</v>
      </c>
      <c r="L6548">
        <v>12</v>
      </c>
      <c r="M6548" s="1">
        <v>9000000000</v>
      </c>
    </row>
    <row r="6549" spans="1:13" ht="15" customHeight="1">
      <c r="A6549" t="s">
        <v>69</v>
      </c>
      <c r="B6549">
        <f t="shared" si="406"/>
        <v>33.697446999999997</v>
      </c>
      <c r="C6549">
        <f t="shared" si="407"/>
        <v>-117.85691799999999</v>
      </c>
      <c r="D6549">
        <f t="shared" si="408"/>
        <v>39</v>
      </c>
      <c r="E6549">
        <v>30.5</v>
      </c>
      <c r="F6549">
        <f t="shared" si="409"/>
        <v>8.5</v>
      </c>
      <c r="G6549">
        <v>116.43300000000001</v>
      </c>
      <c r="H6549">
        <v>1.58</v>
      </c>
      <c r="I6549">
        <v>1.359</v>
      </c>
      <c r="J6549">
        <v>8</v>
      </c>
      <c r="K6549">
        <v>28</v>
      </c>
      <c r="L6549">
        <v>19</v>
      </c>
      <c r="M6549" s="1">
        <v>9000000000</v>
      </c>
    </row>
    <row r="6550" spans="1:13" ht="15" customHeight="1">
      <c r="A6550" t="s">
        <v>69</v>
      </c>
      <c r="B6550">
        <f t="shared" si="406"/>
        <v>33.697446999999997</v>
      </c>
      <c r="C6550">
        <f t="shared" si="407"/>
        <v>-117.85691799999999</v>
      </c>
      <c r="D6550">
        <f t="shared" si="408"/>
        <v>39</v>
      </c>
      <c r="E6550">
        <v>31.5</v>
      </c>
      <c r="F6550">
        <f t="shared" si="409"/>
        <v>7.5</v>
      </c>
      <c r="G6550">
        <v>192.714</v>
      </c>
      <c r="H6550">
        <v>0.53300000000000003</v>
      </c>
      <c r="I6550">
        <v>0.27600000000000002</v>
      </c>
      <c r="J6550">
        <v>9</v>
      </c>
      <c r="K6550">
        <v>37</v>
      </c>
      <c r="L6550">
        <v>24</v>
      </c>
      <c r="M6550" s="1">
        <v>9000000000</v>
      </c>
    </row>
    <row r="6551" spans="1:13" ht="15" customHeight="1">
      <c r="A6551" t="s">
        <v>69</v>
      </c>
      <c r="B6551">
        <f t="shared" si="406"/>
        <v>33.697446999999997</v>
      </c>
      <c r="C6551">
        <f t="shared" si="407"/>
        <v>-117.85691799999999</v>
      </c>
      <c r="D6551">
        <f t="shared" si="408"/>
        <v>39</v>
      </c>
      <c r="E6551">
        <v>32.5</v>
      </c>
      <c r="F6551">
        <f t="shared" si="409"/>
        <v>6.5</v>
      </c>
      <c r="G6551">
        <v>194.983</v>
      </c>
      <c r="H6551">
        <v>0.438</v>
      </c>
      <c r="I6551">
        <v>0.22500000000000001</v>
      </c>
      <c r="J6551">
        <v>9</v>
      </c>
      <c r="K6551">
        <v>37</v>
      </c>
      <c r="L6551">
        <v>24</v>
      </c>
      <c r="M6551" s="1">
        <v>9000000000</v>
      </c>
    </row>
    <row r="6552" spans="1:13" ht="15" customHeight="1">
      <c r="A6552" t="s">
        <v>69</v>
      </c>
      <c r="B6552">
        <f t="shared" si="406"/>
        <v>33.697446999999997</v>
      </c>
      <c r="C6552">
        <f t="shared" si="407"/>
        <v>-117.85691799999999</v>
      </c>
      <c r="D6552">
        <f t="shared" si="408"/>
        <v>39</v>
      </c>
      <c r="E6552">
        <v>33.5</v>
      </c>
      <c r="F6552">
        <f t="shared" si="409"/>
        <v>5.5</v>
      </c>
      <c r="G6552">
        <v>222.21700000000001</v>
      </c>
      <c r="H6552">
        <v>0.67800000000000005</v>
      </c>
      <c r="I6552">
        <v>0.30499999999999999</v>
      </c>
      <c r="J6552">
        <v>10</v>
      </c>
      <c r="K6552">
        <v>35</v>
      </c>
      <c r="L6552">
        <v>22</v>
      </c>
      <c r="M6552" s="1">
        <v>9000000000</v>
      </c>
    </row>
    <row r="6553" spans="1:13" ht="15" customHeight="1">
      <c r="A6553" t="s">
        <v>69</v>
      </c>
      <c r="B6553">
        <f t="shared" si="406"/>
        <v>33.697446999999997</v>
      </c>
      <c r="C6553">
        <f t="shared" si="407"/>
        <v>-117.85691799999999</v>
      </c>
      <c r="D6553">
        <f t="shared" si="408"/>
        <v>39</v>
      </c>
      <c r="E6553">
        <v>34.5</v>
      </c>
      <c r="F6553">
        <f t="shared" si="409"/>
        <v>4.5</v>
      </c>
      <c r="G6553">
        <v>219.417</v>
      </c>
      <c r="H6553">
        <v>1.018</v>
      </c>
      <c r="I6553">
        <v>0.46400000000000002</v>
      </c>
      <c r="J6553">
        <v>9</v>
      </c>
      <c r="K6553">
        <v>42</v>
      </c>
      <c r="L6553">
        <v>26</v>
      </c>
      <c r="M6553" s="1">
        <v>9000000000</v>
      </c>
    </row>
    <row r="6554" spans="1:13" ht="15" customHeight="1">
      <c r="A6554" t="s">
        <v>69</v>
      </c>
      <c r="B6554">
        <f t="shared" si="406"/>
        <v>33.697446999999997</v>
      </c>
      <c r="C6554">
        <f t="shared" si="407"/>
        <v>-117.85691799999999</v>
      </c>
      <c r="D6554">
        <f t="shared" si="408"/>
        <v>39</v>
      </c>
      <c r="E6554">
        <v>35.5</v>
      </c>
      <c r="F6554">
        <f t="shared" si="409"/>
        <v>3.5</v>
      </c>
      <c r="G6554">
        <v>272.91699999999997</v>
      </c>
      <c r="H6554">
        <v>1.0369999999999999</v>
      </c>
      <c r="I6554">
        <v>0.38</v>
      </c>
      <c r="J6554">
        <v>10</v>
      </c>
      <c r="K6554">
        <v>44</v>
      </c>
      <c r="L6554">
        <v>27</v>
      </c>
      <c r="M6554" s="1">
        <v>9000000000</v>
      </c>
    </row>
    <row r="6555" spans="1:13" ht="15" customHeight="1">
      <c r="A6555" t="s">
        <v>69</v>
      </c>
      <c r="B6555">
        <f t="shared" si="406"/>
        <v>33.697446999999997</v>
      </c>
      <c r="C6555">
        <f t="shared" si="407"/>
        <v>-117.85691799999999</v>
      </c>
      <c r="D6555">
        <f t="shared" si="408"/>
        <v>39</v>
      </c>
      <c r="E6555">
        <v>36.5</v>
      </c>
      <c r="F6555">
        <f t="shared" si="409"/>
        <v>2.5</v>
      </c>
      <c r="G6555">
        <v>315.61700000000002</v>
      </c>
      <c r="H6555">
        <v>1.4350000000000001</v>
      </c>
      <c r="I6555">
        <v>0.45500000000000002</v>
      </c>
      <c r="J6555">
        <v>10</v>
      </c>
      <c r="K6555">
        <v>50</v>
      </c>
      <c r="L6555">
        <v>31</v>
      </c>
      <c r="M6555" s="1">
        <v>9000000000</v>
      </c>
    </row>
    <row r="6556" spans="1:13" ht="15" customHeight="1">
      <c r="A6556" t="s">
        <v>69</v>
      </c>
      <c r="B6556">
        <f t="shared" si="406"/>
        <v>33.697446999999997</v>
      </c>
      <c r="C6556">
        <f t="shared" si="407"/>
        <v>-117.85691799999999</v>
      </c>
      <c r="D6556">
        <f t="shared" si="408"/>
        <v>39</v>
      </c>
      <c r="E6556">
        <v>37.5</v>
      </c>
      <c r="F6556">
        <f t="shared" si="409"/>
        <v>1.5</v>
      </c>
      <c r="G6556">
        <v>295.983</v>
      </c>
      <c r="H6556">
        <v>1.2150000000000001</v>
      </c>
      <c r="I6556">
        <v>0.41099999999999998</v>
      </c>
      <c r="J6556">
        <v>10</v>
      </c>
      <c r="K6556">
        <v>47</v>
      </c>
      <c r="L6556">
        <v>28</v>
      </c>
      <c r="M6556" s="1">
        <v>9000000000</v>
      </c>
    </row>
    <row r="6557" spans="1:13" ht="15" customHeight="1">
      <c r="A6557" t="s">
        <v>69</v>
      </c>
      <c r="B6557">
        <f t="shared" si="406"/>
        <v>33.697446999999997</v>
      </c>
      <c r="C6557">
        <f t="shared" si="407"/>
        <v>-117.85691799999999</v>
      </c>
      <c r="D6557">
        <f t="shared" si="408"/>
        <v>39</v>
      </c>
      <c r="E6557">
        <v>38.5</v>
      </c>
      <c r="F6557">
        <f t="shared" si="409"/>
        <v>0.5</v>
      </c>
      <c r="G6557">
        <v>325.06700000000001</v>
      </c>
      <c r="H6557">
        <v>1.0569999999999999</v>
      </c>
      <c r="I6557">
        <v>0.32500000000000001</v>
      </c>
      <c r="J6557">
        <v>10</v>
      </c>
      <c r="K6557">
        <v>52</v>
      </c>
      <c r="L6557">
        <v>31</v>
      </c>
      <c r="M6557" s="1">
        <v>9000000000</v>
      </c>
    </row>
    <row r="6558" spans="1:13" ht="15" customHeight="1">
      <c r="A6558" t="s">
        <v>69</v>
      </c>
      <c r="B6558">
        <f t="shared" si="406"/>
        <v>33.697446999999997</v>
      </c>
      <c r="C6558">
        <f t="shared" si="407"/>
        <v>-117.85691799999999</v>
      </c>
      <c r="D6558">
        <f t="shared" si="408"/>
        <v>39</v>
      </c>
      <c r="E6558">
        <v>39.5</v>
      </c>
      <c r="F6558">
        <f t="shared" si="409"/>
        <v>-0.5</v>
      </c>
      <c r="G6558">
        <v>252.45</v>
      </c>
      <c r="H6558">
        <v>0.83299999999999996</v>
      </c>
      <c r="I6558">
        <v>0.33</v>
      </c>
      <c r="J6558">
        <v>10</v>
      </c>
      <c r="K6558">
        <v>40</v>
      </c>
      <c r="L6558">
        <v>23</v>
      </c>
      <c r="M6558" s="1">
        <v>9000000000</v>
      </c>
    </row>
    <row r="6559" spans="1:13" ht="15" customHeight="1">
      <c r="A6559" t="s">
        <v>69</v>
      </c>
      <c r="B6559">
        <f t="shared" si="406"/>
        <v>33.697446999999997</v>
      </c>
      <c r="C6559">
        <f t="shared" si="407"/>
        <v>-117.85691799999999</v>
      </c>
      <c r="D6559">
        <f t="shared" si="408"/>
        <v>39</v>
      </c>
      <c r="E6559">
        <v>40.5</v>
      </c>
      <c r="F6559">
        <f t="shared" si="409"/>
        <v>-1.5</v>
      </c>
      <c r="G6559">
        <v>39.65</v>
      </c>
      <c r="H6559">
        <v>0.92500000000000004</v>
      </c>
      <c r="I6559">
        <v>2.3199999999999998</v>
      </c>
      <c r="J6559">
        <v>6</v>
      </c>
      <c r="K6559">
        <v>15</v>
      </c>
      <c r="L6559">
        <v>9</v>
      </c>
      <c r="M6559">
        <v>2.4900000000000002</v>
      </c>
    </row>
    <row r="6560" spans="1:13" ht="15" customHeight="1">
      <c r="A6560" t="s">
        <v>69</v>
      </c>
      <c r="B6560">
        <f t="shared" si="406"/>
        <v>33.697446999999997</v>
      </c>
      <c r="C6560">
        <f t="shared" si="407"/>
        <v>-117.85691799999999</v>
      </c>
      <c r="D6560">
        <f t="shared" si="408"/>
        <v>39</v>
      </c>
      <c r="E6560">
        <v>41.499000000000002</v>
      </c>
      <c r="F6560">
        <f t="shared" si="409"/>
        <v>-2.4990000000000023</v>
      </c>
      <c r="G6560">
        <v>21.742999999999999</v>
      </c>
      <c r="H6560">
        <v>0.48599999999999999</v>
      </c>
      <c r="I6560">
        <v>2.218</v>
      </c>
      <c r="J6560">
        <v>6</v>
      </c>
      <c r="K6560">
        <v>8</v>
      </c>
      <c r="L6560">
        <v>5</v>
      </c>
      <c r="M6560">
        <v>1.288</v>
      </c>
    </row>
    <row r="6561" spans="1:13" ht="15" customHeight="1">
      <c r="A6561" t="s">
        <v>69</v>
      </c>
      <c r="B6561">
        <f t="shared" si="406"/>
        <v>33.697446999999997</v>
      </c>
      <c r="C6561">
        <f t="shared" si="407"/>
        <v>-117.85691799999999</v>
      </c>
      <c r="D6561">
        <f t="shared" si="408"/>
        <v>39</v>
      </c>
      <c r="E6561">
        <v>42.499000000000002</v>
      </c>
      <c r="F6561">
        <f t="shared" si="409"/>
        <v>-3.4990000000000023</v>
      </c>
      <c r="G6561">
        <v>52.3</v>
      </c>
      <c r="H6561">
        <v>0.93799999999999994</v>
      </c>
      <c r="I6561">
        <v>1.7969999999999999</v>
      </c>
      <c r="J6561">
        <v>7</v>
      </c>
      <c r="K6561">
        <v>17</v>
      </c>
      <c r="L6561">
        <v>10</v>
      </c>
      <c r="M6561" s="1">
        <v>9000000000</v>
      </c>
    </row>
    <row r="6562" spans="1:13" ht="15" customHeight="1">
      <c r="A6562" t="s">
        <v>69</v>
      </c>
      <c r="B6562">
        <f t="shared" si="406"/>
        <v>33.697446999999997</v>
      </c>
      <c r="C6562">
        <f t="shared" si="407"/>
        <v>-117.85691799999999</v>
      </c>
      <c r="D6562">
        <f t="shared" si="408"/>
        <v>39</v>
      </c>
      <c r="E6562">
        <v>43.499000000000002</v>
      </c>
      <c r="F6562">
        <f t="shared" si="409"/>
        <v>-4.4990000000000023</v>
      </c>
      <c r="G6562">
        <v>112.133</v>
      </c>
      <c r="H6562">
        <v>2.9380000000000002</v>
      </c>
      <c r="I6562">
        <v>2.6240000000000001</v>
      </c>
      <c r="J6562">
        <v>7</v>
      </c>
      <c r="K6562">
        <v>36</v>
      </c>
      <c r="L6562">
        <v>20</v>
      </c>
      <c r="M6562" s="1">
        <v>9000000000</v>
      </c>
    </row>
    <row r="6563" spans="1:13" ht="15" customHeight="1">
      <c r="A6563" t="s">
        <v>69</v>
      </c>
      <c r="B6563">
        <f t="shared" si="406"/>
        <v>33.697446999999997</v>
      </c>
      <c r="C6563">
        <f t="shared" si="407"/>
        <v>-117.85691799999999</v>
      </c>
      <c r="D6563">
        <f t="shared" si="408"/>
        <v>39</v>
      </c>
      <c r="E6563">
        <v>44.499000000000002</v>
      </c>
      <c r="F6563">
        <f t="shared" si="409"/>
        <v>-5.4990000000000023</v>
      </c>
      <c r="G6563">
        <v>250.8</v>
      </c>
      <c r="H6563">
        <v>2.077</v>
      </c>
      <c r="I6563">
        <v>0.82899999999999996</v>
      </c>
      <c r="J6563">
        <v>9</v>
      </c>
      <c r="K6563">
        <v>48</v>
      </c>
      <c r="L6563">
        <v>27</v>
      </c>
      <c r="M6563" s="1">
        <v>9000000000</v>
      </c>
    </row>
    <row r="6564" spans="1:13" ht="15" customHeight="1">
      <c r="A6564" t="s">
        <v>69</v>
      </c>
      <c r="B6564">
        <f t="shared" si="406"/>
        <v>33.697446999999997</v>
      </c>
      <c r="C6564">
        <f t="shared" si="407"/>
        <v>-117.85691799999999</v>
      </c>
      <c r="D6564">
        <f t="shared" si="408"/>
        <v>39</v>
      </c>
      <c r="E6564">
        <v>45.499000000000002</v>
      </c>
      <c r="F6564">
        <f t="shared" si="409"/>
        <v>-6.4990000000000023</v>
      </c>
      <c r="G6564">
        <v>318</v>
      </c>
      <c r="H6564">
        <v>1.5629999999999999</v>
      </c>
      <c r="I6564">
        <v>0.49199999999999999</v>
      </c>
      <c r="J6564">
        <v>10</v>
      </c>
      <c r="K6564">
        <v>51</v>
      </c>
      <c r="L6564">
        <v>28</v>
      </c>
      <c r="M6564" s="1">
        <v>9000000000</v>
      </c>
    </row>
    <row r="6565" spans="1:13" ht="15" customHeight="1">
      <c r="A6565" t="s">
        <v>69</v>
      </c>
      <c r="B6565">
        <f t="shared" si="406"/>
        <v>33.697446999999997</v>
      </c>
      <c r="C6565">
        <f t="shared" si="407"/>
        <v>-117.85691799999999</v>
      </c>
      <c r="D6565">
        <f t="shared" si="408"/>
        <v>39</v>
      </c>
      <c r="E6565">
        <v>46.499000000000002</v>
      </c>
      <c r="F6565">
        <f t="shared" si="409"/>
        <v>-7.4990000000000023</v>
      </c>
      <c r="G6565">
        <v>183.11699999999999</v>
      </c>
      <c r="H6565">
        <v>1.99</v>
      </c>
      <c r="I6565">
        <v>1.0880000000000001</v>
      </c>
      <c r="J6565">
        <v>9</v>
      </c>
      <c r="K6565">
        <v>35</v>
      </c>
      <c r="L6565">
        <v>19</v>
      </c>
      <c r="M6565" s="1">
        <v>9000000000</v>
      </c>
    </row>
    <row r="6566" spans="1:13" ht="15" customHeight="1">
      <c r="A6566" t="s">
        <v>69</v>
      </c>
      <c r="B6566">
        <f t="shared" si="406"/>
        <v>33.697446999999997</v>
      </c>
      <c r="C6566">
        <f t="shared" si="407"/>
        <v>-117.85691799999999</v>
      </c>
      <c r="D6566">
        <f t="shared" si="408"/>
        <v>39</v>
      </c>
      <c r="E6566">
        <v>47.499000000000002</v>
      </c>
      <c r="F6566">
        <f t="shared" si="409"/>
        <v>-8.4990000000000023</v>
      </c>
      <c r="G6566">
        <v>132.11699999999999</v>
      </c>
      <c r="H6566">
        <v>2.548</v>
      </c>
      <c r="I6566">
        <v>1.9319999999999999</v>
      </c>
      <c r="J6566">
        <v>7</v>
      </c>
      <c r="K6566">
        <v>42</v>
      </c>
      <c r="L6566">
        <v>23</v>
      </c>
      <c r="M6566" s="1">
        <v>9000000000</v>
      </c>
    </row>
    <row r="6567" spans="1:13" ht="15" customHeight="1">
      <c r="A6567" t="s">
        <v>69</v>
      </c>
      <c r="B6567">
        <f t="shared" si="406"/>
        <v>33.697446999999997</v>
      </c>
      <c r="C6567">
        <f t="shared" si="407"/>
        <v>-117.85691799999999</v>
      </c>
      <c r="D6567">
        <f t="shared" si="408"/>
        <v>39</v>
      </c>
      <c r="E6567">
        <v>48.499000000000002</v>
      </c>
      <c r="F6567">
        <f t="shared" si="409"/>
        <v>-9.4990000000000023</v>
      </c>
      <c r="G6567">
        <v>153.15</v>
      </c>
      <c r="H6567">
        <v>2.6070000000000002</v>
      </c>
      <c r="I6567">
        <v>1.704</v>
      </c>
      <c r="J6567">
        <v>8</v>
      </c>
      <c r="K6567">
        <v>37</v>
      </c>
      <c r="L6567">
        <v>20</v>
      </c>
      <c r="M6567" s="1">
        <v>9000000000</v>
      </c>
    </row>
    <row r="6568" spans="1:13" ht="15" customHeight="1">
      <c r="A6568" t="s">
        <v>69</v>
      </c>
      <c r="B6568">
        <f t="shared" si="406"/>
        <v>33.697446999999997</v>
      </c>
      <c r="C6568">
        <f t="shared" si="407"/>
        <v>-117.85691799999999</v>
      </c>
      <c r="D6568">
        <f t="shared" si="408"/>
        <v>39</v>
      </c>
      <c r="E6568">
        <v>49.499000000000002</v>
      </c>
      <c r="F6568">
        <f t="shared" si="409"/>
        <v>-10.499000000000002</v>
      </c>
      <c r="G6568">
        <v>149.31700000000001</v>
      </c>
      <c r="H6568">
        <v>2.5169999999999999</v>
      </c>
      <c r="I6568">
        <v>1.6870000000000001</v>
      </c>
      <c r="J6568">
        <v>8</v>
      </c>
      <c r="K6568">
        <v>36</v>
      </c>
      <c r="L6568">
        <v>19</v>
      </c>
      <c r="M6568" s="1">
        <v>9000000000</v>
      </c>
    </row>
    <row r="6569" spans="1:13" ht="15" customHeight="1">
      <c r="A6569" t="s">
        <v>69</v>
      </c>
      <c r="B6569">
        <f t="shared" si="406"/>
        <v>33.697446999999997</v>
      </c>
      <c r="C6569">
        <f t="shared" si="407"/>
        <v>-117.85691799999999</v>
      </c>
      <c r="D6569">
        <f t="shared" si="408"/>
        <v>39</v>
      </c>
      <c r="E6569">
        <v>50.499000000000002</v>
      </c>
      <c r="F6569">
        <f t="shared" si="409"/>
        <v>-11.499000000000002</v>
      </c>
      <c r="G6569">
        <v>85.6</v>
      </c>
      <c r="H6569">
        <v>1.845</v>
      </c>
      <c r="I6569">
        <v>2.1579999999999999</v>
      </c>
      <c r="J6569">
        <v>7</v>
      </c>
      <c r="K6569">
        <v>27</v>
      </c>
      <c r="L6569">
        <v>14</v>
      </c>
      <c r="M6569" s="1">
        <v>9000000000</v>
      </c>
    </row>
    <row r="6570" spans="1:13" ht="15" customHeight="1">
      <c r="A6570" t="s">
        <v>69</v>
      </c>
      <c r="B6570">
        <f t="shared" si="406"/>
        <v>33.697446999999997</v>
      </c>
      <c r="C6570">
        <f t="shared" si="407"/>
        <v>-117.85691799999999</v>
      </c>
      <c r="D6570">
        <f t="shared" si="408"/>
        <v>39</v>
      </c>
      <c r="E6570">
        <v>51.499000000000002</v>
      </c>
      <c r="F6570">
        <f t="shared" si="409"/>
        <v>-12.499000000000002</v>
      </c>
      <c r="G6570">
        <v>27.167000000000002</v>
      </c>
      <c r="H6570">
        <v>0.61499999999999999</v>
      </c>
      <c r="I6570">
        <v>2.2719999999999998</v>
      </c>
      <c r="J6570">
        <v>6</v>
      </c>
      <c r="K6570">
        <v>10</v>
      </c>
      <c r="L6570">
        <v>5</v>
      </c>
      <c r="M6570">
        <v>1.5920000000000001</v>
      </c>
    </row>
    <row r="6571" spans="1:13" ht="15" customHeight="1">
      <c r="A6571" t="s">
        <v>69</v>
      </c>
      <c r="B6571">
        <f t="shared" si="406"/>
        <v>33.697446999999997</v>
      </c>
      <c r="C6571">
        <f t="shared" si="407"/>
        <v>-117.85691799999999</v>
      </c>
      <c r="D6571">
        <f t="shared" si="408"/>
        <v>39</v>
      </c>
      <c r="E6571">
        <v>52.499000000000002</v>
      </c>
      <c r="F6571">
        <f t="shared" si="409"/>
        <v>-13.499000000000002</v>
      </c>
      <c r="G6571">
        <v>75.942999999999998</v>
      </c>
      <c r="H6571">
        <v>1.2589999999999999</v>
      </c>
      <c r="I6571">
        <v>1.659</v>
      </c>
      <c r="J6571">
        <v>7</v>
      </c>
      <c r="K6571">
        <v>24</v>
      </c>
      <c r="L6571">
        <v>12</v>
      </c>
      <c r="M6571" s="1">
        <v>9000000000</v>
      </c>
    </row>
    <row r="6572" spans="1:13" ht="15" customHeight="1">
      <c r="A6572" t="s">
        <v>69</v>
      </c>
      <c r="B6572">
        <f t="shared" si="406"/>
        <v>33.697446999999997</v>
      </c>
      <c r="C6572">
        <f t="shared" si="407"/>
        <v>-117.85691799999999</v>
      </c>
      <c r="D6572">
        <f t="shared" si="408"/>
        <v>39</v>
      </c>
      <c r="E6572">
        <v>53.499000000000002</v>
      </c>
      <c r="F6572">
        <f t="shared" si="409"/>
        <v>-14.499000000000002</v>
      </c>
      <c r="G6572">
        <v>23.867000000000001</v>
      </c>
      <c r="H6572">
        <v>0.50700000000000001</v>
      </c>
      <c r="I6572">
        <v>2.1240000000000001</v>
      </c>
      <c r="J6572">
        <v>6</v>
      </c>
      <c r="K6572">
        <v>9</v>
      </c>
      <c r="L6572">
        <v>5</v>
      </c>
      <c r="M6572">
        <v>1.369</v>
      </c>
    </row>
    <row r="6573" spans="1:13" ht="15" customHeight="1">
      <c r="A6573" t="s">
        <v>69</v>
      </c>
      <c r="B6573">
        <f t="shared" si="406"/>
        <v>33.697446999999997</v>
      </c>
      <c r="C6573">
        <f t="shared" si="407"/>
        <v>-117.85691799999999</v>
      </c>
      <c r="D6573">
        <f t="shared" si="408"/>
        <v>39</v>
      </c>
      <c r="E6573">
        <v>54.499000000000002</v>
      </c>
      <c r="F6573">
        <f t="shared" si="409"/>
        <v>-15.499000000000002</v>
      </c>
      <c r="G6573">
        <v>24.466999999999999</v>
      </c>
      <c r="H6573">
        <v>0.63300000000000001</v>
      </c>
      <c r="I6573">
        <v>2.585</v>
      </c>
      <c r="J6573">
        <v>6</v>
      </c>
      <c r="K6573">
        <v>9</v>
      </c>
      <c r="L6573">
        <v>5</v>
      </c>
      <c r="M6573">
        <v>1.4079999999999999</v>
      </c>
    </row>
    <row r="6574" spans="1:13" ht="15" customHeight="1">
      <c r="A6574" t="s">
        <v>69</v>
      </c>
      <c r="B6574">
        <f t="shared" si="406"/>
        <v>33.697446999999997</v>
      </c>
      <c r="C6574">
        <f t="shared" si="407"/>
        <v>-117.85691799999999</v>
      </c>
      <c r="D6574">
        <f t="shared" si="408"/>
        <v>39</v>
      </c>
      <c r="E6574">
        <v>55.499000000000002</v>
      </c>
      <c r="F6574">
        <f t="shared" si="409"/>
        <v>-16.499000000000002</v>
      </c>
      <c r="G6574">
        <v>39.883000000000003</v>
      </c>
      <c r="H6574">
        <v>1.4019999999999999</v>
      </c>
      <c r="I6574">
        <v>3.5070000000000001</v>
      </c>
      <c r="J6574">
        <v>5</v>
      </c>
      <c r="K6574">
        <v>19</v>
      </c>
      <c r="L6574">
        <v>10</v>
      </c>
      <c r="M6574">
        <v>2.4350000000000001</v>
      </c>
    </row>
    <row r="6575" spans="1:13" ht="15" customHeight="1">
      <c r="A6575" t="s">
        <v>69</v>
      </c>
      <c r="B6575">
        <f t="shared" si="406"/>
        <v>33.697446999999997</v>
      </c>
      <c r="C6575">
        <f t="shared" si="407"/>
        <v>-117.85691799999999</v>
      </c>
      <c r="D6575">
        <f t="shared" si="408"/>
        <v>39</v>
      </c>
      <c r="E6575">
        <v>56.499000000000002</v>
      </c>
      <c r="F6575">
        <f t="shared" si="409"/>
        <v>-17.499000000000002</v>
      </c>
      <c r="G6575">
        <v>84.783000000000001</v>
      </c>
      <c r="H6575">
        <v>2.347</v>
      </c>
      <c r="I6575">
        <v>2.7719999999999998</v>
      </c>
      <c r="J6575">
        <v>6</v>
      </c>
      <c r="K6575">
        <v>32</v>
      </c>
      <c r="L6575">
        <v>16</v>
      </c>
      <c r="M6575">
        <v>5.4109999999999996</v>
      </c>
    </row>
    <row r="6576" spans="1:13" ht="15" customHeight="1">
      <c r="A6576" t="s">
        <v>69</v>
      </c>
      <c r="B6576">
        <f t="shared" si="406"/>
        <v>33.697446999999997</v>
      </c>
      <c r="C6576">
        <f t="shared" si="407"/>
        <v>-117.85691799999999</v>
      </c>
      <c r="D6576">
        <f t="shared" si="408"/>
        <v>39</v>
      </c>
      <c r="E6576">
        <v>57.499000000000002</v>
      </c>
      <c r="F6576">
        <f t="shared" si="409"/>
        <v>-18.499000000000002</v>
      </c>
      <c r="G6576">
        <v>22.95</v>
      </c>
      <c r="H6576">
        <v>0.67800000000000005</v>
      </c>
      <c r="I6576">
        <v>2.9710000000000001</v>
      </c>
      <c r="J6576">
        <v>5</v>
      </c>
      <c r="K6576">
        <v>11</v>
      </c>
      <c r="L6576">
        <v>6</v>
      </c>
      <c r="M6576">
        <v>1.2849999999999999</v>
      </c>
    </row>
    <row r="6577" spans="1:13" ht="15" customHeight="1">
      <c r="A6577" t="s">
        <v>69</v>
      </c>
      <c r="B6577">
        <f t="shared" si="406"/>
        <v>33.697446999999997</v>
      </c>
      <c r="C6577">
        <f t="shared" si="407"/>
        <v>-117.85691799999999</v>
      </c>
      <c r="D6577">
        <f t="shared" si="408"/>
        <v>39</v>
      </c>
      <c r="E6577">
        <v>58.499000000000002</v>
      </c>
      <c r="F6577">
        <f t="shared" si="409"/>
        <v>-19.499000000000002</v>
      </c>
      <c r="G6577">
        <v>20.350000000000001</v>
      </c>
      <c r="H6577">
        <v>0.46500000000000002</v>
      </c>
      <c r="I6577">
        <v>2.2930000000000001</v>
      </c>
      <c r="J6577">
        <v>5</v>
      </c>
      <c r="K6577">
        <v>10</v>
      </c>
      <c r="L6577">
        <v>5</v>
      </c>
      <c r="M6577">
        <v>1.1100000000000001</v>
      </c>
    </row>
    <row r="6578" spans="1:13" ht="15" customHeight="1">
      <c r="A6578" t="s">
        <v>69</v>
      </c>
      <c r="B6578">
        <f t="shared" si="406"/>
        <v>33.697446999999997</v>
      </c>
      <c r="C6578">
        <f t="shared" si="407"/>
        <v>-117.85691799999999</v>
      </c>
      <c r="D6578">
        <f t="shared" si="408"/>
        <v>39</v>
      </c>
      <c r="E6578">
        <v>59.499000000000002</v>
      </c>
      <c r="F6578">
        <f t="shared" si="409"/>
        <v>-20.499000000000002</v>
      </c>
      <c r="G6578">
        <v>20.167000000000002</v>
      </c>
      <c r="H6578">
        <v>0.46700000000000003</v>
      </c>
      <c r="I6578">
        <v>2.3199999999999998</v>
      </c>
      <c r="J6578">
        <v>5</v>
      </c>
      <c r="K6578">
        <v>10</v>
      </c>
      <c r="L6578">
        <v>5</v>
      </c>
      <c r="M6578">
        <v>1.095</v>
      </c>
    </row>
    <row r="6579" spans="1:13" ht="15" customHeight="1">
      <c r="A6579" t="s">
        <v>69</v>
      </c>
      <c r="B6579">
        <f t="shared" si="406"/>
        <v>33.697446999999997</v>
      </c>
      <c r="C6579">
        <f t="shared" si="407"/>
        <v>-117.85691799999999</v>
      </c>
      <c r="D6579">
        <f t="shared" si="408"/>
        <v>39</v>
      </c>
      <c r="E6579">
        <v>60.499000000000002</v>
      </c>
      <c r="F6579">
        <f t="shared" si="409"/>
        <v>-21.499000000000002</v>
      </c>
      <c r="G6579">
        <v>22.933</v>
      </c>
      <c r="H6579">
        <v>0.58699999999999997</v>
      </c>
      <c r="I6579">
        <v>2.5619999999999998</v>
      </c>
      <c r="J6579">
        <v>5</v>
      </c>
      <c r="K6579">
        <v>11</v>
      </c>
      <c r="L6579">
        <v>6</v>
      </c>
      <c r="M6579">
        <v>1.2769999999999999</v>
      </c>
    </row>
    <row r="6580" spans="1:13" ht="15" customHeight="1">
      <c r="A6580" t="s">
        <v>69</v>
      </c>
      <c r="B6580">
        <f t="shared" si="406"/>
        <v>33.697446999999997</v>
      </c>
      <c r="C6580">
        <f t="shared" si="407"/>
        <v>-117.85691799999999</v>
      </c>
      <c r="D6580">
        <f t="shared" si="408"/>
        <v>39</v>
      </c>
      <c r="E6580">
        <v>61.499000000000002</v>
      </c>
      <c r="F6580">
        <f t="shared" si="409"/>
        <v>-22.499000000000002</v>
      </c>
      <c r="G6580">
        <v>25.5</v>
      </c>
      <c r="H6580">
        <v>0.94299999999999995</v>
      </c>
      <c r="I6580">
        <v>3.69</v>
      </c>
      <c r="J6580">
        <v>4</v>
      </c>
      <c r="K6580">
        <v>16</v>
      </c>
      <c r="L6580">
        <v>8</v>
      </c>
      <c r="M6580">
        <v>1.45</v>
      </c>
    </row>
    <row r="6581" spans="1:13" ht="15" customHeight="1">
      <c r="A6581" t="s">
        <v>69</v>
      </c>
      <c r="B6581">
        <f t="shared" si="406"/>
        <v>33.697446999999997</v>
      </c>
      <c r="C6581">
        <f t="shared" si="407"/>
        <v>-117.85691799999999</v>
      </c>
      <c r="D6581">
        <f t="shared" si="408"/>
        <v>39</v>
      </c>
      <c r="E6581">
        <v>62.499000000000002</v>
      </c>
      <c r="F6581">
        <f t="shared" si="409"/>
        <v>-23.499000000000002</v>
      </c>
      <c r="G6581">
        <v>53.156999999999996</v>
      </c>
      <c r="H6581">
        <v>1.589</v>
      </c>
      <c r="I6581">
        <v>2.9689999999999999</v>
      </c>
      <c r="J6581">
        <v>6</v>
      </c>
      <c r="K6581">
        <v>20</v>
      </c>
      <c r="L6581">
        <v>10</v>
      </c>
      <c r="M6581">
        <v>3.3079999999999998</v>
      </c>
    </row>
    <row r="6582" spans="1:13" ht="15" customHeight="1">
      <c r="A6582" t="s">
        <v>69</v>
      </c>
      <c r="B6582">
        <f t="shared" si="406"/>
        <v>33.697446999999997</v>
      </c>
      <c r="C6582">
        <f t="shared" si="407"/>
        <v>-117.85691799999999</v>
      </c>
      <c r="D6582">
        <f t="shared" si="408"/>
        <v>39</v>
      </c>
      <c r="E6582">
        <v>63.499000000000002</v>
      </c>
      <c r="F6582">
        <f t="shared" si="409"/>
        <v>-24.499000000000002</v>
      </c>
      <c r="G6582">
        <v>236</v>
      </c>
      <c r="H6582">
        <v>2.9980000000000002</v>
      </c>
      <c r="I6582">
        <v>1.2709999999999999</v>
      </c>
      <c r="J6582">
        <v>9</v>
      </c>
      <c r="K6582">
        <v>45</v>
      </c>
      <c r="L6582">
        <v>23</v>
      </c>
      <c r="M6582" s="1">
        <v>9000000000</v>
      </c>
    </row>
    <row r="6583" spans="1:13" ht="15" customHeight="1">
      <c r="A6583" t="s">
        <v>69</v>
      </c>
      <c r="B6583">
        <f t="shared" si="406"/>
        <v>33.697446999999997</v>
      </c>
      <c r="C6583">
        <f t="shared" si="407"/>
        <v>-117.85691799999999</v>
      </c>
      <c r="D6583">
        <f t="shared" si="408"/>
        <v>39</v>
      </c>
      <c r="E6583">
        <v>64.498999999999995</v>
      </c>
      <c r="F6583">
        <f t="shared" si="409"/>
        <v>-25.498999999999995</v>
      </c>
      <c r="G6583">
        <v>80.316999999999993</v>
      </c>
      <c r="H6583">
        <v>1.68</v>
      </c>
      <c r="I6583">
        <v>2.093</v>
      </c>
      <c r="J6583">
        <v>7</v>
      </c>
      <c r="K6583">
        <v>26</v>
      </c>
      <c r="L6583">
        <v>13</v>
      </c>
      <c r="M6583" s="1">
        <v>9000000000</v>
      </c>
    </row>
    <row r="6584" spans="1:13" ht="15" customHeight="1">
      <c r="A6584" t="s">
        <v>69</v>
      </c>
      <c r="B6584">
        <f t="shared" si="406"/>
        <v>33.697446999999997</v>
      </c>
      <c r="C6584">
        <f t="shared" si="407"/>
        <v>-117.85691799999999</v>
      </c>
      <c r="D6584">
        <f t="shared" si="408"/>
        <v>39</v>
      </c>
      <c r="E6584">
        <v>65.498999999999995</v>
      </c>
      <c r="F6584">
        <f t="shared" si="409"/>
        <v>-26.498999999999995</v>
      </c>
      <c r="G6584">
        <v>25.332999999999998</v>
      </c>
      <c r="H6584">
        <v>0.47299999999999998</v>
      </c>
      <c r="I6584">
        <v>1.8049999999999999</v>
      </c>
      <c r="J6584">
        <v>6</v>
      </c>
      <c r="K6584">
        <v>10</v>
      </c>
      <c r="L6584">
        <v>5</v>
      </c>
      <c r="M6584">
        <v>1.4770000000000001</v>
      </c>
    </row>
    <row r="6585" spans="1:13" ht="15" customHeight="1">
      <c r="A6585" t="s">
        <v>69</v>
      </c>
      <c r="B6585">
        <f t="shared" si="406"/>
        <v>33.697446999999997</v>
      </c>
      <c r="C6585">
        <f t="shared" si="407"/>
        <v>-117.85691799999999</v>
      </c>
      <c r="D6585">
        <f t="shared" si="408"/>
        <v>39</v>
      </c>
      <c r="E6585">
        <v>66.498999999999995</v>
      </c>
      <c r="F6585">
        <f t="shared" si="409"/>
        <v>-27.498999999999995</v>
      </c>
      <c r="G6585">
        <v>24.05</v>
      </c>
      <c r="H6585">
        <v>0.38300000000000001</v>
      </c>
      <c r="I6585">
        <v>1.49</v>
      </c>
      <c r="J6585">
        <v>6</v>
      </c>
      <c r="K6585">
        <v>10</v>
      </c>
      <c r="L6585">
        <v>5</v>
      </c>
      <c r="M6585">
        <v>1.4410000000000001</v>
      </c>
    </row>
    <row r="6586" spans="1:13" ht="15" customHeight="1">
      <c r="A6586" t="s">
        <v>69</v>
      </c>
      <c r="B6586">
        <f t="shared" si="406"/>
        <v>33.697446999999997</v>
      </c>
      <c r="C6586">
        <f t="shared" si="407"/>
        <v>-117.85691799999999</v>
      </c>
      <c r="D6586">
        <f t="shared" si="408"/>
        <v>39</v>
      </c>
      <c r="E6586">
        <v>67.498999999999995</v>
      </c>
      <c r="F6586">
        <f t="shared" si="409"/>
        <v>-28.498999999999995</v>
      </c>
      <c r="G6586">
        <v>37.283000000000001</v>
      </c>
      <c r="H6586">
        <v>1.0569999999999999</v>
      </c>
      <c r="I6586">
        <v>2.7450000000000001</v>
      </c>
      <c r="J6586">
        <v>6</v>
      </c>
      <c r="K6586">
        <v>15</v>
      </c>
      <c r="L6586">
        <v>8</v>
      </c>
      <c r="M6586">
        <v>2.2879999999999998</v>
      </c>
    </row>
    <row r="6587" spans="1:13" ht="15" customHeight="1">
      <c r="A6587" t="s">
        <v>69</v>
      </c>
      <c r="B6587">
        <f t="shared" si="406"/>
        <v>33.697446999999997</v>
      </c>
      <c r="C6587">
        <f t="shared" si="407"/>
        <v>-117.85691799999999</v>
      </c>
      <c r="D6587">
        <f t="shared" si="408"/>
        <v>39</v>
      </c>
      <c r="E6587">
        <v>68.498999999999995</v>
      </c>
      <c r="F6587">
        <f t="shared" si="409"/>
        <v>-29.498999999999995</v>
      </c>
      <c r="G6587">
        <v>26.1</v>
      </c>
      <c r="H6587">
        <v>0.63</v>
      </c>
      <c r="I6587">
        <v>2.274</v>
      </c>
      <c r="J6587">
        <v>6</v>
      </c>
      <c r="K6587">
        <v>11</v>
      </c>
      <c r="L6587">
        <v>6</v>
      </c>
      <c r="M6587">
        <v>1.5640000000000001</v>
      </c>
    </row>
    <row r="6588" spans="1:13" ht="15" customHeight="1">
      <c r="A6588" t="s">
        <v>69</v>
      </c>
      <c r="B6588">
        <f t="shared" si="406"/>
        <v>33.697446999999997</v>
      </c>
      <c r="C6588">
        <f t="shared" si="407"/>
        <v>-117.85691799999999</v>
      </c>
      <c r="D6588">
        <f t="shared" si="408"/>
        <v>39</v>
      </c>
      <c r="E6588">
        <v>69.498999999999995</v>
      </c>
      <c r="F6588">
        <f t="shared" si="409"/>
        <v>-30.498999999999995</v>
      </c>
      <c r="G6588">
        <v>27.716999999999999</v>
      </c>
      <c r="H6588">
        <v>0.76200000000000001</v>
      </c>
      <c r="I6588">
        <v>2.6429999999999998</v>
      </c>
      <c r="J6588">
        <v>6</v>
      </c>
      <c r="K6588">
        <v>11</v>
      </c>
      <c r="L6588">
        <v>6</v>
      </c>
      <c r="M6588">
        <v>1.6339999999999999</v>
      </c>
    </row>
    <row r="6589" spans="1:13" ht="15" customHeight="1">
      <c r="A6589" t="s">
        <v>69</v>
      </c>
      <c r="B6589">
        <f t="shared" si="406"/>
        <v>33.697446999999997</v>
      </c>
      <c r="C6589">
        <f t="shared" si="407"/>
        <v>-117.85691799999999</v>
      </c>
      <c r="D6589">
        <f t="shared" si="408"/>
        <v>39</v>
      </c>
      <c r="E6589">
        <v>70.498999999999995</v>
      </c>
      <c r="F6589">
        <f t="shared" si="409"/>
        <v>-31.498999999999995</v>
      </c>
      <c r="G6589">
        <v>28.117000000000001</v>
      </c>
      <c r="H6589">
        <v>0.76500000000000001</v>
      </c>
      <c r="I6589">
        <v>2.6139999999999999</v>
      </c>
      <c r="J6589">
        <v>6</v>
      </c>
      <c r="K6589">
        <v>11</v>
      </c>
      <c r="L6589">
        <v>6</v>
      </c>
      <c r="M6589">
        <v>1.66</v>
      </c>
    </row>
    <row r="6590" spans="1:13" ht="15" customHeight="1">
      <c r="A6590" t="s">
        <v>69</v>
      </c>
      <c r="B6590">
        <f t="shared" si="406"/>
        <v>33.697446999999997</v>
      </c>
      <c r="C6590">
        <f t="shared" si="407"/>
        <v>-117.85691799999999</v>
      </c>
      <c r="D6590">
        <f t="shared" si="408"/>
        <v>39</v>
      </c>
      <c r="E6590">
        <v>71.498999999999995</v>
      </c>
      <c r="F6590">
        <f t="shared" si="409"/>
        <v>-32.498999999999995</v>
      </c>
      <c r="G6590">
        <v>29.3</v>
      </c>
      <c r="H6590">
        <v>0.71199999999999997</v>
      </c>
      <c r="I6590">
        <v>2.298</v>
      </c>
      <c r="J6590">
        <v>6</v>
      </c>
      <c r="K6590">
        <v>12</v>
      </c>
      <c r="L6590">
        <v>6</v>
      </c>
      <c r="M6590">
        <v>1.7689999999999999</v>
      </c>
    </row>
    <row r="6591" spans="1:13" ht="15" customHeight="1">
      <c r="A6591" t="s">
        <v>69</v>
      </c>
      <c r="B6591">
        <f t="shared" si="406"/>
        <v>33.697446999999997</v>
      </c>
      <c r="C6591">
        <f t="shared" si="407"/>
        <v>-117.85691799999999</v>
      </c>
      <c r="D6591">
        <f t="shared" si="408"/>
        <v>39</v>
      </c>
      <c r="E6591">
        <v>72.498999999999995</v>
      </c>
      <c r="F6591">
        <f t="shared" si="409"/>
        <v>-33.498999999999995</v>
      </c>
      <c r="G6591">
        <v>31.186</v>
      </c>
      <c r="H6591">
        <v>0.69899999999999995</v>
      </c>
      <c r="I6591">
        <v>2.12</v>
      </c>
      <c r="J6591">
        <v>6</v>
      </c>
      <c r="K6591">
        <v>13</v>
      </c>
      <c r="L6591">
        <v>7</v>
      </c>
      <c r="M6591">
        <v>1.897</v>
      </c>
    </row>
    <row r="6592" spans="1:13" ht="15" customHeight="1">
      <c r="A6592" t="s">
        <v>69</v>
      </c>
      <c r="B6592">
        <f t="shared" si="406"/>
        <v>33.697446999999997</v>
      </c>
      <c r="C6592">
        <f t="shared" si="407"/>
        <v>-117.85691799999999</v>
      </c>
      <c r="D6592">
        <f t="shared" si="408"/>
        <v>39</v>
      </c>
      <c r="E6592">
        <v>73.498999999999995</v>
      </c>
      <c r="F6592">
        <f t="shared" si="409"/>
        <v>-34.498999999999995</v>
      </c>
      <c r="G6592">
        <v>37.067</v>
      </c>
      <c r="H6592">
        <v>1.1619999999999999</v>
      </c>
      <c r="I6592">
        <v>3.0019999999999998</v>
      </c>
      <c r="J6592">
        <v>6</v>
      </c>
      <c r="K6592">
        <v>15</v>
      </c>
      <c r="L6592">
        <v>8</v>
      </c>
      <c r="M6592">
        <v>2.2759999999999998</v>
      </c>
    </row>
    <row r="6593" spans="1:13" ht="15" customHeight="1">
      <c r="A6593" t="s">
        <v>69</v>
      </c>
      <c r="B6593">
        <f t="shared" si="406"/>
        <v>33.697446999999997</v>
      </c>
      <c r="C6593">
        <f t="shared" si="407"/>
        <v>-117.85691799999999</v>
      </c>
      <c r="D6593">
        <f t="shared" si="408"/>
        <v>39</v>
      </c>
      <c r="E6593">
        <v>74.498999999999995</v>
      </c>
      <c r="F6593">
        <f t="shared" si="409"/>
        <v>-35.498999999999995</v>
      </c>
      <c r="G6593">
        <v>28.85</v>
      </c>
      <c r="H6593">
        <v>0.66</v>
      </c>
      <c r="I6593">
        <v>2.1629999999999998</v>
      </c>
      <c r="J6593">
        <v>6</v>
      </c>
      <c r="K6593">
        <v>12</v>
      </c>
      <c r="L6593">
        <v>6</v>
      </c>
      <c r="M6593">
        <v>1.726</v>
      </c>
    </row>
    <row r="6594" spans="1:13" ht="15" customHeight="1">
      <c r="A6594" t="s">
        <v>69</v>
      </c>
      <c r="B6594">
        <f t="shared" ref="B6594:B6657" si="410">VLOOKUP(A6594,XYdata,3,FALSE)</f>
        <v>33.697446999999997</v>
      </c>
      <c r="C6594">
        <f t="shared" ref="C6594:C6657" si="411">VLOOKUP(A6594,XYdata,2,FALSE)</f>
        <v>-117.85691799999999</v>
      </c>
      <c r="D6594">
        <f t="shared" ref="D6594:D6657" si="412">VLOOKUP(A6594,Elevation,2,FALSE)</f>
        <v>39</v>
      </c>
      <c r="E6594">
        <v>75.498999999999995</v>
      </c>
      <c r="F6594">
        <f t="shared" si="409"/>
        <v>-36.498999999999995</v>
      </c>
      <c r="G6594">
        <v>30.466999999999999</v>
      </c>
      <c r="H6594">
        <v>1.085</v>
      </c>
      <c r="I6594">
        <v>3.407</v>
      </c>
      <c r="J6594">
        <v>5</v>
      </c>
      <c r="K6594">
        <v>15</v>
      </c>
      <c r="L6594">
        <v>8</v>
      </c>
      <c r="M6594">
        <v>1.8109999999999999</v>
      </c>
    </row>
    <row r="6595" spans="1:13" ht="15" customHeight="1">
      <c r="A6595" t="s">
        <v>69</v>
      </c>
      <c r="B6595">
        <f t="shared" si="410"/>
        <v>33.697446999999997</v>
      </c>
      <c r="C6595">
        <f t="shared" si="411"/>
        <v>-117.85691799999999</v>
      </c>
      <c r="D6595">
        <f t="shared" si="412"/>
        <v>39</v>
      </c>
      <c r="E6595">
        <v>76.498999999999995</v>
      </c>
      <c r="F6595">
        <f t="shared" ref="F6595:F6658" si="413">D6595-E6595</f>
        <v>-37.498999999999995</v>
      </c>
      <c r="G6595">
        <v>29.35</v>
      </c>
      <c r="H6595">
        <v>0.97699999999999998</v>
      </c>
      <c r="I6595">
        <v>3.18</v>
      </c>
      <c r="J6595">
        <v>5</v>
      </c>
      <c r="K6595">
        <v>15</v>
      </c>
      <c r="L6595">
        <v>8</v>
      </c>
      <c r="M6595">
        <v>1.7310000000000001</v>
      </c>
    </row>
    <row r="6596" spans="1:13" ht="15" customHeight="1">
      <c r="A6596" t="s">
        <v>69</v>
      </c>
      <c r="B6596">
        <f t="shared" si="410"/>
        <v>33.697446999999997</v>
      </c>
      <c r="C6596">
        <f t="shared" si="411"/>
        <v>-117.85691799999999</v>
      </c>
      <c r="D6596">
        <f t="shared" si="412"/>
        <v>39</v>
      </c>
      <c r="E6596">
        <v>77.498999999999995</v>
      </c>
      <c r="F6596">
        <f t="shared" si="413"/>
        <v>-38.498999999999995</v>
      </c>
      <c r="G6596">
        <v>47.616999999999997</v>
      </c>
      <c r="H6596">
        <v>1.585</v>
      </c>
      <c r="I6596">
        <v>3.2709999999999999</v>
      </c>
      <c r="J6596">
        <v>5</v>
      </c>
      <c r="K6596">
        <v>23</v>
      </c>
      <c r="L6596">
        <v>12</v>
      </c>
      <c r="M6596">
        <v>2.9089999999999998</v>
      </c>
    </row>
    <row r="6597" spans="1:13" ht="15" customHeight="1">
      <c r="A6597" t="s">
        <v>69</v>
      </c>
      <c r="B6597">
        <f t="shared" si="410"/>
        <v>33.697446999999997</v>
      </c>
      <c r="C6597">
        <f t="shared" si="411"/>
        <v>-117.85691799999999</v>
      </c>
      <c r="D6597">
        <f t="shared" si="412"/>
        <v>39</v>
      </c>
      <c r="E6597">
        <v>78.498999999999995</v>
      </c>
      <c r="F6597">
        <f t="shared" si="413"/>
        <v>-39.498999999999995</v>
      </c>
      <c r="G6597">
        <v>82.632999999999996</v>
      </c>
      <c r="H6597">
        <v>2.5680000000000001</v>
      </c>
      <c r="I6597">
        <v>3.1120000000000001</v>
      </c>
      <c r="J6597">
        <v>6</v>
      </c>
      <c r="K6597">
        <v>32</v>
      </c>
      <c r="L6597">
        <v>16</v>
      </c>
      <c r="M6597">
        <v>5.1779999999999999</v>
      </c>
    </row>
    <row r="6598" spans="1:13" ht="15" customHeight="1">
      <c r="A6598" t="s">
        <v>69</v>
      </c>
      <c r="B6598">
        <f t="shared" si="410"/>
        <v>33.697446999999997</v>
      </c>
      <c r="C6598">
        <f t="shared" si="411"/>
        <v>-117.85691799999999</v>
      </c>
      <c r="D6598">
        <f t="shared" si="412"/>
        <v>39</v>
      </c>
      <c r="E6598">
        <v>79.498999999999995</v>
      </c>
      <c r="F6598">
        <f t="shared" si="413"/>
        <v>-40.498999999999995</v>
      </c>
      <c r="G6598">
        <v>104.883</v>
      </c>
      <c r="H6598">
        <v>2.282</v>
      </c>
      <c r="I6598">
        <v>2.1779999999999999</v>
      </c>
      <c r="J6598">
        <v>7</v>
      </c>
      <c r="K6598">
        <v>33</v>
      </c>
      <c r="L6598">
        <v>17</v>
      </c>
      <c r="M6598" s="1">
        <v>9000000000</v>
      </c>
    </row>
    <row r="6599" spans="1:13" ht="15" customHeight="1">
      <c r="A6599" t="s">
        <v>69</v>
      </c>
      <c r="B6599">
        <f t="shared" si="410"/>
        <v>33.697446999999997</v>
      </c>
      <c r="C6599">
        <f t="shared" si="411"/>
        <v>-117.85691799999999</v>
      </c>
      <c r="D6599">
        <f t="shared" si="412"/>
        <v>39</v>
      </c>
      <c r="E6599">
        <v>80.498999999999995</v>
      </c>
      <c r="F6599">
        <f t="shared" si="413"/>
        <v>-41.498999999999995</v>
      </c>
      <c r="G6599">
        <v>36.533000000000001</v>
      </c>
      <c r="H6599">
        <v>1.1619999999999999</v>
      </c>
      <c r="I6599">
        <v>3.1909999999999998</v>
      </c>
      <c r="J6599">
        <v>5</v>
      </c>
      <c r="K6599">
        <v>17</v>
      </c>
      <c r="L6599">
        <v>9</v>
      </c>
      <c r="M6599">
        <v>2.0939999999999999</v>
      </c>
    </row>
    <row r="6600" spans="1:13" ht="15" customHeight="1">
      <c r="A6600" t="s">
        <v>69</v>
      </c>
      <c r="B6600">
        <f t="shared" si="410"/>
        <v>33.697446999999997</v>
      </c>
      <c r="C6600">
        <f t="shared" si="411"/>
        <v>-117.85691799999999</v>
      </c>
      <c r="D6600">
        <f t="shared" si="412"/>
        <v>39</v>
      </c>
      <c r="E6600">
        <v>81.498999999999995</v>
      </c>
      <c r="F6600">
        <f t="shared" si="413"/>
        <v>-42.498999999999995</v>
      </c>
      <c r="G6600">
        <v>66.016999999999996</v>
      </c>
      <c r="H6600">
        <v>1.355</v>
      </c>
      <c r="I6600">
        <v>2.0550000000000002</v>
      </c>
      <c r="J6600">
        <v>7</v>
      </c>
      <c r="K6600">
        <v>21</v>
      </c>
      <c r="L6600">
        <v>11</v>
      </c>
      <c r="M6600" s="1">
        <v>9000000000</v>
      </c>
    </row>
    <row r="6601" spans="1:13" ht="15" customHeight="1">
      <c r="A6601" t="s">
        <v>69</v>
      </c>
      <c r="B6601">
        <f t="shared" si="410"/>
        <v>33.697446999999997</v>
      </c>
      <c r="C6601">
        <f t="shared" si="411"/>
        <v>-117.85691799999999</v>
      </c>
      <c r="D6601">
        <f t="shared" si="412"/>
        <v>39</v>
      </c>
      <c r="E6601">
        <v>82.498999999999995</v>
      </c>
      <c r="F6601">
        <f t="shared" si="413"/>
        <v>-43.498999999999995</v>
      </c>
      <c r="G6601">
        <v>77.132999999999996</v>
      </c>
      <c r="H6601">
        <v>2.702</v>
      </c>
      <c r="I6601">
        <v>3.5059999999999998</v>
      </c>
      <c r="J6601">
        <v>6</v>
      </c>
      <c r="K6601">
        <v>30</v>
      </c>
      <c r="L6601">
        <v>15</v>
      </c>
      <c r="M6601">
        <v>4.7969999999999997</v>
      </c>
    </row>
    <row r="6602" spans="1:13" ht="15" customHeight="1">
      <c r="A6602" t="s">
        <v>69</v>
      </c>
      <c r="B6602">
        <f t="shared" si="410"/>
        <v>33.697446999999997</v>
      </c>
      <c r="C6602">
        <f t="shared" si="411"/>
        <v>-117.85691799999999</v>
      </c>
      <c r="D6602">
        <f t="shared" si="412"/>
        <v>39</v>
      </c>
      <c r="E6602">
        <v>83.498999999999995</v>
      </c>
      <c r="F6602">
        <f t="shared" si="413"/>
        <v>-44.498999999999995</v>
      </c>
      <c r="G6602">
        <v>92.786000000000001</v>
      </c>
      <c r="H6602">
        <v>2.8159999999999998</v>
      </c>
      <c r="I6602">
        <v>3.0379999999999998</v>
      </c>
      <c r="J6602">
        <v>6</v>
      </c>
      <c r="K6602">
        <v>36</v>
      </c>
      <c r="L6602">
        <v>18</v>
      </c>
      <c r="M6602">
        <v>5.8330000000000002</v>
      </c>
    </row>
    <row r="6603" spans="1:13" ht="15" customHeight="1">
      <c r="A6603" t="s">
        <v>69</v>
      </c>
      <c r="B6603">
        <f t="shared" si="410"/>
        <v>33.697446999999997</v>
      </c>
      <c r="C6603">
        <f t="shared" si="411"/>
        <v>-117.85691799999999</v>
      </c>
      <c r="D6603">
        <f t="shared" si="412"/>
        <v>39</v>
      </c>
      <c r="E6603">
        <v>84.498999999999995</v>
      </c>
      <c r="F6603">
        <f t="shared" si="413"/>
        <v>-45.498999999999995</v>
      </c>
      <c r="G6603">
        <v>35.966999999999999</v>
      </c>
      <c r="H6603">
        <v>0.95</v>
      </c>
      <c r="I6603">
        <v>2.645</v>
      </c>
      <c r="J6603">
        <v>6</v>
      </c>
      <c r="K6603">
        <v>14</v>
      </c>
      <c r="L6603">
        <v>7</v>
      </c>
      <c r="M6603">
        <v>2.0449999999999999</v>
      </c>
    </row>
    <row r="6604" spans="1:13" ht="15" customHeight="1">
      <c r="A6604" t="s">
        <v>69</v>
      </c>
      <c r="B6604">
        <f t="shared" si="410"/>
        <v>33.697446999999997</v>
      </c>
      <c r="C6604">
        <f t="shared" si="411"/>
        <v>-117.85691799999999</v>
      </c>
      <c r="D6604">
        <f t="shared" si="412"/>
        <v>39</v>
      </c>
      <c r="E6604">
        <v>85.498999999999995</v>
      </c>
      <c r="F6604">
        <f t="shared" si="413"/>
        <v>-46.498999999999995</v>
      </c>
      <c r="G6604">
        <v>33.75</v>
      </c>
      <c r="H6604">
        <v>0.72799999999999998</v>
      </c>
      <c r="I6604">
        <v>2.1560000000000001</v>
      </c>
      <c r="J6604">
        <v>6</v>
      </c>
      <c r="K6604">
        <v>13</v>
      </c>
      <c r="L6604">
        <v>7</v>
      </c>
      <c r="M6604">
        <v>1.899</v>
      </c>
    </row>
    <row r="6605" spans="1:13" ht="15" customHeight="1">
      <c r="A6605" t="s">
        <v>69</v>
      </c>
      <c r="B6605">
        <f t="shared" si="410"/>
        <v>33.697446999999997</v>
      </c>
      <c r="C6605">
        <f t="shared" si="411"/>
        <v>-117.85691799999999</v>
      </c>
      <c r="D6605">
        <f t="shared" si="412"/>
        <v>39</v>
      </c>
      <c r="E6605">
        <v>86.498999999999995</v>
      </c>
      <c r="F6605">
        <f t="shared" si="413"/>
        <v>-47.498999999999995</v>
      </c>
      <c r="G6605">
        <v>42.866999999999997</v>
      </c>
      <c r="H6605">
        <v>1.357</v>
      </c>
      <c r="I6605">
        <v>3.1589999999999998</v>
      </c>
      <c r="J6605">
        <v>5</v>
      </c>
      <c r="K6605">
        <v>21</v>
      </c>
      <c r="L6605">
        <v>11</v>
      </c>
      <c r="M6605">
        <v>2.5059999999999998</v>
      </c>
    </row>
    <row r="6606" spans="1:13" ht="15" customHeight="1">
      <c r="A6606" t="s">
        <v>69</v>
      </c>
      <c r="B6606">
        <f t="shared" si="410"/>
        <v>33.697446999999997</v>
      </c>
      <c r="C6606">
        <f t="shared" si="411"/>
        <v>-117.85691799999999</v>
      </c>
      <c r="D6606">
        <f t="shared" si="412"/>
        <v>39</v>
      </c>
      <c r="E6606">
        <v>87.498999999999995</v>
      </c>
      <c r="F6606">
        <f t="shared" si="413"/>
        <v>-48.498999999999995</v>
      </c>
      <c r="G6606">
        <v>32.65</v>
      </c>
      <c r="H6606">
        <v>1.1579999999999999</v>
      </c>
      <c r="I6606">
        <v>3.532</v>
      </c>
      <c r="J6606">
        <v>5</v>
      </c>
      <c r="K6606">
        <v>16</v>
      </c>
      <c r="L6606">
        <v>8</v>
      </c>
      <c r="M6606">
        <v>1.825</v>
      </c>
    </row>
    <row r="6607" spans="1:13" ht="15" customHeight="1">
      <c r="A6607" t="s">
        <v>69</v>
      </c>
      <c r="B6607">
        <f t="shared" si="410"/>
        <v>33.697446999999997</v>
      </c>
      <c r="C6607">
        <f t="shared" si="411"/>
        <v>-117.85691799999999</v>
      </c>
      <c r="D6607">
        <f t="shared" si="412"/>
        <v>39</v>
      </c>
      <c r="E6607">
        <v>88.498999999999995</v>
      </c>
      <c r="F6607">
        <f t="shared" si="413"/>
        <v>-49.498999999999995</v>
      </c>
      <c r="G6607">
        <v>64.632999999999996</v>
      </c>
      <c r="H6607">
        <v>1.8520000000000001</v>
      </c>
      <c r="I6607">
        <v>2.85</v>
      </c>
      <c r="J6607">
        <v>6</v>
      </c>
      <c r="K6607">
        <v>25</v>
      </c>
      <c r="L6607">
        <v>13</v>
      </c>
      <c r="M6607">
        <v>3.9649999999999999</v>
      </c>
    </row>
    <row r="6608" spans="1:13" ht="15" customHeight="1">
      <c r="A6608" t="s">
        <v>69</v>
      </c>
      <c r="B6608">
        <f t="shared" si="410"/>
        <v>33.697446999999997</v>
      </c>
      <c r="C6608">
        <f t="shared" si="411"/>
        <v>-117.85691799999999</v>
      </c>
      <c r="D6608">
        <f t="shared" si="412"/>
        <v>39</v>
      </c>
      <c r="E6608">
        <v>89.498999999999995</v>
      </c>
      <c r="F6608">
        <f t="shared" si="413"/>
        <v>-50.498999999999995</v>
      </c>
      <c r="G6608">
        <v>317.60000000000002</v>
      </c>
      <c r="H6608">
        <v>4.585</v>
      </c>
      <c r="I6608">
        <v>1.444</v>
      </c>
      <c r="J6608">
        <v>9</v>
      </c>
      <c r="K6608">
        <v>61</v>
      </c>
      <c r="L6608">
        <v>31</v>
      </c>
      <c r="M6608" s="1">
        <v>9000000000</v>
      </c>
    </row>
    <row r="6609" spans="1:13" ht="15" customHeight="1">
      <c r="A6609" t="s">
        <v>69</v>
      </c>
      <c r="B6609">
        <f t="shared" si="410"/>
        <v>33.697446999999997</v>
      </c>
      <c r="C6609">
        <f t="shared" si="411"/>
        <v>-117.85691799999999</v>
      </c>
      <c r="D6609">
        <f t="shared" si="412"/>
        <v>39</v>
      </c>
      <c r="E6609">
        <v>90.498999999999995</v>
      </c>
      <c r="F6609">
        <f t="shared" si="413"/>
        <v>-51.498999999999995</v>
      </c>
      <c r="G6609">
        <v>358.65</v>
      </c>
      <c r="H6609">
        <v>1.7549999999999999</v>
      </c>
      <c r="I6609">
        <v>0.49</v>
      </c>
      <c r="J6609">
        <v>10</v>
      </c>
      <c r="K6609">
        <v>57</v>
      </c>
      <c r="L6609">
        <v>29</v>
      </c>
      <c r="M6609" s="1">
        <v>9000000000</v>
      </c>
    </row>
    <row r="6610" spans="1:13" ht="15" customHeight="1">
      <c r="A6610" t="s">
        <v>69</v>
      </c>
      <c r="B6610">
        <f t="shared" si="410"/>
        <v>33.697446999999997</v>
      </c>
      <c r="C6610">
        <f t="shared" si="411"/>
        <v>-117.85691799999999</v>
      </c>
      <c r="D6610">
        <f t="shared" si="412"/>
        <v>39</v>
      </c>
      <c r="E6610">
        <v>91.498999999999995</v>
      </c>
      <c r="F6610">
        <f t="shared" si="413"/>
        <v>-52.498999999999995</v>
      </c>
      <c r="G6610">
        <v>401.88299999999998</v>
      </c>
      <c r="H6610">
        <v>2.0670000000000002</v>
      </c>
      <c r="I6610">
        <v>0.51400000000000001</v>
      </c>
      <c r="J6610">
        <v>10</v>
      </c>
      <c r="K6610">
        <v>64</v>
      </c>
      <c r="L6610">
        <v>32</v>
      </c>
      <c r="M6610" s="1">
        <v>9000000000</v>
      </c>
    </row>
    <row r="6611" spans="1:13" ht="15" customHeight="1">
      <c r="A6611" t="s">
        <v>69</v>
      </c>
      <c r="B6611">
        <f t="shared" si="410"/>
        <v>33.697446999999997</v>
      </c>
      <c r="C6611">
        <f t="shared" si="411"/>
        <v>-117.85691799999999</v>
      </c>
      <c r="D6611">
        <f t="shared" si="412"/>
        <v>39</v>
      </c>
      <c r="E6611">
        <v>92.498999999999995</v>
      </c>
      <c r="F6611">
        <f t="shared" si="413"/>
        <v>-53.498999999999995</v>
      </c>
      <c r="G6611">
        <v>364.15</v>
      </c>
      <c r="H6611">
        <v>1.837</v>
      </c>
      <c r="I6611">
        <v>0.504</v>
      </c>
      <c r="J6611">
        <v>10</v>
      </c>
      <c r="K6611">
        <v>58</v>
      </c>
      <c r="L6611">
        <v>29</v>
      </c>
      <c r="M6611" s="1">
        <v>9000000000</v>
      </c>
    </row>
    <row r="6612" spans="1:13" ht="15" customHeight="1">
      <c r="A6612" t="s">
        <v>69</v>
      </c>
      <c r="B6612">
        <f t="shared" si="410"/>
        <v>33.697446999999997</v>
      </c>
      <c r="C6612">
        <f t="shared" si="411"/>
        <v>-117.85691799999999</v>
      </c>
      <c r="D6612">
        <f t="shared" si="412"/>
        <v>39</v>
      </c>
      <c r="E6612">
        <v>93.498999999999995</v>
      </c>
      <c r="F6612">
        <f t="shared" si="413"/>
        <v>-54.498999999999995</v>
      </c>
      <c r="G6612">
        <v>352.64299999999997</v>
      </c>
      <c r="H6612">
        <v>2.3109999999999999</v>
      </c>
      <c r="I6612">
        <v>0.65500000000000003</v>
      </c>
      <c r="J6612">
        <v>10</v>
      </c>
      <c r="K6612">
        <v>56</v>
      </c>
      <c r="L6612">
        <v>28</v>
      </c>
      <c r="M6612" s="1">
        <v>9000000000</v>
      </c>
    </row>
    <row r="6613" spans="1:13" ht="15" customHeight="1">
      <c r="A6613" t="s">
        <v>69</v>
      </c>
      <c r="B6613">
        <f t="shared" si="410"/>
        <v>33.697446999999997</v>
      </c>
      <c r="C6613">
        <f t="shared" si="411"/>
        <v>-117.85691799999999</v>
      </c>
      <c r="D6613">
        <f t="shared" si="412"/>
        <v>39</v>
      </c>
      <c r="E6613">
        <v>94.498999999999995</v>
      </c>
      <c r="F6613">
        <f t="shared" si="413"/>
        <v>-55.498999999999995</v>
      </c>
      <c r="G6613">
        <v>294.43299999999999</v>
      </c>
      <c r="H6613">
        <v>2.62</v>
      </c>
      <c r="I6613">
        <v>0.88800000000000001</v>
      </c>
      <c r="J6613">
        <v>9</v>
      </c>
      <c r="K6613">
        <v>56</v>
      </c>
      <c r="L6613">
        <v>28</v>
      </c>
      <c r="M6613" s="1">
        <v>9000000000</v>
      </c>
    </row>
    <row r="6614" spans="1:13" ht="15" customHeight="1">
      <c r="A6614" t="s">
        <v>69</v>
      </c>
      <c r="B6614">
        <f t="shared" si="410"/>
        <v>33.697446999999997</v>
      </c>
      <c r="C6614">
        <f t="shared" si="411"/>
        <v>-117.85691799999999</v>
      </c>
      <c r="D6614">
        <f t="shared" si="412"/>
        <v>39</v>
      </c>
      <c r="E6614">
        <v>95.498999999999995</v>
      </c>
      <c r="F6614">
        <f t="shared" si="413"/>
        <v>-56.498999999999995</v>
      </c>
      <c r="G6614">
        <v>149.06700000000001</v>
      </c>
      <c r="H6614">
        <v>2.573</v>
      </c>
      <c r="I6614">
        <v>1.7250000000000001</v>
      </c>
      <c r="J6614">
        <v>8</v>
      </c>
      <c r="K6614">
        <v>36</v>
      </c>
      <c r="L6614">
        <v>18</v>
      </c>
      <c r="M6614" s="1">
        <v>9000000000</v>
      </c>
    </row>
    <row r="6615" spans="1:13" ht="15" customHeight="1">
      <c r="A6615" t="s">
        <v>69</v>
      </c>
      <c r="B6615">
        <f t="shared" si="410"/>
        <v>33.697446999999997</v>
      </c>
      <c r="C6615">
        <f t="shared" si="411"/>
        <v>-117.85691799999999</v>
      </c>
      <c r="D6615">
        <f t="shared" si="412"/>
        <v>39</v>
      </c>
      <c r="E6615">
        <v>96.498999999999995</v>
      </c>
      <c r="F6615">
        <f t="shared" si="413"/>
        <v>-57.498999999999995</v>
      </c>
      <c r="G6615">
        <v>271.93299999999999</v>
      </c>
      <c r="H6615">
        <v>3.04</v>
      </c>
      <c r="I6615">
        <v>1.1180000000000001</v>
      </c>
      <c r="J6615">
        <v>9</v>
      </c>
      <c r="K6615">
        <v>52</v>
      </c>
      <c r="L6615">
        <v>26</v>
      </c>
      <c r="M6615" s="1">
        <v>9000000000</v>
      </c>
    </row>
    <row r="6616" spans="1:13" ht="15" customHeight="1">
      <c r="A6616" t="s">
        <v>69</v>
      </c>
      <c r="B6616">
        <f t="shared" si="410"/>
        <v>33.697446999999997</v>
      </c>
      <c r="C6616">
        <f t="shared" si="411"/>
        <v>-117.85691799999999</v>
      </c>
      <c r="D6616">
        <f t="shared" si="412"/>
        <v>39</v>
      </c>
      <c r="E6616">
        <v>97.498999999999995</v>
      </c>
      <c r="F6616">
        <f t="shared" si="413"/>
        <v>-58.498999999999995</v>
      </c>
      <c r="G6616">
        <v>369.6</v>
      </c>
      <c r="H6616">
        <v>2.14</v>
      </c>
      <c r="I6616">
        <v>0.57899999999999996</v>
      </c>
      <c r="J6616">
        <v>10</v>
      </c>
      <c r="K6616">
        <v>59</v>
      </c>
      <c r="L6616">
        <v>30</v>
      </c>
      <c r="M6616" s="1">
        <v>9000000000</v>
      </c>
    </row>
    <row r="6617" spans="1:13" ht="15" customHeight="1">
      <c r="A6617" t="s">
        <v>70</v>
      </c>
      <c r="B6617">
        <f t="shared" si="410"/>
        <v>33.696694000000001</v>
      </c>
      <c r="C6617">
        <f t="shared" si="411"/>
        <v>-117.857658</v>
      </c>
      <c r="D6617">
        <f t="shared" si="412"/>
        <v>38</v>
      </c>
      <c r="E6617">
        <v>0.5</v>
      </c>
      <c r="F6617">
        <f t="shared" si="413"/>
        <v>37.5</v>
      </c>
      <c r="G6617">
        <v>1.917</v>
      </c>
      <c r="H6617">
        <v>4.4999999999999998E-2</v>
      </c>
      <c r="I6617">
        <v>2.3479999999999999</v>
      </c>
      <c r="J6617">
        <v>1</v>
      </c>
      <c r="K6617">
        <v>1</v>
      </c>
      <c r="L6617">
        <v>2</v>
      </c>
      <c r="M6617">
        <v>0.126</v>
      </c>
    </row>
    <row r="6618" spans="1:13" ht="15" customHeight="1">
      <c r="A6618" t="s">
        <v>70</v>
      </c>
      <c r="B6618">
        <f t="shared" si="410"/>
        <v>33.696694000000001</v>
      </c>
      <c r="C6618">
        <f t="shared" si="411"/>
        <v>-117.857658</v>
      </c>
      <c r="D6618">
        <f t="shared" si="412"/>
        <v>38</v>
      </c>
      <c r="E6618">
        <v>1.5</v>
      </c>
      <c r="F6618">
        <f t="shared" si="413"/>
        <v>36.5</v>
      </c>
      <c r="G6618">
        <v>17.233000000000001</v>
      </c>
      <c r="H6618">
        <v>0.29499999999999998</v>
      </c>
      <c r="I6618">
        <v>1.712</v>
      </c>
      <c r="J6618">
        <v>6</v>
      </c>
      <c r="K6618">
        <v>7</v>
      </c>
      <c r="L6618">
        <v>11</v>
      </c>
      <c r="M6618">
        <v>1.1439999999999999</v>
      </c>
    </row>
    <row r="6619" spans="1:13" ht="15" customHeight="1">
      <c r="A6619" t="s">
        <v>70</v>
      </c>
      <c r="B6619">
        <f t="shared" si="410"/>
        <v>33.696694000000001</v>
      </c>
      <c r="C6619">
        <f t="shared" si="411"/>
        <v>-117.857658</v>
      </c>
      <c r="D6619">
        <f t="shared" si="412"/>
        <v>38</v>
      </c>
      <c r="E6619">
        <v>2.5</v>
      </c>
      <c r="F6619">
        <f t="shared" si="413"/>
        <v>35.5</v>
      </c>
      <c r="G6619">
        <v>22.1</v>
      </c>
      <c r="H6619">
        <v>0.312</v>
      </c>
      <c r="I6619">
        <v>1.409</v>
      </c>
      <c r="J6619">
        <v>6</v>
      </c>
      <c r="K6619">
        <v>8</v>
      </c>
      <c r="L6619">
        <v>12</v>
      </c>
      <c r="M6619">
        <v>1.4650000000000001</v>
      </c>
    </row>
    <row r="6620" spans="1:13" ht="15" customHeight="1">
      <c r="A6620" t="s">
        <v>70</v>
      </c>
      <c r="B6620">
        <f t="shared" si="410"/>
        <v>33.696694000000001</v>
      </c>
      <c r="C6620">
        <f t="shared" si="411"/>
        <v>-117.857658</v>
      </c>
      <c r="D6620">
        <f t="shared" si="412"/>
        <v>38</v>
      </c>
      <c r="E6620">
        <v>3.5</v>
      </c>
      <c r="F6620">
        <f t="shared" si="413"/>
        <v>34.5</v>
      </c>
      <c r="G6620">
        <v>12.833</v>
      </c>
      <c r="H6620">
        <v>0.127</v>
      </c>
      <c r="I6620">
        <v>0.98699999999999999</v>
      </c>
      <c r="J6620">
        <v>6</v>
      </c>
      <c r="K6620">
        <v>5</v>
      </c>
      <c r="L6620">
        <v>8</v>
      </c>
      <c r="M6620">
        <v>0.84199999999999997</v>
      </c>
    </row>
    <row r="6621" spans="1:13" ht="15" customHeight="1">
      <c r="A6621" t="s">
        <v>70</v>
      </c>
      <c r="B6621">
        <f t="shared" si="410"/>
        <v>33.696694000000001</v>
      </c>
      <c r="C6621">
        <f t="shared" si="411"/>
        <v>-117.857658</v>
      </c>
      <c r="D6621">
        <f t="shared" si="412"/>
        <v>38</v>
      </c>
      <c r="E6621">
        <v>4.5</v>
      </c>
      <c r="F6621">
        <f t="shared" si="413"/>
        <v>33.5</v>
      </c>
      <c r="G6621">
        <v>17.100000000000001</v>
      </c>
      <c r="H6621">
        <v>0.23</v>
      </c>
      <c r="I6621">
        <v>1.345</v>
      </c>
      <c r="J6621">
        <v>6</v>
      </c>
      <c r="K6621">
        <v>7</v>
      </c>
      <c r="L6621">
        <v>11</v>
      </c>
      <c r="M6621">
        <v>1.1220000000000001</v>
      </c>
    </row>
    <row r="6622" spans="1:13" ht="15" customHeight="1">
      <c r="A6622" t="s">
        <v>70</v>
      </c>
      <c r="B6622">
        <f t="shared" si="410"/>
        <v>33.696694000000001</v>
      </c>
      <c r="C6622">
        <f t="shared" si="411"/>
        <v>-117.857658</v>
      </c>
      <c r="D6622">
        <f t="shared" si="412"/>
        <v>38</v>
      </c>
      <c r="E6622">
        <v>5.5</v>
      </c>
      <c r="F6622">
        <f t="shared" si="413"/>
        <v>32.5</v>
      </c>
      <c r="G6622">
        <v>43.883000000000003</v>
      </c>
      <c r="H6622">
        <v>2.2469999999999999</v>
      </c>
      <c r="I6622">
        <v>5.1159999999999997</v>
      </c>
      <c r="J6622">
        <v>3</v>
      </c>
      <c r="K6622">
        <v>42</v>
      </c>
      <c r="L6622">
        <v>63</v>
      </c>
      <c r="M6622">
        <v>2.9060000000000001</v>
      </c>
    </row>
    <row r="6623" spans="1:13" ht="15" customHeight="1">
      <c r="A6623" t="s">
        <v>70</v>
      </c>
      <c r="B6623">
        <f t="shared" si="410"/>
        <v>33.696694000000001</v>
      </c>
      <c r="C6623">
        <f t="shared" si="411"/>
        <v>-117.857658</v>
      </c>
      <c r="D6623">
        <f t="shared" si="412"/>
        <v>38</v>
      </c>
      <c r="E6623">
        <v>6.5</v>
      </c>
      <c r="F6623">
        <f t="shared" si="413"/>
        <v>31.5</v>
      </c>
      <c r="G6623">
        <v>24.917000000000002</v>
      </c>
      <c r="H6623">
        <v>1.3879999999999999</v>
      </c>
      <c r="I6623">
        <v>5.5789999999999997</v>
      </c>
      <c r="J6623">
        <v>3</v>
      </c>
      <c r="K6623">
        <v>24</v>
      </c>
      <c r="L6623">
        <v>36</v>
      </c>
      <c r="M6623">
        <v>1.633</v>
      </c>
    </row>
    <row r="6624" spans="1:13" ht="15" customHeight="1">
      <c r="A6624" t="s">
        <v>70</v>
      </c>
      <c r="B6624">
        <f t="shared" si="410"/>
        <v>33.696694000000001</v>
      </c>
      <c r="C6624">
        <f t="shared" si="411"/>
        <v>-117.857658</v>
      </c>
      <c r="D6624">
        <f t="shared" si="412"/>
        <v>38</v>
      </c>
      <c r="E6624">
        <v>7.5</v>
      </c>
      <c r="F6624">
        <f t="shared" si="413"/>
        <v>30.5</v>
      </c>
      <c r="G6624">
        <v>19.649999999999999</v>
      </c>
      <c r="H6624">
        <v>1.1299999999999999</v>
      </c>
      <c r="I6624">
        <v>5.7560000000000002</v>
      </c>
      <c r="J6624">
        <v>3</v>
      </c>
      <c r="K6624">
        <v>19</v>
      </c>
      <c r="L6624">
        <v>29</v>
      </c>
      <c r="M6624">
        <v>1.2789999999999999</v>
      </c>
    </row>
    <row r="6625" spans="1:13" ht="15" customHeight="1">
      <c r="A6625" t="s">
        <v>70</v>
      </c>
      <c r="B6625">
        <f t="shared" si="410"/>
        <v>33.696694000000001</v>
      </c>
      <c r="C6625">
        <f t="shared" si="411"/>
        <v>-117.857658</v>
      </c>
      <c r="D6625">
        <f t="shared" si="412"/>
        <v>38</v>
      </c>
      <c r="E6625">
        <v>8.5</v>
      </c>
      <c r="F6625">
        <f t="shared" si="413"/>
        <v>29.5</v>
      </c>
      <c r="G6625">
        <v>16.417000000000002</v>
      </c>
      <c r="H6625">
        <v>0.755</v>
      </c>
      <c r="I6625">
        <v>4.6040000000000001</v>
      </c>
      <c r="J6625">
        <v>3</v>
      </c>
      <c r="K6625">
        <v>16</v>
      </c>
      <c r="L6625">
        <v>24</v>
      </c>
      <c r="M6625">
        <v>1.0589999999999999</v>
      </c>
    </row>
    <row r="6626" spans="1:13" ht="15" customHeight="1">
      <c r="A6626" t="s">
        <v>70</v>
      </c>
      <c r="B6626">
        <f t="shared" si="410"/>
        <v>33.696694000000001</v>
      </c>
      <c r="C6626">
        <f t="shared" si="411"/>
        <v>-117.857658</v>
      </c>
      <c r="D6626">
        <f t="shared" si="412"/>
        <v>38</v>
      </c>
      <c r="E6626">
        <v>9.5</v>
      </c>
      <c r="F6626">
        <f t="shared" si="413"/>
        <v>28.5</v>
      </c>
      <c r="G6626">
        <v>12.6</v>
      </c>
      <c r="H6626">
        <v>0.57199999999999995</v>
      </c>
      <c r="I6626">
        <v>4.5190000000000001</v>
      </c>
      <c r="J6626">
        <v>3</v>
      </c>
      <c r="K6626">
        <v>12</v>
      </c>
      <c r="L6626">
        <v>18</v>
      </c>
      <c r="M6626">
        <v>0.80500000000000005</v>
      </c>
    </row>
    <row r="6627" spans="1:13" ht="15" customHeight="1">
      <c r="A6627" t="s">
        <v>70</v>
      </c>
      <c r="B6627">
        <f t="shared" si="410"/>
        <v>33.696694000000001</v>
      </c>
      <c r="C6627">
        <f t="shared" si="411"/>
        <v>-117.857658</v>
      </c>
      <c r="D6627">
        <f t="shared" si="412"/>
        <v>38</v>
      </c>
      <c r="E6627">
        <v>10.5</v>
      </c>
      <c r="F6627">
        <f t="shared" si="413"/>
        <v>27.5</v>
      </c>
      <c r="G6627">
        <v>10.1</v>
      </c>
      <c r="H6627">
        <v>0.4</v>
      </c>
      <c r="I6627">
        <v>3.9</v>
      </c>
      <c r="J6627">
        <v>3</v>
      </c>
      <c r="K6627">
        <v>10</v>
      </c>
      <c r="L6627">
        <v>14</v>
      </c>
      <c r="M6627">
        <v>0.64100000000000001</v>
      </c>
    </row>
    <row r="6628" spans="1:13" ht="15" customHeight="1">
      <c r="A6628" t="s">
        <v>70</v>
      </c>
      <c r="B6628">
        <f t="shared" si="410"/>
        <v>33.696694000000001</v>
      </c>
      <c r="C6628">
        <f t="shared" si="411"/>
        <v>-117.857658</v>
      </c>
      <c r="D6628">
        <f t="shared" si="412"/>
        <v>38</v>
      </c>
      <c r="E6628">
        <v>11.5</v>
      </c>
      <c r="F6628">
        <f t="shared" si="413"/>
        <v>26.5</v>
      </c>
      <c r="G6628">
        <v>10.75</v>
      </c>
      <c r="H6628">
        <v>0.432</v>
      </c>
      <c r="I6628">
        <v>3.972</v>
      </c>
      <c r="J6628">
        <v>3</v>
      </c>
      <c r="K6628">
        <v>10</v>
      </c>
      <c r="L6628">
        <v>13</v>
      </c>
      <c r="M6628">
        <v>0.67800000000000005</v>
      </c>
    </row>
    <row r="6629" spans="1:13" ht="15" customHeight="1">
      <c r="A6629" t="s">
        <v>70</v>
      </c>
      <c r="B6629">
        <f t="shared" si="410"/>
        <v>33.696694000000001</v>
      </c>
      <c r="C6629">
        <f t="shared" si="411"/>
        <v>-117.857658</v>
      </c>
      <c r="D6629">
        <f t="shared" si="412"/>
        <v>38</v>
      </c>
      <c r="E6629">
        <v>12.5</v>
      </c>
      <c r="F6629">
        <f t="shared" si="413"/>
        <v>25.5</v>
      </c>
      <c r="G6629">
        <v>12.266999999999999</v>
      </c>
      <c r="H6629">
        <v>0.48799999999999999</v>
      </c>
      <c r="I6629">
        <v>3.9430000000000001</v>
      </c>
      <c r="J6629">
        <v>3</v>
      </c>
      <c r="K6629">
        <v>12</v>
      </c>
      <c r="L6629">
        <v>15</v>
      </c>
      <c r="M6629">
        <v>0.77500000000000002</v>
      </c>
    </row>
    <row r="6630" spans="1:13" ht="15" customHeight="1">
      <c r="A6630" t="s">
        <v>70</v>
      </c>
      <c r="B6630">
        <f t="shared" si="410"/>
        <v>33.696694000000001</v>
      </c>
      <c r="C6630">
        <f t="shared" si="411"/>
        <v>-117.857658</v>
      </c>
      <c r="D6630">
        <f t="shared" si="412"/>
        <v>38</v>
      </c>
      <c r="E6630">
        <v>13.5</v>
      </c>
      <c r="F6630">
        <f t="shared" si="413"/>
        <v>24.5</v>
      </c>
      <c r="G6630">
        <v>8.2669999999999995</v>
      </c>
      <c r="H6630">
        <v>0.33800000000000002</v>
      </c>
      <c r="I6630">
        <v>4.0439999999999996</v>
      </c>
      <c r="J6630">
        <v>3</v>
      </c>
      <c r="K6630">
        <v>8</v>
      </c>
      <c r="L6630">
        <v>9</v>
      </c>
      <c r="M6630">
        <v>0.503</v>
      </c>
    </row>
    <row r="6631" spans="1:13" ht="15" customHeight="1">
      <c r="A6631" t="s">
        <v>70</v>
      </c>
      <c r="B6631">
        <f t="shared" si="410"/>
        <v>33.696694000000001</v>
      </c>
      <c r="C6631">
        <f t="shared" si="411"/>
        <v>-117.857658</v>
      </c>
      <c r="D6631">
        <f t="shared" si="412"/>
        <v>38</v>
      </c>
      <c r="E6631">
        <v>14.5</v>
      </c>
      <c r="F6631">
        <f t="shared" si="413"/>
        <v>23.5</v>
      </c>
      <c r="G6631">
        <v>7.35</v>
      </c>
      <c r="H6631">
        <v>0.32700000000000001</v>
      </c>
      <c r="I6631">
        <v>4.4139999999999997</v>
      </c>
      <c r="J6631">
        <v>3</v>
      </c>
      <c r="K6631">
        <v>7</v>
      </c>
      <c r="L6631">
        <v>8</v>
      </c>
      <c r="M6631">
        <v>0.435</v>
      </c>
    </row>
    <row r="6632" spans="1:13" ht="15" customHeight="1">
      <c r="A6632" t="s">
        <v>70</v>
      </c>
      <c r="B6632">
        <f t="shared" si="410"/>
        <v>33.696694000000001</v>
      </c>
      <c r="C6632">
        <f t="shared" si="411"/>
        <v>-117.857658</v>
      </c>
      <c r="D6632">
        <f t="shared" si="412"/>
        <v>38</v>
      </c>
      <c r="E6632">
        <v>15.5</v>
      </c>
      <c r="F6632">
        <f t="shared" si="413"/>
        <v>22.5</v>
      </c>
      <c r="G6632">
        <v>7.3170000000000002</v>
      </c>
      <c r="H6632">
        <v>0.26</v>
      </c>
      <c r="I6632">
        <v>3.5539999999999998</v>
      </c>
      <c r="J6632">
        <v>3</v>
      </c>
      <c r="K6632">
        <v>7</v>
      </c>
      <c r="L6632">
        <v>7</v>
      </c>
      <c r="M6632">
        <v>0.42499999999999999</v>
      </c>
    </row>
    <row r="6633" spans="1:13" ht="15" customHeight="1">
      <c r="A6633" t="s">
        <v>70</v>
      </c>
      <c r="B6633">
        <f t="shared" si="410"/>
        <v>33.696694000000001</v>
      </c>
      <c r="C6633">
        <f t="shared" si="411"/>
        <v>-117.857658</v>
      </c>
      <c r="D6633">
        <f t="shared" si="412"/>
        <v>38</v>
      </c>
      <c r="E6633">
        <v>16.5</v>
      </c>
      <c r="F6633">
        <f t="shared" si="413"/>
        <v>21.5</v>
      </c>
      <c r="G6633">
        <v>8.4830000000000005</v>
      </c>
      <c r="H6633">
        <v>0.247</v>
      </c>
      <c r="I6633">
        <v>2.879</v>
      </c>
      <c r="J6633">
        <v>4</v>
      </c>
      <c r="K6633">
        <v>5</v>
      </c>
      <c r="L6633">
        <v>5</v>
      </c>
      <c r="M6633">
        <v>0.504</v>
      </c>
    </row>
    <row r="6634" spans="1:13" ht="15" customHeight="1">
      <c r="A6634" t="s">
        <v>70</v>
      </c>
      <c r="B6634">
        <f t="shared" si="410"/>
        <v>33.696694000000001</v>
      </c>
      <c r="C6634">
        <f t="shared" si="411"/>
        <v>-117.857658</v>
      </c>
      <c r="D6634">
        <f t="shared" si="412"/>
        <v>38</v>
      </c>
      <c r="E6634">
        <v>17.5</v>
      </c>
      <c r="F6634">
        <f t="shared" si="413"/>
        <v>20.5</v>
      </c>
      <c r="G6634">
        <v>4.9829999999999997</v>
      </c>
      <c r="H6634">
        <v>0.14299999999999999</v>
      </c>
      <c r="I6634">
        <v>2.8759999999999999</v>
      </c>
      <c r="J6634">
        <v>3</v>
      </c>
      <c r="K6634">
        <v>5</v>
      </c>
      <c r="L6634">
        <v>5</v>
      </c>
      <c r="M6634">
        <v>0.26200000000000001</v>
      </c>
    </row>
    <row r="6635" spans="1:13" ht="15" customHeight="1">
      <c r="A6635" t="s">
        <v>70</v>
      </c>
      <c r="B6635">
        <f t="shared" si="410"/>
        <v>33.696694000000001</v>
      </c>
      <c r="C6635">
        <f t="shared" si="411"/>
        <v>-117.857658</v>
      </c>
      <c r="D6635">
        <f t="shared" si="412"/>
        <v>38</v>
      </c>
      <c r="E6635">
        <v>18.5</v>
      </c>
      <c r="F6635">
        <f t="shared" si="413"/>
        <v>19.5</v>
      </c>
      <c r="G6635">
        <v>17.149999999999999</v>
      </c>
      <c r="H6635">
        <v>0.39</v>
      </c>
      <c r="I6635">
        <v>2.27</v>
      </c>
      <c r="J6635">
        <v>5</v>
      </c>
      <c r="K6635">
        <v>8</v>
      </c>
      <c r="L6635">
        <v>7</v>
      </c>
      <c r="M6635">
        <v>1.071</v>
      </c>
    </row>
    <row r="6636" spans="1:13" ht="15" customHeight="1">
      <c r="A6636" t="s">
        <v>70</v>
      </c>
      <c r="B6636">
        <f t="shared" si="410"/>
        <v>33.696694000000001</v>
      </c>
      <c r="C6636">
        <f t="shared" si="411"/>
        <v>-117.857658</v>
      </c>
      <c r="D6636">
        <f t="shared" si="412"/>
        <v>38</v>
      </c>
      <c r="E6636">
        <v>19.5</v>
      </c>
      <c r="F6636">
        <f t="shared" si="413"/>
        <v>18.5</v>
      </c>
      <c r="G6636">
        <v>36.616999999999997</v>
      </c>
      <c r="H6636">
        <v>1.595</v>
      </c>
      <c r="I6636">
        <v>4.3520000000000003</v>
      </c>
      <c r="J6636">
        <v>4</v>
      </c>
      <c r="K6636">
        <v>23</v>
      </c>
      <c r="L6636">
        <v>20</v>
      </c>
      <c r="M6636">
        <v>2.3650000000000002</v>
      </c>
    </row>
    <row r="6637" spans="1:13" ht="15" customHeight="1">
      <c r="A6637" t="s">
        <v>70</v>
      </c>
      <c r="B6637">
        <f t="shared" si="410"/>
        <v>33.696694000000001</v>
      </c>
      <c r="C6637">
        <f t="shared" si="411"/>
        <v>-117.857658</v>
      </c>
      <c r="D6637">
        <f t="shared" si="412"/>
        <v>38</v>
      </c>
      <c r="E6637">
        <v>20.5</v>
      </c>
      <c r="F6637">
        <f t="shared" si="413"/>
        <v>17.5</v>
      </c>
      <c r="G6637">
        <v>43.343000000000004</v>
      </c>
      <c r="H6637">
        <v>1.7</v>
      </c>
      <c r="I6637">
        <v>3.92</v>
      </c>
      <c r="J6637">
        <v>5</v>
      </c>
      <c r="K6637">
        <v>21</v>
      </c>
      <c r="L6637">
        <v>18</v>
      </c>
      <c r="M6637">
        <v>2.8079999999999998</v>
      </c>
    </row>
    <row r="6638" spans="1:13" ht="15" customHeight="1">
      <c r="A6638" t="s">
        <v>70</v>
      </c>
      <c r="B6638">
        <f t="shared" si="410"/>
        <v>33.696694000000001</v>
      </c>
      <c r="C6638">
        <f t="shared" si="411"/>
        <v>-117.857658</v>
      </c>
      <c r="D6638">
        <f t="shared" si="412"/>
        <v>38</v>
      </c>
      <c r="E6638">
        <v>21.5</v>
      </c>
      <c r="F6638">
        <f t="shared" si="413"/>
        <v>16.5</v>
      </c>
      <c r="G6638">
        <v>39.799999999999997</v>
      </c>
      <c r="H6638">
        <v>1.4870000000000001</v>
      </c>
      <c r="I6638">
        <v>3.7290000000000001</v>
      </c>
      <c r="J6638">
        <v>5</v>
      </c>
      <c r="K6638">
        <v>19</v>
      </c>
      <c r="L6638">
        <v>15</v>
      </c>
      <c r="M6638">
        <v>2.5710000000000002</v>
      </c>
    </row>
    <row r="6639" spans="1:13" ht="15" customHeight="1">
      <c r="A6639" t="s">
        <v>70</v>
      </c>
      <c r="B6639">
        <f t="shared" si="410"/>
        <v>33.696694000000001</v>
      </c>
      <c r="C6639">
        <f t="shared" si="411"/>
        <v>-117.857658</v>
      </c>
      <c r="D6639">
        <f t="shared" si="412"/>
        <v>38</v>
      </c>
      <c r="E6639">
        <v>22.5</v>
      </c>
      <c r="F6639">
        <f t="shared" si="413"/>
        <v>15.5</v>
      </c>
      <c r="G6639">
        <v>48.9</v>
      </c>
      <c r="H6639">
        <v>2.468</v>
      </c>
      <c r="I6639">
        <v>5.0359999999999996</v>
      </c>
      <c r="J6639">
        <v>4</v>
      </c>
      <c r="K6639">
        <v>31</v>
      </c>
      <c r="L6639">
        <v>24</v>
      </c>
      <c r="M6639">
        <v>3.1760000000000002</v>
      </c>
    </row>
    <row r="6640" spans="1:13" ht="15" customHeight="1">
      <c r="A6640" t="s">
        <v>70</v>
      </c>
      <c r="B6640">
        <f t="shared" si="410"/>
        <v>33.696694000000001</v>
      </c>
      <c r="C6640">
        <f t="shared" si="411"/>
        <v>-117.857658</v>
      </c>
      <c r="D6640">
        <f t="shared" si="412"/>
        <v>38</v>
      </c>
      <c r="E6640">
        <v>23.5</v>
      </c>
      <c r="F6640">
        <f t="shared" si="413"/>
        <v>14.5</v>
      </c>
      <c r="G6640">
        <v>49.317</v>
      </c>
      <c r="H6640">
        <v>2.887</v>
      </c>
      <c r="I6640">
        <v>5.843</v>
      </c>
      <c r="J6640">
        <v>3</v>
      </c>
      <c r="K6640">
        <v>47</v>
      </c>
      <c r="L6640">
        <v>36</v>
      </c>
      <c r="M6640">
        <v>3.198</v>
      </c>
    </row>
    <row r="6641" spans="1:13" ht="15" customHeight="1">
      <c r="A6641" t="s">
        <v>70</v>
      </c>
      <c r="B6641">
        <f t="shared" si="410"/>
        <v>33.696694000000001</v>
      </c>
      <c r="C6641">
        <f t="shared" si="411"/>
        <v>-117.857658</v>
      </c>
      <c r="D6641">
        <f t="shared" si="412"/>
        <v>38</v>
      </c>
      <c r="E6641">
        <v>24.5</v>
      </c>
      <c r="F6641">
        <f t="shared" si="413"/>
        <v>13.5</v>
      </c>
      <c r="G6641">
        <v>60.883000000000003</v>
      </c>
      <c r="H6641">
        <v>3.59</v>
      </c>
      <c r="I6641">
        <v>5.8819999999999997</v>
      </c>
      <c r="J6641">
        <v>11</v>
      </c>
      <c r="K6641">
        <v>58</v>
      </c>
      <c r="L6641">
        <v>43</v>
      </c>
      <c r="M6641" s="1">
        <v>9000000000</v>
      </c>
    </row>
    <row r="6642" spans="1:13" ht="15" customHeight="1">
      <c r="A6642" t="s">
        <v>70</v>
      </c>
      <c r="B6642">
        <f t="shared" si="410"/>
        <v>33.696694000000001</v>
      </c>
      <c r="C6642">
        <f t="shared" si="411"/>
        <v>-117.857658</v>
      </c>
      <c r="D6642">
        <f t="shared" si="412"/>
        <v>38</v>
      </c>
      <c r="E6642">
        <v>25.5</v>
      </c>
      <c r="F6642">
        <f t="shared" si="413"/>
        <v>12.5</v>
      </c>
      <c r="G6642">
        <v>183</v>
      </c>
      <c r="H6642">
        <v>1.8220000000000001</v>
      </c>
      <c r="I6642">
        <v>0.996</v>
      </c>
      <c r="J6642">
        <v>9</v>
      </c>
      <c r="K6642">
        <v>35</v>
      </c>
      <c r="L6642">
        <v>25</v>
      </c>
      <c r="M6642" s="1">
        <v>9000000000</v>
      </c>
    </row>
    <row r="6643" spans="1:13" ht="15" customHeight="1">
      <c r="A6643" t="s">
        <v>70</v>
      </c>
      <c r="B6643">
        <f t="shared" si="410"/>
        <v>33.696694000000001</v>
      </c>
      <c r="C6643">
        <f t="shared" si="411"/>
        <v>-117.857658</v>
      </c>
      <c r="D6643">
        <f t="shared" si="412"/>
        <v>38</v>
      </c>
      <c r="E6643">
        <v>26.5</v>
      </c>
      <c r="F6643">
        <f t="shared" si="413"/>
        <v>11.5</v>
      </c>
      <c r="G6643">
        <v>292.06700000000001</v>
      </c>
      <c r="H6643">
        <v>1.6870000000000001</v>
      </c>
      <c r="I6643">
        <v>0.57799999999999996</v>
      </c>
      <c r="J6643">
        <v>10</v>
      </c>
      <c r="K6643">
        <v>47</v>
      </c>
      <c r="L6643">
        <v>33</v>
      </c>
      <c r="M6643" s="1">
        <v>9000000000</v>
      </c>
    </row>
    <row r="6644" spans="1:13" ht="15" customHeight="1">
      <c r="A6644" t="s">
        <v>70</v>
      </c>
      <c r="B6644">
        <f t="shared" si="410"/>
        <v>33.696694000000001</v>
      </c>
      <c r="C6644">
        <f t="shared" si="411"/>
        <v>-117.857658</v>
      </c>
      <c r="D6644">
        <f t="shared" si="412"/>
        <v>38</v>
      </c>
      <c r="E6644">
        <v>27.5</v>
      </c>
      <c r="F6644">
        <f t="shared" si="413"/>
        <v>10.5</v>
      </c>
      <c r="G6644">
        <v>303.33300000000003</v>
      </c>
      <c r="H6644">
        <v>2.0299999999999998</v>
      </c>
      <c r="I6644">
        <v>0.66900000000000004</v>
      </c>
      <c r="J6644">
        <v>9</v>
      </c>
      <c r="K6644">
        <v>58</v>
      </c>
      <c r="L6644">
        <v>40</v>
      </c>
      <c r="M6644" s="1">
        <v>9000000000</v>
      </c>
    </row>
    <row r="6645" spans="1:13" ht="15" customHeight="1">
      <c r="A6645" t="s">
        <v>70</v>
      </c>
      <c r="B6645">
        <f t="shared" si="410"/>
        <v>33.696694000000001</v>
      </c>
      <c r="C6645">
        <f t="shared" si="411"/>
        <v>-117.857658</v>
      </c>
      <c r="D6645">
        <f t="shared" si="412"/>
        <v>38</v>
      </c>
      <c r="E6645">
        <v>28.5</v>
      </c>
      <c r="F6645">
        <f t="shared" si="413"/>
        <v>9.5</v>
      </c>
      <c r="G6645">
        <v>296.5</v>
      </c>
      <c r="H6645">
        <v>1.728</v>
      </c>
      <c r="I6645">
        <v>0.58299999999999996</v>
      </c>
      <c r="J6645">
        <v>10</v>
      </c>
      <c r="K6645">
        <v>47</v>
      </c>
      <c r="L6645">
        <v>32</v>
      </c>
      <c r="M6645" s="1">
        <v>9000000000</v>
      </c>
    </row>
    <row r="6646" spans="1:13" ht="15" customHeight="1">
      <c r="A6646" t="s">
        <v>70</v>
      </c>
      <c r="B6646">
        <f t="shared" si="410"/>
        <v>33.696694000000001</v>
      </c>
      <c r="C6646">
        <f t="shared" si="411"/>
        <v>-117.857658</v>
      </c>
      <c r="D6646">
        <f t="shared" si="412"/>
        <v>38</v>
      </c>
      <c r="E6646">
        <v>29.5</v>
      </c>
      <c r="F6646">
        <f t="shared" si="413"/>
        <v>8.5</v>
      </c>
      <c r="G6646">
        <v>288.983</v>
      </c>
      <c r="H6646">
        <v>1.4450000000000001</v>
      </c>
      <c r="I6646">
        <v>0.5</v>
      </c>
      <c r="J6646">
        <v>10</v>
      </c>
      <c r="K6646">
        <v>46</v>
      </c>
      <c r="L6646">
        <v>31</v>
      </c>
      <c r="M6646" s="1">
        <v>9000000000</v>
      </c>
    </row>
    <row r="6647" spans="1:13" ht="15" customHeight="1">
      <c r="A6647" t="s">
        <v>70</v>
      </c>
      <c r="B6647">
        <f t="shared" si="410"/>
        <v>33.696694000000001</v>
      </c>
      <c r="C6647">
        <f t="shared" si="411"/>
        <v>-117.857658</v>
      </c>
      <c r="D6647">
        <f t="shared" si="412"/>
        <v>38</v>
      </c>
      <c r="E6647">
        <v>30.5</v>
      </c>
      <c r="F6647">
        <f t="shared" si="413"/>
        <v>7.5</v>
      </c>
      <c r="G6647">
        <v>164.25</v>
      </c>
      <c r="H6647">
        <v>2.0249999999999999</v>
      </c>
      <c r="I6647">
        <v>1.2330000000000001</v>
      </c>
      <c r="J6647">
        <v>8</v>
      </c>
      <c r="K6647">
        <v>39</v>
      </c>
      <c r="L6647">
        <v>26</v>
      </c>
      <c r="M6647" s="1">
        <v>9000000000</v>
      </c>
    </row>
    <row r="6648" spans="1:13" ht="15" customHeight="1">
      <c r="A6648" t="s">
        <v>70</v>
      </c>
      <c r="B6648">
        <f t="shared" si="410"/>
        <v>33.696694000000001</v>
      </c>
      <c r="C6648">
        <f t="shared" si="411"/>
        <v>-117.857658</v>
      </c>
      <c r="D6648">
        <f t="shared" si="412"/>
        <v>38</v>
      </c>
      <c r="E6648">
        <v>31.5</v>
      </c>
      <c r="F6648">
        <f t="shared" si="413"/>
        <v>6.5</v>
      </c>
      <c r="G6648">
        <v>316.24299999999999</v>
      </c>
      <c r="H6648">
        <v>1.4510000000000001</v>
      </c>
      <c r="I6648">
        <v>0.45900000000000002</v>
      </c>
      <c r="J6648">
        <v>10</v>
      </c>
      <c r="K6648">
        <v>50</v>
      </c>
      <c r="L6648">
        <v>33</v>
      </c>
      <c r="M6648" s="1">
        <v>9000000000</v>
      </c>
    </row>
    <row r="6649" spans="1:13" ht="15" customHeight="1">
      <c r="A6649" t="s">
        <v>70</v>
      </c>
      <c r="B6649">
        <f t="shared" si="410"/>
        <v>33.696694000000001</v>
      </c>
      <c r="C6649">
        <f t="shared" si="411"/>
        <v>-117.857658</v>
      </c>
      <c r="D6649">
        <f t="shared" si="412"/>
        <v>38</v>
      </c>
      <c r="E6649">
        <v>32.5</v>
      </c>
      <c r="F6649">
        <f t="shared" si="413"/>
        <v>5.5</v>
      </c>
      <c r="G6649">
        <v>333.4</v>
      </c>
      <c r="H6649">
        <v>1.8680000000000001</v>
      </c>
      <c r="I6649">
        <v>0.56000000000000005</v>
      </c>
      <c r="J6649">
        <v>10</v>
      </c>
      <c r="K6649">
        <v>53</v>
      </c>
      <c r="L6649">
        <v>34</v>
      </c>
      <c r="M6649" s="1">
        <v>9000000000</v>
      </c>
    </row>
    <row r="6650" spans="1:13" ht="15" customHeight="1">
      <c r="A6650" t="s">
        <v>70</v>
      </c>
      <c r="B6650">
        <f t="shared" si="410"/>
        <v>33.696694000000001</v>
      </c>
      <c r="C6650">
        <f t="shared" si="411"/>
        <v>-117.857658</v>
      </c>
      <c r="D6650">
        <f t="shared" si="412"/>
        <v>38</v>
      </c>
      <c r="E6650">
        <v>33.5</v>
      </c>
      <c r="F6650">
        <f t="shared" si="413"/>
        <v>4.5</v>
      </c>
      <c r="G6650">
        <v>315.03300000000002</v>
      </c>
      <c r="H6650">
        <v>1.417</v>
      </c>
      <c r="I6650">
        <v>0.45</v>
      </c>
      <c r="J6650">
        <v>10</v>
      </c>
      <c r="K6650">
        <v>50</v>
      </c>
      <c r="L6650">
        <v>32</v>
      </c>
      <c r="M6650" s="1">
        <v>9000000000</v>
      </c>
    </row>
    <row r="6651" spans="1:13" ht="15" customHeight="1">
      <c r="A6651" t="s">
        <v>70</v>
      </c>
      <c r="B6651">
        <f t="shared" si="410"/>
        <v>33.696694000000001</v>
      </c>
      <c r="C6651">
        <f t="shared" si="411"/>
        <v>-117.857658</v>
      </c>
      <c r="D6651">
        <f t="shared" si="412"/>
        <v>38</v>
      </c>
      <c r="E6651">
        <v>34.5</v>
      </c>
      <c r="F6651">
        <f t="shared" si="413"/>
        <v>3.5</v>
      </c>
      <c r="G6651">
        <v>286.517</v>
      </c>
      <c r="H6651">
        <v>1.635</v>
      </c>
      <c r="I6651">
        <v>0.56999999999999995</v>
      </c>
      <c r="J6651">
        <v>10</v>
      </c>
      <c r="K6651">
        <v>46</v>
      </c>
      <c r="L6651">
        <v>29</v>
      </c>
      <c r="M6651" s="1">
        <v>9000000000</v>
      </c>
    </row>
    <row r="6652" spans="1:13" ht="15" customHeight="1">
      <c r="A6652" t="s">
        <v>70</v>
      </c>
      <c r="B6652">
        <f t="shared" si="410"/>
        <v>33.696694000000001</v>
      </c>
      <c r="C6652">
        <f t="shared" si="411"/>
        <v>-117.857658</v>
      </c>
      <c r="D6652">
        <f t="shared" si="412"/>
        <v>38</v>
      </c>
      <c r="E6652">
        <v>35.5</v>
      </c>
      <c r="F6652">
        <f t="shared" si="413"/>
        <v>2.5</v>
      </c>
      <c r="G6652">
        <v>265.11700000000002</v>
      </c>
      <c r="H6652">
        <v>1.42</v>
      </c>
      <c r="I6652">
        <v>0.53500000000000003</v>
      </c>
      <c r="J6652">
        <v>9</v>
      </c>
      <c r="K6652">
        <v>51</v>
      </c>
      <c r="L6652">
        <v>31</v>
      </c>
      <c r="M6652" s="1">
        <v>9000000000</v>
      </c>
    </row>
    <row r="6653" spans="1:13" ht="15" customHeight="1">
      <c r="A6653" t="s">
        <v>70</v>
      </c>
      <c r="B6653">
        <f t="shared" si="410"/>
        <v>33.696694000000001</v>
      </c>
      <c r="C6653">
        <f t="shared" si="411"/>
        <v>-117.857658</v>
      </c>
      <c r="D6653">
        <f t="shared" si="412"/>
        <v>38</v>
      </c>
      <c r="E6653">
        <v>36.5</v>
      </c>
      <c r="F6653">
        <f t="shared" si="413"/>
        <v>1.5</v>
      </c>
      <c r="G6653">
        <v>170.833</v>
      </c>
      <c r="H6653">
        <v>1.228</v>
      </c>
      <c r="I6653">
        <v>0.71899999999999997</v>
      </c>
      <c r="J6653">
        <v>9</v>
      </c>
      <c r="K6653">
        <v>33</v>
      </c>
      <c r="L6653">
        <v>20</v>
      </c>
      <c r="M6653" s="1">
        <v>9000000000</v>
      </c>
    </row>
    <row r="6654" spans="1:13" ht="15" customHeight="1">
      <c r="A6654" t="s">
        <v>70</v>
      </c>
      <c r="B6654">
        <f t="shared" si="410"/>
        <v>33.696694000000001</v>
      </c>
      <c r="C6654">
        <f t="shared" si="411"/>
        <v>-117.857658</v>
      </c>
      <c r="D6654">
        <f t="shared" si="412"/>
        <v>38</v>
      </c>
      <c r="E6654">
        <v>37.5</v>
      </c>
      <c r="F6654">
        <f t="shared" si="413"/>
        <v>0.5</v>
      </c>
      <c r="G6654">
        <v>40.417000000000002</v>
      </c>
      <c r="H6654">
        <v>1.6220000000000001</v>
      </c>
      <c r="I6654">
        <v>4.0039999999999996</v>
      </c>
      <c r="J6654">
        <v>5</v>
      </c>
      <c r="K6654">
        <v>19</v>
      </c>
      <c r="L6654">
        <v>11</v>
      </c>
      <c r="M6654">
        <v>2.5449999999999999</v>
      </c>
    </row>
    <row r="6655" spans="1:13" ht="15" customHeight="1">
      <c r="A6655" t="s">
        <v>70</v>
      </c>
      <c r="B6655">
        <f t="shared" si="410"/>
        <v>33.696694000000001</v>
      </c>
      <c r="C6655">
        <f t="shared" si="411"/>
        <v>-117.857658</v>
      </c>
      <c r="D6655">
        <f t="shared" si="412"/>
        <v>38</v>
      </c>
      <c r="E6655">
        <v>38.5</v>
      </c>
      <c r="F6655">
        <f t="shared" si="413"/>
        <v>-0.5</v>
      </c>
      <c r="G6655">
        <v>79.316999999999993</v>
      </c>
      <c r="H6655">
        <v>1.4</v>
      </c>
      <c r="I6655">
        <v>1.7649999999999999</v>
      </c>
      <c r="J6655">
        <v>7</v>
      </c>
      <c r="K6655">
        <v>25</v>
      </c>
      <c r="L6655">
        <v>15</v>
      </c>
      <c r="M6655" s="1">
        <v>9000000000</v>
      </c>
    </row>
    <row r="6656" spans="1:13" ht="15" customHeight="1">
      <c r="A6656" t="s">
        <v>70</v>
      </c>
      <c r="B6656">
        <f t="shared" si="410"/>
        <v>33.696694000000001</v>
      </c>
      <c r="C6656">
        <f t="shared" si="411"/>
        <v>-117.857658</v>
      </c>
      <c r="D6656">
        <f t="shared" si="412"/>
        <v>38</v>
      </c>
      <c r="E6656">
        <v>39.5</v>
      </c>
      <c r="F6656">
        <f t="shared" si="413"/>
        <v>-1.5</v>
      </c>
      <c r="G6656">
        <v>277.64999999999998</v>
      </c>
      <c r="H6656">
        <v>1.232</v>
      </c>
      <c r="I6656">
        <v>0.443</v>
      </c>
      <c r="J6656">
        <v>10</v>
      </c>
      <c r="K6656">
        <v>44</v>
      </c>
      <c r="L6656">
        <v>26</v>
      </c>
      <c r="M6656" s="1">
        <v>9000000000</v>
      </c>
    </row>
    <row r="6657" spans="1:13" ht="15" customHeight="1">
      <c r="A6657" t="s">
        <v>70</v>
      </c>
      <c r="B6657">
        <f t="shared" si="410"/>
        <v>33.696694000000001</v>
      </c>
      <c r="C6657">
        <f t="shared" si="411"/>
        <v>-117.857658</v>
      </c>
      <c r="D6657">
        <f t="shared" si="412"/>
        <v>38</v>
      </c>
      <c r="E6657">
        <v>40.5</v>
      </c>
      <c r="F6657">
        <f t="shared" si="413"/>
        <v>-2.5</v>
      </c>
      <c r="G6657">
        <v>243.46700000000001</v>
      </c>
      <c r="H6657">
        <v>1.25</v>
      </c>
      <c r="I6657">
        <v>0.51300000000000001</v>
      </c>
      <c r="J6657">
        <v>9</v>
      </c>
      <c r="K6657">
        <v>47</v>
      </c>
      <c r="L6657">
        <v>27</v>
      </c>
      <c r="M6657" s="1">
        <v>9000000000</v>
      </c>
    </row>
    <row r="6658" spans="1:13" ht="15" customHeight="1">
      <c r="A6658" t="s">
        <v>70</v>
      </c>
      <c r="B6658">
        <f t="shared" ref="B6658:B6721" si="414">VLOOKUP(A6658,XYdata,3,FALSE)</f>
        <v>33.696694000000001</v>
      </c>
      <c r="C6658">
        <f t="shared" ref="C6658:C6721" si="415">VLOOKUP(A6658,XYdata,2,FALSE)</f>
        <v>-117.857658</v>
      </c>
      <c r="D6658">
        <f t="shared" ref="D6658:D6721" si="416">VLOOKUP(A6658,Elevation,2,FALSE)</f>
        <v>38</v>
      </c>
      <c r="E6658">
        <v>41.499000000000002</v>
      </c>
      <c r="F6658">
        <f t="shared" si="413"/>
        <v>-3.4990000000000023</v>
      </c>
      <c r="G6658">
        <v>100.514</v>
      </c>
      <c r="H6658">
        <v>2.1760000000000002</v>
      </c>
      <c r="I6658">
        <v>2.1619999999999999</v>
      </c>
      <c r="J6658">
        <v>7</v>
      </c>
      <c r="K6658">
        <v>32</v>
      </c>
      <c r="L6658">
        <v>18</v>
      </c>
      <c r="M6658" s="1">
        <v>9000000000</v>
      </c>
    </row>
    <row r="6659" spans="1:13" ht="15" customHeight="1">
      <c r="A6659" t="s">
        <v>70</v>
      </c>
      <c r="B6659">
        <f t="shared" si="414"/>
        <v>33.696694000000001</v>
      </c>
      <c r="C6659">
        <f t="shared" si="415"/>
        <v>-117.857658</v>
      </c>
      <c r="D6659">
        <f t="shared" si="416"/>
        <v>38</v>
      </c>
      <c r="E6659">
        <v>42.499000000000002</v>
      </c>
      <c r="F6659">
        <f t="shared" ref="F6659:F6722" si="417">D6659-E6659</f>
        <v>-4.4990000000000023</v>
      </c>
      <c r="G6659">
        <v>102.967</v>
      </c>
      <c r="H6659">
        <v>2.7679999999999998</v>
      </c>
      <c r="I6659">
        <v>2.69</v>
      </c>
      <c r="J6659">
        <v>6</v>
      </c>
      <c r="K6659">
        <v>39</v>
      </c>
      <c r="L6659">
        <v>22</v>
      </c>
      <c r="M6659">
        <v>6.6849999999999996</v>
      </c>
    </row>
    <row r="6660" spans="1:13" ht="15" customHeight="1">
      <c r="A6660" t="s">
        <v>70</v>
      </c>
      <c r="B6660">
        <f t="shared" si="414"/>
        <v>33.696694000000001</v>
      </c>
      <c r="C6660">
        <f t="shared" si="415"/>
        <v>-117.857658</v>
      </c>
      <c r="D6660">
        <f t="shared" si="416"/>
        <v>38</v>
      </c>
      <c r="E6660">
        <v>43.499000000000002</v>
      </c>
      <c r="F6660">
        <f t="shared" si="417"/>
        <v>-5.4990000000000023</v>
      </c>
      <c r="G6660">
        <v>52.067</v>
      </c>
      <c r="H6660">
        <v>1.8380000000000001</v>
      </c>
      <c r="I6660">
        <v>3.5329999999999999</v>
      </c>
      <c r="J6660">
        <v>5</v>
      </c>
      <c r="K6660">
        <v>25</v>
      </c>
      <c r="L6660">
        <v>14</v>
      </c>
      <c r="M6660">
        <v>3.2890000000000001</v>
      </c>
    </row>
    <row r="6661" spans="1:13" ht="15" customHeight="1">
      <c r="A6661" t="s">
        <v>70</v>
      </c>
      <c r="B6661">
        <f t="shared" si="414"/>
        <v>33.696694000000001</v>
      </c>
      <c r="C6661">
        <f t="shared" si="415"/>
        <v>-117.857658</v>
      </c>
      <c r="D6661">
        <f t="shared" si="416"/>
        <v>38</v>
      </c>
      <c r="E6661">
        <v>44.499000000000002</v>
      </c>
      <c r="F6661">
        <f t="shared" si="417"/>
        <v>-6.4990000000000023</v>
      </c>
      <c r="G6661">
        <v>22.7</v>
      </c>
      <c r="H6661">
        <v>0.96299999999999997</v>
      </c>
      <c r="I6661">
        <v>4.194</v>
      </c>
      <c r="J6661">
        <v>4</v>
      </c>
      <c r="K6661">
        <v>15</v>
      </c>
      <c r="L6661">
        <v>8</v>
      </c>
      <c r="M6661">
        <v>1.347</v>
      </c>
    </row>
    <row r="6662" spans="1:13" ht="15" customHeight="1">
      <c r="A6662" t="s">
        <v>70</v>
      </c>
      <c r="B6662">
        <f t="shared" si="414"/>
        <v>33.696694000000001</v>
      </c>
      <c r="C6662">
        <f t="shared" si="415"/>
        <v>-117.857658</v>
      </c>
      <c r="D6662">
        <f t="shared" si="416"/>
        <v>38</v>
      </c>
      <c r="E6662">
        <v>45.499000000000002</v>
      </c>
      <c r="F6662">
        <f t="shared" si="417"/>
        <v>-7.4990000000000023</v>
      </c>
      <c r="G6662">
        <v>29.4</v>
      </c>
      <c r="H6662">
        <v>1.407</v>
      </c>
      <c r="I6662">
        <v>4.5869999999999997</v>
      </c>
      <c r="J6662">
        <v>4</v>
      </c>
      <c r="K6662">
        <v>20</v>
      </c>
      <c r="L6662">
        <v>11</v>
      </c>
      <c r="M6662">
        <v>1.8560000000000001</v>
      </c>
    </row>
    <row r="6663" spans="1:13" ht="15" customHeight="1">
      <c r="A6663" t="s">
        <v>70</v>
      </c>
      <c r="B6663">
        <f t="shared" si="414"/>
        <v>33.696694000000001</v>
      </c>
      <c r="C6663">
        <f t="shared" si="415"/>
        <v>-117.857658</v>
      </c>
      <c r="D6663">
        <f t="shared" si="416"/>
        <v>38</v>
      </c>
      <c r="E6663">
        <v>46.499000000000002</v>
      </c>
      <c r="F6663">
        <f t="shared" si="417"/>
        <v>-8.4990000000000023</v>
      </c>
      <c r="G6663">
        <v>43.4</v>
      </c>
      <c r="H6663">
        <v>2.012</v>
      </c>
      <c r="I6663">
        <v>4.6260000000000003</v>
      </c>
      <c r="J6663">
        <v>4</v>
      </c>
      <c r="K6663">
        <v>28</v>
      </c>
      <c r="L6663">
        <v>15</v>
      </c>
      <c r="M6663">
        <v>2.706</v>
      </c>
    </row>
    <row r="6664" spans="1:13" ht="15" customHeight="1">
      <c r="A6664" t="s">
        <v>70</v>
      </c>
      <c r="B6664">
        <f t="shared" si="414"/>
        <v>33.696694000000001</v>
      </c>
      <c r="C6664">
        <f t="shared" si="415"/>
        <v>-117.857658</v>
      </c>
      <c r="D6664">
        <f t="shared" si="416"/>
        <v>38</v>
      </c>
      <c r="E6664">
        <v>47.499000000000002</v>
      </c>
      <c r="F6664">
        <f t="shared" si="417"/>
        <v>-9.4990000000000023</v>
      </c>
      <c r="G6664">
        <v>22.75</v>
      </c>
      <c r="H6664">
        <v>1.1279999999999999</v>
      </c>
      <c r="I6664">
        <v>4.8810000000000002</v>
      </c>
      <c r="J6664">
        <v>3</v>
      </c>
      <c r="K6664">
        <v>22</v>
      </c>
      <c r="L6664">
        <v>12</v>
      </c>
      <c r="M6664">
        <v>1.3440000000000001</v>
      </c>
    </row>
    <row r="6665" spans="1:13" ht="15" customHeight="1">
      <c r="A6665" t="s">
        <v>70</v>
      </c>
      <c r="B6665">
        <f t="shared" si="414"/>
        <v>33.696694000000001</v>
      </c>
      <c r="C6665">
        <f t="shared" si="415"/>
        <v>-117.857658</v>
      </c>
      <c r="D6665">
        <f t="shared" si="416"/>
        <v>38</v>
      </c>
      <c r="E6665">
        <v>48.499000000000002</v>
      </c>
      <c r="F6665">
        <f t="shared" si="417"/>
        <v>-10.499000000000002</v>
      </c>
      <c r="G6665">
        <v>50.783000000000001</v>
      </c>
      <c r="H6665">
        <v>1.825</v>
      </c>
      <c r="I6665">
        <v>3.5910000000000002</v>
      </c>
      <c r="J6665">
        <v>5</v>
      </c>
      <c r="K6665">
        <v>24</v>
      </c>
      <c r="L6665">
        <v>13</v>
      </c>
      <c r="M6665">
        <v>3.1869999999999998</v>
      </c>
    </row>
    <row r="6666" spans="1:13" ht="15" customHeight="1">
      <c r="A6666" t="s">
        <v>70</v>
      </c>
      <c r="B6666">
        <f t="shared" si="414"/>
        <v>33.696694000000001</v>
      </c>
      <c r="C6666">
        <f t="shared" si="415"/>
        <v>-117.857658</v>
      </c>
      <c r="D6666">
        <f t="shared" si="416"/>
        <v>38</v>
      </c>
      <c r="E6666">
        <v>49.499000000000002</v>
      </c>
      <c r="F6666">
        <f t="shared" si="417"/>
        <v>-11.499000000000002</v>
      </c>
      <c r="G6666">
        <v>18.367000000000001</v>
      </c>
      <c r="H6666">
        <v>0.72</v>
      </c>
      <c r="I6666">
        <v>3.92</v>
      </c>
      <c r="J6666">
        <v>4</v>
      </c>
      <c r="K6666">
        <v>12</v>
      </c>
      <c r="L6666">
        <v>6</v>
      </c>
      <c r="M6666">
        <v>1.0189999999999999</v>
      </c>
    </row>
    <row r="6667" spans="1:13" ht="15" customHeight="1">
      <c r="A6667" t="s">
        <v>70</v>
      </c>
      <c r="B6667">
        <f t="shared" si="414"/>
        <v>33.696694000000001</v>
      </c>
      <c r="C6667">
        <f t="shared" si="415"/>
        <v>-117.857658</v>
      </c>
      <c r="D6667">
        <f t="shared" si="416"/>
        <v>38</v>
      </c>
      <c r="E6667">
        <v>50.499000000000002</v>
      </c>
      <c r="F6667">
        <f t="shared" si="417"/>
        <v>-12.499000000000002</v>
      </c>
      <c r="G6667">
        <v>17.733000000000001</v>
      </c>
      <c r="H6667">
        <v>0.51800000000000002</v>
      </c>
      <c r="I6667">
        <v>2.8959999999999999</v>
      </c>
      <c r="J6667">
        <v>5</v>
      </c>
      <c r="K6667">
        <v>9</v>
      </c>
      <c r="L6667">
        <v>5</v>
      </c>
      <c r="M6667">
        <v>0.98399999999999999</v>
      </c>
    </row>
    <row r="6668" spans="1:13" ht="15" customHeight="1">
      <c r="A6668" t="s">
        <v>70</v>
      </c>
      <c r="B6668">
        <f t="shared" si="414"/>
        <v>33.696694000000001</v>
      </c>
      <c r="C6668">
        <f t="shared" si="415"/>
        <v>-117.857658</v>
      </c>
      <c r="D6668">
        <f t="shared" si="416"/>
        <v>38</v>
      </c>
      <c r="E6668">
        <v>51.499000000000002</v>
      </c>
      <c r="F6668">
        <f t="shared" si="417"/>
        <v>-13.499000000000002</v>
      </c>
      <c r="G6668">
        <v>31.25</v>
      </c>
      <c r="H6668">
        <v>1.3180000000000001</v>
      </c>
      <c r="I6668">
        <v>4.1219999999999999</v>
      </c>
      <c r="J6668">
        <v>4</v>
      </c>
      <c r="K6668">
        <v>20</v>
      </c>
      <c r="L6668">
        <v>10</v>
      </c>
      <c r="M6668">
        <v>1.919</v>
      </c>
    </row>
    <row r="6669" spans="1:13" ht="15" customHeight="1">
      <c r="A6669" t="s">
        <v>70</v>
      </c>
      <c r="B6669">
        <f t="shared" si="414"/>
        <v>33.696694000000001</v>
      </c>
      <c r="C6669">
        <f t="shared" si="415"/>
        <v>-117.857658</v>
      </c>
      <c r="D6669">
        <f t="shared" si="416"/>
        <v>38</v>
      </c>
      <c r="E6669">
        <v>52.499000000000002</v>
      </c>
      <c r="F6669">
        <f t="shared" si="417"/>
        <v>-14.499000000000002</v>
      </c>
      <c r="G6669">
        <v>34.314</v>
      </c>
      <c r="H6669">
        <v>1.5609999999999999</v>
      </c>
      <c r="I6669">
        <v>4.4889999999999999</v>
      </c>
      <c r="J6669">
        <v>4</v>
      </c>
      <c r="K6669">
        <v>22</v>
      </c>
      <c r="L6669">
        <v>11</v>
      </c>
      <c r="M6669">
        <v>2.1019999999999999</v>
      </c>
    </row>
    <row r="6670" spans="1:13" ht="15" customHeight="1">
      <c r="A6670" t="s">
        <v>70</v>
      </c>
      <c r="B6670">
        <f t="shared" si="414"/>
        <v>33.696694000000001</v>
      </c>
      <c r="C6670">
        <f t="shared" si="415"/>
        <v>-117.857658</v>
      </c>
      <c r="D6670">
        <f t="shared" si="416"/>
        <v>38</v>
      </c>
      <c r="E6670">
        <v>53.499000000000002</v>
      </c>
      <c r="F6670">
        <f t="shared" si="417"/>
        <v>-15.499000000000002</v>
      </c>
      <c r="G6670">
        <v>18.617000000000001</v>
      </c>
      <c r="H6670">
        <v>0.68799999999999994</v>
      </c>
      <c r="I6670">
        <v>3.5</v>
      </c>
      <c r="J6670">
        <v>4</v>
      </c>
      <c r="K6670">
        <v>13</v>
      </c>
      <c r="L6670">
        <v>7</v>
      </c>
      <c r="M6670">
        <v>1.0900000000000001</v>
      </c>
    </row>
    <row r="6671" spans="1:13" ht="15" customHeight="1">
      <c r="A6671" t="s">
        <v>70</v>
      </c>
      <c r="B6671">
        <f t="shared" si="414"/>
        <v>33.696694000000001</v>
      </c>
      <c r="C6671">
        <f t="shared" si="415"/>
        <v>-117.857658</v>
      </c>
      <c r="D6671">
        <f t="shared" si="416"/>
        <v>38</v>
      </c>
      <c r="E6671">
        <v>54.499000000000002</v>
      </c>
      <c r="F6671">
        <f t="shared" si="417"/>
        <v>-16.499000000000002</v>
      </c>
      <c r="G6671">
        <v>17.516999999999999</v>
      </c>
      <c r="H6671">
        <v>0.52</v>
      </c>
      <c r="I6671">
        <v>2.754</v>
      </c>
      <c r="J6671">
        <v>5</v>
      </c>
      <c r="K6671">
        <v>9</v>
      </c>
      <c r="L6671">
        <v>5</v>
      </c>
      <c r="M6671">
        <v>1.0329999999999999</v>
      </c>
    </row>
    <row r="6672" spans="1:13" ht="15" customHeight="1">
      <c r="A6672" t="s">
        <v>70</v>
      </c>
      <c r="B6672">
        <f t="shared" si="414"/>
        <v>33.696694000000001</v>
      </c>
      <c r="C6672">
        <f t="shared" si="415"/>
        <v>-117.857658</v>
      </c>
      <c r="D6672">
        <f t="shared" si="416"/>
        <v>38</v>
      </c>
      <c r="E6672">
        <v>55.499000000000002</v>
      </c>
      <c r="F6672">
        <f t="shared" si="417"/>
        <v>-17.499000000000002</v>
      </c>
      <c r="G6672">
        <v>19.45</v>
      </c>
      <c r="H6672">
        <v>0.61199999999999999</v>
      </c>
      <c r="I6672">
        <v>2.9380000000000002</v>
      </c>
      <c r="J6672">
        <v>5</v>
      </c>
      <c r="K6672">
        <v>10</v>
      </c>
      <c r="L6672">
        <v>5</v>
      </c>
      <c r="M6672">
        <v>1.1579999999999999</v>
      </c>
    </row>
    <row r="6673" spans="1:13" ht="15" customHeight="1">
      <c r="A6673" t="s">
        <v>70</v>
      </c>
      <c r="B6673">
        <f t="shared" si="414"/>
        <v>33.696694000000001</v>
      </c>
      <c r="C6673">
        <f t="shared" si="415"/>
        <v>-117.857658</v>
      </c>
      <c r="D6673">
        <f t="shared" si="416"/>
        <v>38</v>
      </c>
      <c r="E6673">
        <v>56.499000000000002</v>
      </c>
      <c r="F6673">
        <f t="shared" si="417"/>
        <v>-18.499000000000002</v>
      </c>
      <c r="G6673">
        <v>26.683</v>
      </c>
      <c r="H6673">
        <v>0.92500000000000004</v>
      </c>
      <c r="I6673">
        <v>3.2959999999999998</v>
      </c>
      <c r="J6673">
        <v>5</v>
      </c>
      <c r="K6673">
        <v>13</v>
      </c>
      <c r="L6673">
        <v>7</v>
      </c>
      <c r="M6673">
        <v>1.6379999999999999</v>
      </c>
    </row>
    <row r="6674" spans="1:13" ht="15" customHeight="1">
      <c r="A6674" t="s">
        <v>70</v>
      </c>
      <c r="B6674">
        <f t="shared" si="414"/>
        <v>33.696694000000001</v>
      </c>
      <c r="C6674">
        <f t="shared" si="415"/>
        <v>-117.857658</v>
      </c>
      <c r="D6674">
        <f t="shared" si="416"/>
        <v>38</v>
      </c>
      <c r="E6674">
        <v>57.499000000000002</v>
      </c>
      <c r="F6674">
        <f t="shared" si="417"/>
        <v>-19.499000000000002</v>
      </c>
      <c r="G6674">
        <v>42.466999999999999</v>
      </c>
      <c r="H6674">
        <v>2.1469999999999998</v>
      </c>
      <c r="I6674">
        <v>4.9459999999999997</v>
      </c>
      <c r="J6674">
        <v>3</v>
      </c>
      <c r="K6674">
        <v>42</v>
      </c>
      <c r="L6674">
        <v>21</v>
      </c>
      <c r="M6674">
        <v>2.6560000000000001</v>
      </c>
    </row>
    <row r="6675" spans="1:13" ht="15" customHeight="1">
      <c r="A6675" t="s">
        <v>70</v>
      </c>
      <c r="B6675">
        <f t="shared" si="414"/>
        <v>33.696694000000001</v>
      </c>
      <c r="C6675">
        <f t="shared" si="415"/>
        <v>-117.857658</v>
      </c>
      <c r="D6675">
        <f t="shared" si="416"/>
        <v>38</v>
      </c>
      <c r="E6675">
        <v>58.499000000000002</v>
      </c>
      <c r="F6675">
        <f t="shared" si="417"/>
        <v>-20.499000000000002</v>
      </c>
      <c r="G6675">
        <v>160</v>
      </c>
      <c r="H6675">
        <v>3.12</v>
      </c>
      <c r="I6675">
        <v>1.9510000000000001</v>
      </c>
      <c r="J6675">
        <v>7</v>
      </c>
      <c r="K6675">
        <v>51</v>
      </c>
      <c r="L6675">
        <v>26</v>
      </c>
      <c r="M6675" s="1">
        <v>9000000000</v>
      </c>
    </row>
    <row r="6676" spans="1:13" ht="15" customHeight="1">
      <c r="A6676" t="s">
        <v>70</v>
      </c>
      <c r="B6676">
        <f t="shared" si="414"/>
        <v>33.696694000000001</v>
      </c>
      <c r="C6676">
        <f t="shared" si="415"/>
        <v>-117.857658</v>
      </c>
      <c r="D6676">
        <f t="shared" si="416"/>
        <v>38</v>
      </c>
      <c r="E6676">
        <v>59.499000000000002</v>
      </c>
      <c r="F6676">
        <f t="shared" si="417"/>
        <v>-21.499000000000002</v>
      </c>
      <c r="G6676">
        <v>167.46700000000001</v>
      </c>
      <c r="H6676">
        <v>3.2869999999999999</v>
      </c>
      <c r="I6676">
        <v>1.964</v>
      </c>
      <c r="J6676">
        <v>7</v>
      </c>
      <c r="K6676">
        <v>53</v>
      </c>
      <c r="L6676">
        <v>27</v>
      </c>
      <c r="M6676" s="1">
        <v>9000000000</v>
      </c>
    </row>
    <row r="6677" spans="1:13" ht="15" customHeight="1">
      <c r="A6677" t="s">
        <v>70</v>
      </c>
      <c r="B6677">
        <f t="shared" si="414"/>
        <v>33.696694000000001</v>
      </c>
      <c r="C6677">
        <f t="shared" si="415"/>
        <v>-117.857658</v>
      </c>
      <c r="D6677">
        <f t="shared" si="416"/>
        <v>38</v>
      </c>
      <c r="E6677">
        <v>60.499000000000002</v>
      </c>
      <c r="F6677">
        <f t="shared" si="417"/>
        <v>-22.499000000000002</v>
      </c>
      <c r="G6677">
        <v>55.6</v>
      </c>
      <c r="H6677">
        <v>1.488</v>
      </c>
      <c r="I6677">
        <v>2.6709999999999998</v>
      </c>
      <c r="J6677">
        <v>6</v>
      </c>
      <c r="K6677">
        <v>21</v>
      </c>
      <c r="L6677">
        <v>11</v>
      </c>
      <c r="M6677">
        <v>3.4649999999999999</v>
      </c>
    </row>
    <row r="6678" spans="1:13" ht="15" customHeight="1">
      <c r="A6678" t="s">
        <v>70</v>
      </c>
      <c r="B6678">
        <f t="shared" si="414"/>
        <v>33.696694000000001</v>
      </c>
      <c r="C6678">
        <f t="shared" si="415"/>
        <v>-117.857658</v>
      </c>
      <c r="D6678">
        <f t="shared" si="416"/>
        <v>38</v>
      </c>
      <c r="E6678">
        <v>61.499000000000002</v>
      </c>
      <c r="F6678">
        <f t="shared" si="417"/>
        <v>-23.499000000000002</v>
      </c>
      <c r="G6678">
        <v>22.216999999999999</v>
      </c>
      <c r="H6678">
        <v>0.628</v>
      </c>
      <c r="I6678">
        <v>2.722</v>
      </c>
      <c r="J6678">
        <v>5</v>
      </c>
      <c r="K6678">
        <v>11</v>
      </c>
      <c r="L6678">
        <v>6</v>
      </c>
      <c r="M6678">
        <v>1.2849999999999999</v>
      </c>
    </row>
    <row r="6679" spans="1:13" ht="15" customHeight="1">
      <c r="A6679" t="s">
        <v>70</v>
      </c>
      <c r="B6679">
        <f t="shared" si="414"/>
        <v>33.696694000000001</v>
      </c>
      <c r="C6679">
        <f t="shared" si="415"/>
        <v>-117.857658</v>
      </c>
      <c r="D6679">
        <f t="shared" si="416"/>
        <v>38</v>
      </c>
      <c r="E6679">
        <v>62.499000000000002</v>
      </c>
      <c r="F6679">
        <f t="shared" si="417"/>
        <v>-24.499000000000002</v>
      </c>
      <c r="G6679">
        <v>23.013999999999999</v>
      </c>
      <c r="H6679">
        <v>0.55700000000000005</v>
      </c>
      <c r="I6679">
        <v>2.2250000000000001</v>
      </c>
      <c r="J6679">
        <v>6</v>
      </c>
      <c r="K6679">
        <v>10</v>
      </c>
      <c r="L6679">
        <v>5</v>
      </c>
      <c r="M6679">
        <v>1.411</v>
      </c>
    </row>
    <row r="6680" spans="1:13" ht="15" customHeight="1">
      <c r="A6680" t="s">
        <v>70</v>
      </c>
      <c r="B6680">
        <f t="shared" si="414"/>
        <v>33.696694000000001</v>
      </c>
      <c r="C6680">
        <f t="shared" si="415"/>
        <v>-117.857658</v>
      </c>
      <c r="D6680">
        <f t="shared" si="416"/>
        <v>38</v>
      </c>
      <c r="E6680">
        <v>63.499000000000002</v>
      </c>
      <c r="F6680">
        <f t="shared" si="417"/>
        <v>-25.499000000000002</v>
      </c>
      <c r="G6680">
        <v>23.95</v>
      </c>
      <c r="H6680">
        <v>0.69799999999999995</v>
      </c>
      <c r="I6680">
        <v>2.7080000000000002</v>
      </c>
      <c r="J6680">
        <v>5</v>
      </c>
      <c r="K6680">
        <v>12</v>
      </c>
      <c r="L6680">
        <v>6</v>
      </c>
      <c r="M6680">
        <v>1.4570000000000001</v>
      </c>
    </row>
    <row r="6681" spans="1:13" ht="15" customHeight="1">
      <c r="A6681" t="s">
        <v>70</v>
      </c>
      <c r="B6681">
        <f t="shared" si="414"/>
        <v>33.696694000000001</v>
      </c>
      <c r="C6681">
        <f t="shared" si="415"/>
        <v>-117.857658</v>
      </c>
      <c r="D6681">
        <f t="shared" si="416"/>
        <v>38</v>
      </c>
      <c r="E6681">
        <v>64.498999999999995</v>
      </c>
      <c r="F6681">
        <f t="shared" si="417"/>
        <v>-26.498999999999995</v>
      </c>
      <c r="G6681">
        <v>23.466999999999999</v>
      </c>
      <c r="H6681">
        <v>0.81799999999999995</v>
      </c>
      <c r="I6681">
        <v>3.2949999999999999</v>
      </c>
      <c r="J6681">
        <v>5</v>
      </c>
      <c r="K6681">
        <v>12</v>
      </c>
      <c r="L6681">
        <v>6</v>
      </c>
      <c r="M6681">
        <v>1.389</v>
      </c>
    </row>
    <row r="6682" spans="1:13" ht="15" customHeight="1">
      <c r="A6682" t="s">
        <v>70</v>
      </c>
      <c r="B6682">
        <f t="shared" si="414"/>
        <v>33.696694000000001</v>
      </c>
      <c r="C6682">
        <f t="shared" si="415"/>
        <v>-117.857658</v>
      </c>
      <c r="D6682">
        <f t="shared" si="416"/>
        <v>38</v>
      </c>
      <c r="E6682">
        <v>65.498999999999995</v>
      </c>
      <c r="F6682">
        <f t="shared" si="417"/>
        <v>-27.498999999999995</v>
      </c>
      <c r="G6682">
        <v>25.033000000000001</v>
      </c>
      <c r="H6682">
        <v>0.98499999999999999</v>
      </c>
      <c r="I6682">
        <v>3.7839999999999998</v>
      </c>
      <c r="J6682">
        <v>4</v>
      </c>
      <c r="K6682">
        <v>17</v>
      </c>
      <c r="L6682">
        <v>9</v>
      </c>
      <c r="M6682">
        <v>1.4650000000000001</v>
      </c>
    </row>
    <row r="6683" spans="1:13" ht="15" customHeight="1">
      <c r="A6683" t="s">
        <v>70</v>
      </c>
      <c r="B6683">
        <f t="shared" si="414"/>
        <v>33.696694000000001</v>
      </c>
      <c r="C6683">
        <f t="shared" si="415"/>
        <v>-117.857658</v>
      </c>
      <c r="D6683">
        <f t="shared" si="416"/>
        <v>38</v>
      </c>
      <c r="E6683">
        <v>66.498999999999995</v>
      </c>
      <c r="F6683">
        <f t="shared" si="417"/>
        <v>-28.498999999999995</v>
      </c>
      <c r="G6683">
        <v>22.5</v>
      </c>
      <c r="H6683">
        <v>0.61699999999999999</v>
      </c>
      <c r="I6683">
        <v>2.569</v>
      </c>
      <c r="J6683">
        <v>5</v>
      </c>
      <c r="K6683">
        <v>11</v>
      </c>
      <c r="L6683">
        <v>6</v>
      </c>
      <c r="M6683">
        <v>1.325</v>
      </c>
    </row>
    <row r="6684" spans="1:13" ht="15" customHeight="1">
      <c r="A6684" t="s">
        <v>70</v>
      </c>
      <c r="B6684">
        <f t="shared" si="414"/>
        <v>33.696694000000001</v>
      </c>
      <c r="C6684">
        <f t="shared" si="415"/>
        <v>-117.857658</v>
      </c>
      <c r="D6684">
        <f t="shared" si="416"/>
        <v>38</v>
      </c>
      <c r="E6684">
        <v>67.498999999999995</v>
      </c>
      <c r="F6684">
        <f t="shared" si="417"/>
        <v>-29.498999999999995</v>
      </c>
      <c r="G6684">
        <v>34.133000000000003</v>
      </c>
      <c r="H6684">
        <v>1.1619999999999999</v>
      </c>
      <c r="I6684">
        <v>3.2989999999999999</v>
      </c>
      <c r="J6684">
        <v>5</v>
      </c>
      <c r="K6684">
        <v>17</v>
      </c>
      <c r="L6684">
        <v>9</v>
      </c>
      <c r="M6684">
        <v>2.069</v>
      </c>
    </row>
    <row r="6685" spans="1:13" ht="15" customHeight="1">
      <c r="A6685" t="s">
        <v>70</v>
      </c>
      <c r="B6685">
        <f t="shared" si="414"/>
        <v>33.696694000000001</v>
      </c>
      <c r="C6685">
        <f t="shared" si="415"/>
        <v>-117.857658</v>
      </c>
      <c r="D6685">
        <f t="shared" si="416"/>
        <v>38</v>
      </c>
      <c r="E6685">
        <v>68.498999999999995</v>
      </c>
      <c r="F6685">
        <f t="shared" si="417"/>
        <v>-30.498999999999995</v>
      </c>
      <c r="G6685">
        <v>27.933</v>
      </c>
      <c r="H6685">
        <v>0.95</v>
      </c>
      <c r="I6685">
        <v>3.2480000000000002</v>
      </c>
      <c r="J6685">
        <v>5</v>
      </c>
      <c r="K6685">
        <v>14</v>
      </c>
      <c r="L6685">
        <v>7</v>
      </c>
      <c r="M6685">
        <v>1.667</v>
      </c>
    </row>
    <row r="6686" spans="1:13" ht="15" customHeight="1">
      <c r="A6686" t="s">
        <v>70</v>
      </c>
      <c r="B6686">
        <f t="shared" si="414"/>
        <v>33.696694000000001</v>
      </c>
      <c r="C6686">
        <f t="shared" si="415"/>
        <v>-117.857658</v>
      </c>
      <c r="D6686">
        <f t="shared" si="416"/>
        <v>38</v>
      </c>
      <c r="E6686">
        <v>69.498999999999995</v>
      </c>
      <c r="F6686">
        <f t="shared" si="417"/>
        <v>-31.498999999999995</v>
      </c>
      <c r="G6686">
        <v>31.983000000000001</v>
      </c>
      <c r="H6686">
        <v>0.878</v>
      </c>
      <c r="I6686">
        <v>2.6019999999999999</v>
      </c>
      <c r="J6686">
        <v>6</v>
      </c>
      <c r="K6686">
        <v>13</v>
      </c>
      <c r="L6686">
        <v>7</v>
      </c>
      <c r="M6686">
        <v>1.9630000000000001</v>
      </c>
    </row>
    <row r="6687" spans="1:13" ht="15" customHeight="1">
      <c r="A6687" t="s">
        <v>70</v>
      </c>
      <c r="B6687">
        <f t="shared" si="414"/>
        <v>33.696694000000001</v>
      </c>
      <c r="C6687">
        <f t="shared" si="415"/>
        <v>-117.857658</v>
      </c>
      <c r="D6687">
        <f t="shared" si="416"/>
        <v>38</v>
      </c>
      <c r="E6687">
        <v>70.498999999999995</v>
      </c>
      <c r="F6687">
        <f t="shared" si="417"/>
        <v>-32.498999999999995</v>
      </c>
      <c r="G6687">
        <v>33.25</v>
      </c>
      <c r="H6687">
        <v>1.19</v>
      </c>
      <c r="I6687">
        <v>3.3969999999999998</v>
      </c>
      <c r="J6687">
        <v>5</v>
      </c>
      <c r="K6687">
        <v>17</v>
      </c>
      <c r="L6687">
        <v>9</v>
      </c>
      <c r="M6687">
        <v>2.044</v>
      </c>
    </row>
    <row r="6688" spans="1:13" ht="15" customHeight="1">
      <c r="A6688" t="s">
        <v>70</v>
      </c>
      <c r="B6688">
        <f t="shared" si="414"/>
        <v>33.696694000000001</v>
      </c>
      <c r="C6688">
        <f t="shared" si="415"/>
        <v>-117.857658</v>
      </c>
      <c r="D6688">
        <f t="shared" si="416"/>
        <v>38</v>
      </c>
      <c r="E6688">
        <v>71.498999999999995</v>
      </c>
      <c r="F6688">
        <f t="shared" si="417"/>
        <v>-33.498999999999995</v>
      </c>
      <c r="G6688">
        <v>30.516999999999999</v>
      </c>
      <c r="H6688">
        <v>1.1419999999999999</v>
      </c>
      <c r="I6688">
        <v>3.5680000000000001</v>
      </c>
      <c r="J6688">
        <v>5</v>
      </c>
      <c r="K6688">
        <v>15</v>
      </c>
      <c r="L6688">
        <v>8</v>
      </c>
      <c r="M6688">
        <v>1.8380000000000001</v>
      </c>
    </row>
    <row r="6689" spans="1:13" ht="15" customHeight="1">
      <c r="A6689" t="s">
        <v>70</v>
      </c>
      <c r="B6689">
        <f t="shared" si="414"/>
        <v>33.696694000000001</v>
      </c>
      <c r="C6689">
        <f t="shared" si="415"/>
        <v>-117.857658</v>
      </c>
      <c r="D6689">
        <f t="shared" si="416"/>
        <v>38</v>
      </c>
      <c r="E6689">
        <v>72.498999999999995</v>
      </c>
      <c r="F6689">
        <f t="shared" si="417"/>
        <v>-34.498999999999995</v>
      </c>
      <c r="G6689">
        <v>124.129</v>
      </c>
      <c r="H6689">
        <v>2.08</v>
      </c>
      <c r="I6689">
        <v>1.6619999999999999</v>
      </c>
      <c r="J6689">
        <v>8</v>
      </c>
      <c r="K6689">
        <v>30</v>
      </c>
      <c r="L6689">
        <v>15</v>
      </c>
      <c r="M6689" s="1">
        <v>9000000000</v>
      </c>
    </row>
    <row r="6690" spans="1:13" ht="15" customHeight="1">
      <c r="A6690" t="s">
        <v>70</v>
      </c>
      <c r="B6690">
        <f t="shared" si="414"/>
        <v>33.696694000000001</v>
      </c>
      <c r="C6690">
        <f t="shared" si="415"/>
        <v>-117.857658</v>
      </c>
      <c r="D6690">
        <f t="shared" si="416"/>
        <v>38</v>
      </c>
      <c r="E6690">
        <v>73.498999999999995</v>
      </c>
      <c r="F6690">
        <f t="shared" si="417"/>
        <v>-35.498999999999995</v>
      </c>
      <c r="G6690">
        <v>411.91699999999997</v>
      </c>
      <c r="H6690">
        <v>1.6020000000000001</v>
      </c>
      <c r="I6690">
        <v>0.38900000000000001</v>
      </c>
      <c r="J6690">
        <v>10</v>
      </c>
      <c r="K6690">
        <v>66</v>
      </c>
      <c r="L6690">
        <v>33</v>
      </c>
      <c r="M6690" s="1">
        <v>9000000000</v>
      </c>
    </row>
    <row r="6691" spans="1:13" ht="15" customHeight="1">
      <c r="A6691" t="s">
        <v>70</v>
      </c>
      <c r="B6691">
        <f t="shared" si="414"/>
        <v>33.696694000000001</v>
      </c>
      <c r="C6691">
        <f t="shared" si="415"/>
        <v>-117.857658</v>
      </c>
      <c r="D6691">
        <f t="shared" si="416"/>
        <v>38</v>
      </c>
      <c r="E6691">
        <v>74.498999999999995</v>
      </c>
      <c r="F6691">
        <f t="shared" si="417"/>
        <v>-36.498999999999995</v>
      </c>
      <c r="G6691">
        <v>340.86700000000002</v>
      </c>
      <c r="H6691">
        <v>2.16</v>
      </c>
      <c r="I6691">
        <v>0.63300000000000001</v>
      </c>
      <c r="J6691">
        <v>10</v>
      </c>
      <c r="K6691">
        <v>54</v>
      </c>
      <c r="L6691">
        <v>27</v>
      </c>
      <c r="M6691" s="1">
        <v>9000000000</v>
      </c>
    </row>
    <row r="6692" spans="1:13" ht="15" customHeight="1">
      <c r="A6692" t="s">
        <v>70</v>
      </c>
      <c r="B6692">
        <f t="shared" si="414"/>
        <v>33.696694000000001</v>
      </c>
      <c r="C6692">
        <f t="shared" si="415"/>
        <v>-117.857658</v>
      </c>
      <c r="D6692">
        <f t="shared" si="416"/>
        <v>38</v>
      </c>
      <c r="E6692">
        <v>75.498999999999995</v>
      </c>
      <c r="F6692">
        <f t="shared" si="417"/>
        <v>-37.498999999999995</v>
      </c>
      <c r="G6692">
        <v>195.68299999999999</v>
      </c>
      <c r="H6692">
        <v>3.2970000000000002</v>
      </c>
      <c r="I6692">
        <v>1.6850000000000001</v>
      </c>
      <c r="J6692">
        <v>8</v>
      </c>
      <c r="K6692">
        <v>47</v>
      </c>
      <c r="L6692">
        <v>24</v>
      </c>
      <c r="M6692" s="1">
        <v>9000000000</v>
      </c>
    </row>
    <row r="6693" spans="1:13" ht="15" customHeight="1">
      <c r="A6693" t="s">
        <v>70</v>
      </c>
      <c r="B6693">
        <f t="shared" si="414"/>
        <v>33.696694000000001</v>
      </c>
      <c r="C6693">
        <f t="shared" si="415"/>
        <v>-117.857658</v>
      </c>
      <c r="D6693">
        <f t="shared" si="416"/>
        <v>38</v>
      </c>
      <c r="E6693">
        <v>76.498999999999995</v>
      </c>
      <c r="F6693">
        <f t="shared" si="417"/>
        <v>-38.498999999999995</v>
      </c>
      <c r="G6693">
        <v>243.81700000000001</v>
      </c>
      <c r="H6693">
        <v>2.9729999999999999</v>
      </c>
      <c r="I6693">
        <v>1.22</v>
      </c>
      <c r="J6693">
        <v>9</v>
      </c>
      <c r="K6693">
        <v>47</v>
      </c>
      <c r="L6693">
        <v>24</v>
      </c>
      <c r="M6693" s="1">
        <v>9000000000</v>
      </c>
    </row>
    <row r="6694" spans="1:13" ht="15" customHeight="1">
      <c r="A6694" t="s">
        <v>70</v>
      </c>
      <c r="B6694">
        <f t="shared" si="414"/>
        <v>33.696694000000001</v>
      </c>
      <c r="C6694">
        <f t="shared" si="415"/>
        <v>-117.857658</v>
      </c>
      <c r="D6694">
        <f t="shared" si="416"/>
        <v>38</v>
      </c>
      <c r="E6694">
        <v>77.498999999999995</v>
      </c>
      <c r="F6694">
        <f t="shared" si="417"/>
        <v>-39.498999999999995</v>
      </c>
      <c r="G6694">
        <v>376.43299999999999</v>
      </c>
      <c r="H6694">
        <v>2.0529999999999999</v>
      </c>
      <c r="I6694">
        <v>0.54600000000000004</v>
      </c>
      <c r="J6694">
        <v>10</v>
      </c>
      <c r="K6694">
        <v>60</v>
      </c>
      <c r="L6694">
        <v>30</v>
      </c>
      <c r="M6694" s="1">
        <v>9000000000</v>
      </c>
    </row>
    <row r="6695" spans="1:13" ht="15" customHeight="1">
      <c r="A6695" t="s">
        <v>70</v>
      </c>
      <c r="B6695">
        <f t="shared" si="414"/>
        <v>33.696694000000001</v>
      </c>
      <c r="C6695">
        <f t="shared" si="415"/>
        <v>-117.857658</v>
      </c>
      <c r="D6695">
        <f t="shared" si="416"/>
        <v>38</v>
      </c>
      <c r="E6695">
        <v>78.498999999999995</v>
      </c>
      <c r="F6695">
        <f t="shared" si="417"/>
        <v>-40.498999999999995</v>
      </c>
      <c r="G6695">
        <v>360.58300000000003</v>
      </c>
      <c r="H6695">
        <v>3.01</v>
      </c>
      <c r="I6695">
        <v>0.83499999999999996</v>
      </c>
      <c r="J6695">
        <v>9</v>
      </c>
      <c r="K6695">
        <v>69</v>
      </c>
      <c r="L6695">
        <v>35</v>
      </c>
      <c r="M6695" s="1">
        <v>9000000000</v>
      </c>
    </row>
    <row r="6696" spans="1:13" ht="15" customHeight="1">
      <c r="A6696" t="s">
        <v>70</v>
      </c>
      <c r="B6696">
        <f t="shared" si="414"/>
        <v>33.696694000000001</v>
      </c>
      <c r="C6696">
        <f t="shared" si="415"/>
        <v>-117.857658</v>
      </c>
      <c r="D6696">
        <f t="shared" si="416"/>
        <v>38</v>
      </c>
      <c r="E6696">
        <v>79.498999999999995</v>
      </c>
      <c r="F6696">
        <f t="shared" si="417"/>
        <v>-41.498999999999995</v>
      </c>
      <c r="G6696">
        <v>301.53300000000002</v>
      </c>
      <c r="H6696">
        <v>2.3050000000000002</v>
      </c>
      <c r="I6696">
        <v>0.76400000000000001</v>
      </c>
      <c r="J6696">
        <v>9</v>
      </c>
      <c r="K6696">
        <v>58</v>
      </c>
      <c r="L6696">
        <v>29</v>
      </c>
      <c r="M6696" s="1">
        <v>9000000000</v>
      </c>
    </row>
    <row r="6697" spans="1:13" ht="15" customHeight="1">
      <c r="A6697" t="s">
        <v>70</v>
      </c>
      <c r="B6697">
        <f t="shared" si="414"/>
        <v>33.696694000000001</v>
      </c>
      <c r="C6697">
        <f t="shared" si="415"/>
        <v>-117.857658</v>
      </c>
      <c r="D6697">
        <f t="shared" si="416"/>
        <v>38</v>
      </c>
      <c r="E6697">
        <v>80.498999999999995</v>
      </c>
      <c r="F6697">
        <f t="shared" si="417"/>
        <v>-42.498999999999995</v>
      </c>
      <c r="G6697">
        <v>347.63299999999998</v>
      </c>
      <c r="H6697">
        <v>2.0499999999999998</v>
      </c>
      <c r="I6697">
        <v>0.58899999999999997</v>
      </c>
      <c r="J6697">
        <v>10</v>
      </c>
      <c r="K6697">
        <v>56</v>
      </c>
      <c r="L6697">
        <v>28</v>
      </c>
      <c r="M6697" s="1">
        <v>9000000000</v>
      </c>
    </row>
    <row r="6698" spans="1:13" ht="15" customHeight="1">
      <c r="A6698" t="s">
        <v>70</v>
      </c>
      <c r="B6698">
        <f t="shared" si="414"/>
        <v>33.696694000000001</v>
      </c>
      <c r="C6698">
        <f t="shared" si="415"/>
        <v>-117.857658</v>
      </c>
      <c r="D6698">
        <f t="shared" si="416"/>
        <v>38</v>
      </c>
      <c r="E6698">
        <v>81.498999999999995</v>
      </c>
      <c r="F6698">
        <f t="shared" si="417"/>
        <v>-43.498999999999995</v>
      </c>
      <c r="G6698">
        <v>458</v>
      </c>
      <c r="H6698">
        <v>3.62</v>
      </c>
      <c r="I6698">
        <v>0.79</v>
      </c>
      <c r="J6698">
        <v>10</v>
      </c>
      <c r="K6698">
        <v>73</v>
      </c>
      <c r="L6698">
        <v>37</v>
      </c>
      <c r="M6698" s="1">
        <v>9000000000</v>
      </c>
    </row>
    <row r="6699" spans="1:13" ht="15" customHeight="1">
      <c r="A6699" t="s">
        <v>70</v>
      </c>
      <c r="B6699">
        <f t="shared" si="414"/>
        <v>33.696694000000001</v>
      </c>
      <c r="C6699">
        <f t="shared" si="415"/>
        <v>-117.857658</v>
      </c>
      <c r="D6699">
        <f t="shared" si="416"/>
        <v>38</v>
      </c>
      <c r="E6699">
        <v>82.498999999999995</v>
      </c>
      <c r="F6699">
        <f t="shared" si="417"/>
        <v>-44.498999999999995</v>
      </c>
      <c r="G6699">
        <v>422.2</v>
      </c>
      <c r="H6699">
        <v>2.78</v>
      </c>
      <c r="I6699">
        <v>0.65800000000000003</v>
      </c>
      <c r="J6699">
        <v>10</v>
      </c>
      <c r="K6699">
        <v>67</v>
      </c>
      <c r="L6699">
        <v>34</v>
      </c>
      <c r="M6699" s="1">
        <v>9000000000</v>
      </c>
    </row>
    <row r="6700" spans="1:13" ht="15" customHeight="1">
      <c r="A6700" t="s">
        <v>71</v>
      </c>
      <c r="B6700">
        <f t="shared" si="414"/>
        <v>33.696989000000002</v>
      </c>
      <c r="C6700">
        <f t="shared" si="415"/>
        <v>-117.85549399999999</v>
      </c>
      <c r="D6700">
        <f t="shared" si="416"/>
        <v>39</v>
      </c>
      <c r="E6700">
        <v>0.5</v>
      </c>
      <c r="F6700">
        <f t="shared" si="417"/>
        <v>38.5</v>
      </c>
      <c r="G6700">
        <v>11.266999999999999</v>
      </c>
      <c r="H6700">
        <v>0.25800000000000001</v>
      </c>
      <c r="I6700">
        <v>2.29</v>
      </c>
      <c r="J6700">
        <v>5</v>
      </c>
      <c r="K6700">
        <v>5</v>
      </c>
      <c r="L6700">
        <v>8</v>
      </c>
      <c r="M6700">
        <v>0.75</v>
      </c>
    </row>
    <row r="6701" spans="1:13" ht="15" customHeight="1">
      <c r="A6701" t="s">
        <v>71</v>
      </c>
      <c r="B6701">
        <f t="shared" si="414"/>
        <v>33.696989000000002</v>
      </c>
      <c r="C6701">
        <f t="shared" si="415"/>
        <v>-117.85549399999999</v>
      </c>
      <c r="D6701">
        <f t="shared" si="416"/>
        <v>39</v>
      </c>
      <c r="E6701">
        <v>1.5</v>
      </c>
      <c r="F6701">
        <f t="shared" si="417"/>
        <v>37.5</v>
      </c>
      <c r="G6701">
        <v>27.382999999999999</v>
      </c>
      <c r="H6701">
        <v>0.80200000000000005</v>
      </c>
      <c r="I6701">
        <v>2.8919999999999999</v>
      </c>
      <c r="J6701">
        <v>5</v>
      </c>
      <c r="K6701">
        <v>13</v>
      </c>
      <c r="L6701">
        <v>20</v>
      </c>
      <c r="M6701">
        <v>1.8420000000000001</v>
      </c>
    </row>
    <row r="6702" spans="1:13" ht="15" customHeight="1">
      <c r="A6702" t="s">
        <v>71</v>
      </c>
      <c r="B6702">
        <f t="shared" si="414"/>
        <v>33.696989000000002</v>
      </c>
      <c r="C6702">
        <f t="shared" si="415"/>
        <v>-117.85549399999999</v>
      </c>
      <c r="D6702">
        <f t="shared" si="416"/>
        <v>39</v>
      </c>
      <c r="E6702">
        <v>2.5</v>
      </c>
      <c r="F6702">
        <f t="shared" si="417"/>
        <v>36.5</v>
      </c>
      <c r="G6702">
        <v>9.4670000000000005</v>
      </c>
      <c r="H6702">
        <v>0.192</v>
      </c>
      <c r="I6702">
        <v>2.0249999999999999</v>
      </c>
      <c r="J6702">
        <v>5</v>
      </c>
      <c r="K6702">
        <v>5</v>
      </c>
      <c r="L6702">
        <v>8</v>
      </c>
      <c r="M6702">
        <v>0.621</v>
      </c>
    </row>
    <row r="6703" spans="1:13" ht="15" customHeight="1">
      <c r="A6703" t="s">
        <v>71</v>
      </c>
      <c r="B6703">
        <f t="shared" si="414"/>
        <v>33.696989000000002</v>
      </c>
      <c r="C6703">
        <f t="shared" si="415"/>
        <v>-117.85549399999999</v>
      </c>
      <c r="D6703">
        <f t="shared" si="416"/>
        <v>39</v>
      </c>
      <c r="E6703">
        <v>3.5</v>
      </c>
      <c r="F6703">
        <f t="shared" si="417"/>
        <v>35.5</v>
      </c>
      <c r="G6703">
        <v>23.332999999999998</v>
      </c>
      <c r="H6703">
        <v>0.38700000000000001</v>
      </c>
      <c r="I6703">
        <v>1.6579999999999999</v>
      </c>
      <c r="J6703">
        <v>6</v>
      </c>
      <c r="K6703">
        <v>9</v>
      </c>
      <c r="L6703">
        <v>14</v>
      </c>
      <c r="M6703">
        <v>1.54</v>
      </c>
    </row>
    <row r="6704" spans="1:13" ht="15" customHeight="1">
      <c r="A6704" t="s">
        <v>71</v>
      </c>
      <c r="B6704">
        <f t="shared" si="414"/>
        <v>33.696989000000002</v>
      </c>
      <c r="C6704">
        <f t="shared" si="415"/>
        <v>-117.85549399999999</v>
      </c>
      <c r="D6704">
        <f t="shared" si="416"/>
        <v>39</v>
      </c>
      <c r="E6704">
        <v>4.5</v>
      </c>
      <c r="F6704">
        <f t="shared" si="417"/>
        <v>34.5</v>
      </c>
      <c r="G6704">
        <v>6.6669999999999998</v>
      </c>
      <c r="H6704">
        <v>0.108</v>
      </c>
      <c r="I6704">
        <v>1.629</v>
      </c>
      <c r="J6704">
        <v>4</v>
      </c>
      <c r="K6704">
        <v>4</v>
      </c>
      <c r="L6704">
        <v>6</v>
      </c>
      <c r="M6704">
        <v>0.42499999999999999</v>
      </c>
    </row>
    <row r="6705" spans="1:13" ht="15" customHeight="1">
      <c r="A6705" t="s">
        <v>71</v>
      </c>
      <c r="B6705">
        <f t="shared" si="414"/>
        <v>33.696989000000002</v>
      </c>
      <c r="C6705">
        <f t="shared" si="415"/>
        <v>-117.85549399999999</v>
      </c>
      <c r="D6705">
        <f t="shared" si="416"/>
        <v>39</v>
      </c>
      <c r="E6705">
        <v>5.5</v>
      </c>
      <c r="F6705">
        <f t="shared" si="417"/>
        <v>33.5</v>
      </c>
      <c r="G6705">
        <v>14.5</v>
      </c>
      <c r="H6705">
        <v>0.45</v>
      </c>
      <c r="I6705">
        <v>3.1030000000000002</v>
      </c>
      <c r="J6705">
        <v>4</v>
      </c>
      <c r="K6705">
        <v>9</v>
      </c>
      <c r="L6705">
        <v>14</v>
      </c>
      <c r="M6705">
        <v>0.94399999999999995</v>
      </c>
    </row>
    <row r="6706" spans="1:13" ht="15" customHeight="1">
      <c r="A6706" t="s">
        <v>71</v>
      </c>
      <c r="B6706">
        <f t="shared" si="414"/>
        <v>33.696989000000002</v>
      </c>
      <c r="C6706">
        <f t="shared" si="415"/>
        <v>-117.85549399999999</v>
      </c>
      <c r="D6706">
        <f t="shared" si="416"/>
        <v>39</v>
      </c>
      <c r="E6706">
        <v>6.5</v>
      </c>
      <c r="F6706">
        <f t="shared" si="417"/>
        <v>32.5</v>
      </c>
      <c r="G6706">
        <v>8.2330000000000005</v>
      </c>
      <c r="H6706">
        <v>0.153</v>
      </c>
      <c r="I6706">
        <v>1.8620000000000001</v>
      </c>
      <c r="J6706">
        <v>5</v>
      </c>
      <c r="K6706">
        <v>4</v>
      </c>
      <c r="L6706">
        <v>6</v>
      </c>
      <c r="M6706">
        <v>0.52300000000000002</v>
      </c>
    </row>
    <row r="6707" spans="1:13" ht="15" customHeight="1">
      <c r="A6707" t="s">
        <v>71</v>
      </c>
      <c r="B6707">
        <f t="shared" si="414"/>
        <v>33.696989000000002</v>
      </c>
      <c r="C6707">
        <f t="shared" si="415"/>
        <v>-117.85549399999999</v>
      </c>
      <c r="D6707">
        <f t="shared" si="416"/>
        <v>39</v>
      </c>
      <c r="E6707">
        <v>7.5</v>
      </c>
      <c r="F6707">
        <f t="shared" si="417"/>
        <v>31.5</v>
      </c>
      <c r="G6707">
        <v>12.083</v>
      </c>
      <c r="H6707">
        <v>0.153</v>
      </c>
      <c r="I6707">
        <v>1.2689999999999999</v>
      </c>
      <c r="J6707">
        <v>5</v>
      </c>
      <c r="K6707">
        <v>6</v>
      </c>
      <c r="L6707">
        <v>9</v>
      </c>
      <c r="M6707">
        <v>0.77500000000000002</v>
      </c>
    </row>
    <row r="6708" spans="1:13" ht="15" customHeight="1">
      <c r="A6708" t="s">
        <v>71</v>
      </c>
      <c r="B6708">
        <f t="shared" si="414"/>
        <v>33.696989000000002</v>
      </c>
      <c r="C6708">
        <f t="shared" si="415"/>
        <v>-117.85549399999999</v>
      </c>
      <c r="D6708">
        <f t="shared" si="416"/>
        <v>39</v>
      </c>
      <c r="E6708">
        <v>8.5</v>
      </c>
      <c r="F6708">
        <f t="shared" si="417"/>
        <v>30.5</v>
      </c>
      <c r="G6708">
        <v>9.5830000000000002</v>
      </c>
      <c r="H6708">
        <v>0.32500000000000001</v>
      </c>
      <c r="I6708">
        <v>3.38</v>
      </c>
      <c r="J6708">
        <v>3</v>
      </c>
      <c r="K6708">
        <v>9</v>
      </c>
      <c r="L6708">
        <v>14</v>
      </c>
      <c r="M6708">
        <v>0.60699999999999998</v>
      </c>
    </row>
    <row r="6709" spans="1:13" ht="15" customHeight="1">
      <c r="A6709" t="s">
        <v>71</v>
      </c>
      <c r="B6709">
        <f t="shared" si="414"/>
        <v>33.696989000000002</v>
      </c>
      <c r="C6709">
        <f t="shared" si="415"/>
        <v>-117.85549399999999</v>
      </c>
      <c r="D6709">
        <f t="shared" si="416"/>
        <v>39</v>
      </c>
      <c r="E6709">
        <v>9.5</v>
      </c>
      <c r="F6709">
        <f t="shared" si="417"/>
        <v>29.5</v>
      </c>
      <c r="G6709">
        <v>10.9</v>
      </c>
      <c r="H6709">
        <v>0.433</v>
      </c>
      <c r="I6709">
        <v>3.9449999999999998</v>
      </c>
      <c r="J6709">
        <v>3</v>
      </c>
      <c r="K6709">
        <v>11</v>
      </c>
      <c r="L6709">
        <v>17</v>
      </c>
      <c r="M6709">
        <v>0.69399999999999995</v>
      </c>
    </row>
    <row r="6710" spans="1:13" ht="15" customHeight="1">
      <c r="A6710" t="s">
        <v>71</v>
      </c>
      <c r="B6710">
        <f t="shared" si="414"/>
        <v>33.696989000000002</v>
      </c>
      <c r="C6710">
        <f t="shared" si="415"/>
        <v>-117.85549399999999</v>
      </c>
      <c r="D6710">
        <f t="shared" si="416"/>
        <v>39</v>
      </c>
      <c r="E6710">
        <v>10.5</v>
      </c>
      <c r="F6710">
        <f t="shared" si="417"/>
        <v>28.5</v>
      </c>
      <c r="G6710">
        <v>10.143000000000001</v>
      </c>
      <c r="H6710">
        <v>0.43</v>
      </c>
      <c r="I6710">
        <v>4.2389999999999999</v>
      </c>
      <c r="J6710">
        <v>3</v>
      </c>
      <c r="K6710">
        <v>10</v>
      </c>
      <c r="L6710">
        <v>14</v>
      </c>
      <c r="M6710">
        <v>0.63400000000000001</v>
      </c>
    </row>
    <row r="6711" spans="1:13" ht="15" customHeight="1">
      <c r="A6711" t="s">
        <v>71</v>
      </c>
      <c r="B6711">
        <f t="shared" si="414"/>
        <v>33.696989000000002</v>
      </c>
      <c r="C6711">
        <f t="shared" si="415"/>
        <v>-117.85549399999999</v>
      </c>
      <c r="D6711">
        <f t="shared" si="416"/>
        <v>39</v>
      </c>
      <c r="E6711">
        <v>11.5</v>
      </c>
      <c r="F6711">
        <f t="shared" si="417"/>
        <v>27.5</v>
      </c>
      <c r="G6711">
        <v>7.2830000000000004</v>
      </c>
      <c r="H6711">
        <v>0.248</v>
      </c>
      <c r="I6711">
        <v>3.4169999999999998</v>
      </c>
      <c r="J6711">
        <v>3</v>
      </c>
      <c r="K6711">
        <v>7</v>
      </c>
      <c r="L6711">
        <v>9</v>
      </c>
      <c r="M6711">
        <v>0.438</v>
      </c>
    </row>
    <row r="6712" spans="1:13" ht="15" customHeight="1">
      <c r="A6712" t="s">
        <v>71</v>
      </c>
      <c r="B6712">
        <f t="shared" si="414"/>
        <v>33.696989000000002</v>
      </c>
      <c r="C6712">
        <f t="shared" si="415"/>
        <v>-117.85549399999999</v>
      </c>
      <c r="D6712">
        <f t="shared" si="416"/>
        <v>39</v>
      </c>
      <c r="E6712">
        <v>12.5</v>
      </c>
      <c r="F6712">
        <f t="shared" si="417"/>
        <v>26.5</v>
      </c>
      <c r="G6712">
        <v>11.016999999999999</v>
      </c>
      <c r="H6712">
        <v>0.45</v>
      </c>
      <c r="I6712">
        <v>4.0910000000000002</v>
      </c>
      <c r="J6712">
        <v>3</v>
      </c>
      <c r="K6712">
        <v>11</v>
      </c>
      <c r="L6712">
        <v>14</v>
      </c>
      <c r="M6712">
        <v>0.68300000000000005</v>
      </c>
    </row>
    <row r="6713" spans="1:13" ht="15" customHeight="1">
      <c r="A6713" t="s">
        <v>71</v>
      </c>
      <c r="B6713">
        <f t="shared" si="414"/>
        <v>33.696989000000002</v>
      </c>
      <c r="C6713">
        <f t="shared" si="415"/>
        <v>-117.85549399999999</v>
      </c>
      <c r="D6713">
        <f t="shared" si="416"/>
        <v>39</v>
      </c>
      <c r="E6713">
        <v>13.5</v>
      </c>
      <c r="F6713">
        <f t="shared" si="417"/>
        <v>25.5</v>
      </c>
      <c r="G6713">
        <v>11.532999999999999</v>
      </c>
      <c r="H6713">
        <v>0.51</v>
      </c>
      <c r="I6713">
        <v>4.4539999999999997</v>
      </c>
      <c r="J6713">
        <v>3</v>
      </c>
      <c r="K6713">
        <v>11</v>
      </c>
      <c r="L6713">
        <v>13</v>
      </c>
      <c r="M6713">
        <v>0.70899999999999996</v>
      </c>
    </row>
    <row r="6714" spans="1:13" ht="15" customHeight="1">
      <c r="A6714" t="s">
        <v>71</v>
      </c>
      <c r="B6714">
        <f t="shared" si="414"/>
        <v>33.696989000000002</v>
      </c>
      <c r="C6714">
        <f t="shared" si="415"/>
        <v>-117.85549399999999</v>
      </c>
      <c r="D6714">
        <f t="shared" si="416"/>
        <v>39</v>
      </c>
      <c r="E6714">
        <v>14.5</v>
      </c>
      <c r="F6714">
        <f t="shared" si="417"/>
        <v>24.5</v>
      </c>
      <c r="G6714">
        <v>13.483000000000001</v>
      </c>
      <c r="H6714">
        <v>0.52700000000000002</v>
      </c>
      <c r="I6714">
        <v>3.93</v>
      </c>
      <c r="J6714">
        <v>3</v>
      </c>
      <c r="K6714">
        <v>13</v>
      </c>
      <c r="L6714">
        <v>14</v>
      </c>
      <c r="M6714">
        <v>0.83399999999999996</v>
      </c>
    </row>
    <row r="6715" spans="1:13" ht="15" customHeight="1">
      <c r="A6715" t="s">
        <v>71</v>
      </c>
      <c r="B6715">
        <f t="shared" si="414"/>
        <v>33.696989000000002</v>
      </c>
      <c r="C6715">
        <f t="shared" si="415"/>
        <v>-117.85549399999999</v>
      </c>
      <c r="D6715">
        <f t="shared" si="416"/>
        <v>39</v>
      </c>
      <c r="E6715">
        <v>15.5</v>
      </c>
      <c r="F6715">
        <f t="shared" si="417"/>
        <v>23.5</v>
      </c>
      <c r="G6715">
        <v>16.617000000000001</v>
      </c>
      <c r="H6715">
        <v>0.92300000000000004</v>
      </c>
      <c r="I6715">
        <v>5.59</v>
      </c>
      <c r="J6715">
        <v>3</v>
      </c>
      <c r="K6715">
        <v>16</v>
      </c>
      <c r="L6715">
        <v>17</v>
      </c>
      <c r="M6715">
        <v>1.038</v>
      </c>
    </row>
    <row r="6716" spans="1:13" ht="15" customHeight="1">
      <c r="A6716" t="s">
        <v>71</v>
      </c>
      <c r="B6716">
        <f t="shared" si="414"/>
        <v>33.696989000000002</v>
      </c>
      <c r="C6716">
        <f t="shared" si="415"/>
        <v>-117.85549399999999</v>
      </c>
      <c r="D6716">
        <f t="shared" si="416"/>
        <v>39</v>
      </c>
      <c r="E6716">
        <v>16.5</v>
      </c>
      <c r="F6716">
        <f t="shared" si="417"/>
        <v>22.5</v>
      </c>
      <c r="G6716">
        <v>23.2</v>
      </c>
      <c r="H6716">
        <v>1.1719999999999999</v>
      </c>
      <c r="I6716">
        <v>5.0759999999999996</v>
      </c>
      <c r="J6716">
        <v>3</v>
      </c>
      <c r="K6716">
        <v>22</v>
      </c>
      <c r="L6716">
        <v>22</v>
      </c>
      <c r="M6716">
        <v>1.472</v>
      </c>
    </row>
    <row r="6717" spans="1:13" ht="15" customHeight="1">
      <c r="A6717" t="s">
        <v>71</v>
      </c>
      <c r="B6717">
        <f t="shared" si="414"/>
        <v>33.696989000000002</v>
      </c>
      <c r="C6717">
        <f t="shared" si="415"/>
        <v>-117.85549399999999</v>
      </c>
      <c r="D6717">
        <f t="shared" si="416"/>
        <v>39</v>
      </c>
      <c r="E6717">
        <v>17.5</v>
      </c>
      <c r="F6717">
        <f t="shared" si="417"/>
        <v>21.5</v>
      </c>
      <c r="G6717">
        <v>35.35</v>
      </c>
      <c r="H6717">
        <v>1.7549999999999999</v>
      </c>
      <c r="I6717">
        <v>4.9619999999999997</v>
      </c>
      <c r="J6717">
        <v>3</v>
      </c>
      <c r="K6717">
        <v>34</v>
      </c>
      <c r="L6717">
        <v>32</v>
      </c>
      <c r="M6717">
        <v>2.286</v>
      </c>
    </row>
    <row r="6718" spans="1:13" ht="15" customHeight="1">
      <c r="A6718" t="s">
        <v>71</v>
      </c>
      <c r="B6718">
        <f t="shared" si="414"/>
        <v>33.696989000000002</v>
      </c>
      <c r="C6718">
        <f t="shared" si="415"/>
        <v>-117.85549399999999</v>
      </c>
      <c r="D6718">
        <f t="shared" si="416"/>
        <v>39</v>
      </c>
      <c r="E6718">
        <v>18.5</v>
      </c>
      <c r="F6718">
        <f t="shared" si="417"/>
        <v>20.5</v>
      </c>
      <c r="G6718">
        <v>34.799999999999997</v>
      </c>
      <c r="H6718">
        <v>1.222</v>
      </c>
      <c r="I6718">
        <v>3.5070000000000001</v>
      </c>
      <c r="J6718">
        <v>5</v>
      </c>
      <c r="K6718">
        <v>17</v>
      </c>
      <c r="L6718">
        <v>15</v>
      </c>
      <c r="M6718">
        <v>2.2469999999999999</v>
      </c>
    </row>
    <row r="6719" spans="1:13" ht="15" customHeight="1">
      <c r="A6719" t="s">
        <v>71</v>
      </c>
      <c r="B6719">
        <f t="shared" si="414"/>
        <v>33.696989000000002</v>
      </c>
      <c r="C6719">
        <f t="shared" si="415"/>
        <v>-117.85549399999999</v>
      </c>
      <c r="D6719">
        <f t="shared" si="416"/>
        <v>39</v>
      </c>
      <c r="E6719">
        <v>19.5</v>
      </c>
      <c r="F6719">
        <f t="shared" si="417"/>
        <v>19.5</v>
      </c>
      <c r="G6719">
        <v>44.633000000000003</v>
      </c>
      <c r="H6719">
        <v>1.548</v>
      </c>
      <c r="I6719">
        <v>3.4590000000000001</v>
      </c>
      <c r="J6719">
        <v>5</v>
      </c>
      <c r="K6719">
        <v>21</v>
      </c>
      <c r="L6719">
        <v>18</v>
      </c>
      <c r="M6719">
        <v>2.9049999999999998</v>
      </c>
    </row>
    <row r="6720" spans="1:13" ht="15" customHeight="1">
      <c r="A6720" t="s">
        <v>71</v>
      </c>
      <c r="B6720">
        <f t="shared" si="414"/>
        <v>33.696989000000002</v>
      </c>
      <c r="C6720">
        <f t="shared" si="415"/>
        <v>-117.85549399999999</v>
      </c>
      <c r="D6720">
        <f t="shared" si="416"/>
        <v>39</v>
      </c>
      <c r="E6720">
        <v>20.5</v>
      </c>
      <c r="F6720">
        <f t="shared" si="417"/>
        <v>18.5</v>
      </c>
      <c r="G6720">
        <v>39.656999999999996</v>
      </c>
      <c r="H6720">
        <v>1.679</v>
      </c>
      <c r="I6720">
        <v>4.2110000000000003</v>
      </c>
      <c r="J6720">
        <v>4</v>
      </c>
      <c r="K6720">
        <v>25</v>
      </c>
      <c r="L6720">
        <v>21</v>
      </c>
      <c r="M6720">
        <v>2.573</v>
      </c>
    </row>
    <row r="6721" spans="1:13" ht="15" customHeight="1">
      <c r="A6721" t="s">
        <v>71</v>
      </c>
      <c r="B6721">
        <f t="shared" si="414"/>
        <v>33.696989000000002</v>
      </c>
      <c r="C6721">
        <f t="shared" si="415"/>
        <v>-117.85549399999999</v>
      </c>
      <c r="D6721">
        <f t="shared" si="416"/>
        <v>39</v>
      </c>
      <c r="E6721">
        <v>21.5</v>
      </c>
      <c r="F6721">
        <f t="shared" si="417"/>
        <v>17.5</v>
      </c>
      <c r="G6721">
        <v>30.067</v>
      </c>
      <c r="H6721">
        <v>1.645</v>
      </c>
      <c r="I6721">
        <v>5.4589999999999996</v>
      </c>
      <c r="J6721">
        <v>3</v>
      </c>
      <c r="K6721">
        <v>29</v>
      </c>
      <c r="L6721">
        <v>23</v>
      </c>
      <c r="M6721">
        <v>1.921</v>
      </c>
    </row>
    <row r="6722" spans="1:13" ht="15" customHeight="1">
      <c r="A6722" t="s">
        <v>71</v>
      </c>
      <c r="B6722">
        <f t="shared" ref="B6722:B6785" si="418">VLOOKUP(A6722,XYdata,3,FALSE)</f>
        <v>33.696989000000002</v>
      </c>
      <c r="C6722">
        <f t="shared" ref="C6722:C6785" si="419">VLOOKUP(A6722,XYdata,2,FALSE)</f>
        <v>-117.85549399999999</v>
      </c>
      <c r="D6722">
        <f t="shared" ref="D6722:D6785" si="420">VLOOKUP(A6722,Elevation,2,FALSE)</f>
        <v>39</v>
      </c>
      <c r="E6722">
        <v>22.5</v>
      </c>
      <c r="F6722">
        <f t="shared" si="417"/>
        <v>16.5</v>
      </c>
      <c r="G6722">
        <v>23.933</v>
      </c>
      <c r="H6722">
        <v>1.0269999999999999</v>
      </c>
      <c r="I6722">
        <v>4.29</v>
      </c>
      <c r="J6722">
        <v>4</v>
      </c>
      <c r="K6722">
        <v>15</v>
      </c>
      <c r="L6722">
        <v>12</v>
      </c>
      <c r="M6722">
        <v>1.5029999999999999</v>
      </c>
    </row>
    <row r="6723" spans="1:13" ht="15" customHeight="1">
      <c r="A6723" t="s">
        <v>71</v>
      </c>
      <c r="B6723">
        <f t="shared" si="418"/>
        <v>33.696989000000002</v>
      </c>
      <c r="C6723">
        <f t="shared" si="419"/>
        <v>-117.85549399999999</v>
      </c>
      <c r="D6723">
        <f t="shared" si="420"/>
        <v>39</v>
      </c>
      <c r="E6723">
        <v>23.5</v>
      </c>
      <c r="F6723">
        <f t="shared" ref="F6723:F6786" si="421">D6723-E6723</f>
        <v>15.5</v>
      </c>
      <c r="G6723">
        <v>63.883000000000003</v>
      </c>
      <c r="H6723">
        <v>1.855</v>
      </c>
      <c r="I6723">
        <v>2.907</v>
      </c>
      <c r="J6723">
        <v>6</v>
      </c>
      <c r="K6723">
        <v>24</v>
      </c>
      <c r="L6723">
        <v>18</v>
      </c>
      <c r="M6723">
        <v>4.1580000000000004</v>
      </c>
    </row>
    <row r="6724" spans="1:13" ht="15" customHeight="1">
      <c r="A6724" t="s">
        <v>71</v>
      </c>
      <c r="B6724">
        <f t="shared" si="418"/>
        <v>33.696989000000002</v>
      </c>
      <c r="C6724">
        <f t="shared" si="419"/>
        <v>-117.85549399999999</v>
      </c>
      <c r="D6724">
        <f t="shared" si="420"/>
        <v>39</v>
      </c>
      <c r="E6724">
        <v>24.5</v>
      </c>
      <c r="F6724">
        <f t="shared" si="421"/>
        <v>14.5</v>
      </c>
      <c r="G6724">
        <v>112.717</v>
      </c>
      <c r="H6724">
        <v>1.7170000000000001</v>
      </c>
      <c r="I6724">
        <v>1.5249999999999999</v>
      </c>
      <c r="J6724">
        <v>8</v>
      </c>
      <c r="K6724">
        <v>27</v>
      </c>
      <c r="L6724">
        <v>20</v>
      </c>
      <c r="M6724" s="1">
        <v>9000000000</v>
      </c>
    </row>
    <row r="6725" spans="1:13" ht="15" customHeight="1">
      <c r="A6725" t="s">
        <v>71</v>
      </c>
      <c r="B6725">
        <f t="shared" si="418"/>
        <v>33.696989000000002</v>
      </c>
      <c r="C6725">
        <f t="shared" si="419"/>
        <v>-117.85549399999999</v>
      </c>
      <c r="D6725">
        <f t="shared" si="420"/>
        <v>39</v>
      </c>
      <c r="E6725">
        <v>25.5</v>
      </c>
      <c r="F6725">
        <f t="shared" si="421"/>
        <v>13.5</v>
      </c>
      <c r="G6725">
        <v>83.9</v>
      </c>
      <c r="H6725">
        <v>1.8180000000000001</v>
      </c>
      <c r="I6725">
        <v>2.1720000000000002</v>
      </c>
      <c r="J6725">
        <v>7</v>
      </c>
      <c r="K6725">
        <v>27</v>
      </c>
      <c r="L6725">
        <v>19</v>
      </c>
      <c r="M6725" s="1">
        <v>9000000000</v>
      </c>
    </row>
    <row r="6726" spans="1:13" ht="15" customHeight="1">
      <c r="A6726" t="s">
        <v>71</v>
      </c>
      <c r="B6726">
        <f t="shared" si="418"/>
        <v>33.696989000000002</v>
      </c>
      <c r="C6726">
        <f t="shared" si="419"/>
        <v>-117.85549399999999</v>
      </c>
      <c r="D6726">
        <f t="shared" si="420"/>
        <v>39</v>
      </c>
      <c r="E6726">
        <v>26.5</v>
      </c>
      <c r="F6726">
        <f t="shared" si="421"/>
        <v>12.5</v>
      </c>
      <c r="G6726">
        <v>26</v>
      </c>
      <c r="H6726">
        <v>1.2729999999999999</v>
      </c>
      <c r="I6726">
        <v>4.9260000000000002</v>
      </c>
      <c r="J6726">
        <v>3</v>
      </c>
      <c r="K6726">
        <v>25</v>
      </c>
      <c r="L6726">
        <v>18</v>
      </c>
      <c r="M6726">
        <v>1.615</v>
      </c>
    </row>
    <row r="6727" spans="1:13" ht="15" customHeight="1">
      <c r="A6727" t="s">
        <v>71</v>
      </c>
      <c r="B6727">
        <f t="shared" si="418"/>
        <v>33.696989000000002</v>
      </c>
      <c r="C6727">
        <f t="shared" si="419"/>
        <v>-117.85549399999999</v>
      </c>
      <c r="D6727">
        <f t="shared" si="420"/>
        <v>39</v>
      </c>
      <c r="E6727">
        <v>27.5</v>
      </c>
      <c r="F6727">
        <f t="shared" si="421"/>
        <v>11.5</v>
      </c>
      <c r="G6727">
        <v>110.68300000000001</v>
      </c>
      <c r="H6727">
        <v>2.2850000000000001</v>
      </c>
      <c r="I6727">
        <v>2.0680000000000001</v>
      </c>
      <c r="J6727">
        <v>7</v>
      </c>
      <c r="K6727">
        <v>35</v>
      </c>
      <c r="L6727">
        <v>24</v>
      </c>
      <c r="M6727" s="1">
        <v>9000000000</v>
      </c>
    </row>
    <row r="6728" spans="1:13" ht="15" customHeight="1">
      <c r="A6728" t="s">
        <v>71</v>
      </c>
      <c r="B6728">
        <f t="shared" si="418"/>
        <v>33.696989000000002</v>
      </c>
      <c r="C6728">
        <f t="shared" si="419"/>
        <v>-117.85549399999999</v>
      </c>
      <c r="D6728">
        <f t="shared" si="420"/>
        <v>39</v>
      </c>
      <c r="E6728">
        <v>28.5</v>
      </c>
      <c r="F6728">
        <f t="shared" si="421"/>
        <v>10.5</v>
      </c>
      <c r="G6728">
        <v>154.69999999999999</v>
      </c>
      <c r="H6728">
        <v>1.74</v>
      </c>
      <c r="I6728">
        <v>1.1259999999999999</v>
      </c>
      <c r="J6728">
        <v>8</v>
      </c>
      <c r="K6728">
        <v>37</v>
      </c>
      <c r="L6728">
        <v>25</v>
      </c>
      <c r="M6728" s="1">
        <v>9000000000</v>
      </c>
    </row>
    <row r="6729" spans="1:13" ht="15" customHeight="1">
      <c r="A6729" t="s">
        <v>71</v>
      </c>
      <c r="B6729">
        <f t="shared" si="418"/>
        <v>33.696989000000002</v>
      </c>
      <c r="C6729">
        <f t="shared" si="419"/>
        <v>-117.85549399999999</v>
      </c>
      <c r="D6729">
        <f t="shared" si="420"/>
        <v>39</v>
      </c>
      <c r="E6729">
        <v>29.5</v>
      </c>
      <c r="F6729">
        <f t="shared" si="421"/>
        <v>9.5</v>
      </c>
      <c r="G6729">
        <v>34.299999999999997</v>
      </c>
      <c r="H6729">
        <v>1.1879999999999999</v>
      </c>
      <c r="I6729">
        <v>3.4849999999999999</v>
      </c>
      <c r="J6729">
        <v>5</v>
      </c>
      <c r="K6729">
        <v>16</v>
      </c>
      <c r="L6729">
        <v>11</v>
      </c>
      <c r="M6729">
        <v>2.1520000000000001</v>
      </c>
    </row>
    <row r="6730" spans="1:13" ht="15" customHeight="1">
      <c r="A6730" t="s">
        <v>71</v>
      </c>
      <c r="B6730">
        <f t="shared" si="418"/>
        <v>33.696989000000002</v>
      </c>
      <c r="C6730">
        <f t="shared" si="419"/>
        <v>-117.85549399999999</v>
      </c>
      <c r="D6730">
        <f t="shared" si="420"/>
        <v>39</v>
      </c>
      <c r="E6730">
        <v>30.5</v>
      </c>
      <c r="F6730">
        <f t="shared" si="421"/>
        <v>8.5</v>
      </c>
      <c r="G6730">
        <v>35.6</v>
      </c>
      <c r="H6730">
        <v>1.85</v>
      </c>
      <c r="I6730">
        <v>5.226</v>
      </c>
      <c r="J6730">
        <v>3</v>
      </c>
      <c r="K6730">
        <v>34</v>
      </c>
      <c r="L6730">
        <v>23</v>
      </c>
      <c r="M6730">
        <v>2.2349999999999999</v>
      </c>
    </row>
    <row r="6731" spans="1:13" ht="15" customHeight="1">
      <c r="A6731" t="s">
        <v>71</v>
      </c>
      <c r="B6731">
        <f t="shared" si="418"/>
        <v>33.696989000000002</v>
      </c>
      <c r="C6731">
        <f t="shared" si="419"/>
        <v>-117.85549399999999</v>
      </c>
      <c r="D6731">
        <f t="shared" si="420"/>
        <v>39</v>
      </c>
      <c r="E6731">
        <v>31.5</v>
      </c>
      <c r="F6731">
        <f t="shared" si="421"/>
        <v>7.5</v>
      </c>
      <c r="G6731">
        <v>51.2</v>
      </c>
      <c r="H6731">
        <v>2.169</v>
      </c>
      <c r="I6731">
        <v>4.2519999999999998</v>
      </c>
      <c r="J6731">
        <v>5</v>
      </c>
      <c r="K6731">
        <v>24</v>
      </c>
      <c r="L6731">
        <v>16</v>
      </c>
      <c r="M6731">
        <v>3.2709999999999999</v>
      </c>
    </row>
    <row r="6732" spans="1:13" ht="15" customHeight="1">
      <c r="A6732" t="s">
        <v>71</v>
      </c>
      <c r="B6732">
        <f t="shared" si="418"/>
        <v>33.696989000000002</v>
      </c>
      <c r="C6732">
        <f t="shared" si="419"/>
        <v>-117.85549399999999</v>
      </c>
      <c r="D6732">
        <f t="shared" si="420"/>
        <v>39</v>
      </c>
      <c r="E6732">
        <v>32.5</v>
      </c>
      <c r="F6732">
        <f t="shared" si="421"/>
        <v>6.5</v>
      </c>
      <c r="G6732">
        <v>83.6</v>
      </c>
      <c r="H6732">
        <v>2.403</v>
      </c>
      <c r="I6732">
        <v>2.8820000000000001</v>
      </c>
      <c r="J6732">
        <v>6</v>
      </c>
      <c r="K6732">
        <v>32</v>
      </c>
      <c r="L6732">
        <v>21</v>
      </c>
      <c r="M6732">
        <v>5.4260000000000002</v>
      </c>
    </row>
    <row r="6733" spans="1:13" ht="15" customHeight="1">
      <c r="A6733" t="s">
        <v>71</v>
      </c>
      <c r="B6733">
        <f t="shared" si="418"/>
        <v>33.696989000000002</v>
      </c>
      <c r="C6733">
        <f t="shared" si="419"/>
        <v>-117.85549399999999</v>
      </c>
      <c r="D6733">
        <f t="shared" si="420"/>
        <v>39</v>
      </c>
      <c r="E6733">
        <v>33.5</v>
      </c>
      <c r="F6733">
        <f t="shared" si="421"/>
        <v>5.5</v>
      </c>
      <c r="G6733">
        <v>116.56699999999999</v>
      </c>
      <c r="H6733">
        <v>1.52</v>
      </c>
      <c r="I6733">
        <v>1.306</v>
      </c>
      <c r="J6733">
        <v>8</v>
      </c>
      <c r="K6733">
        <v>28</v>
      </c>
      <c r="L6733">
        <v>18</v>
      </c>
      <c r="M6733" s="1">
        <v>9000000000</v>
      </c>
    </row>
    <row r="6734" spans="1:13" ht="15" customHeight="1">
      <c r="A6734" t="s">
        <v>71</v>
      </c>
      <c r="B6734">
        <f t="shared" si="418"/>
        <v>33.696989000000002</v>
      </c>
      <c r="C6734">
        <f t="shared" si="419"/>
        <v>-117.85549399999999</v>
      </c>
      <c r="D6734">
        <f t="shared" si="420"/>
        <v>39</v>
      </c>
      <c r="E6734">
        <v>34.5</v>
      </c>
      <c r="F6734">
        <f t="shared" si="421"/>
        <v>4.5</v>
      </c>
      <c r="G6734">
        <v>133.35</v>
      </c>
      <c r="H6734">
        <v>1.635</v>
      </c>
      <c r="I6734">
        <v>1.228</v>
      </c>
      <c r="J6734">
        <v>8</v>
      </c>
      <c r="K6734">
        <v>32</v>
      </c>
      <c r="L6734">
        <v>20</v>
      </c>
      <c r="M6734" s="1">
        <v>9000000000</v>
      </c>
    </row>
    <row r="6735" spans="1:13" ht="15" customHeight="1">
      <c r="A6735" t="s">
        <v>71</v>
      </c>
      <c r="B6735">
        <f t="shared" si="418"/>
        <v>33.696989000000002</v>
      </c>
      <c r="C6735">
        <f t="shared" si="419"/>
        <v>-117.85549399999999</v>
      </c>
      <c r="D6735">
        <f t="shared" si="420"/>
        <v>39</v>
      </c>
      <c r="E6735">
        <v>35.5</v>
      </c>
      <c r="F6735">
        <f t="shared" si="421"/>
        <v>3.5</v>
      </c>
      <c r="G6735">
        <v>120.983</v>
      </c>
      <c r="H6735">
        <v>1.4770000000000001</v>
      </c>
      <c r="I6735">
        <v>1.2210000000000001</v>
      </c>
      <c r="J6735">
        <v>8</v>
      </c>
      <c r="K6735">
        <v>29</v>
      </c>
      <c r="L6735">
        <v>18</v>
      </c>
      <c r="M6735" s="1">
        <v>9000000000</v>
      </c>
    </row>
    <row r="6736" spans="1:13" ht="15" customHeight="1">
      <c r="A6736" t="s">
        <v>71</v>
      </c>
      <c r="B6736">
        <f t="shared" si="418"/>
        <v>33.696989000000002</v>
      </c>
      <c r="C6736">
        <f t="shared" si="419"/>
        <v>-117.85549399999999</v>
      </c>
      <c r="D6736">
        <f t="shared" si="420"/>
        <v>39</v>
      </c>
      <c r="E6736">
        <v>36.5</v>
      </c>
      <c r="F6736">
        <f t="shared" si="421"/>
        <v>2.5</v>
      </c>
      <c r="G6736">
        <v>36.832999999999998</v>
      </c>
      <c r="H6736">
        <v>1.7</v>
      </c>
      <c r="I6736">
        <v>4.6239999999999997</v>
      </c>
      <c r="J6736">
        <v>4</v>
      </c>
      <c r="K6736">
        <v>23</v>
      </c>
      <c r="L6736">
        <v>14</v>
      </c>
      <c r="M6736">
        <v>2.3010000000000002</v>
      </c>
    </row>
    <row r="6737" spans="1:13" ht="15" customHeight="1">
      <c r="A6737" t="s">
        <v>71</v>
      </c>
      <c r="B6737">
        <f t="shared" si="418"/>
        <v>33.696989000000002</v>
      </c>
      <c r="C6737">
        <f t="shared" si="419"/>
        <v>-117.85549399999999</v>
      </c>
      <c r="D6737">
        <f t="shared" si="420"/>
        <v>39</v>
      </c>
      <c r="E6737">
        <v>37.5</v>
      </c>
      <c r="F6737">
        <f t="shared" si="421"/>
        <v>1.5</v>
      </c>
      <c r="G6737">
        <v>27.4</v>
      </c>
      <c r="H6737">
        <v>1.2849999999999999</v>
      </c>
      <c r="I6737">
        <v>4.7240000000000002</v>
      </c>
      <c r="J6737">
        <v>3</v>
      </c>
      <c r="K6737">
        <v>26</v>
      </c>
      <c r="L6737">
        <v>16</v>
      </c>
      <c r="M6737">
        <v>1.659</v>
      </c>
    </row>
    <row r="6738" spans="1:13" ht="15" customHeight="1">
      <c r="A6738" t="s">
        <v>71</v>
      </c>
      <c r="B6738">
        <f t="shared" si="418"/>
        <v>33.696989000000002</v>
      </c>
      <c r="C6738">
        <f t="shared" si="419"/>
        <v>-117.85549399999999</v>
      </c>
      <c r="D6738">
        <f t="shared" si="420"/>
        <v>39</v>
      </c>
      <c r="E6738">
        <v>38.5</v>
      </c>
      <c r="F6738">
        <f t="shared" si="421"/>
        <v>0.5</v>
      </c>
      <c r="G6738">
        <v>38.35</v>
      </c>
      <c r="H6738">
        <v>1.8129999999999999</v>
      </c>
      <c r="I6738">
        <v>4.7469999999999999</v>
      </c>
      <c r="J6738">
        <v>4</v>
      </c>
      <c r="K6738">
        <v>24</v>
      </c>
      <c r="L6738">
        <v>14</v>
      </c>
      <c r="M6738">
        <v>2.3879999999999999</v>
      </c>
    </row>
    <row r="6739" spans="1:13" ht="15" customHeight="1">
      <c r="A6739" t="s">
        <v>71</v>
      </c>
      <c r="B6739">
        <f t="shared" si="418"/>
        <v>33.696989000000002</v>
      </c>
      <c r="C6739">
        <f t="shared" si="419"/>
        <v>-117.85549399999999</v>
      </c>
      <c r="D6739">
        <f t="shared" si="420"/>
        <v>39</v>
      </c>
      <c r="E6739">
        <v>39.5</v>
      </c>
      <c r="F6739">
        <f t="shared" si="421"/>
        <v>-0.5</v>
      </c>
      <c r="G6739">
        <v>33.200000000000003</v>
      </c>
      <c r="H6739">
        <v>1.57</v>
      </c>
      <c r="I6739">
        <v>4.7480000000000002</v>
      </c>
      <c r="J6739">
        <v>3</v>
      </c>
      <c r="K6739">
        <v>32</v>
      </c>
      <c r="L6739">
        <v>19</v>
      </c>
      <c r="M6739">
        <v>2.0419999999999998</v>
      </c>
    </row>
    <row r="6740" spans="1:13" ht="15" customHeight="1">
      <c r="A6740" t="s">
        <v>71</v>
      </c>
      <c r="B6740">
        <f t="shared" si="418"/>
        <v>33.696989000000002</v>
      </c>
      <c r="C6740">
        <f t="shared" si="419"/>
        <v>-117.85549399999999</v>
      </c>
      <c r="D6740">
        <f t="shared" si="420"/>
        <v>39</v>
      </c>
      <c r="E6740">
        <v>40.5</v>
      </c>
      <c r="F6740">
        <f t="shared" si="421"/>
        <v>-1.5</v>
      </c>
      <c r="G6740">
        <v>32.667000000000002</v>
      </c>
      <c r="H6740">
        <v>1.468</v>
      </c>
      <c r="I6740">
        <v>4.5199999999999996</v>
      </c>
      <c r="J6740">
        <v>4</v>
      </c>
      <c r="K6740">
        <v>21</v>
      </c>
      <c r="L6740">
        <v>12</v>
      </c>
      <c r="M6740">
        <v>1.9990000000000001</v>
      </c>
    </row>
    <row r="6741" spans="1:13" ht="15" customHeight="1">
      <c r="A6741" t="s">
        <v>71</v>
      </c>
      <c r="B6741">
        <f t="shared" si="418"/>
        <v>33.696989000000002</v>
      </c>
      <c r="C6741">
        <f t="shared" si="419"/>
        <v>-117.85549399999999</v>
      </c>
      <c r="D6741">
        <f t="shared" si="420"/>
        <v>39</v>
      </c>
      <c r="E6741">
        <v>41.499000000000002</v>
      </c>
      <c r="F6741">
        <f t="shared" si="421"/>
        <v>-2.4990000000000023</v>
      </c>
      <c r="G6741">
        <v>61.156999999999996</v>
      </c>
      <c r="H6741">
        <v>1.8460000000000001</v>
      </c>
      <c r="I6741">
        <v>3.0219999999999998</v>
      </c>
      <c r="J6741">
        <v>6</v>
      </c>
      <c r="K6741">
        <v>23</v>
      </c>
      <c r="L6741">
        <v>13</v>
      </c>
      <c r="M6741">
        <v>3.9</v>
      </c>
    </row>
    <row r="6742" spans="1:13" ht="15" customHeight="1">
      <c r="A6742" t="s">
        <v>71</v>
      </c>
      <c r="B6742">
        <f t="shared" si="418"/>
        <v>33.696989000000002</v>
      </c>
      <c r="C6742">
        <f t="shared" si="419"/>
        <v>-117.85549399999999</v>
      </c>
      <c r="D6742">
        <f t="shared" si="420"/>
        <v>39</v>
      </c>
      <c r="E6742">
        <v>42.499000000000002</v>
      </c>
      <c r="F6742">
        <f t="shared" si="421"/>
        <v>-3.4990000000000023</v>
      </c>
      <c r="G6742">
        <v>65.8</v>
      </c>
      <c r="H6742">
        <v>2.1850000000000001</v>
      </c>
      <c r="I6742">
        <v>3.3279999999999998</v>
      </c>
      <c r="J6742">
        <v>6</v>
      </c>
      <c r="K6742">
        <v>25</v>
      </c>
      <c r="L6742">
        <v>14</v>
      </c>
      <c r="M6742">
        <v>4.2009999999999996</v>
      </c>
    </row>
    <row r="6743" spans="1:13" ht="15" customHeight="1">
      <c r="A6743" t="s">
        <v>71</v>
      </c>
      <c r="B6743">
        <f t="shared" si="418"/>
        <v>33.696989000000002</v>
      </c>
      <c r="C6743">
        <f t="shared" si="419"/>
        <v>-117.85549399999999</v>
      </c>
      <c r="D6743">
        <f t="shared" si="420"/>
        <v>39</v>
      </c>
      <c r="E6743">
        <v>43.499000000000002</v>
      </c>
      <c r="F6743">
        <f t="shared" si="421"/>
        <v>-4.4990000000000023</v>
      </c>
      <c r="G6743">
        <v>133.983</v>
      </c>
      <c r="H6743">
        <v>2.9169999999999998</v>
      </c>
      <c r="I6743">
        <v>2.1789999999999998</v>
      </c>
      <c r="J6743">
        <v>7</v>
      </c>
      <c r="K6743">
        <v>43</v>
      </c>
      <c r="L6743">
        <v>24</v>
      </c>
      <c r="M6743" s="1">
        <v>9000000000</v>
      </c>
    </row>
    <row r="6744" spans="1:13" ht="15" customHeight="1">
      <c r="A6744" t="s">
        <v>71</v>
      </c>
      <c r="B6744">
        <f t="shared" si="418"/>
        <v>33.696989000000002</v>
      </c>
      <c r="C6744">
        <f t="shared" si="419"/>
        <v>-117.85549399999999</v>
      </c>
      <c r="D6744">
        <f t="shared" si="420"/>
        <v>39</v>
      </c>
      <c r="E6744">
        <v>44.499000000000002</v>
      </c>
      <c r="F6744">
        <f t="shared" si="421"/>
        <v>-5.4990000000000023</v>
      </c>
      <c r="G6744">
        <v>188.71700000000001</v>
      </c>
      <c r="H6744">
        <v>2.665</v>
      </c>
      <c r="I6744">
        <v>1.413</v>
      </c>
      <c r="J6744">
        <v>8</v>
      </c>
      <c r="K6744">
        <v>45</v>
      </c>
      <c r="L6744">
        <v>25</v>
      </c>
      <c r="M6744" s="1">
        <v>9000000000</v>
      </c>
    </row>
    <row r="6745" spans="1:13" ht="15" customHeight="1">
      <c r="A6745" t="s">
        <v>71</v>
      </c>
      <c r="B6745">
        <f t="shared" si="418"/>
        <v>33.696989000000002</v>
      </c>
      <c r="C6745">
        <f t="shared" si="419"/>
        <v>-117.85549399999999</v>
      </c>
      <c r="D6745">
        <f t="shared" si="420"/>
        <v>39</v>
      </c>
      <c r="E6745">
        <v>45.499000000000002</v>
      </c>
      <c r="F6745">
        <f t="shared" si="421"/>
        <v>-6.4990000000000023</v>
      </c>
      <c r="G6745">
        <v>293.03300000000002</v>
      </c>
      <c r="H6745">
        <v>2.13</v>
      </c>
      <c r="I6745">
        <v>0.72699999999999998</v>
      </c>
      <c r="J6745">
        <v>9</v>
      </c>
      <c r="K6745">
        <v>56</v>
      </c>
      <c r="L6745">
        <v>31</v>
      </c>
      <c r="M6745" s="1">
        <v>9000000000</v>
      </c>
    </row>
    <row r="6746" spans="1:13" ht="15" customHeight="1">
      <c r="A6746" t="s">
        <v>71</v>
      </c>
      <c r="B6746">
        <f t="shared" si="418"/>
        <v>33.696989000000002</v>
      </c>
      <c r="C6746">
        <f t="shared" si="419"/>
        <v>-117.85549399999999</v>
      </c>
      <c r="D6746">
        <f t="shared" si="420"/>
        <v>39</v>
      </c>
      <c r="E6746">
        <v>46.499000000000002</v>
      </c>
      <c r="F6746">
        <f t="shared" si="421"/>
        <v>-7.4990000000000023</v>
      </c>
      <c r="G6746">
        <v>262.017</v>
      </c>
      <c r="H6746">
        <v>1.948</v>
      </c>
      <c r="I6746">
        <v>0.74299999999999999</v>
      </c>
      <c r="J6746">
        <v>9</v>
      </c>
      <c r="K6746">
        <v>50</v>
      </c>
      <c r="L6746">
        <v>27</v>
      </c>
      <c r="M6746" s="1">
        <v>9000000000</v>
      </c>
    </row>
    <row r="6747" spans="1:13" ht="15" customHeight="1">
      <c r="A6747" t="s">
        <v>71</v>
      </c>
      <c r="B6747">
        <f t="shared" si="418"/>
        <v>33.696989000000002</v>
      </c>
      <c r="C6747">
        <f t="shared" si="419"/>
        <v>-117.85549399999999</v>
      </c>
      <c r="D6747">
        <f t="shared" si="420"/>
        <v>39</v>
      </c>
      <c r="E6747">
        <v>47.499000000000002</v>
      </c>
      <c r="F6747">
        <f t="shared" si="421"/>
        <v>-8.4990000000000023</v>
      </c>
      <c r="G6747">
        <v>283.983</v>
      </c>
      <c r="H6747">
        <v>1.4</v>
      </c>
      <c r="I6747">
        <v>0.49299999999999999</v>
      </c>
      <c r="J6747">
        <v>10</v>
      </c>
      <c r="K6747">
        <v>45</v>
      </c>
      <c r="L6747">
        <v>24</v>
      </c>
      <c r="M6747" s="1">
        <v>9000000000</v>
      </c>
    </row>
    <row r="6748" spans="1:13" ht="15" customHeight="1">
      <c r="A6748" t="s">
        <v>71</v>
      </c>
      <c r="B6748">
        <f t="shared" si="418"/>
        <v>33.696989000000002</v>
      </c>
      <c r="C6748">
        <f t="shared" si="419"/>
        <v>-117.85549399999999</v>
      </c>
      <c r="D6748">
        <f t="shared" si="420"/>
        <v>39</v>
      </c>
      <c r="E6748">
        <v>48.499000000000002</v>
      </c>
      <c r="F6748">
        <f t="shared" si="421"/>
        <v>-9.4990000000000023</v>
      </c>
      <c r="G6748">
        <v>288.38299999999998</v>
      </c>
      <c r="H6748">
        <v>1.635</v>
      </c>
      <c r="I6748">
        <v>0.56699999999999995</v>
      </c>
      <c r="J6748">
        <v>10</v>
      </c>
      <c r="K6748">
        <v>46</v>
      </c>
      <c r="L6748">
        <v>24</v>
      </c>
      <c r="M6748" s="1">
        <v>9000000000</v>
      </c>
    </row>
    <row r="6749" spans="1:13" ht="15" customHeight="1">
      <c r="A6749" t="s">
        <v>71</v>
      </c>
      <c r="B6749">
        <f t="shared" si="418"/>
        <v>33.696989000000002</v>
      </c>
      <c r="C6749">
        <f t="shared" si="419"/>
        <v>-117.85549399999999</v>
      </c>
      <c r="D6749">
        <f t="shared" si="420"/>
        <v>39</v>
      </c>
      <c r="E6749">
        <v>49.499000000000002</v>
      </c>
      <c r="F6749">
        <f t="shared" si="421"/>
        <v>-10.499000000000002</v>
      </c>
      <c r="G6749">
        <v>285.86700000000002</v>
      </c>
      <c r="H6749">
        <v>1.468</v>
      </c>
      <c r="I6749">
        <v>0.51300000000000001</v>
      </c>
      <c r="J6749">
        <v>10</v>
      </c>
      <c r="K6749">
        <v>46</v>
      </c>
      <c r="L6749">
        <v>24</v>
      </c>
      <c r="M6749" s="1">
        <v>9000000000</v>
      </c>
    </row>
    <row r="6750" spans="1:13" ht="15" customHeight="1">
      <c r="A6750" t="s">
        <v>71</v>
      </c>
      <c r="B6750">
        <f t="shared" si="418"/>
        <v>33.696989000000002</v>
      </c>
      <c r="C6750">
        <f t="shared" si="419"/>
        <v>-117.85549399999999</v>
      </c>
      <c r="D6750">
        <f t="shared" si="420"/>
        <v>39</v>
      </c>
      <c r="E6750">
        <v>50.499000000000002</v>
      </c>
      <c r="F6750">
        <f t="shared" si="421"/>
        <v>-11.499000000000002</v>
      </c>
      <c r="G6750">
        <v>310.93299999999999</v>
      </c>
      <c r="H6750">
        <v>1.96</v>
      </c>
      <c r="I6750">
        <v>0.63</v>
      </c>
      <c r="J6750">
        <v>10</v>
      </c>
      <c r="K6750">
        <v>50</v>
      </c>
      <c r="L6750">
        <v>26</v>
      </c>
      <c r="M6750" s="1">
        <v>9000000000</v>
      </c>
    </row>
    <row r="6751" spans="1:13" ht="15" customHeight="1">
      <c r="A6751" t="s">
        <v>71</v>
      </c>
      <c r="B6751">
        <f t="shared" si="418"/>
        <v>33.696989000000002</v>
      </c>
      <c r="C6751">
        <f t="shared" si="419"/>
        <v>-117.85549399999999</v>
      </c>
      <c r="D6751">
        <f t="shared" si="420"/>
        <v>39</v>
      </c>
      <c r="E6751">
        <v>51.499000000000002</v>
      </c>
      <c r="F6751">
        <f t="shared" si="421"/>
        <v>-12.499000000000002</v>
      </c>
      <c r="G6751">
        <v>264.233</v>
      </c>
      <c r="H6751">
        <v>1.4950000000000001</v>
      </c>
      <c r="I6751">
        <v>0.56499999999999995</v>
      </c>
      <c r="J6751">
        <v>9</v>
      </c>
      <c r="K6751">
        <v>51</v>
      </c>
      <c r="L6751">
        <v>26</v>
      </c>
      <c r="M6751" s="1">
        <v>9000000000</v>
      </c>
    </row>
    <row r="6752" spans="1:13" ht="15" customHeight="1">
      <c r="A6752" t="s">
        <v>71</v>
      </c>
      <c r="B6752">
        <f t="shared" si="418"/>
        <v>33.696989000000002</v>
      </c>
      <c r="C6752">
        <f t="shared" si="419"/>
        <v>-117.85549399999999</v>
      </c>
      <c r="D6752">
        <f t="shared" si="420"/>
        <v>39</v>
      </c>
      <c r="E6752">
        <v>52.499000000000002</v>
      </c>
      <c r="F6752">
        <f t="shared" si="421"/>
        <v>-13.499000000000002</v>
      </c>
      <c r="G6752">
        <v>67.856999999999999</v>
      </c>
      <c r="H6752">
        <v>1.4339999999999999</v>
      </c>
      <c r="I6752">
        <v>2.1040000000000001</v>
      </c>
      <c r="J6752">
        <v>7</v>
      </c>
      <c r="K6752">
        <v>22</v>
      </c>
      <c r="L6752">
        <v>11</v>
      </c>
      <c r="M6752" s="1">
        <v>9000000000</v>
      </c>
    </row>
    <row r="6753" spans="1:13" ht="15" customHeight="1">
      <c r="A6753" t="s">
        <v>71</v>
      </c>
      <c r="B6753">
        <f t="shared" si="418"/>
        <v>33.696989000000002</v>
      </c>
      <c r="C6753">
        <f t="shared" si="419"/>
        <v>-117.85549399999999</v>
      </c>
      <c r="D6753">
        <f t="shared" si="420"/>
        <v>39</v>
      </c>
      <c r="E6753">
        <v>53.499000000000002</v>
      </c>
      <c r="F6753">
        <f t="shared" si="421"/>
        <v>-14.499000000000002</v>
      </c>
      <c r="G6753">
        <v>21.867000000000001</v>
      </c>
      <c r="H6753">
        <v>0.625</v>
      </c>
      <c r="I6753">
        <v>2.7309999999999999</v>
      </c>
      <c r="J6753">
        <v>5</v>
      </c>
      <c r="K6753">
        <v>11</v>
      </c>
      <c r="L6753">
        <v>6</v>
      </c>
      <c r="M6753">
        <v>1.304</v>
      </c>
    </row>
    <row r="6754" spans="1:13" ht="15" customHeight="1">
      <c r="A6754" t="s">
        <v>71</v>
      </c>
      <c r="B6754">
        <f t="shared" si="418"/>
        <v>33.696989000000002</v>
      </c>
      <c r="C6754">
        <f t="shared" si="419"/>
        <v>-117.85549399999999</v>
      </c>
      <c r="D6754">
        <f t="shared" si="420"/>
        <v>39</v>
      </c>
      <c r="E6754">
        <v>54.499000000000002</v>
      </c>
      <c r="F6754">
        <f t="shared" si="421"/>
        <v>-15.499000000000002</v>
      </c>
      <c r="G6754">
        <v>22.033000000000001</v>
      </c>
      <c r="H6754">
        <v>0.71199999999999997</v>
      </c>
      <c r="I6754">
        <v>3.0720000000000001</v>
      </c>
      <c r="J6754">
        <v>5</v>
      </c>
      <c r="K6754">
        <v>11</v>
      </c>
      <c r="L6754">
        <v>6</v>
      </c>
      <c r="M6754">
        <v>1.319</v>
      </c>
    </row>
    <row r="6755" spans="1:13" ht="15" customHeight="1">
      <c r="A6755" t="s">
        <v>71</v>
      </c>
      <c r="B6755">
        <f t="shared" si="418"/>
        <v>33.696989000000002</v>
      </c>
      <c r="C6755">
        <f t="shared" si="419"/>
        <v>-117.85549399999999</v>
      </c>
      <c r="D6755">
        <f t="shared" si="420"/>
        <v>39</v>
      </c>
      <c r="E6755">
        <v>55.499000000000002</v>
      </c>
      <c r="F6755">
        <f t="shared" si="421"/>
        <v>-16.499000000000002</v>
      </c>
      <c r="G6755">
        <v>20.100000000000001</v>
      </c>
      <c r="H6755">
        <v>0.71499999999999997</v>
      </c>
      <c r="I6755">
        <v>3.3410000000000002</v>
      </c>
      <c r="J6755">
        <v>5</v>
      </c>
      <c r="K6755">
        <v>10</v>
      </c>
      <c r="L6755">
        <v>5</v>
      </c>
      <c r="M6755">
        <v>1.1970000000000001</v>
      </c>
    </row>
    <row r="6756" spans="1:13" ht="15" customHeight="1">
      <c r="A6756" t="s">
        <v>71</v>
      </c>
      <c r="B6756">
        <f t="shared" si="418"/>
        <v>33.696989000000002</v>
      </c>
      <c r="C6756">
        <f t="shared" si="419"/>
        <v>-117.85549399999999</v>
      </c>
      <c r="D6756">
        <f t="shared" si="420"/>
        <v>39</v>
      </c>
      <c r="E6756">
        <v>56.499000000000002</v>
      </c>
      <c r="F6756">
        <f t="shared" si="421"/>
        <v>-17.499000000000002</v>
      </c>
      <c r="G6756">
        <v>19.466999999999999</v>
      </c>
      <c r="H6756">
        <v>0.66</v>
      </c>
      <c r="I6756">
        <v>3.173</v>
      </c>
      <c r="J6756">
        <v>5</v>
      </c>
      <c r="K6756">
        <v>10</v>
      </c>
      <c r="L6756">
        <v>5</v>
      </c>
      <c r="M6756">
        <v>1.153</v>
      </c>
    </row>
    <row r="6757" spans="1:13" ht="15" customHeight="1">
      <c r="A6757" t="s">
        <v>71</v>
      </c>
      <c r="B6757">
        <f t="shared" si="418"/>
        <v>33.696989000000002</v>
      </c>
      <c r="C6757">
        <f t="shared" si="419"/>
        <v>-117.85549399999999</v>
      </c>
      <c r="D6757">
        <f t="shared" si="420"/>
        <v>39</v>
      </c>
      <c r="E6757">
        <v>57.499000000000002</v>
      </c>
      <c r="F6757">
        <f t="shared" si="421"/>
        <v>-18.499000000000002</v>
      </c>
      <c r="G6757">
        <v>23.1</v>
      </c>
      <c r="H6757">
        <v>0.77500000000000002</v>
      </c>
      <c r="I6757">
        <v>3.1459999999999999</v>
      </c>
      <c r="J6757">
        <v>5</v>
      </c>
      <c r="K6757">
        <v>12</v>
      </c>
      <c r="L6757">
        <v>6</v>
      </c>
      <c r="M6757">
        <v>1.4039999999999999</v>
      </c>
    </row>
    <row r="6758" spans="1:13" ht="15" customHeight="1">
      <c r="A6758" t="s">
        <v>71</v>
      </c>
      <c r="B6758">
        <f t="shared" si="418"/>
        <v>33.696989000000002</v>
      </c>
      <c r="C6758">
        <f t="shared" si="419"/>
        <v>-117.85549399999999</v>
      </c>
      <c r="D6758">
        <f t="shared" si="420"/>
        <v>39</v>
      </c>
      <c r="E6758">
        <v>58.499000000000002</v>
      </c>
      <c r="F6758">
        <f t="shared" si="421"/>
        <v>-19.499000000000002</v>
      </c>
      <c r="G6758">
        <v>76.933000000000007</v>
      </c>
      <c r="H6758">
        <v>2.5299999999999998</v>
      </c>
      <c r="I6758">
        <v>3.2210000000000001</v>
      </c>
      <c r="J6758">
        <v>6</v>
      </c>
      <c r="K6758">
        <v>30</v>
      </c>
      <c r="L6758">
        <v>15</v>
      </c>
      <c r="M6758">
        <v>4.9939999999999998</v>
      </c>
    </row>
    <row r="6759" spans="1:13" ht="15" customHeight="1">
      <c r="A6759" t="s">
        <v>71</v>
      </c>
      <c r="B6759">
        <f t="shared" si="418"/>
        <v>33.696989000000002</v>
      </c>
      <c r="C6759">
        <f t="shared" si="419"/>
        <v>-117.85549399999999</v>
      </c>
      <c r="D6759">
        <f t="shared" si="420"/>
        <v>39</v>
      </c>
      <c r="E6759">
        <v>59.499000000000002</v>
      </c>
      <c r="F6759">
        <f t="shared" si="421"/>
        <v>-20.499000000000002</v>
      </c>
      <c r="G6759">
        <v>201.267</v>
      </c>
      <c r="H6759">
        <v>3.65</v>
      </c>
      <c r="I6759">
        <v>1.8140000000000001</v>
      </c>
      <c r="J6759">
        <v>8</v>
      </c>
      <c r="K6759">
        <v>48</v>
      </c>
      <c r="L6759">
        <v>24</v>
      </c>
      <c r="M6759" s="1">
        <v>9000000000</v>
      </c>
    </row>
    <row r="6760" spans="1:13" ht="15" customHeight="1">
      <c r="A6760" t="s">
        <v>71</v>
      </c>
      <c r="B6760">
        <f t="shared" si="418"/>
        <v>33.696989000000002</v>
      </c>
      <c r="C6760">
        <f t="shared" si="419"/>
        <v>-117.85549399999999</v>
      </c>
      <c r="D6760">
        <f t="shared" si="420"/>
        <v>39</v>
      </c>
      <c r="E6760">
        <v>60.499000000000002</v>
      </c>
      <c r="F6760">
        <f t="shared" si="421"/>
        <v>-21.499000000000002</v>
      </c>
      <c r="G6760">
        <v>29.183</v>
      </c>
      <c r="H6760">
        <v>1.353</v>
      </c>
      <c r="I6760">
        <v>4.6189999999999998</v>
      </c>
      <c r="J6760">
        <v>3</v>
      </c>
      <c r="K6760">
        <v>28</v>
      </c>
      <c r="L6760">
        <v>14</v>
      </c>
      <c r="M6760">
        <v>1.7030000000000001</v>
      </c>
    </row>
    <row r="6761" spans="1:13" ht="15" customHeight="1">
      <c r="A6761" t="s">
        <v>71</v>
      </c>
      <c r="B6761">
        <f t="shared" si="418"/>
        <v>33.696989000000002</v>
      </c>
      <c r="C6761">
        <f t="shared" si="419"/>
        <v>-117.85549399999999</v>
      </c>
      <c r="D6761">
        <f t="shared" si="420"/>
        <v>39</v>
      </c>
      <c r="E6761">
        <v>61.499000000000002</v>
      </c>
      <c r="F6761">
        <f t="shared" si="421"/>
        <v>-22.499000000000002</v>
      </c>
      <c r="G6761">
        <v>21.6</v>
      </c>
      <c r="H6761">
        <v>0.68300000000000005</v>
      </c>
      <c r="I6761">
        <v>3.1419999999999999</v>
      </c>
      <c r="J6761">
        <v>5</v>
      </c>
      <c r="K6761">
        <v>10</v>
      </c>
      <c r="L6761">
        <v>5</v>
      </c>
      <c r="M6761">
        <v>1.1950000000000001</v>
      </c>
    </row>
    <row r="6762" spans="1:13" ht="15" customHeight="1">
      <c r="A6762" t="s">
        <v>71</v>
      </c>
      <c r="B6762">
        <f t="shared" si="418"/>
        <v>33.696989000000002</v>
      </c>
      <c r="C6762">
        <f t="shared" si="419"/>
        <v>-117.85549399999999</v>
      </c>
      <c r="D6762">
        <f t="shared" si="420"/>
        <v>39</v>
      </c>
      <c r="E6762">
        <v>62.499000000000002</v>
      </c>
      <c r="F6762">
        <f t="shared" si="421"/>
        <v>-23.499000000000002</v>
      </c>
      <c r="G6762">
        <v>21.486000000000001</v>
      </c>
      <c r="H6762">
        <v>0.64600000000000002</v>
      </c>
      <c r="I6762">
        <v>2.907</v>
      </c>
      <c r="J6762">
        <v>5</v>
      </c>
      <c r="K6762">
        <v>11</v>
      </c>
      <c r="L6762">
        <v>6</v>
      </c>
      <c r="M6762">
        <v>1.222</v>
      </c>
    </row>
    <row r="6763" spans="1:13" ht="15" customHeight="1">
      <c r="A6763" t="s">
        <v>71</v>
      </c>
      <c r="B6763">
        <f t="shared" si="418"/>
        <v>33.696989000000002</v>
      </c>
      <c r="C6763">
        <f t="shared" si="419"/>
        <v>-117.85549399999999</v>
      </c>
      <c r="D6763">
        <f t="shared" si="420"/>
        <v>39</v>
      </c>
      <c r="E6763">
        <v>63.499000000000002</v>
      </c>
      <c r="F6763">
        <f t="shared" si="421"/>
        <v>-24.499000000000002</v>
      </c>
      <c r="G6763">
        <v>38.033000000000001</v>
      </c>
      <c r="H6763">
        <v>1.9970000000000001</v>
      </c>
      <c r="I6763">
        <v>5.2450000000000001</v>
      </c>
      <c r="J6763">
        <v>3</v>
      </c>
      <c r="K6763">
        <v>36</v>
      </c>
      <c r="L6763">
        <v>18</v>
      </c>
      <c r="M6763">
        <v>2.2749999999999999</v>
      </c>
    </row>
    <row r="6764" spans="1:13" ht="15" customHeight="1">
      <c r="A6764" t="s">
        <v>71</v>
      </c>
      <c r="B6764">
        <f t="shared" si="418"/>
        <v>33.696989000000002</v>
      </c>
      <c r="C6764">
        <f t="shared" si="419"/>
        <v>-117.85549399999999</v>
      </c>
      <c r="D6764">
        <f t="shared" si="420"/>
        <v>39</v>
      </c>
      <c r="E6764">
        <v>64.498999999999995</v>
      </c>
      <c r="F6764">
        <f t="shared" si="421"/>
        <v>-25.498999999999995</v>
      </c>
      <c r="G6764">
        <v>24.667000000000002</v>
      </c>
      <c r="H6764">
        <v>1.143</v>
      </c>
      <c r="I6764">
        <v>4.6539999999999999</v>
      </c>
      <c r="J6764">
        <v>3</v>
      </c>
      <c r="K6764">
        <v>24</v>
      </c>
      <c r="L6764">
        <v>12</v>
      </c>
      <c r="M6764">
        <v>1.371</v>
      </c>
    </row>
    <row r="6765" spans="1:13" ht="15" customHeight="1">
      <c r="A6765" t="s">
        <v>71</v>
      </c>
      <c r="B6765">
        <f t="shared" si="418"/>
        <v>33.696989000000002</v>
      </c>
      <c r="C6765">
        <f t="shared" si="419"/>
        <v>-117.85549399999999</v>
      </c>
      <c r="D6765">
        <f t="shared" si="420"/>
        <v>39</v>
      </c>
      <c r="E6765">
        <v>65.498999999999995</v>
      </c>
      <c r="F6765">
        <f t="shared" si="421"/>
        <v>-26.498999999999995</v>
      </c>
      <c r="G6765">
        <v>31.966999999999999</v>
      </c>
      <c r="H6765">
        <v>1.198</v>
      </c>
      <c r="I6765">
        <v>3.7549999999999999</v>
      </c>
      <c r="J6765">
        <v>5</v>
      </c>
      <c r="K6765">
        <v>15</v>
      </c>
      <c r="L6765">
        <v>8</v>
      </c>
      <c r="M6765">
        <v>1.8560000000000001</v>
      </c>
    </row>
    <row r="6766" spans="1:13" ht="15" customHeight="1">
      <c r="A6766" t="s">
        <v>71</v>
      </c>
      <c r="B6766">
        <f t="shared" si="418"/>
        <v>33.696989000000002</v>
      </c>
      <c r="C6766">
        <f t="shared" si="419"/>
        <v>-117.85549399999999</v>
      </c>
      <c r="D6766">
        <f t="shared" si="420"/>
        <v>39</v>
      </c>
      <c r="E6766">
        <v>66.498999999999995</v>
      </c>
      <c r="F6766">
        <f t="shared" si="421"/>
        <v>-27.498999999999995</v>
      </c>
      <c r="G6766">
        <v>28</v>
      </c>
      <c r="H6766">
        <v>0.83</v>
      </c>
      <c r="I6766">
        <v>2.9660000000000002</v>
      </c>
      <c r="J6766">
        <v>5</v>
      </c>
      <c r="K6766">
        <v>13</v>
      </c>
      <c r="L6766">
        <v>7</v>
      </c>
      <c r="M6766">
        <v>1.59</v>
      </c>
    </row>
    <row r="6767" spans="1:13" ht="15" customHeight="1">
      <c r="A6767" t="s">
        <v>71</v>
      </c>
      <c r="B6767">
        <f t="shared" si="418"/>
        <v>33.696989000000002</v>
      </c>
      <c r="C6767">
        <f t="shared" si="419"/>
        <v>-117.85549399999999</v>
      </c>
      <c r="D6767">
        <f t="shared" si="420"/>
        <v>39</v>
      </c>
      <c r="E6767">
        <v>67.498999999999995</v>
      </c>
      <c r="F6767">
        <f t="shared" si="421"/>
        <v>-28.498999999999995</v>
      </c>
      <c r="G6767">
        <v>58.332999999999998</v>
      </c>
      <c r="H6767">
        <v>3.76</v>
      </c>
      <c r="I6767">
        <v>6.444</v>
      </c>
      <c r="J6767">
        <v>3</v>
      </c>
      <c r="K6767">
        <v>56</v>
      </c>
      <c r="L6767">
        <v>28</v>
      </c>
      <c r="M6767">
        <v>3.61</v>
      </c>
    </row>
    <row r="6768" spans="1:13" ht="15" customHeight="1">
      <c r="A6768" t="s">
        <v>71</v>
      </c>
      <c r="B6768">
        <f t="shared" si="418"/>
        <v>33.696989000000002</v>
      </c>
      <c r="C6768">
        <f t="shared" si="419"/>
        <v>-117.85549399999999</v>
      </c>
      <c r="D6768">
        <f t="shared" si="420"/>
        <v>39</v>
      </c>
      <c r="E6768">
        <v>68.498999999999995</v>
      </c>
      <c r="F6768">
        <f t="shared" si="421"/>
        <v>-29.498999999999995</v>
      </c>
      <c r="G6768">
        <v>128.43299999999999</v>
      </c>
      <c r="H6768">
        <v>3.6949999999999998</v>
      </c>
      <c r="I6768">
        <v>2.8780000000000001</v>
      </c>
      <c r="J6768">
        <v>6</v>
      </c>
      <c r="K6768">
        <v>49</v>
      </c>
      <c r="L6768">
        <v>25</v>
      </c>
      <c r="M6768">
        <v>8.2739999999999991</v>
      </c>
    </row>
    <row r="6769" spans="1:13" ht="15" customHeight="1">
      <c r="A6769" t="s">
        <v>71</v>
      </c>
      <c r="B6769">
        <f t="shared" si="418"/>
        <v>33.696989000000002</v>
      </c>
      <c r="C6769">
        <f t="shared" si="419"/>
        <v>-117.85549399999999</v>
      </c>
      <c r="D6769">
        <f t="shared" si="420"/>
        <v>39</v>
      </c>
      <c r="E6769">
        <v>69.498999999999995</v>
      </c>
      <c r="F6769">
        <f t="shared" si="421"/>
        <v>-30.498999999999995</v>
      </c>
      <c r="G6769">
        <v>191.6</v>
      </c>
      <c r="H6769">
        <v>3.4620000000000002</v>
      </c>
      <c r="I6769">
        <v>1.8069999999999999</v>
      </c>
      <c r="J6769">
        <v>8</v>
      </c>
      <c r="K6769">
        <v>46</v>
      </c>
      <c r="L6769">
        <v>23</v>
      </c>
      <c r="M6769" s="1">
        <v>9000000000</v>
      </c>
    </row>
    <row r="6770" spans="1:13" ht="15" customHeight="1">
      <c r="A6770" t="s">
        <v>71</v>
      </c>
      <c r="B6770">
        <f t="shared" si="418"/>
        <v>33.696989000000002</v>
      </c>
      <c r="C6770">
        <f t="shared" si="419"/>
        <v>-117.85549399999999</v>
      </c>
      <c r="D6770">
        <f t="shared" si="420"/>
        <v>39</v>
      </c>
      <c r="E6770">
        <v>70.498999999999995</v>
      </c>
      <c r="F6770">
        <f t="shared" si="421"/>
        <v>-31.498999999999995</v>
      </c>
      <c r="G6770">
        <v>122.6</v>
      </c>
      <c r="H6770">
        <v>2.0699999999999998</v>
      </c>
      <c r="I6770">
        <v>1.6850000000000001</v>
      </c>
      <c r="J6770">
        <v>7</v>
      </c>
      <c r="K6770">
        <v>39</v>
      </c>
      <c r="L6770">
        <v>20</v>
      </c>
      <c r="M6770" s="1">
        <v>9000000000</v>
      </c>
    </row>
    <row r="6771" spans="1:13" ht="15" customHeight="1">
      <c r="A6771" t="s">
        <v>71</v>
      </c>
      <c r="B6771">
        <f t="shared" si="418"/>
        <v>33.696989000000002</v>
      </c>
      <c r="C6771">
        <f t="shared" si="419"/>
        <v>-117.85549399999999</v>
      </c>
      <c r="D6771">
        <f t="shared" si="420"/>
        <v>39</v>
      </c>
      <c r="E6771">
        <v>71.498999999999995</v>
      </c>
      <c r="F6771">
        <f t="shared" si="421"/>
        <v>-32.498999999999995</v>
      </c>
      <c r="G6771">
        <v>38.783000000000001</v>
      </c>
      <c r="H6771">
        <v>0.97699999999999998</v>
      </c>
      <c r="I6771">
        <v>2.431</v>
      </c>
      <c r="J6771">
        <v>6</v>
      </c>
      <c r="K6771">
        <v>15</v>
      </c>
      <c r="L6771">
        <v>8</v>
      </c>
      <c r="M6771">
        <v>2.383</v>
      </c>
    </row>
    <row r="6772" spans="1:13" ht="15" customHeight="1">
      <c r="A6772" t="s">
        <v>71</v>
      </c>
      <c r="B6772">
        <f t="shared" si="418"/>
        <v>33.696989000000002</v>
      </c>
      <c r="C6772">
        <f t="shared" si="419"/>
        <v>-117.85549399999999</v>
      </c>
      <c r="D6772">
        <f t="shared" si="420"/>
        <v>39</v>
      </c>
      <c r="E6772">
        <v>72.498999999999995</v>
      </c>
      <c r="F6772">
        <f t="shared" si="421"/>
        <v>-33.498999999999995</v>
      </c>
      <c r="G6772">
        <v>32.743000000000002</v>
      </c>
      <c r="H6772">
        <v>1.0369999999999999</v>
      </c>
      <c r="I6772">
        <v>2.9889999999999999</v>
      </c>
      <c r="J6772">
        <v>5</v>
      </c>
      <c r="K6772">
        <v>17</v>
      </c>
      <c r="L6772">
        <v>9</v>
      </c>
      <c r="M6772">
        <v>2.0129999999999999</v>
      </c>
    </row>
    <row r="6773" spans="1:13" ht="15" customHeight="1">
      <c r="A6773" t="s">
        <v>71</v>
      </c>
      <c r="B6773">
        <f t="shared" si="418"/>
        <v>33.696989000000002</v>
      </c>
      <c r="C6773">
        <f t="shared" si="419"/>
        <v>-117.85549399999999</v>
      </c>
      <c r="D6773">
        <f t="shared" si="420"/>
        <v>39</v>
      </c>
      <c r="E6773">
        <v>73.498999999999995</v>
      </c>
      <c r="F6773">
        <f t="shared" si="421"/>
        <v>-34.498999999999995</v>
      </c>
      <c r="G6773">
        <v>39.883000000000003</v>
      </c>
      <c r="H6773">
        <v>1.5569999999999999</v>
      </c>
      <c r="I6773">
        <v>3.7509999999999999</v>
      </c>
      <c r="J6773">
        <v>5</v>
      </c>
      <c r="K6773">
        <v>20</v>
      </c>
      <c r="L6773">
        <v>10</v>
      </c>
      <c r="M6773">
        <v>2.4620000000000002</v>
      </c>
    </row>
    <row r="6774" spans="1:13" ht="15" customHeight="1">
      <c r="A6774" t="s">
        <v>71</v>
      </c>
      <c r="B6774">
        <f t="shared" si="418"/>
        <v>33.696989000000002</v>
      </c>
      <c r="C6774">
        <f t="shared" si="419"/>
        <v>-117.85549399999999</v>
      </c>
      <c r="D6774">
        <f t="shared" si="420"/>
        <v>39</v>
      </c>
      <c r="E6774">
        <v>74.498999999999995</v>
      </c>
      <c r="F6774">
        <f t="shared" si="421"/>
        <v>-35.498999999999995</v>
      </c>
      <c r="G6774">
        <v>81.849999999999994</v>
      </c>
      <c r="H6774">
        <v>2.948</v>
      </c>
      <c r="I6774">
        <v>3.5870000000000002</v>
      </c>
      <c r="J6774">
        <v>5</v>
      </c>
      <c r="K6774">
        <v>39</v>
      </c>
      <c r="L6774">
        <v>20</v>
      </c>
      <c r="M6774">
        <v>5.1710000000000003</v>
      </c>
    </row>
    <row r="6775" spans="1:13" ht="15" customHeight="1">
      <c r="A6775" t="s">
        <v>71</v>
      </c>
      <c r="B6775">
        <f t="shared" si="418"/>
        <v>33.696989000000002</v>
      </c>
      <c r="C6775">
        <f t="shared" si="419"/>
        <v>-117.85549399999999</v>
      </c>
      <c r="D6775">
        <f t="shared" si="420"/>
        <v>39</v>
      </c>
      <c r="E6775">
        <v>75.498999999999995</v>
      </c>
      <c r="F6775">
        <f t="shared" si="421"/>
        <v>-36.498999999999995</v>
      </c>
      <c r="G6775">
        <v>80.099999999999994</v>
      </c>
      <c r="H6775">
        <v>2.6930000000000001</v>
      </c>
      <c r="I6775">
        <v>3.3519999999999999</v>
      </c>
      <c r="J6775">
        <v>6</v>
      </c>
      <c r="K6775">
        <v>31</v>
      </c>
      <c r="L6775">
        <v>16</v>
      </c>
      <c r="M6775">
        <v>5.0439999999999996</v>
      </c>
    </row>
    <row r="6776" spans="1:13" ht="15" customHeight="1">
      <c r="A6776" t="s">
        <v>71</v>
      </c>
      <c r="B6776">
        <f t="shared" si="418"/>
        <v>33.696989000000002</v>
      </c>
      <c r="C6776">
        <f t="shared" si="419"/>
        <v>-117.85549399999999</v>
      </c>
      <c r="D6776">
        <f t="shared" si="420"/>
        <v>39</v>
      </c>
      <c r="E6776">
        <v>76.498999999999995</v>
      </c>
      <c r="F6776">
        <f t="shared" si="421"/>
        <v>-37.498999999999995</v>
      </c>
      <c r="G6776">
        <v>235.53299999999999</v>
      </c>
      <c r="H6776">
        <v>2.7149999999999999</v>
      </c>
      <c r="I6776">
        <v>1.151</v>
      </c>
      <c r="J6776">
        <v>9</v>
      </c>
      <c r="K6776">
        <v>45</v>
      </c>
      <c r="L6776">
        <v>23</v>
      </c>
      <c r="M6776" s="1">
        <v>9000000000</v>
      </c>
    </row>
    <row r="6777" spans="1:13" ht="15" customHeight="1">
      <c r="A6777" t="s">
        <v>71</v>
      </c>
      <c r="B6777">
        <f t="shared" si="418"/>
        <v>33.696989000000002</v>
      </c>
      <c r="C6777">
        <f t="shared" si="419"/>
        <v>-117.85549399999999</v>
      </c>
      <c r="D6777">
        <f t="shared" si="420"/>
        <v>39</v>
      </c>
      <c r="E6777">
        <v>77.498999999999995</v>
      </c>
      <c r="F6777">
        <f t="shared" si="421"/>
        <v>-38.498999999999995</v>
      </c>
      <c r="G6777">
        <v>432.25</v>
      </c>
      <c r="H6777">
        <v>2.2829999999999999</v>
      </c>
      <c r="I6777">
        <v>0.52800000000000002</v>
      </c>
      <c r="J6777">
        <v>10</v>
      </c>
      <c r="K6777">
        <v>69</v>
      </c>
      <c r="L6777">
        <v>35</v>
      </c>
      <c r="M6777" s="1">
        <v>9000000000</v>
      </c>
    </row>
    <row r="6778" spans="1:13" ht="15" customHeight="1">
      <c r="A6778" t="s">
        <v>71</v>
      </c>
      <c r="B6778">
        <f t="shared" si="418"/>
        <v>33.696989000000002</v>
      </c>
      <c r="C6778">
        <f t="shared" si="419"/>
        <v>-117.85549399999999</v>
      </c>
      <c r="D6778">
        <f t="shared" si="420"/>
        <v>39</v>
      </c>
      <c r="E6778">
        <v>78.498999999999995</v>
      </c>
      <c r="F6778">
        <f t="shared" si="421"/>
        <v>-39.498999999999995</v>
      </c>
      <c r="G6778">
        <v>98.966999999999999</v>
      </c>
      <c r="H6778">
        <v>1.538</v>
      </c>
      <c r="I6778">
        <v>1.5509999999999999</v>
      </c>
      <c r="J6778">
        <v>7</v>
      </c>
      <c r="K6778">
        <v>32</v>
      </c>
      <c r="L6778">
        <v>16</v>
      </c>
      <c r="M6778" s="1">
        <v>9000000000</v>
      </c>
    </row>
    <row r="6779" spans="1:13" ht="15" customHeight="1">
      <c r="A6779" t="s">
        <v>71</v>
      </c>
      <c r="B6779">
        <f t="shared" si="418"/>
        <v>33.696989000000002</v>
      </c>
      <c r="C6779">
        <f t="shared" si="419"/>
        <v>-117.85549399999999</v>
      </c>
      <c r="D6779">
        <f t="shared" si="420"/>
        <v>39</v>
      </c>
      <c r="E6779">
        <v>79.498999999999995</v>
      </c>
      <c r="F6779">
        <f t="shared" si="421"/>
        <v>-40.498999999999995</v>
      </c>
      <c r="G6779">
        <v>51.033000000000001</v>
      </c>
      <c r="H6779">
        <v>1.742</v>
      </c>
      <c r="I6779">
        <v>3.355</v>
      </c>
      <c r="J6779">
        <v>5</v>
      </c>
      <c r="K6779">
        <v>25</v>
      </c>
      <c r="L6779">
        <v>13</v>
      </c>
      <c r="M6779">
        <v>3.1320000000000001</v>
      </c>
    </row>
    <row r="6780" spans="1:13" ht="15" customHeight="1">
      <c r="A6780" t="s">
        <v>71</v>
      </c>
      <c r="B6780">
        <f t="shared" si="418"/>
        <v>33.696989000000002</v>
      </c>
      <c r="C6780">
        <f t="shared" si="419"/>
        <v>-117.85549399999999</v>
      </c>
      <c r="D6780">
        <f t="shared" si="420"/>
        <v>39</v>
      </c>
      <c r="E6780">
        <v>80.498999999999995</v>
      </c>
      <c r="F6780">
        <f t="shared" si="421"/>
        <v>-41.498999999999995</v>
      </c>
      <c r="G6780">
        <v>40.466999999999999</v>
      </c>
      <c r="H6780">
        <v>1.498</v>
      </c>
      <c r="I6780">
        <v>3.5960000000000001</v>
      </c>
      <c r="J6780">
        <v>5</v>
      </c>
      <c r="K6780">
        <v>20</v>
      </c>
      <c r="L6780">
        <v>10</v>
      </c>
      <c r="M6780">
        <v>2.444</v>
      </c>
    </row>
    <row r="6781" spans="1:13" ht="15" customHeight="1">
      <c r="A6781" t="s">
        <v>71</v>
      </c>
      <c r="B6781">
        <f t="shared" si="418"/>
        <v>33.696989000000002</v>
      </c>
      <c r="C6781">
        <f t="shared" si="419"/>
        <v>-117.85549399999999</v>
      </c>
      <c r="D6781">
        <f t="shared" si="420"/>
        <v>39</v>
      </c>
      <c r="E6781">
        <v>81.498999999999995</v>
      </c>
      <c r="F6781">
        <f t="shared" si="421"/>
        <v>-42.498999999999995</v>
      </c>
      <c r="G6781">
        <v>39.450000000000003</v>
      </c>
      <c r="H6781">
        <v>1.335</v>
      </c>
      <c r="I6781">
        <v>3.2610000000000001</v>
      </c>
      <c r="J6781">
        <v>5</v>
      </c>
      <c r="K6781">
        <v>20</v>
      </c>
      <c r="L6781">
        <v>10</v>
      </c>
      <c r="M6781">
        <v>2.391</v>
      </c>
    </row>
    <row r="6782" spans="1:13" ht="15" customHeight="1">
      <c r="A6782" t="s">
        <v>71</v>
      </c>
      <c r="B6782">
        <f t="shared" si="418"/>
        <v>33.696989000000002</v>
      </c>
      <c r="C6782">
        <f t="shared" si="419"/>
        <v>-117.85549399999999</v>
      </c>
      <c r="D6782">
        <f t="shared" si="420"/>
        <v>39</v>
      </c>
      <c r="E6782">
        <v>82.498999999999995</v>
      </c>
      <c r="F6782">
        <f t="shared" si="421"/>
        <v>-43.498999999999995</v>
      </c>
      <c r="G6782">
        <v>41.1</v>
      </c>
      <c r="H6782">
        <v>2.0329999999999999</v>
      </c>
      <c r="I6782">
        <v>4.7750000000000004</v>
      </c>
      <c r="J6782">
        <v>4</v>
      </c>
      <c r="K6782">
        <v>27</v>
      </c>
      <c r="L6782">
        <v>14</v>
      </c>
      <c r="M6782">
        <v>2.4969999999999999</v>
      </c>
    </row>
    <row r="6783" spans="1:13" ht="15" customHeight="1">
      <c r="A6783" t="s">
        <v>71</v>
      </c>
      <c r="B6783">
        <f t="shared" si="418"/>
        <v>33.696989000000002</v>
      </c>
      <c r="C6783">
        <f t="shared" si="419"/>
        <v>-117.85549399999999</v>
      </c>
      <c r="D6783">
        <f t="shared" si="420"/>
        <v>39</v>
      </c>
      <c r="E6783">
        <v>83.498999999999995</v>
      </c>
      <c r="F6783">
        <f t="shared" si="421"/>
        <v>-44.498999999999995</v>
      </c>
      <c r="G6783">
        <v>28.414000000000001</v>
      </c>
      <c r="H6783">
        <v>1.0529999999999999</v>
      </c>
      <c r="I6783">
        <v>3.4550000000000001</v>
      </c>
      <c r="J6783">
        <v>5</v>
      </c>
      <c r="K6783">
        <v>15</v>
      </c>
      <c r="L6783">
        <v>8</v>
      </c>
      <c r="M6783">
        <v>1.6850000000000001</v>
      </c>
    </row>
    <row r="6784" spans="1:13" ht="15" customHeight="1">
      <c r="A6784" t="s">
        <v>71</v>
      </c>
      <c r="B6784">
        <f t="shared" si="418"/>
        <v>33.696989000000002</v>
      </c>
      <c r="C6784">
        <f t="shared" si="419"/>
        <v>-117.85549399999999</v>
      </c>
      <c r="D6784">
        <f t="shared" si="420"/>
        <v>39</v>
      </c>
      <c r="E6784">
        <v>84.498999999999995</v>
      </c>
      <c r="F6784">
        <f t="shared" si="421"/>
        <v>-45.498999999999995</v>
      </c>
      <c r="G6784">
        <v>70.433000000000007</v>
      </c>
      <c r="H6784">
        <v>2.1349999999999998</v>
      </c>
      <c r="I6784">
        <v>3.008</v>
      </c>
      <c r="J6784">
        <v>6</v>
      </c>
      <c r="K6784">
        <v>27</v>
      </c>
      <c r="L6784">
        <v>14</v>
      </c>
      <c r="M6784">
        <v>4.3819999999999997</v>
      </c>
    </row>
    <row r="6785" spans="1:13" ht="15" customHeight="1">
      <c r="A6785" t="s">
        <v>71</v>
      </c>
      <c r="B6785">
        <f t="shared" si="418"/>
        <v>33.696989000000002</v>
      </c>
      <c r="C6785">
        <f t="shared" si="419"/>
        <v>-117.85549399999999</v>
      </c>
      <c r="D6785">
        <f t="shared" si="420"/>
        <v>39</v>
      </c>
      <c r="E6785">
        <v>85.498999999999995</v>
      </c>
      <c r="F6785">
        <f t="shared" si="421"/>
        <v>-46.498999999999995</v>
      </c>
      <c r="G6785">
        <v>317.96699999999998</v>
      </c>
      <c r="H6785">
        <v>5.835</v>
      </c>
      <c r="I6785">
        <v>1.8340000000000001</v>
      </c>
      <c r="J6785">
        <v>8</v>
      </c>
      <c r="K6785">
        <v>76</v>
      </c>
      <c r="L6785">
        <v>38</v>
      </c>
      <c r="M6785" s="1">
        <v>9000000000</v>
      </c>
    </row>
    <row r="6786" spans="1:13" ht="15" customHeight="1">
      <c r="A6786" t="s">
        <v>71</v>
      </c>
      <c r="B6786">
        <f t="shared" ref="B6786:B6849" si="422">VLOOKUP(A6786,XYdata,3,FALSE)</f>
        <v>33.696989000000002</v>
      </c>
      <c r="C6786">
        <f t="shared" ref="C6786:C6849" si="423">VLOOKUP(A6786,XYdata,2,FALSE)</f>
        <v>-117.85549399999999</v>
      </c>
      <c r="D6786">
        <f t="shared" ref="D6786:D6849" si="424">VLOOKUP(A6786,Elevation,2,FALSE)</f>
        <v>39</v>
      </c>
      <c r="E6786">
        <v>86.498999999999995</v>
      </c>
      <c r="F6786">
        <f t="shared" si="421"/>
        <v>-47.498999999999995</v>
      </c>
      <c r="G6786">
        <v>451.6</v>
      </c>
      <c r="H6786">
        <v>5.508</v>
      </c>
      <c r="I6786">
        <v>1.22</v>
      </c>
      <c r="J6786">
        <v>9</v>
      </c>
      <c r="K6786">
        <v>87</v>
      </c>
      <c r="L6786">
        <v>44</v>
      </c>
      <c r="M6786" s="1">
        <v>9000000000</v>
      </c>
    </row>
    <row r="6787" spans="1:13" ht="15" customHeight="1">
      <c r="A6787" t="s">
        <v>71</v>
      </c>
      <c r="B6787">
        <f t="shared" si="422"/>
        <v>33.696989000000002</v>
      </c>
      <c r="C6787">
        <f t="shared" si="423"/>
        <v>-117.85549399999999</v>
      </c>
      <c r="D6787">
        <f t="shared" si="424"/>
        <v>39</v>
      </c>
      <c r="E6787">
        <v>87.498999999999995</v>
      </c>
      <c r="F6787">
        <f t="shared" ref="F6787:F6850" si="425">D6787-E6787</f>
        <v>-48.498999999999995</v>
      </c>
      <c r="G6787">
        <v>389.43299999999999</v>
      </c>
      <c r="H6787">
        <v>5.3369999999999997</v>
      </c>
      <c r="I6787">
        <v>1.369</v>
      </c>
      <c r="J6787">
        <v>9</v>
      </c>
      <c r="K6787">
        <v>75</v>
      </c>
      <c r="L6787">
        <v>38</v>
      </c>
      <c r="M6787" s="1">
        <v>9000000000</v>
      </c>
    </row>
    <row r="6788" spans="1:13" ht="15" customHeight="1">
      <c r="A6788" t="s">
        <v>71</v>
      </c>
      <c r="B6788">
        <f t="shared" si="422"/>
        <v>33.696989000000002</v>
      </c>
      <c r="C6788">
        <f t="shared" si="423"/>
        <v>-117.85549399999999</v>
      </c>
      <c r="D6788">
        <f t="shared" si="424"/>
        <v>39</v>
      </c>
      <c r="E6788">
        <v>88.498999999999995</v>
      </c>
      <c r="F6788">
        <f t="shared" si="425"/>
        <v>-49.498999999999995</v>
      </c>
      <c r="G6788">
        <v>347.38299999999998</v>
      </c>
      <c r="H6788">
        <v>2.867</v>
      </c>
      <c r="I6788">
        <v>0.82399999999999995</v>
      </c>
      <c r="J6788">
        <v>9</v>
      </c>
      <c r="K6788">
        <v>67</v>
      </c>
      <c r="L6788">
        <v>34</v>
      </c>
      <c r="M6788" s="1">
        <v>9000000000</v>
      </c>
    </row>
    <row r="6789" spans="1:13" ht="15" customHeight="1">
      <c r="A6789" t="s">
        <v>71</v>
      </c>
      <c r="B6789">
        <f t="shared" si="422"/>
        <v>33.696989000000002</v>
      </c>
      <c r="C6789">
        <f t="shared" si="423"/>
        <v>-117.85549399999999</v>
      </c>
      <c r="D6789">
        <f t="shared" si="424"/>
        <v>39</v>
      </c>
      <c r="E6789">
        <v>89.498999999999995</v>
      </c>
      <c r="F6789">
        <f t="shared" si="425"/>
        <v>-50.498999999999995</v>
      </c>
      <c r="G6789">
        <v>281.517</v>
      </c>
      <c r="H6789">
        <v>3.532</v>
      </c>
      <c r="I6789">
        <v>1.254</v>
      </c>
      <c r="J6789">
        <v>9</v>
      </c>
      <c r="K6789">
        <v>54</v>
      </c>
      <c r="L6789">
        <v>27</v>
      </c>
      <c r="M6789" s="1">
        <v>9000000000</v>
      </c>
    </row>
    <row r="6790" spans="1:13" ht="15" customHeight="1">
      <c r="A6790" t="s">
        <v>71</v>
      </c>
      <c r="B6790">
        <f t="shared" si="422"/>
        <v>33.696989000000002</v>
      </c>
      <c r="C6790">
        <f t="shared" si="423"/>
        <v>-117.85549399999999</v>
      </c>
      <c r="D6790">
        <f t="shared" si="424"/>
        <v>39</v>
      </c>
      <c r="E6790">
        <v>90.498999999999995</v>
      </c>
      <c r="F6790">
        <f t="shared" si="425"/>
        <v>-51.498999999999995</v>
      </c>
      <c r="G6790">
        <v>333.43299999999999</v>
      </c>
      <c r="H6790">
        <v>4.84</v>
      </c>
      <c r="I6790">
        <v>1.4510000000000001</v>
      </c>
      <c r="J6790">
        <v>9</v>
      </c>
      <c r="K6790">
        <v>64</v>
      </c>
      <c r="L6790">
        <v>32</v>
      </c>
      <c r="M6790" s="1">
        <v>9000000000</v>
      </c>
    </row>
    <row r="6791" spans="1:13" ht="15" customHeight="1">
      <c r="A6791" t="s">
        <v>71</v>
      </c>
      <c r="B6791">
        <f t="shared" si="422"/>
        <v>33.696989000000002</v>
      </c>
      <c r="C6791">
        <f t="shared" si="423"/>
        <v>-117.85549399999999</v>
      </c>
      <c r="D6791">
        <f t="shared" si="424"/>
        <v>39</v>
      </c>
      <c r="E6791">
        <v>91.498999999999995</v>
      </c>
      <c r="F6791">
        <f t="shared" si="425"/>
        <v>-52.498999999999995</v>
      </c>
      <c r="G6791">
        <v>404.15</v>
      </c>
      <c r="H6791">
        <v>3.323</v>
      </c>
      <c r="I6791">
        <v>0.82199999999999995</v>
      </c>
      <c r="J6791">
        <v>10</v>
      </c>
      <c r="K6791">
        <v>65</v>
      </c>
      <c r="L6791">
        <v>33</v>
      </c>
      <c r="M6791" s="1">
        <v>9000000000</v>
      </c>
    </row>
    <row r="6792" spans="1:13" ht="15" customHeight="1">
      <c r="A6792" t="s">
        <v>71</v>
      </c>
      <c r="B6792">
        <f t="shared" si="422"/>
        <v>33.696989000000002</v>
      </c>
      <c r="C6792">
        <f t="shared" si="423"/>
        <v>-117.85549399999999</v>
      </c>
      <c r="D6792">
        <f t="shared" si="424"/>
        <v>39</v>
      </c>
      <c r="E6792">
        <v>92.498999999999995</v>
      </c>
      <c r="F6792">
        <f t="shared" si="425"/>
        <v>-53.498999999999995</v>
      </c>
      <c r="G6792">
        <v>306.85000000000002</v>
      </c>
      <c r="H6792">
        <v>2.488</v>
      </c>
      <c r="I6792">
        <v>0.81100000000000005</v>
      </c>
      <c r="J6792">
        <v>9</v>
      </c>
      <c r="K6792">
        <v>59</v>
      </c>
      <c r="L6792">
        <v>30</v>
      </c>
      <c r="M6792" s="1">
        <v>9000000000</v>
      </c>
    </row>
    <row r="6793" spans="1:13" ht="15" customHeight="1">
      <c r="A6793" t="s">
        <v>71</v>
      </c>
      <c r="B6793">
        <f t="shared" si="422"/>
        <v>33.696989000000002</v>
      </c>
      <c r="C6793">
        <f t="shared" si="423"/>
        <v>-117.85549399999999</v>
      </c>
      <c r="D6793">
        <f t="shared" si="424"/>
        <v>39</v>
      </c>
      <c r="E6793">
        <v>93.498999999999995</v>
      </c>
      <c r="F6793">
        <f t="shared" si="425"/>
        <v>-54.498999999999995</v>
      </c>
      <c r="G6793">
        <v>179.77099999999999</v>
      </c>
      <c r="H6793">
        <v>2.7069999999999999</v>
      </c>
      <c r="I6793">
        <v>1.5069999999999999</v>
      </c>
      <c r="J6793">
        <v>8</v>
      </c>
      <c r="K6793">
        <v>43</v>
      </c>
      <c r="L6793">
        <v>22</v>
      </c>
      <c r="M6793" s="1">
        <v>9000000000</v>
      </c>
    </row>
    <row r="6794" spans="1:13" ht="15" customHeight="1">
      <c r="A6794" t="s">
        <v>71</v>
      </c>
      <c r="B6794">
        <f t="shared" si="422"/>
        <v>33.696989000000002</v>
      </c>
      <c r="C6794">
        <f t="shared" si="423"/>
        <v>-117.85549399999999</v>
      </c>
      <c r="D6794">
        <f t="shared" si="424"/>
        <v>39</v>
      </c>
      <c r="E6794">
        <v>94.498999999999995</v>
      </c>
      <c r="F6794">
        <f t="shared" si="425"/>
        <v>-55.498999999999995</v>
      </c>
      <c r="G6794">
        <v>133.5</v>
      </c>
      <c r="H6794">
        <v>2.9849999999999999</v>
      </c>
      <c r="I6794">
        <v>2.2370000000000001</v>
      </c>
      <c r="J6794">
        <v>7</v>
      </c>
      <c r="K6794">
        <v>43</v>
      </c>
      <c r="L6794">
        <v>22</v>
      </c>
      <c r="M6794" s="1">
        <v>9000000000</v>
      </c>
    </row>
    <row r="6795" spans="1:13" ht="15" customHeight="1">
      <c r="A6795" t="s">
        <v>71</v>
      </c>
      <c r="B6795">
        <f t="shared" si="422"/>
        <v>33.696989000000002</v>
      </c>
      <c r="C6795">
        <f t="shared" si="423"/>
        <v>-117.85549399999999</v>
      </c>
      <c r="D6795">
        <f t="shared" si="424"/>
        <v>39</v>
      </c>
      <c r="E6795">
        <v>95.498999999999995</v>
      </c>
      <c r="F6795">
        <f t="shared" si="425"/>
        <v>-56.498999999999995</v>
      </c>
      <c r="G6795">
        <v>84.216999999999999</v>
      </c>
      <c r="H6795">
        <v>3.39</v>
      </c>
      <c r="I6795">
        <v>4.0250000000000004</v>
      </c>
      <c r="J6795">
        <v>5</v>
      </c>
      <c r="K6795">
        <v>40</v>
      </c>
      <c r="L6795">
        <v>20</v>
      </c>
      <c r="M6795">
        <v>5.2190000000000003</v>
      </c>
    </row>
    <row r="6796" spans="1:13" ht="15" customHeight="1">
      <c r="A6796" t="s">
        <v>71</v>
      </c>
      <c r="B6796">
        <f t="shared" si="422"/>
        <v>33.696989000000002</v>
      </c>
      <c r="C6796">
        <f t="shared" si="423"/>
        <v>-117.85549399999999</v>
      </c>
      <c r="D6796">
        <f t="shared" si="424"/>
        <v>39</v>
      </c>
      <c r="E6796">
        <v>96.498999999999995</v>
      </c>
      <c r="F6796">
        <f t="shared" si="425"/>
        <v>-57.498999999999995</v>
      </c>
      <c r="G6796">
        <v>154.19999999999999</v>
      </c>
      <c r="H6796">
        <v>3.9020000000000001</v>
      </c>
      <c r="I6796">
        <v>2.5299999999999998</v>
      </c>
      <c r="J6796">
        <v>7</v>
      </c>
      <c r="K6796">
        <v>49</v>
      </c>
      <c r="L6796">
        <v>25</v>
      </c>
      <c r="M6796" s="1">
        <v>9000000000</v>
      </c>
    </row>
    <row r="6797" spans="1:13" ht="15" customHeight="1">
      <c r="A6797" t="s">
        <v>71</v>
      </c>
      <c r="B6797">
        <f t="shared" si="422"/>
        <v>33.696989000000002</v>
      </c>
      <c r="C6797">
        <f t="shared" si="423"/>
        <v>-117.85549399999999</v>
      </c>
      <c r="D6797">
        <f t="shared" si="424"/>
        <v>39</v>
      </c>
      <c r="E6797">
        <v>97.498999999999995</v>
      </c>
      <c r="F6797">
        <f t="shared" si="425"/>
        <v>-58.498999999999995</v>
      </c>
      <c r="G6797">
        <v>121.383</v>
      </c>
      <c r="H6797">
        <v>3.6829999999999998</v>
      </c>
      <c r="I6797">
        <v>3.0339999999999998</v>
      </c>
      <c r="J6797">
        <v>6</v>
      </c>
      <c r="K6797">
        <v>47</v>
      </c>
      <c r="L6797">
        <v>24</v>
      </c>
      <c r="M6797">
        <v>7.6879999999999997</v>
      </c>
    </row>
    <row r="6798" spans="1:13" ht="15" customHeight="1">
      <c r="A6798" t="s">
        <v>71</v>
      </c>
      <c r="B6798">
        <f t="shared" si="422"/>
        <v>33.696989000000002</v>
      </c>
      <c r="C6798">
        <f t="shared" si="423"/>
        <v>-117.85549399999999</v>
      </c>
      <c r="D6798">
        <f t="shared" si="424"/>
        <v>39</v>
      </c>
      <c r="E6798">
        <v>98.498999999999995</v>
      </c>
      <c r="F6798">
        <f t="shared" si="425"/>
        <v>-59.498999999999995</v>
      </c>
      <c r="G6798">
        <v>101.467</v>
      </c>
      <c r="H6798">
        <v>3.4569999999999999</v>
      </c>
      <c r="I6798">
        <v>3.4079999999999999</v>
      </c>
      <c r="J6798">
        <v>6</v>
      </c>
      <c r="K6798">
        <v>39</v>
      </c>
      <c r="L6798">
        <v>20</v>
      </c>
      <c r="M6798">
        <v>6.3540000000000001</v>
      </c>
    </row>
    <row r="6799" spans="1:13" ht="15" customHeight="1">
      <c r="A6799" t="s">
        <v>71</v>
      </c>
      <c r="B6799">
        <f t="shared" si="422"/>
        <v>33.696989000000002</v>
      </c>
      <c r="C6799">
        <f t="shared" si="423"/>
        <v>-117.85549399999999</v>
      </c>
      <c r="D6799">
        <f t="shared" si="424"/>
        <v>39</v>
      </c>
      <c r="E6799">
        <v>99.498999999999995</v>
      </c>
      <c r="F6799">
        <f t="shared" si="425"/>
        <v>-60.498999999999995</v>
      </c>
      <c r="G6799">
        <v>182.71700000000001</v>
      </c>
      <c r="H6799">
        <v>3.0779999999999998</v>
      </c>
      <c r="I6799">
        <v>1.6850000000000001</v>
      </c>
      <c r="J6799">
        <v>8</v>
      </c>
      <c r="K6799">
        <v>44</v>
      </c>
      <c r="L6799">
        <v>22</v>
      </c>
      <c r="M6799" s="1">
        <v>9000000000</v>
      </c>
    </row>
    <row r="6800" spans="1:13" ht="15" customHeight="1">
      <c r="A6800" t="s">
        <v>71</v>
      </c>
      <c r="B6800">
        <f t="shared" si="422"/>
        <v>33.696989000000002</v>
      </c>
      <c r="C6800">
        <f t="shared" si="423"/>
        <v>-117.85549399999999</v>
      </c>
      <c r="D6800">
        <f t="shared" si="424"/>
        <v>39</v>
      </c>
      <c r="E6800">
        <v>100.499</v>
      </c>
      <c r="F6800">
        <f t="shared" si="425"/>
        <v>-61.498999999999995</v>
      </c>
      <c r="G6800">
        <v>68.099999999999994</v>
      </c>
      <c r="H6800">
        <v>2.31</v>
      </c>
      <c r="I6800">
        <v>3.3940000000000001</v>
      </c>
      <c r="J6800">
        <v>6</v>
      </c>
      <c r="K6800">
        <v>26</v>
      </c>
      <c r="L6800">
        <v>13</v>
      </c>
      <c r="M6800">
        <v>4.1210000000000004</v>
      </c>
    </row>
    <row r="6801" spans="1:13" ht="15" customHeight="1">
      <c r="A6801" t="s">
        <v>71</v>
      </c>
      <c r="B6801">
        <f t="shared" si="422"/>
        <v>33.696989000000002</v>
      </c>
      <c r="C6801">
        <f t="shared" si="423"/>
        <v>-117.85549399999999</v>
      </c>
      <c r="D6801">
        <f t="shared" si="424"/>
        <v>39</v>
      </c>
      <c r="E6801">
        <v>101.499</v>
      </c>
      <c r="F6801">
        <f t="shared" si="425"/>
        <v>-62.498999999999995</v>
      </c>
      <c r="G6801">
        <v>43.466999999999999</v>
      </c>
      <c r="H6801">
        <v>1.5069999999999999</v>
      </c>
      <c r="I6801">
        <v>3.4609999999999999</v>
      </c>
      <c r="J6801">
        <v>5</v>
      </c>
      <c r="K6801">
        <v>21</v>
      </c>
      <c r="L6801">
        <v>11</v>
      </c>
      <c r="M6801">
        <v>2.4809999999999999</v>
      </c>
    </row>
    <row r="6802" spans="1:13" ht="15" customHeight="1">
      <c r="A6802" t="s">
        <v>71</v>
      </c>
      <c r="B6802">
        <f t="shared" si="422"/>
        <v>33.696989000000002</v>
      </c>
      <c r="C6802">
        <f t="shared" si="423"/>
        <v>-117.85549399999999</v>
      </c>
      <c r="D6802">
        <f t="shared" si="424"/>
        <v>39</v>
      </c>
      <c r="E6802">
        <v>102.499</v>
      </c>
      <c r="F6802">
        <f t="shared" si="425"/>
        <v>-63.498999999999995</v>
      </c>
      <c r="G6802">
        <v>34.067</v>
      </c>
      <c r="H6802">
        <v>1.2569999999999999</v>
      </c>
      <c r="I6802">
        <v>3.6739999999999999</v>
      </c>
      <c r="J6802">
        <v>5</v>
      </c>
      <c r="K6802">
        <v>16</v>
      </c>
      <c r="L6802">
        <v>8</v>
      </c>
      <c r="M6802">
        <v>1.855</v>
      </c>
    </row>
    <row r="6803" spans="1:13" ht="15" customHeight="1">
      <c r="A6803" t="s">
        <v>71</v>
      </c>
      <c r="B6803">
        <f t="shared" si="422"/>
        <v>33.696989000000002</v>
      </c>
      <c r="C6803">
        <f t="shared" si="423"/>
        <v>-117.85549399999999</v>
      </c>
      <c r="D6803">
        <f t="shared" si="424"/>
        <v>39</v>
      </c>
      <c r="E6803">
        <v>103.499</v>
      </c>
      <c r="F6803">
        <f t="shared" si="425"/>
        <v>-64.498999999999995</v>
      </c>
      <c r="G6803">
        <v>33.933</v>
      </c>
      <c r="H6803">
        <v>1.1779999999999999</v>
      </c>
      <c r="I6803">
        <v>3.4289999999999998</v>
      </c>
      <c r="J6803">
        <v>5</v>
      </c>
      <c r="K6803">
        <v>16</v>
      </c>
      <c r="L6803">
        <v>8</v>
      </c>
      <c r="M6803">
        <v>1.8620000000000001</v>
      </c>
    </row>
    <row r="6804" spans="1:13" ht="15" customHeight="1">
      <c r="A6804" t="s">
        <v>71</v>
      </c>
      <c r="B6804">
        <f t="shared" si="422"/>
        <v>33.696989000000002</v>
      </c>
      <c r="C6804">
        <f t="shared" si="423"/>
        <v>-117.85549399999999</v>
      </c>
      <c r="D6804">
        <f t="shared" si="424"/>
        <v>39</v>
      </c>
      <c r="E6804">
        <v>104.499</v>
      </c>
      <c r="F6804">
        <f t="shared" si="425"/>
        <v>-65.498999999999995</v>
      </c>
      <c r="G6804">
        <v>70.257000000000005</v>
      </c>
      <c r="H6804">
        <v>1.9830000000000001</v>
      </c>
      <c r="I6804">
        <v>2.8</v>
      </c>
      <c r="J6804">
        <v>6</v>
      </c>
      <c r="K6804">
        <v>27</v>
      </c>
      <c r="L6804">
        <v>14</v>
      </c>
      <c r="M6804">
        <v>4.2880000000000003</v>
      </c>
    </row>
    <row r="6805" spans="1:13" ht="15" customHeight="1">
      <c r="A6805" t="s">
        <v>71</v>
      </c>
      <c r="B6805">
        <f t="shared" si="422"/>
        <v>33.696989000000002</v>
      </c>
      <c r="C6805">
        <f t="shared" si="423"/>
        <v>-117.85549399999999</v>
      </c>
      <c r="D6805">
        <f t="shared" si="424"/>
        <v>39</v>
      </c>
      <c r="E6805">
        <v>105.499</v>
      </c>
      <c r="F6805">
        <f t="shared" si="425"/>
        <v>-66.498999999999995</v>
      </c>
      <c r="G6805">
        <v>29.45</v>
      </c>
      <c r="H6805">
        <v>0.96299999999999997</v>
      </c>
      <c r="I6805">
        <v>3.2290000000000001</v>
      </c>
      <c r="J6805">
        <v>5</v>
      </c>
      <c r="K6805">
        <v>14</v>
      </c>
      <c r="L6805">
        <v>7</v>
      </c>
      <c r="M6805">
        <v>1.5509999999999999</v>
      </c>
    </row>
    <row r="6806" spans="1:13" ht="15" customHeight="1">
      <c r="A6806" t="s">
        <v>71</v>
      </c>
      <c r="B6806">
        <f t="shared" si="422"/>
        <v>33.696989000000002</v>
      </c>
      <c r="C6806">
        <f t="shared" si="423"/>
        <v>-117.85549399999999</v>
      </c>
      <c r="D6806">
        <f t="shared" si="424"/>
        <v>39</v>
      </c>
      <c r="E6806">
        <v>106.499</v>
      </c>
      <c r="F6806">
        <f t="shared" si="425"/>
        <v>-67.498999999999995</v>
      </c>
      <c r="G6806">
        <v>31.516999999999999</v>
      </c>
      <c r="H6806">
        <v>1.0449999999999999</v>
      </c>
      <c r="I6806">
        <v>3.17</v>
      </c>
      <c r="J6806">
        <v>5</v>
      </c>
      <c r="K6806">
        <v>16</v>
      </c>
      <c r="L6806">
        <v>8</v>
      </c>
      <c r="M6806">
        <v>1.756</v>
      </c>
    </row>
    <row r="6807" spans="1:13" ht="15" customHeight="1">
      <c r="A6807" t="s">
        <v>71</v>
      </c>
      <c r="B6807">
        <f t="shared" si="422"/>
        <v>33.696989000000002</v>
      </c>
      <c r="C6807">
        <f t="shared" si="423"/>
        <v>-117.85549399999999</v>
      </c>
      <c r="D6807">
        <f t="shared" si="424"/>
        <v>39</v>
      </c>
      <c r="E6807">
        <v>107.499</v>
      </c>
      <c r="F6807">
        <f t="shared" si="425"/>
        <v>-68.498999999999995</v>
      </c>
      <c r="G6807">
        <v>31.5</v>
      </c>
      <c r="H6807">
        <v>1.1000000000000001</v>
      </c>
      <c r="I6807">
        <v>3.3119999999999998</v>
      </c>
      <c r="J6807">
        <v>5</v>
      </c>
      <c r="K6807">
        <v>16</v>
      </c>
      <c r="L6807">
        <v>8</v>
      </c>
      <c r="M6807">
        <v>1.768</v>
      </c>
    </row>
    <row r="6808" spans="1:13" ht="15" customHeight="1">
      <c r="A6808" t="s">
        <v>71</v>
      </c>
      <c r="B6808">
        <f t="shared" si="422"/>
        <v>33.696989000000002</v>
      </c>
      <c r="C6808">
        <f t="shared" si="423"/>
        <v>-117.85549399999999</v>
      </c>
      <c r="D6808">
        <f t="shared" si="424"/>
        <v>39</v>
      </c>
      <c r="E6808">
        <v>108.499</v>
      </c>
      <c r="F6808">
        <f t="shared" si="425"/>
        <v>-69.498999999999995</v>
      </c>
      <c r="G6808">
        <v>30.082999999999998</v>
      </c>
      <c r="H6808">
        <v>1.0780000000000001</v>
      </c>
      <c r="I6808">
        <v>3.407</v>
      </c>
      <c r="J6808">
        <v>5</v>
      </c>
      <c r="K6808">
        <v>15</v>
      </c>
      <c r="L6808">
        <v>8</v>
      </c>
      <c r="M6808">
        <v>1.66</v>
      </c>
    </row>
    <row r="6809" spans="1:13" ht="15" customHeight="1">
      <c r="A6809" t="s">
        <v>71</v>
      </c>
      <c r="B6809">
        <f t="shared" si="422"/>
        <v>33.696989000000002</v>
      </c>
      <c r="C6809">
        <f t="shared" si="423"/>
        <v>-117.85549399999999</v>
      </c>
      <c r="D6809">
        <f t="shared" si="424"/>
        <v>39</v>
      </c>
      <c r="E6809">
        <v>109.499</v>
      </c>
      <c r="F6809">
        <f t="shared" si="425"/>
        <v>-70.498999999999995</v>
      </c>
      <c r="G6809">
        <v>33.299999999999997</v>
      </c>
      <c r="H6809">
        <v>1.4019999999999999</v>
      </c>
      <c r="I6809">
        <v>4.032</v>
      </c>
      <c r="J6809">
        <v>4</v>
      </c>
      <c r="K6809">
        <v>22</v>
      </c>
      <c r="L6809">
        <v>11</v>
      </c>
      <c r="M6809">
        <v>1.863</v>
      </c>
    </row>
    <row r="6810" spans="1:13" ht="15" customHeight="1">
      <c r="A6810" t="s">
        <v>71</v>
      </c>
      <c r="B6810">
        <f t="shared" si="422"/>
        <v>33.696989000000002</v>
      </c>
      <c r="C6810">
        <f t="shared" si="423"/>
        <v>-117.85549399999999</v>
      </c>
      <c r="D6810">
        <f t="shared" si="424"/>
        <v>39</v>
      </c>
      <c r="E6810">
        <v>110.499</v>
      </c>
      <c r="F6810">
        <f t="shared" si="425"/>
        <v>-71.498999999999995</v>
      </c>
      <c r="G6810">
        <v>33.667000000000002</v>
      </c>
      <c r="H6810">
        <v>1.3480000000000001</v>
      </c>
      <c r="I6810">
        <v>3.8759999999999999</v>
      </c>
      <c r="J6810">
        <v>5</v>
      </c>
      <c r="K6810">
        <v>17</v>
      </c>
      <c r="L6810">
        <v>9</v>
      </c>
      <c r="M6810">
        <v>1.86</v>
      </c>
    </row>
    <row r="6811" spans="1:13" ht="15" customHeight="1">
      <c r="A6811" t="s">
        <v>71</v>
      </c>
      <c r="B6811">
        <f t="shared" si="422"/>
        <v>33.696989000000002</v>
      </c>
      <c r="C6811">
        <f t="shared" si="423"/>
        <v>-117.85549399999999</v>
      </c>
      <c r="D6811">
        <f t="shared" si="424"/>
        <v>39</v>
      </c>
      <c r="E6811">
        <v>111.499</v>
      </c>
      <c r="F6811">
        <f t="shared" si="425"/>
        <v>-72.498999999999995</v>
      </c>
      <c r="G6811">
        <v>30.683</v>
      </c>
      <c r="H6811">
        <v>1.2669999999999999</v>
      </c>
      <c r="I6811">
        <v>3.9620000000000002</v>
      </c>
      <c r="J6811">
        <v>4</v>
      </c>
      <c r="K6811">
        <v>20</v>
      </c>
      <c r="L6811">
        <v>10</v>
      </c>
      <c r="M6811">
        <v>1.6679999999999999</v>
      </c>
    </row>
    <row r="6812" spans="1:13" ht="15" customHeight="1">
      <c r="A6812" t="s">
        <v>71</v>
      </c>
      <c r="B6812">
        <f t="shared" si="422"/>
        <v>33.696989000000002</v>
      </c>
      <c r="C6812">
        <f t="shared" si="423"/>
        <v>-117.85549399999999</v>
      </c>
      <c r="D6812">
        <f t="shared" si="424"/>
        <v>39</v>
      </c>
      <c r="E6812">
        <v>112.499</v>
      </c>
      <c r="F6812">
        <f t="shared" si="425"/>
        <v>-73.498999999999995</v>
      </c>
      <c r="G6812">
        <v>31.466999999999999</v>
      </c>
      <c r="H6812">
        <v>1.5580000000000001</v>
      </c>
      <c r="I6812">
        <v>4.79</v>
      </c>
      <c r="J6812">
        <v>3</v>
      </c>
      <c r="K6812">
        <v>31</v>
      </c>
      <c r="L6812">
        <v>16</v>
      </c>
      <c r="M6812">
        <v>1.702</v>
      </c>
    </row>
    <row r="6813" spans="1:13" ht="15" customHeight="1">
      <c r="A6813" t="s">
        <v>71</v>
      </c>
      <c r="B6813">
        <f t="shared" si="422"/>
        <v>33.696989000000002</v>
      </c>
      <c r="C6813">
        <f t="shared" si="423"/>
        <v>-117.85549399999999</v>
      </c>
      <c r="D6813">
        <f t="shared" si="424"/>
        <v>39</v>
      </c>
      <c r="E6813">
        <v>113.499</v>
      </c>
      <c r="F6813">
        <f t="shared" si="425"/>
        <v>-74.498999999999995</v>
      </c>
      <c r="G6813">
        <v>29.233000000000001</v>
      </c>
      <c r="H6813">
        <v>1.278</v>
      </c>
      <c r="I6813">
        <v>4.1280000000000001</v>
      </c>
      <c r="J6813">
        <v>4</v>
      </c>
      <c r="K6813">
        <v>20</v>
      </c>
      <c r="L6813">
        <v>10</v>
      </c>
      <c r="M6813">
        <v>1.593</v>
      </c>
    </row>
    <row r="6814" spans="1:13" ht="15" customHeight="1">
      <c r="A6814" t="s">
        <v>71</v>
      </c>
      <c r="B6814">
        <f t="shared" si="422"/>
        <v>33.696989000000002</v>
      </c>
      <c r="C6814">
        <f t="shared" si="423"/>
        <v>-117.85549399999999</v>
      </c>
      <c r="D6814">
        <f t="shared" si="424"/>
        <v>39</v>
      </c>
      <c r="E6814">
        <v>114.499</v>
      </c>
      <c r="F6814">
        <f t="shared" si="425"/>
        <v>-75.498999999999995</v>
      </c>
      <c r="G6814">
        <v>31.343</v>
      </c>
      <c r="H6814">
        <v>1.34</v>
      </c>
      <c r="I6814">
        <v>4.0259999999999998</v>
      </c>
      <c r="J6814">
        <v>4</v>
      </c>
      <c r="K6814">
        <v>21</v>
      </c>
      <c r="L6814">
        <v>11</v>
      </c>
      <c r="M6814">
        <v>1.744</v>
      </c>
    </row>
    <row r="6815" spans="1:13" ht="15" customHeight="1">
      <c r="A6815" t="s">
        <v>71</v>
      </c>
      <c r="B6815">
        <f t="shared" si="422"/>
        <v>33.696989000000002</v>
      </c>
      <c r="C6815">
        <f t="shared" si="423"/>
        <v>-117.85549399999999</v>
      </c>
      <c r="D6815">
        <f t="shared" si="424"/>
        <v>39</v>
      </c>
      <c r="E6815">
        <v>115.499</v>
      </c>
      <c r="F6815">
        <f t="shared" si="425"/>
        <v>-76.498999999999995</v>
      </c>
      <c r="G6815">
        <v>32.417000000000002</v>
      </c>
      <c r="H6815">
        <v>1.4470000000000001</v>
      </c>
      <c r="I6815">
        <v>4.1970000000000001</v>
      </c>
      <c r="J6815">
        <v>4</v>
      </c>
      <c r="K6815">
        <v>22</v>
      </c>
      <c r="L6815">
        <v>11</v>
      </c>
      <c r="M6815">
        <v>1.8180000000000001</v>
      </c>
    </row>
    <row r="6816" spans="1:13" ht="15" customHeight="1">
      <c r="A6816" t="s">
        <v>71</v>
      </c>
      <c r="B6816">
        <f t="shared" si="422"/>
        <v>33.696989000000002</v>
      </c>
      <c r="C6816">
        <f t="shared" si="423"/>
        <v>-117.85549399999999</v>
      </c>
      <c r="D6816">
        <f t="shared" si="424"/>
        <v>39</v>
      </c>
      <c r="E6816">
        <v>116.499</v>
      </c>
      <c r="F6816">
        <f t="shared" si="425"/>
        <v>-77.498999999999995</v>
      </c>
      <c r="G6816">
        <v>33.433</v>
      </c>
      <c r="H6816">
        <v>1.4550000000000001</v>
      </c>
      <c r="I6816">
        <v>4.0739999999999998</v>
      </c>
      <c r="J6816">
        <v>4</v>
      </c>
      <c r="K6816">
        <v>23</v>
      </c>
      <c r="L6816">
        <v>12</v>
      </c>
      <c r="M6816">
        <v>1.897</v>
      </c>
    </row>
    <row r="6817" spans="1:13" ht="15" customHeight="1">
      <c r="A6817" t="s">
        <v>71</v>
      </c>
      <c r="B6817">
        <f t="shared" si="422"/>
        <v>33.696989000000002</v>
      </c>
      <c r="C6817">
        <f t="shared" si="423"/>
        <v>-117.85549399999999</v>
      </c>
      <c r="D6817">
        <f t="shared" si="424"/>
        <v>39</v>
      </c>
      <c r="E6817">
        <v>117.498</v>
      </c>
      <c r="F6817">
        <f t="shared" si="425"/>
        <v>-78.498000000000005</v>
      </c>
      <c r="G6817">
        <v>36.433</v>
      </c>
      <c r="H6817">
        <v>1.712</v>
      </c>
      <c r="I6817">
        <v>4.4400000000000004</v>
      </c>
      <c r="J6817">
        <v>4</v>
      </c>
      <c r="K6817">
        <v>25</v>
      </c>
      <c r="L6817">
        <v>13</v>
      </c>
      <c r="M6817">
        <v>2.0819999999999999</v>
      </c>
    </row>
    <row r="6818" spans="1:13" ht="15" customHeight="1">
      <c r="A6818" t="s">
        <v>71</v>
      </c>
      <c r="B6818">
        <f t="shared" si="422"/>
        <v>33.696989000000002</v>
      </c>
      <c r="C6818">
        <f t="shared" si="423"/>
        <v>-117.85549399999999</v>
      </c>
      <c r="D6818">
        <f t="shared" si="424"/>
        <v>39</v>
      </c>
      <c r="E6818">
        <v>118.498</v>
      </c>
      <c r="F6818">
        <f t="shared" si="425"/>
        <v>-79.498000000000005</v>
      </c>
      <c r="G6818">
        <v>36.232999999999997</v>
      </c>
      <c r="H6818">
        <v>1.6930000000000001</v>
      </c>
      <c r="I6818">
        <v>4.468</v>
      </c>
      <c r="J6818">
        <v>4</v>
      </c>
      <c r="K6818">
        <v>24</v>
      </c>
      <c r="L6818">
        <v>12</v>
      </c>
      <c r="M6818">
        <v>2.0350000000000001</v>
      </c>
    </row>
    <row r="6819" spans="1:13" ht="15" customHeight="1">
      <c r="A6819" t="s">
        <v>71</v>
      </c>
      <c r="B6819">
        <f t="shared" si="422"/>
        <v>33.696989000000002</v>
      </c>
      <c r="C6819">
        <f t="shared" si="423"/>
        <v>-117.85549399999999</v>
      </c>
      <c r="D6819">
        <f t="shared" si="424"/>
        <v>39</v>
      </c>
      <c r="E6819">
        <v>119.498</v>
      </c>
      <c r="F6819">
        <f t="shared" si="425"/>
        <v>-80.498000000000005</v>
      </c>
      <c r="G6819">
        <v>32.933</v>
      </c>
      <c r="H6819">
        <v>1.35</v>
      </c>
      <c r="I6819">
        <v>3.81</v>
      </c>
      <c r="J6819">
        <v>5</v>
      </c>
      <c r="K6819">
        <v>17</v>
      </c>
      <c r="L6819">
        <v>9</v>
      </c>
      <c r="M6819">
        <v>1.8660000000000001</v>
      </c>
    </row>
    <row r="6820" spans="1:13" ht="15" customHeight="1">
      <c r="A6820" t="s">
        <v>71</v>
      </c>
      <c r="B6820">
        <f t="shared" si="422"/>
        <v>33.696989000000002</v>
      </c>
      <c r="C6820">
        <f t="shared" si="423"/>
        <v>-117.85549399999999</v>
      </c>
      <c r="D6820">
        <f t="shared" si="424"/>
        <v>39</v>
      </c>
      <c r="E6820">
        <v>120.498</v>
      </c>
      <c r="F6820">
        <f t="shared" si="425"/>
        <v>-81.498000000000005</v>
      </c>
      <c r="G6820">
        <v>32.85</v>
      </c>
      <c r="H6820">
        <v>1.3220000000000001</v>
      </c>
      <c r="I6820">
        <v>3.734</v>
      </c>
      <c r="J6820">
        <v>5</v>
      </c>
      <c r="K6820">
        <v>17</v>
      </c>
      <c r="L6820">
        <v>9</v>
      </c>
      <c r="M6820">
        <v>1.86</v>
      </c>
    </row>
    <row r="6821" spans="1:13" ht="15" customHeight="1">
      <c r="A6821" t="s">
        <v>71</v>
      </c>
      <c r="B6821">
        <f t="shared" si="422"/>
        <v>33.696989000000002</v>
      </c>
      <c r="C6821">
        <f t="shared" si="423"/>
        <v>-117.85549399999999</v>
      </c>
      <c r="D6821">
        <f t="shared" si="424"/>
        <v>39</v>
      </c>
      <c r="E6821">
        <v>121.498</v>
      </c>
      <c r="F6821">
        <f t="shared" si="425"/>
        <v>-82.498000000000005</v>
      </c>
      <c r="G6821">
        <v>36.832999999999998</v>
      </c>
      <c r="H6821">
        <v>1.6679999999999999</v>
      </c>
      <c r="I6821">
        <v>4.3310000000000004</v>
      </c>
      <c r="J6821">
        <v>4</v>
      </c>
      <c r="K6821">
        <v>25</v>
      </c>
      <c r="L6821">
        <v>13</v>
      </c>
      <c r="M6821">
        <v>2.0630000000000002</v>
      </c>
    </row>
    <row r="6822" spans="1:13" ht="15" customHeight="1">
      <c r="A6822" t="s">
        <v>71</v>
      </c>
      <c r="B6822">
        <f t="shared" si="422"/>
        <v>33.696989000000002</v>
      </c>
      <c r="C6822">
        <f t="shared" si="423"/>
        <v>-117.85549399999999</v>
      </c>
      <c r="D6822">
        <f t="shared" si="424"/>
        <v>39</v>
      </c>
      <c r="E6822">
        <v>122.498</v>
      </c>
      <c r="F6822">
        <f t="shared" si="425"/>
        <v>-83.498000000000005</v>
      </c>
      <c r="G6822">
        <v>40.866999999999997</v>
      </c>
      <c r="H6822">
        <v>1.972</v>
      </c>
      <c r="I6822">
        <v>4.6779999999999999</v>
      </c>
      <c r="J6822">
        <v>4</v>
      </c>
      <c r="K6822">
        <v>27</v>
      </c>
      <c r="L6822">
        <v>14</v>
      </c>
      <c r="M6822">
        <v>2.3010000000000002</v>
      </c>
    </row>
    <row r="6823" spans="1:13" ht="15" customHeight="1">
      <c r="A6823" t="s">
        <v>71</v>
      </c>
      <c r="B6823">
        <f t="shared" si="422"/>
        <v>33.696989000000002</v>
      </c>
      <c r="C6823">
        <f t="shared" si="423"/>
        <v>-117.85549399999999</v>
      </c>
      <c r="D6823">
        <f t="shared" si="424"/>
        <v>39</v>
      </c>
      <c r="E6823">
        <v>123.498</v>
      </c>
      <c r="F6823">
        <f t="shared" si="425"/>
        <v>-84.498000000000005</v>
      </c>
      <c r="G6823">
        <v>37.5</v>
      </c>
      <c r="H6823">
        <v>1.4179999999999999</v>
      </c>
      <c r="I6823">
        <v>3.5760000000000001</v>
      </c>
      <c r="J6823">
        <v>5</v>
      </c>
      <c r="K6823">
        <v>19</v>
      </c>
      <c r="L6823">
        <v>10</v>
      </c>
      <c r="M6823">
        <v>2.1320000000000001</v>
      </c>
    </row>
    <row r="6824" spans="1:13" ht="15" customHeight="1">
      <c r="A6824" t="s">
        <v>71</v>
      </c>
      <c r="B6824">
        <f t="shared" si="422"/>
        <v>33.696989000000002</v>
      </c>
      <c r="C6824">
        <f t="shared" si="423"/>
        <v>-117.85549399999999</v>
      </c>
      <c r="D6824">
        <f t="shared" si="424"/>
        <v>39</v>
      </c>
      <c r="E6824">
        <v>124.498</v>
      </c>
      <c r="F6824">
        <f t="shared" si="425"/>
        <v>-85.498000000000005</v>
      </c>
      <c r="G6824">
        <v>33.832999999999998</v>
      </c>
      <c r="H6824">
        <v>0.96499999999999997</v>
      </c>
      <c r="I6824">
        <v>2.61</v>
      </c>
      <c r="J6824">
        <v>6</v>
      </c>
      <c r="K6824">
        <v>14</v>
      </c>
      <c r="L6824">
        <v>7</v>
      </c>
      <c r="M6824">
        <v>1.9470000000000001</v>
      </c>
    </row>
    <row r="6825" spans="1:13" ht="15" customHeight="1">
      <c r="A6825" t="s">
        <v>71</v>
      </c>
      <c r="B6825">
        <f t="shared" si="422"/>
        <v>33.696989000000002</v>
      </c>
      <c r="C6825">
        <f t="shared" si="423"/>
        <v>-117.85549399999999</v>
      </c>
      <c r="D6825">
        <f t="shared" si="424"/>
        <v>39</v>
      </c>
      <c r="E6825">
        <v>125.498</v>
      </c>
      <c r="F6825">
        <f t="shared" si="425"/>
        <v>-86.498000000000005</v>
      </c>
      <c r="G6825">
        <v>32.343000000000004</v>
      </c>
      <c r="H6825">
        <v>0.88900000000000001</v>
      </c>
      <c r="I6825">
        <v>2.4830000000000001</v>
      </c>
      <c r="J6825">
        <v>6</v>
      </c>
      <c r="K6825">
        <v>14</v>
      </c>
      <c r="L6825">
        <v>7</v>
      </c>
      <c r="M6825">
        <v>1.865</v>
      </c>
    </row>
    <row r="6826" spans="1:13" ht="15" customHeight="1">
      <c r="A6826" t="s">
        <v>71</v>
      </c>
      <c r="B6826">
        <f t="shared" si="422"/>
        <v>33.696989000000002</v>
      </c>
      <c r="C6826">
        <f t="shared" si="423"/>
        <v>-117.85549399999999</v>
      </c>
      <c r="D6826">
        <f t="shared" si="424"/>
        <v>39</v>
      </c>
      <c r="E6826">
        <v>126.498</v>
      </c>
      <c r="F6826">
        <f t="shared" si="425"/>
        <v>-87.498000000000005</v>
      </c>
      <c r="G6826">
        <v>32</v>
      </c>
      <c r="H6826">
        <v>0.68700000000000006</v>
      </c>
      <c r="I6826">
        <v>1.921</v>
      </c>
      <c r="J6826">
        <v>6</v>
      </c>
      <c r="K6826">
        <v>14</v>
      </c>
      <c r="L6826">
        <v>7</v>
      </c>
      <c r="M6826">
        <v>1.8580000000000001</v>
      </c>
    </row>
    <row r="6827" spans="1:13" ht="15" customHeight="1">
      <c r="A6827" t="s">
        <v>71</v>
      </c>
      <c r="B6827">
        <f t="shared" si="422"/>
        <v>33.696989000000002</v>
      </c>
      <c r="C6827">
        <f t="shared" si="423"/>
        <v>-117.85549399999999</v>
      </c>
      <c r="D6827">
        <f t="shared" si="424"/>
        <v>39</v>
      </c>
      <c r="E6827">
        <v>127.498</v>
      </c>
      <c r="F6827">
        <f t="shared" si="425"/>
        <v>-88.498000000000005</v>
      </c>
      <c r="G6827">
        <v>32.549999999999997</v>
      </c>
      <c r="H6827">
        <v>0.88500000000000001</v>
      </c>
      <c r="I6827">
        <v>2.4430000000000001</v>
      </c>
      <c r="J6827">
        <v>6</v>
      </c>
      <c r="K6827">
        <v>14</v>
      </c>
      <c r="L6827">
        <v>7</v>
      </c>
      <c r="M6827">
        <v>1.8859999999999999</v>
      </c>
    </row>
    <row r="6828" spans="1:13" ht="15" customHeight="1">
      <c r="A6828" t="s">
        <v>71</v>
      </c>
      <c r="B6828">
        <f t="shared" si="422"/>
        <v>33.696989000000002</v>
      </c>
      <c r="C6828">
        <f t="shared" si="423"/>
        <v>-117.85549399999999</v>
      </c>
      <c r="D6828">
        <f t="shared" si="424"/>
        <v>39</v>
      </c>
      <c r="E6828">
        <v>128.49799999999999</v>
      </c>
      <c r="F6828">
        <f t="shared" si="425"/>
        <v>-89.49799999999999</v>
      </c>
      <c r="G6828">
        <v>33.799999999999997</v>
      </c>
      <c r="H6828">
        <v>1.0649999999999999</v>
      </c>
      <c r="I6828">
        <v>2.8740000000000001</v>
      </c>
      <c r="J6828">
        <v>6</v>
      </c>
      <c r="K6828">
        <v>14</v>
      </c>
      <c r="L6828">
        <v>7</v>
      </c>
      <c r="M6828">
        <v>1.9359999999999999</v>
      </c>
    </row>
    <row r="6829" spans="1:13" ht="15" customHeight="1">
      <c r="A6829" t="s">
        <v>71</v>
      </c>
      <c r="B6829">
        <f t="shared" si="422"/>
        <v>33.696989000000002</v>
      </c>
      <c r="C6829">
        <f t="shared" si="423"/>
        <v>-117.85549399999999</v>
      </c>
      <c r="D6829">
        <f t="shared" si="424"/>
        <v>39</v>
      </c>
      <c r="E6829">
        <v>129.49799999999999</v>
      </c>
      <c r="F6829">
        <f t="shared" si="425"/>
        <v>-90.49799999999999</v>
      </c>
      <c r="G6829">
        <v>34.533000000000001</v>
      </c>
      <c r="H6829">
        <v>1.137</v>
      </c>
      <c r="I6829">
        <v>3.0059999999999998</v>
      </c>
      <c r="J6829">
        <v>5</v>
      </c>
      <c r="K6829">
        <v>18</v>
      </c>
      <c r="L6829">
        <v>9</v>
      </c>
      <c r="M6829">
        <v>1.9830000000000001</v>
      </c>
    </row>
    <row r="6830" spans="1:13" ht="15" customHeight="1">
      <c r="A6830" t="s">
        <v>71</v>
      </c>
      <c r="B6830">
        <f t="shared" si="422"/>
        <v>33.696989000000002</v>
      </c>
      <c r="C6830">
        <f t="shared" si="423"/>
        <v>-117.85549399999999</v>
      </c>
      <c r="D6830">
        <f t="shared" si="424"/>
        <v>39</v>
      </c>
      <c r="E6830">
        <v>130.49799999999999</v>
      </c>
      <c r="F6830">
        <f t="shared" si="425"/>
        <v>-91.49799999999999</v>
      </c>
      <c r="G6830">
        <v>33.700000000000003</v>
      </c>
      <c r="H6830">
        <v>1.1499999999999999</v>
      </c>
      <c r="I6830">
        <v>3.1080000000000001</v>
      </c>
      <c r="J6830">
        <v>5</v>
      </c>
      <c r="K6830">
        <v>18</v>
      </c>
      <c r="L6830">
        <v>9</v>
      </c>
      <c r="M6830">
        <v>1.925</v>
      </c>
    </row>
    <row r="6831" spans="1:13" ht="15" customHeight="1">
      <c r="A6831" t="s">
        <v>72</v>
      </c>
      <c r="B6831">
        <f t="shared" si="422"/>
        <v>33.692416000000001</v>
      </c>
      <c r="C6831">
        <f t="shared" si="423"/>
        <v>-117.85335499999999</v>
      </c>
      <c r="D6831">
        <f t="shared" si="424"/>
        <v>37</v>
      </c>
      <c r="E6831">
        <v>0.5</v>
      </c>
      <c r="F6831">
        <f t="shared" si="425"/>
        <v>36.5</v>
      </c>
      <c r="G6831">
        <v>2.2669999999999999</v>
      </c>
      <c r="H6831">
        <v>8.0000000000000002E-3</v>
      </c>
      <c r="I6831">
        <v>0.36799999999999999</v>
      </c>
      <c r="J6831">
        <v>1</v>
      </c>
      <c r="K6831">
        <v>1</v>
      </c>
      <c r="L6831">
        <v>2</v>
      </c>
      <c r="M6831">
        <v>0.14899999999999999</v>
      </c>
    </row>
    <row r="6832" spans="1:13" ht="15" customHeight="1">
      <c r="A6832" t="s">
        <v>72</v>
      </c>
      <c r="B6832">
        <f t="shared" si="422"/>
        <v>33.692416000000001</v>
      </c>
      <c r="C6832">
        <f t="shared" si="423"/>
        <v>-117.85335499999999</v>
      </c>
      <c r="D6832">
        <f t="shared" si="424"/>
        <v>37</v>
      </c>
      <c r="E6832">
        <v>1.5</v>
      </c>
      <c r="F6832">
        <f t="shared" si="425"/>
        <v>35.5</v>
      </c>
      <c r="G6832">
        <v>22.367000000000001</v>
      </c>
      <c r="H6832">
        <v>0.38500000000000001</v>
      </c>
      <c r="I6832">
        <v>1.72</v>
      </c>
      <c r="J6832">
        <v>6</v>
      </c>
      <c r="K6832">
        <v>9</v>
      </c>
      <c r="L6832">
        <v>14</v>
      </c>
      <c r="M6832">
        <v>1.4870000000000001</v>
      </c>
    </row>
    <row r="6833" spans="1:13" ht="15" customHeight="1">
      <c r="A6833" t="s">
        <v>72</v>
      </c>
      <c r="B6833">
        <f t="shared" si="422"/>
        <v>33.692416000000001</v>
      </c>
      <c r="C6833">
        <f t="shared" si="423"/>
        <v>-117.85335499999999</v>
      </c>
      <c r="D6833">
        <f t="shared" si="424"/>
        <v>37</v>
      </c>
      <c r="E6833">
        <v>2.5</v>
      </c>
      <c r="F6833">
        <f t="shared" si="425"/>
        <v>34.5</v>
      </c>
      <c r="G6833">
        <v>17.117000000000001</v>
      </c>
      <c r="H6833">
        <v>0.45</v>
      </c>
      <c r="I6833">
        <v>2.6259999999999999</v>
      </c>
      <c r="J6833">
        <v>5</v>
      </c>
      <c r="K6833">
        <v>8</v>
      </c>
      <c r="L6833">
        <v>12</v>
      </c>
      <c r="M6833">
        <v>1.133</v>
      </c>
    </row>
    <row r="6834" spans="1:13" ht="15" customHeight="1">
      <c r="A6834" t="s">
        <v>72</v>
      </c>
      <c r="B6834">
        <f t="shared" si="422"/>
        <v>33.692416000000001</v>
      </c>
      <c r="C6834">
        <f t="shared" si="423"/>
        <v>-117.85335499999999</v>
      </c>
      <c r="D6834">
        <f t="shared" si="424"/>
        <v>37</v>
      </c>
      <c r="E6834">
        <v>3.5</v>
      </c>
      <c r="F6834">
        <f t="shared" si="425"/>
        <v>33.5</v>
      </c>
      <c r="G6834">
        <v>5.05</v>
      </c>
      <c r="H6834">
        <v>7.2999999999999995E-2</v>
      </c>
      <c r="I6834">
        <v>1.452</v>
      </c>
      <c r="J6834">
        <v>1</v>
      </c>
      <c r="K6834">
        <v>2</v>
      </c>
      <c r="L6834">
        <v>3</v>
      </c>
      <c r="M6834">
        <v>0.32300000000000001</v>
      </c>
    </row>
    <row r="6835" spans="1:13" ht="15" customHeight="1">
      <c r="A6835" t="s">
        <v>72</v>
      </c>
      <c r="B6835">
        <f t="shared" si="422"/>
        <v>33.692416000000001</v>
      </c>
      <c r="C6835">
        <f t="shared" si="423"/>
        <v>-117.85335499999999</v>
      </c>
      <c r="D6835">
        <f t="shared" si="424"/>
        <v>37</v>
      </c>
      <c r="E6835">
        <v>4.5</v>
      </c>
      <c r="F6835">
        <f t="shared" si="425"/>
        <v>32.5</v>
      </c>
      <c r="G6835">
        <v>2.5499999999999998</v>
      </c>
      <c r="H6835">
        <v>1.7999999999999999E-2</v>
      </c>
      <c r="I6835">
        <v>0.72399999999999998</v>
      </c>
      <c r="J6835">
        <v>1</v>
      </c>
      <c r="K6835">
        <v>1</v>
      </c>
      <c r="L6835">
        <v>2</v>
      </c>
      <c r="M6835">
        <v>0.152</v>
      </c>
    </row>
    <row r="6836" spans="1:13" ht="15" customHeight="1">
      <c r="A6836" t="s">
        <v>72</v>
      </c>
      <c r="B6836">
        <f t="shared" si="422"/>
        <v>33.692416000000001</v>
      </c>
      <c r="C6836">
        <f t="shared" si="423"/>
        <v>-117.85335499999999</v>
      </c>
      <c r="D6836">
        <f t="shared" si="424"/>
        <v>37</v>
      </c>
      <c r="E6836">
        <v>5.5</v>
      </c>
      <c r="F6836">
        <f t="shared" si="425"/>
        <v>31.5</v>
      </c>
      <c r="G6836">
        <v>2.15</v>
      </c>
      <c r="H6836">
        <v>1.2E-2</v>
      </c>
      <c r="I6836">
        <v>0.54700000000000004</v>
      </c>
      <c r="J6836">
        <v>1</v>
      </c>
      <c r="K6836">
        <v>1</v>
      </c>
      <c r="L6836">
        <v>2</v>
      </c>
      <c r="M6836">
        <v>0.122</v>
      </c>
    </row>
    <row r="6837" spans="1:13" ht="15" customHeight="1">
      <c r="A6837" t="s">
        <v>72</v>
      </c>
      <c r="B6837">
        <f t="shared" si="422"/>
        <v>33.692416000000001</v>
      </c>
      <c r="C6837">
        <f t="shared" si="423"/>
        <v>-117.85335499999999</v>
      </c>
      <c r="D6837">
        <f t="shared" si="424"/>
        <v>37</v>
      </c>
      <c r="E6837">
        <v>6.5</v>
      </c>
      <c r="F6837">
        <f t="shared" si="425"/>
        <v>30.5</v>
      </c>
      <c r="G6837">
        <v>2.95</v>
      </c>
      <c r="H6837">
        <v>3.2000000000000001E-2</v>
      </c>
      <c r="I6837">
        <v>1.073</v>
      </c>
      <c r="J6837">
        <v>1</v>
      </c>
      <c r="K6837">
        <v>1</v>
      </c>
      <c r="L6837">
        <v>2</v>
      </c>
      <c r="M6837">
        <v>0.17299999999999999</v>
      </c>
    </row>
    <row r="6838" spans="1:13" ht="15" customHeight="1">
      <c r="A6838" t="s">
        <v>72</v>
      </c>
      <c r="B6838">
        <f t="shared" si="422"/>
        <v>33.692416000000001</v>
      </c>
      <c r="C6838">
        <f t="shared" si="423"/>
        <v>-117.85335499999999</v>
      </c>
      <c r="D6838">
        <f t="shared" si="424"/>
        <v>37</v>
      </c>
      <c r="E6838">
        <v>7.5</v>
      </c>
      <c r="F6838">
        <f t="shared" si="425"/>
        <v>29.5</v>
      </c>
      <c r="G6838">
        <v>8.5169999999999995</v>
      </c>
      <c r="H6838">
        <v>0.26700000000000002</v>
      </c>
      <c r="I6838">
        <v>3.137</v>
      </c>
      <c r="J6838">
        <v>3</v>
      </c>
      <c r="K6838">
        <v>8</v>
      </c>
      <c r="L6838">
        <v>12</v>
      </c>
      <c r="M6838">
        <v>0.54</v>
      </c>
    </row>
    <row r="6839" spans="1:13" ht="15" customHeight="1">
      <c r="A6839" t="s">
        <v>72</v>
      </c>
      <c r="B6839">
        <f t="shared" si="422"/>
        <v>33.692416000000001</v>
      </c>
      <c r="C6839">
        <f t="shared" si="423"/>
        <v>-117.85335499999999</v>
      </c>
      <c r="D6839">
        <f t="shared" si="424"/>
        <v>37</v>
      </c>
      <c r="E6839">
        <v>8.5</v>
      </c>
      <c r="F6839">
        <f t="shared" si="425"/>
        <v>28.5</v>
      </c>
      <c r="G6839">
        <v>4.8170000000000002</v>
      </c>
      <c r="H6839">
        <v>0.14499999999999999</v>
      </c>
      <c r="I6839">
        <v>2.9790000000000001</v>
      </c>
      <c r="J6839">
        <v>3</v>
      </c>
      <c r="K6839">
        <v>5</v>
      </c>
      <c r="L6839">
        <v>8</v>
      </c>
      <c r="M6839">
        <v>0.29299999999999998</v>
      </c>
    </row>
    <row r="6840" spans="1:13" ht="15" customHeight="1">
      <c r="A6840" t="s">
        <v>72</v>
      </c>
      <c r="B6840">
        <f t="shared" si="422"/>
        <v>33.692416000000001</v>
      </c>
      <c r="C6840">
        <f t="shared" si="423"/>
        <v>-117.85335499999999</v>
      </c>
      <c r="D6840">
        <f t="shared" si="424"/>
        <v>37</v>
      </c>
      <c r="E6840">
        <v>9.5</v>
      </c>
      <c r="F6840">
        <f t="shared" si="425"/>
        <v>27.5</v>
      </c>
      <c r="G6840">
        <v>2.2669999999999999</v>
      </c>
      <c r="H6840">
        <v>1.4999999999999999E-2</v>
      </c>
      <c r="I6840">
        <v>0.61599999999999999</v>
      </c>
      <c r="J6840">
        <v>1</v>
      </c>
      <c r="K6840">
        <v>1</v>
      </c>
      <c r="L6840">
        <v>2</v>
      </c>
      <c r="M6840">
        <v>0.127</v>
      </c>
    </row>
    <row r="6841" spans="1:13" ht="15" customHeight="1">
      <c r="A6841" t="s">
        <v>72</v>
      </c>
      <c r="B6841">
        <f t="shared" si="422"/>
        <v>33.692416000000001</v>
      </c>
      <c r="C6841">
        <f t="shared" si="423"/>
        <v>-117.85335499999999</v>
      </c>
      <c r="D6841">
        <f t="shared" si="424"/>
        <v>37</v>
      </c>
      <c r="E6841">
        <v>10.5</v>
      </c>
      <c r="F6841">
        <f t="shared" si="425"/>
        <v>26.5</v>
      </c>
      <c r="G6841">
        <v>8.0289999999999999</v>
      </c>
      <c r="H6841">
        <v>0.214</v>
      </c>
      <c r="I6841">
        <v>2.669</v>
      </c>
      <c r="J6841">
        <v>4</v>
      </c>
      <c r="K6841">
        <v>5</v>
      </c>
      <c r="L6841">
        <v>8</v>
      </c>
      <c r="M6841">
        <v>0.497</v>
      </c>
    </row>
    <row r="6842" spans="1:13" ht="15" customHeight="1">
      <c r="A6842" t="s">
        <v>72</v>
      </c>
      <c r="B6842">
        <f t="shared" si="422"/>
        <v>33.692416000000001</v>
      </c>
      <c r="C6842">
        <f t="shared" si="423"/>
        <v>-117.85335499999999</v>
      </c>
      <c r="D6842">
        <f t="shared" si="424"/>
        <v>37</v>
      </c>
      <c r="E6842">
        <v>11.5</v>
      </c>
      <c r="F6842">
        <f t="shared" si="425"/>
        <v>25.5</v>
      </c>
      <c r="G6842">
        <v>22.45</v>
      </c>
      <c r="H6842">
        <v>0.91700000000000004</v>
      </c>
      <c r="I6842">
        <v>4.0739999999999998</v>
      </c>
      <c r="J6842">
        <v>4</v>
      </c>
      <c r="K6842">
        <v>14</v>
      </c>
      <c r="L6842">
        <v>20</v>
      </c>
      <c r="M6842">
        <v>1.4570000000000001</v>
      </c>
    </row>
    <row r="6843" spans="1:13" ht="15" customHeight="1">
      <c r="A6843" t="s">
        <v>72</v>
      </c>
      <c r="B6843">
        <f t="shared" si="422"/>
        <v>33.692416000000001</v>
      </c>
      <c r="C6843">
        <f t="shared" si="423"/>
        <v>-117.85335499999999</v>
      </c>
      <c r="D6843">
        <f t="shared" si="424"/>
        <v>37</v>
      </c>
      <c r="E6843">
        <v>12.5</v>
      </c>
      <c r="F6843">
        <f t="shared" si="425"/>
        <v>24.5</v>
      </c>
      <c r="G6843">
        <v>39.767000000000003</v>
      </c>
      <c r="H6843">
        <v>1.62</v>
      </c>
      <c r="I6843">
        <v>4.0720000000000001</v>
      </c>
      <c r="J6843">
        <v>4</v>
      </c>
      <c r="K6843">
        <v>25</v>
      </c>
      <c r="L6843">
        <v>33</v>
      </c>
      <c r="M6843">
        <v>2.605</v>
      </c>
    </row>
    <row r="6844" spans="1:13" ht="15" customHeight="1">
      <c r="A6844" t="s">
        <v>72</v>
      </c>
      <c r="B6844">
        <f t="shared" si="422"/>
        <v>33.692416000000001</v>
      </c>
      <c r="C6844">
        <f t="shared" si="423"/>
        <v>-117.85335499999999</v>
      </c>
      <c r="D6844">
        <f t="shared" si="424"/>
        <v>37</v>
      </c>
      <c r="E6844">
        <v>13.5</v>
      </c>
      <c r="F6844">
        <f t="shared" si="425"/>
        <v>23.5</v>
      </c>
      <c r="G6844">
        <v>31.917000000000002</v>
      </c>
      <c r="H6844">
        <v>0.92700000000000005</v>
      </c>
      <c r="I6844">
        <v>2.899</v>
      </c>
      <c r="J6844">
        <v>5</v>
      </c>
      <c r="K6844">
        <v>15</v>
      </c>
      <c r="L6844">
        <v>18</v>
      </c>
      <c r="M6844">
        <v>2.08</v>
      </c>
    </row>
    <row r="6845" spans="1:13" ht="15" customHeight="1">
      <c r="A6845" t="s">
        <v>72</v>
      </c>
      <c r="B6845">
        <f t="shared" si="422"/>
        <v>33.692416000000001</v>
      </c>
      <c r="C6845">
        <f t="shared" si="423"/>
        <v>-117.85335499999999</v>
      </c>
      <c r="D6845">
        <f t="shared" si="424"/>
        <v>37</v>
      </c>
      <c r="E6845">
        <v>14.5</v>
      </c>
      <c r="F6845">
        <f t="shared" si="425"/>
        <v>22.5</v>
      </c>
      <c r="G6845">
        <v>51.45</v>
      </c>
      <c r="H6845">
        <v>1.548</v>
      </c>
      <c r="I6845">
        <v>3.0030000000000001</v>
      </c>
      <c r="J6845">
        <v>6</v>
      </c>
      <c r="K6845">
        <v>20</v>
      </c>
      <c r="L6845">
        <v>23</v>
      </c>
      <c r="M6845">
        <v>3.383</v>
      </c>
    </row>
    <row r="6846" spans="1:13" ht="15" customHeight="1">
      <c r="A6846" t="s">
        <v>72</v>
      </c>
      <c r="B6846">
        <f t="shared" si="422"/>
        <v>33.692416000000001</v>
      </c>
      <c r="C6846">
        <f t="shared" si="423"/>
        <v>-117.85335499999999</v>
      </c>
      <c r="D6846">
        <f t="shared" si="424"/>
        <v>37</v>
      </c>
      <c r="E6846">
        <v>15.5</v>
      </c>
      <c r="F6846">
        <f t="shared" si="425"/>
        <v>21.5</v>
      </c>
      <c r="G6846">
        <v>42.7</v>
      </c>
      <c r="H6846">
        <v>1.2669999999999999</v>
      </c>
      <c r="I6846">
        <v>2.956</v>
      </c>
      <c r="J6846">
        <v>6</v>
      </c>
      <c r="K6846">
        <v>16</v>
      </c>
      <c r="L6846">
        <v>18</v>
      </c>
      <c r="M6846">
        <v>2.7970000000000002</v>
      </c>
    </row>
    <row r="6847" spans="1:13" ht="15" customHeight="1">
      <c r="A6847" t="s">
        <v>72</v>
      </c>
      <c r="B6847">
        <f t="shared" si="422"/>
        <v>33.692416000000001</v>
      </c>
      <c r="C6847">
        <f t="shared" si="423"/>
        <v>-117.85335499999999</v>
      </c>
      <c r="D6847">
        <f t="shared" si="424"/>
        <v>37</v>
      </c>
      <c r="E6847">
        <v>16.5</v>
      </c>
      <c r="F6847">
        <f t="shared" si="425"/>
        <v>20.5</v>
      </c>
      <c r="G6847">
        <v>52.05</v>
      </c>
      <c r="H6847">
        <v>2.5369999999999999</v>
      </c>
      <c r="I6847">
        <v>4.8499999999999996</v>
      </c>
      <c r="J6847">
        <v>4</v>
      </c>
      <c r="K6847">
        <v>33</v>
      </c>
      <c r="L6847">
        <v>34</v>
      </c>
      <c r="M6847">
        <v>3.423</v>
      </c>
    </row>
    <row r="6848" spans="1:13" ht="15" customHeight="1">
      <c r="A6848" t="s">
        <v>72</v>
      </c>
      <c r="B6848">
        <f t="shared" si="422"/>
        <v>33.692416000000001</v>
      </c>
      <c r="C6848">
        <f t="shared" si="423"/>
        <v>-117.85335499999999</v>
      </c>
      <c r="D6848">
        <f t="shared" si="424"/>
        <v>37</v>
      </c>
      <c r="E6848">
        <v>17.5</v>
      </c>
      <c r="F6848">
        <f t="shared" si="425"/>
        <v>19.5</v>
      </c>
      <c r="G6848">
        <v>51.35</v>
      </c>
      <c r="H6848">
        <v>1.458</v>
      </c>
      <c r="I6848">
        <v>2.839</v>
      </c>
      <c r="J6848">
        <v>6</v>
      </c>
      <c r="K6848">
        <v>20</v>
      </c>
      <c r="L6848">
        <v>20</v>
      </c>
      <c r="M6848">
        <v>3.3570000000000002</v>
      </c>
    </row>
    <row r="6849" spans="1:13" ht="15" customHeight="1">
      <c r="A6849" t="s">
        <v>72</v>
      </c>
      <c r="B6849">
        <f t="shared" si="422"/>
        <v>33.692416000000001</v>
      </c>
      <c r="C6849">
        <f t="shared" si="423"/>
        <v>-117.85335499999999</v>
      </c>
      <c r="D6849">
        <f t="shared" si="424"/>
        <v>37</v>
      </c>
      <c r="E6849">
        <v>18.5</v>
      </c>
      <c r="F6849">
        <f t="shared" si="425"/>
        <v>18.5</v>
      </c>
      <c r="G6849">
        <v>99.033000000000001</v>
      </c>
      <c r="H6849">
        <v>0.40200000000000002</v>
      </c>
      <c r="I6849">
        <v>0.40600000000000003</v>
      </c>
      <c r="J6849">
        <v>9</v>
      </c>
      <c r="K6849">
        <v>19</v>
      </c>
      <c r="L6849">
        <v>18</v>
      </c>
      <c r="M6849" s="1">
        <v>9000000000</v>
      </c>
    </row>
    <row r="6850" spans="1:13" ht="15" customHeight="1">
      <c r="A6850" t="s">
        <v>72</v>
      </c>
      <c r="B6850">
        <f t="shared" ref="B6850:B6913" si="426">VLOOKUP(A6850,XYdata,3,FALSE)</f>
        <v>33.692416000000001</v>
      </c>
      <c r="C6850">
        <f t="shared" ref="C6850:C6913" si="427">VLOOKUP(A6850,XYdata,2,FALSE)</f>
        <v>-117.85335499999999</v>
      </c>
      <c r="D6850">
        <f t="shared" ref="D6850:D6913" si="428">VLOOKUP(A6850,Elevation,2,FALSE)</f>
        <v>37</v>
      </c>
      <c r="E6850">
        <v>19.5</v>
      </c>
      <c r="F6850">
        <f t="shared" si="425"/>
        <v>17.5</v>
      </c>
      <c r="G6850">
        <v>157.733</v>
      </c>
      <c r="H6850">
        <v>1.2529999999999999</v>
      </c>
      <c r="I6850">
        <v>0.79500000000000004</v>
      </c>
      <c r="J6850">
        <v>9</v>
      </c>
      <c r="K6850">
        <v>30</v>
      </c>
      <c r="L6850">
        <v>27</v>
      </c>
      <c r="M6850" s="1">
        <v>9000000000</v>
      </c>
    </row>
    <row r="6851" spans="1:13" ht="15" customHeight="1">
      <c r="A6851" t="s">
        <v>72</v>
      </c>
      <c r="B6851">
        <f t="shared" si="426"/>
        <v>33.692416000000001</v>
      </c>
      <c r="C6851">
        <f t="shared" si="427"/>
        <v>-117.85335499999999</v>
      </c>
      <c r="D6851">
        <f t="shared" si="428"/>
        <v>37</v>
      </c>
      <c r="E6851">
        <v>20.5</v>
      </c>
      <c r="F6851">
        <f t="shared" ref="F6851:F6914" si="429">D6851-E6851</f>
        <v>16.5</v>
      </c>
      <c r="G6851">
        <v>39.871000000000002</v>
      </c>
      <c r="H6851">
        <v>1.5189999999999999</v>
      </c>
      <c r="I6851">
        <v>3.8210000000000002</v>
      </c>
      <c r="J6851">
        <v>5</v>
      </c>
      <c r="K6851">
        <v>19</v>
      </c>
      <c r="L6851">
        <v>16</v>
      </c>
      <c r="M6851">
        <v>2.569</v>
      </c>
    </row>
    <row r="6852" spans="1:13" ht="15" customHeight="1">
      <c r="A6852" t="s">
        <v>72</v>
      </c>
      <c r="B6852">
        <f t="shared" si="426"/>
        <v>33.692416000000001</v>
      </c>
      <c r="C6852">
        <f t="shared" si="427"/>
        <v>-117.85335499999999</v>
      </c>
      <c r="D6852">
        <f t="shared" si="428"/>
        <v>37</v>
      </c>
      <c r="E6852">
        <v>21.5</v>
      </c>
      <c r="F6852">
        <f t="shared" si="429"/>
        <v>15.5</v>
      </c>
      <c r="G6852">
        <v>26.716999999999999</v>
      </c>
      <c r="H6852">
        <v>1.1279999999999999</v>
      </c>
      <c r="I6852">
        <v>4.25</v>
      </c>
      <c r="J6852">
        <v>4</v>
      </c>
      <c r="K6852">
        <v>17</v>
      </c>
      <c r="L6852">
        <v>14</v>
      </c>
      <c r="M6852">
        <v>1.6859999999999999</v>
      </c>
    </row>
    <row r="6853" spans="1:13" ht="15" customHeight="1">
      <c r="A6853" t="s">
        <v>72</v>
      </c>
      <c r="B6853">
        <f t="shared" si="426"/>
        <v>33.692416000000001</v>
      </c>
      <c r="C6853">
        <f t="shared" si="427"/>
        <v>-117.85335499999999</v>
      </c>
      <c r="D6853">
        <f t="shared" si="428"/>
        <v>37</v>
      </c>
      <c r="E6853">
        <v>22.5</v>
      </c>
      <c r="F6853">
        <f t="shared" si="429"/>
        <v>14.5</v>
      </c>
      <c r="G6853">
        <v>26.983000000000001</v>
      </c>
      <c r="H6853">
        <v>1.2230000000000001</v>
      </c>
      <c r="I6853">
        <v>4.556</v>
      </c>
      <c r="J6853">
        <v>3</v>
      </c>
      <c r="K6853">
        <v>26</v>
      </c>
      <c r="L6853">
        <v>21</v>
      </c>
      <c r="M6853">
        <v>1.702</v>
      </c>
    </row>
    <row r="6854" spans="1:13" ht="15" customHeight="1">
      <c r="A6854" t="s">
        <v>72</v>
      </c>
      <c r="B6854">
        <f t="shared" si="426"/>
        <v>33.692416000000001</v>
      </c>
      <c r="C6854">
        <f t="shared" si="427"/>
        <v>-117.85335499999999</v>
      </c>
      <c r="D6854">
        <f t="shared" si="428"/>
        <v>37</v>
      </c>
      <c r="E6854">
        <v>23.5</v>
      </c>
      <c r="F6854">
        <f t="shared" si="429"/>
        <v>13.5</v>
      </c>
      <c r="G6854">
        <v>89.9</v>
      </c>
      <c r="H6854">
        <v>1.3919999999999999</v>
      </c>
      <c r="I6854">
        <v>1.5509999999999999</v>
      </c>
      <c r="J6854">
        <v>7</v>
      </c>
      <c r="K6854">
        <v>29</v>
      </c>
      <c r="L6854">
        <v>23</v>
      </c>
      <c r="M6854" s="1">
        <v>9000000000</v>
      </c>
    </row>
    <row r="6855" spans="1:13" ht="15" customHeight="1">
      <c r="A6855" t="s">
        <v>72</v>
      </c>
      <c r="B6855">
        <f t="shared" si="426"/>
        <v>33.692416000000001</v>
      </c>
      <c r="C6855">
        <f t="shared" si="427"/>
        <v>-117.85335499999999</v>
      </c>
      <c r="D6855">
        <f t="shared" si="428"/>
        <v>37</v>
      </c>
      <c r="E6855">
        <v>24.5</v>
      </c>
      <c r="F6855">
        <f t="shared" si="429"/>
        <v>12.5</v>
      </c>
      <c r="G6855">
        <v>49.3</v>
      </c>
      <c r="H6855">
        <v>2.133</v>
      </c>
      <c r="I6855">
        <v>4.3419999999999996</v>
      </c>
      <c r="J6855">
        <v>4</v>
      </c>
      <c r="K6855">
        <v>31</v>
      </c>
      <c r="L6855">
        <v>23</v>
      </c>
      <c r="M6855">
        <v>3.1789999999999998</v>
      </c>
    </row>
    <row r="6856" spans="1:13" ht="15" customHeight="1">
      <c r="A6856" t="s">
        <v>72</v>
      </c>
      <c r="B6856">
        <f t="shared" si="426"/>
        <v>33.692416000000001</v>
      </c>
      <c r="C6856">
        <f t="shared" si="427"/>
        <v>-117.85335499999999</v>
      </c>
      <c r="D6856">
        <f t="shared" si="428"/>
        <v>37</v>
      </c>
      <c r="E6856">
        <v>25.5</v>
      </c>
      <c r="F6856">
        <f t="shared" si="429"/>
        <v>11.5</v>
      </c>
      <c r="G6856">
        <v>73.2</v>
      </c>
      <c r="H6856">
        <v>2.3620000000000001</v>
      </c>
      <c r="I6856">
        <v>3.2320000000000002</v>
      </c>
      <c r="J6856">
        <v>6</v>
      </c>
      <c r="K6856">
        <v>28</v>
      </c>
      <c r="L6856">
        <v>21</v>
      </c>
      <c r="M6856">
        <v>4.7699999999999996</v>
      </c>
    </row>
    <row r="6857" spans="1:13" ht="15" customHeight="1">
      <c r="A6857" t="s">
        <v>72</v>
      </c>
      <c r="B6857">
        <f t="shared" si="426"/>
        <v>33.692416000000001</v>
      </c>
      <c r="C6857">
        <f t="shared" si="427"/>
        <v>-117.85335499999999</v>
      </c>
      <c r="D6857">
        <f t="shared" si="428"/>
        <v>37</v>
      </c>
      <c r="E6857">
        <v>26.5</v>
      </c>
      <c r="F6857">
        <f t="shared" si="429"/>
        <v>10.5</v>
      </c>
      <c r="G6857">
        <v>99.033000000000001</v>
      </c>
      <c r="H6857">
        <v>2.7829999999999999</v>
      </c>
      <c r="I6857">
        <v>2.8149999999999999</v>
      </c>
      <c r="J6857">
        <v>6</v>
      </c>
      <c r="K6857">
        <v>38</v>
      </c>
      <c r="L6857">
        <v>27</v>
      </c>
      <c r="M6857">
        <v>6.4870000000000001</v>
      </c>
    </row>
    <row r="6858" spans="1:13" ht="15" customHeight="1">
      <c r="A6858" t="s">
        <v>72</v>
      </c>
      <c r="B6858">
        <f t="shared" si="426"/>
        <v>33.692416000000001</v>
      </c>
      <c r="C6858">
        <f t="shared" si="427"/>
        <v>-117.85335499999999</v>
      </c>
      <c r="D6858">
        <f t="shared" si="428"/>
        <v>37</v>
      </c>
      <c r="E6858">
        <v>27.5</v>
      </c>
      <c r="F6858">
        <f t="shared" si="429"/>
        <v>9.5</v>
      </c>
      <c r="G6858">
        <v>113.7</v>
      </c>
      <c r="H6858">
        <v>2.375</v>
      </c>
      <c r="I6858">
        <v>2.0920000000000001</v>
      </c>
      <c r="J6858">
        <v>7</v>
      </c>
      <c r="K6858">
        <v>36</v>
      </c>
      <c r="L6858">
        <v>26</v>
      </c>
      <c r="M6858" s="1">
        <v>9000000000</v>
      </c>
    </row>
    <row r="6859" spans="1:13" ht="15" customHeight="1">
      <c r="A6859" t="s">
        <v>72</v>
      </c>
      <c r="B6859">
        <f t="shared" si="426"/>
        <v>33.692416000000001</v>
      </c>
      <c r="C6859">
        <f t="shared" si="427"/>
        <v>-117.85335499999999</v>
      </c>
      <c r="D6859">
        <f t="shared" si="428"/>
        <v>37</v>
      </c>
      <c r="E6859">
        <v>28.5</v>
      </c>
      <c r="F6859">
        <f t="shared" si="429"/>
        <v>8.5</v>
      </c>
      <c r="G6859">
        <v>133.167</v>
      </c>
      <c r="H6859">
        <v>2.5030000000000001</v>
      </c>
      <c r="I6859">
        <v>1.8819999999999999</v>
      </c>
      <c r="J6859">
        <v>7</v>
      </c>
      <c r="K6859">
        <v>42</v>
      </c>
      <c r="L6859">
        <v>29</v>
      </c>
      <c r="M6859" s="1">
        <v>9000000000</v>
      </c>
    </row>
    <row r="6860" spans="1:13" ht="15" customHeight="1">
      <c r="A6860" t="s">
        <v>72</v>
      </c>
      <c r="B6860">
        <f t="shared" si="426"/>
        <v>33.692416000000001</v>
      </c>
      <c r="C6860">
        <f t="shared" si="427"/>
        <v>-117.85335499999999</v>
      </c>
      <c r="D6860">
        <f t="shared" si="428"/>
        <v>37</v>
      </c>
      <c r="E6860">
        <v>29.5</v>
      </c>
      <c r="F6860">
        <f t="shared" si="429"/>
        <v>7.5</v>
      </c>
      <c r="G6860">
        <v>90.55</v>
      </c>
      <c r="H6860">
        <v>1.962</v>
      </c>
      <c r="I6860">
        <v>2.169</v>
      </c>
      <c r="J6860">
        <v>7</v>
      </c>
      <c r="K6860">
        <v>29</v>
      </c>
      <c r="L6860">
        <v>20</v>
      </c>
      <c r="M6860" s="1">
        <v>9000000000</v>
      </c>
    </row>
    <row r="6861" spans="1:13" ht="15" customHeight="1">
      <c r="A6861" t="s">
        <v>72</v>
      </c>
      <c r="B6861">
        <f t="shared" si="426"/>
        <v>33.692416000000001</v>
      </c>
      <c r="C6861">
        <f t="shared" si="427"/>
        <v>-117.85335499999999</v>
      </c>
      <c r="D6861">
        <f t="shared" si="428"/>
        <v>37</v>
      </c>
      <c r="E6861">
        <v>30.5</v>
      </c>
      <c r="F6861">
        <f t="shared" si="429"/>
        <v>6.5</v>
      </c>
      <c r="G6861">
        <v>42.017000000000003</v>
      </c>
      <c r="H6861">
        <v>1.4319999999999999</v>
      </c>
      <c r="I6861">
        <v>3.4159999999999999</v>
      </c>
      <c r="J6861">
        <v>5</v>
      </c>
      <c r="K6861">
        <v>20</v>
      </c>
      <c r="L6861">
        <v>14</v>
      </c>
      <c r="M6861">
        <v>2.673</v>
      </c>
    </row>
    <row r="6862" spans="1:13" ht="15" customHeight="1">
      <c r="A6862" t="s">
        <v>72</v>
      </c>
      <c r="B6862">
        <f t="shared" si="426"/>
        <v>33.692416000000001</v>
      </c>
      <c r="C6862">
        <f t="shared" si="427"/>
        <v>-117.85335499999999</v>
      </c>
      <c r="D6862">
        <f t="shared" si="428"/>
        <v>37</v>
      </c>
      <c r="E6862">
        <v>31.5</v>
      </c>
      <c r="F6862">
        <f t="shared" si="429"/>
        <v>5.5</v>
      </c>
      <c r="G6862">
        <v>169.17099999999999</v>
      </c>
      <c r="H6862">
        <v>3.25</v>
      </c>
      <c r="I6862">
        <v>1.9219999999999999</v>
      </c>
      <c r="J6862">
        <v>7</v>
      </c>
      <c r="K6862">
        <v>54</v>
      </c>
      <c r="L6862">
        <v>36</v>
      </c>
      <c r="M6862" s="1">
        <v>9000000000</v>
      </c>
    </row>
    <row r="6863" spans="1:13" ht="15" customHeight="1">
      <c r="A6863" t="s">
        <v>72</v>
      </c>
      <c r="B6863">
        <f t="shared" si="426"/>
        <v>33.692416000000001</v>
      </c>
      <c r="C6863">
        <f t="shared" si="427"/>
        <v>-117.85335499999999</v>
      </c>
      <c r="D6863">
        <f t="shared" si="428"/>
        <v>37</v>
      </c>
      <c r="E6863">
        <v>32.5</v>
      </c>
      <c r="F6863">
        <f t="shared" si="429"/>
        <v>4.5</v>
      </c>
      <c r="G6863">
        <v>229.8</v>
      </c>
      <c r="H6863">
        <v>2.6469999999999998</v>
      </c>
      <c r="I6863">
        <v>1.1519999999999999</v>
      </c>
      <c r="J6863">
        <v>9</v>
      </c>
      <c r="K6863">
        <v>44</v>
      </c>
      <c r="L6863">
        <v>29</v>
      </c>
      <c r="M6863" s="1">
        <v>9000000000</v>
      </c>
    </row>
    <row r="6864" spans="1:13" ht="15" customHeight="1">
      <c r="A6864" t="s">
        <v>72</v>
      </c>
      <c r="B6864">
        <f t="shared" si="426"/>
        <v>33.692416000000001</v>
      </c>
      <c r="C6864">
        <f t="shared" si="427"/>
        <v>-117.85335499999999</v>
      </c>
      <c r="D6864">
        <f t="shared" si="428"/>
        <v>37</v>
      </c>
      <c r="E6864">
        <v>33.5</v>
      </c>
      <c r="F6864">
        <f t="shared" si="429"/>
        <v>3.5</v>
      </c>
      <c r="G6864">
        <v>93.9</v>
      </c>
      <c r="H6864">
        <v>2.44</v>
      </c>
      <c r="I6864">
        <v>2.6019999999999999</v>
      </c>
      <c r="J6864">
        <v>6</v>
      </c>
      <c r="K6864">
        <v>36</v>
      </c>
      <c r="L6864">
        <v>24</v>
      </c>
      <c r="M6864">
        <v>6.1189999999999998</v>
      </c>
    </row>
    <row r="6865" spans="1:13" ht="15" customHeight="1">
      <c r="A6865" t="s">
        <v>72</v>
      </c>
      <c r="B6865">
        <f t="shared" si="426"/>
        <v>33.692416000000001</v>
      </c>
      <c r="C6865">
        <f t="shared" si="427"/>
        <v>-117.85335499999999</v>
      </c>
      <c r="D6865">
        <f t="shared" si="428"/>
        <v>37</v>
      </c>
      <c r="E6865">
        <v>34.5</v>
      </c>
      <c r="F6865">
        <f t="shared" si="429"/>
        <v>2.5</v>
      </c>
      <c r="G6865">
        <v>78.966999999999999</v>
      </c>
      <c r="H6865">
        <v>2.2669999999999999</v>
      </c>
      <c r="I6865">
        <v>2.8719999999999999</v>
      </c>
      <c r="J6865">
        <v>6</v>
      </c>
      <c r="K6865">
        <v>30</v>
      </c>
      <c r="L6865">
        <v>19</v>
      </c>
      <c r="M6865">
        <v>5.1230000000000002</v>
      </c>
    </row>
    <row r="6866" spans="1:13" ht="15" customHeight="1">
      <c r="A6866" t="s">
        <v>72</v>
      </c>
      <c r="B6866">
        <f t="shared" si="426"/>
        <v>33.692416000000001</v>
      </c>
      <c r="C6866">
        <f t="shared" si="427"/>
        <v>-117.85335499999999</v>
      </c>
      <c r="D6866">
        <f t="shared" si="428"/>
        <v>37</v>
      </c>
      <c r="E6866">
        <v>35.5</v>
      </c>
      <c r="F6866">
        <f t="shared" si="429"/>
        <v>1.5</v>
      </c>
      <c r="G6866">
        <v>106.7</v>
      </c>
      <c r="H6866">
        <v>2.7469999999999999</v>
      </c>
      <c r="I6866">
        <v>2.5750000000000002</v>
      </c>
      <c r="J6866">
        <v>7</v>
      </c>
      <c r="K6866">
        <v>34</v>
      </c>
      <c r="L6866">
        <v>22</v>
      </c>
      <c r="M6866" s="1">
        <v>9000000000</v>
      </c>
    </row>
    <row r="6867" spans="1:13" ht="15" customHeight="1">
      <c r="A6867" t="s">
        <v>72</v>
      </c>
      <c r="B6867">
        <f t="shared" si="426"/>
        <v>33.692416000000001</v>
      </c>
      <c r="C6867">
        <f t="shared" si="427"/>
        <v>-117.85335499999999</v>
      </c>
      <c r="D6867">
        <f t="shared" si="428"/>
        <v>37</v>
      </c>
      <c r="E6867">
        <v>36.5</v>
      </c>
      <c r="F6867">
        <f t="shared" si="429"/>
        <v>0.5</v>
      </c>
      <c r="G6867">
        <v>57.433</v>
      </c>
      <c r="H6867">
        <v>1.7</v>
      </c>
      <c r="I6867">
        <v>2.9649999999999999</v>
      </c>
      <c r="J6867">
        <v>6</v>
      </c>
      <c r="K6867">
        <v>22</v>
      </c>
      <c r="L6867">
        <v>14</v>
      </c>
      <c r="M6867">
        <v>3.6760000000000002</v>
      </c>
    </row>
    <row r="6868" spans="1:13" ht="15" customHeight="1">
      <c r="A6868" t="s">
        <v>72</v>
      </c>
      <c r="B6868">
        <f t="shared" si="426"/>
        <v>33.692416000000001</v>
      </c>
      <c r="C6868">
        <f t="shared" si="427"/>
        <v>-117.85335499999999</v>
      </c>
      <c r="D6868">
        <f t="shared" si="428"/>
        <v>37</v>
      </c>
      <c r="E6868">
        <v>37.5</v>
      </c>
      <c r="F6868">
        <f t="shared" si="429"/>
        <v>-0.5</v>
      </c>
      <c r="G6868">
        <v>47.35</v>
      </c>
      <c r="H6868">
        <v>1.4119999999999999</v>
      </c>
      <c r="I6868">
        <v>2.9820000000000002</v>
      </c>
      <c r="J6868">
        <v>6</v>
      </c>
      <c r="K6868">
        <v>18</v>
      </c>
      <c r="L6868">
        <v>11</v>
      </c>
      <c r="M6868">
        <v>3.0059999999999998</v>
      </c>
    </row>
    <row r="6869" spans="1:13" ht="15" customHeight="1">
      <c r="A6869" t="s">
        <v>72</v>
      </c>
      <c r="B6869">
        <f t="shared" si="426"/>
        <v>33.692416000000001</v>
      </c>
      <c r="C6869">
        <f t="shared" si="427"/>
        <v>-117.85335499999999</v>
      </c>
      <c r="D6869">
        <f t="shared" si="428"/>
        <v>37</v>
      </c>
      <c r="E6869">
        <v>38.5</v>
      </c>
      <c r="F6869">
        <f t="shared" si="429"/>
        <v>-1.5</v>
      </c>
      <c r="G6869">
        <v>48.1</v>
      </c>
      <c r="H6869">
        <v>0.94299999999999995</v>
      </c>
      <c r="I6869">
        <v>1.9610000000000001</v>
      </c>
      <c r="J6869">
        <v>6</v>
      </c>
      <c r="K6869">
        <v>18</v>
      </c>
      <c r="L6869">
        <v>11</v>
      </c>
      <c r="M6869">
        <v>3.0529999999999999</v>
      </c>
    </row>
    <row r="6870" spans="1:13" ht="15" customHeight="1">
      <c r="A6870" t="s">
        <v>72</v>
      </c>
      <c r="B6870">
        <f t="shared" si="426"/>
        <v>33.692416000000001</v>
      </c>
      <c r="C6870">
        <f t="shared" si="427"/>
        <v>-117.85335499999999</v>
      </c>
      <c r="D6870">
        <f t="shared" si="428"/>
        <v>37</v>
      </c>
      <c r="E6870">
        <v>39.5</v>
      </c>
      <c r="F6870">
        <f t="shared" si="429"/>
        <v>-2.5</v>
      </c>
      <c r="G6870">
        <v>309.81700000000001</v>
      </c>
      <c r="H6870">
        <v>3.6970000000000001</v>
      </c>
      <c r="I6870">
        <v>1.194</v>
      </c>
      <c r="J6870">
        <v>9</v>
      </c>
      <c r="K6870">
        <v>59</v>
      </c>
      <c r="L6870">
        <v>36</v>
      </c>
      <c r="M6870" s="1">
        <v>9000000000</v>
      </c>
    </row>
    <row r="6871" spans="1:13" ht="15" customHeight="1">
      <c r="A6871" t="s">
        <v>72</v>
      </c>
      <c r="B6871">
        <f t="shared" si="426"/>
        <v>33.692416000000001</v>
      </c>
      <c r="C6871">
        <f t="shared" si="427"/>
        <v>-117.85335499999999</v>
      </c>
      <c r="D6871">
        <f t="shared" si="428"/>
        <v>37</v>
      </c>
      <c r="E6871">
        <v>40.5</v>
      </c>
      <c r="F6871">
        <f t="shared" si="429"/>
        <v>-3.5</v>
      </c>
      <c r="G6871">
        <v>262.93299999999999</v>
      </c>
      <c r="H6871">
        <v>2.6880000000000002</v>
      </c>
      <c r="I6871">
        <v>1.0229999999999999</v>
      </c>
      <c r="J6871">
        <v>9</v>
      </c>
      <c r="K6871">
        <v>50</v>
      </c>
      <c r="L6871">
        <v>30</v>
      </c>
      <c r="M6871" s="1">
        <v>9000000000</v>
      </c>
    </row>
    <row r="6872" spans="1:13" ht="15" customHeight="1">
      <c r="A6872" t="s">
        <v>72</v>
      </c>
      <c r="B6872">
        <f t="shared" si="426"/>
        <v>33.692416000000001</v>
      </c>
      <c r="C6872">
        <f t="shared" si="427"/>
        <v>-117.85335499999999</v>
      </c>
      <c r="D6872">
        <f t="shared" si="428"/>
        <v>37</v>
      </c>
      <c r="E6872">
        <v>41.499000000000002</v>
      </c>
      <c r="F6872">
        <f t="shared" si="429"/>
        <v>-4.4990000000000023</v>
      </c>
      <c r="G6872">
        <v>82.129000000000005</v>
      </c>
      <c r="H6872">
        <v>2.8889999999999998</v>
      </c>
      <c r="I6872">
        <v>3.5209999999999999</v>
      </c>
      <c r="J6872">
        <v>6</v>
      </c>
      <c r="K6872">
        <v>31</v>
      </c>
      <c r="L6872">
        <v>18</v>
      </c>
      <c r="M6872">
        <v>5.3029999999999999</v>
      </c>
    </row>
    <row r="6873" spans="1:13" ht="15" customHeight="1">
      <c r="A6873" t="s">
        <v>72</v>
      </c>
      <c r="B6873">
        <f t="shared" si="426"/>
        <v>33.692416000000001</v>
      </c>
      <c r="C6873">
        <f t="shared" si="427"/>
        <v>-117.85335499999999</v>
      </c>
      <c r="D6873">
        <f t="shared" si="428"/>
        <v>37</v>
      </c>
      <c r="E6873">
        <v>42.499000000000002</v>
      </c>
      <c r="F6873">
        <f t="shared" si="429"/>
        <v>-5.4990000000000023</v>
      </c>
      <c r="G6873">
        <v>305.93299999999999</v>
      </c>
      <c r="H6873">
        <v>4.3380000000000001</v>
      </c>
      <c r="I6873">
        <v>1.419</v>
      </c>
      <c r="J6873">
        <v>9</v>
      </c>
      <c r="K6873">
        <v>59</v>
      </c>
      <c r="L6873">
        <v>34</v>
      </c>
      <c r="M6873" s="1">
        <v>9000000000</v>
      </c>
    </row>
    <row r="6874" spans="1:13" ht="15" customHeight="1">
      <c r="A6874" t="s">
        <v>72</v>
      </c>
      <c r="B6874">
        <f t="shared" si="426"/>
        <v>33.692416000000001</v>
      </c>
      <c r="C6874">
        <f t="shared" si="427"/>
        <v>-117.85335499999999</v>
      </c>
      <c r="D6874">
        <f t="shared" si="428"/>
        <v>37</v>
      </c>
      <c r="E6874">
        <v>43.499000000000002</v>
      </c>
      <c r="F6874">
        <f t="shared" si="429"/>
        <v>-6.4990000000000023</v>
      </c>
      <c r="G6874">
        <v>323.767</v>
      </c>
      <c r="H6874">
        <v>4.2779999999999996</v>
      </c>
      <c r="I6874">
        <v>1.3220000000000001</v>
      </c>
      <c r="J6874">
        <v>9</v>
      </c>
      <c r="K6874">
        <v>62</v>
      </c>
      <c r="L6874">
        <v>36</v>
      </c>
      <c r="M6874" s="1">
        <v>9000000000</v>
      </c>
    </row>
    <row r="6875" spans="1:13" ht="15" customHeight="1">
      <c r="A6875" t="s">
        <v>72</v>
      </c>
      <c r="B6875">
        <f t="shared" si="426"/>
        <v>33.692416000000001</v>
      </c>
      <c r="C6875">
        <f t="shared" si="427"/>
        <v>-117.85335499999999</v>
      </c>
      <c r="D6875">
        <f t="shared" si="428"/>
        <v>37</v>
      </c>
      <c r="E6875">
        <v>44.499000000000002</v>
      </c>
      <c r="F6875">
        <f t="shared" si="429"/>
        <v>-7.4990000000000023</v>
      </c>
      <c r="G6875">
        <v>295.93299999999999</v>
      </c>
      <c r="H6875">
        <v>4.21</v>
      </c>
      <c r="I6875">
        <v>1.423</v>
      </c>
      <c r="J6875">
        <v>9</v>
      </c>
      <c r="K6875">
        <v>57</v>
      </c>
      <c r="L6875">
        <v>32</v>
      </c>
      <c r="M6875" s="1">
        <v>9000000000</v>
      </c>
    </row>
    <row r="6876" spans="1:13" ht="15" customHeight="1">
      <c r="A6876" t="s">
        <v>72</v>
      </c>
      <c r="B6876">
        <f t="shared" si="426"/>
        <v>33.692416000000001</v>
      </c>
      <c r="C6876">
        <f t="shared" si="427"/>
        <v>-117.85335499999999</v>
      </c>
      <c r="D6876">
        <f t="shared" si="428"/>
        <v>37</v>
      </c>
      <c r="E6876">
        <v>45.499000000000002</v>
      </c>
      <c r="F6876">
        <f t="shared" si="429"/>
        <v>-8.4990000000000023</v>
      </c>
      <c r="G6876">
        <v>124.2</v>
      </c>
      <c r="H6876">
        <v>2.4529999999999998</v>
      </c>
      <c r="I6876">
        <v>1.9750000000000001</v>
      </c>
      <c r="J6876">
        <v>7</v>
      </c>
      <c r="K6876">
        <v>40</v>
      </c>
      <c r="L6876">
        <v>23</v>
      </c>
      <c r="M6876" s="1">
        <v>9000000000</v>
      </c>
    </row>
    <row r="6877" spans="1:13" ht="15" customHeight="1">
      <c r="A6877" t="s">
        <v>72</v>
      </c>
      <c r="B6877">
        <f t="shared" si="426"/>
        <v>33.692416000000001</v>
      </c>
      <c r="C6877">
        <f t="shared" si="427"/>
        <v>-117.85335499999999</v>
      </c>
      <c r="D6877">
        <f t="shared" si="428"/>
        <v>37</v>
      </c>
      <c r="E6877">
        <v>46.499000000000002</v>
      </c>
      <c r="F6877">
        <f t="shared" si="429"/>
        <v>-9.4990000000000023</v>
      </c>
      <c r="G6877">
        <v>28.632999999999999</v>
      </c>
      <c r="H6877">
        <v>0.70499999999999996</v>
      </c>
      <c r="I6877">
        <v>2.452</v>
      </c>
      <c r="J6877">
        <v>6</v>
      </c>
      <c r="K6877">
        <v>11</v>
      </c>
      <c r="L6877">
        <v>6</v>
      </c>
      <c r="M6877">
        <v>1.7290000000000001</v>
      </c>
    </row>
    <row r="6878" spans="1:13" ht="15" customHeight="1">
      <c r="A6878" t="s">
        <v>72</v>
      </c>
      <c r="B6878">
        <f t="shared" si="426"/>
        <v>33.692416000000001</v>
      </c>
      <c r="C6878">
        <f t="shared" si="427"/>
        <v>-117.85335499999999</v>
      </c>
      <c r="D6878">
        <f t="shared" si="428"/>
        <v>37</v>
      </c>
      <c r="E6878">
        <v>47.499000000000002</v>
      </c>
      <c r="F6878">
        <f t="shared" si="429"/>
        <v>-10.499000000000002</v>
      </c>
      <c r="G6878">
        <v>22.683</v>
      </c>
      <c r="H6878">
        <v>0.55000000000000004</v>
      </c>
      <c r="I6878">
        <v>2.403</v>
      </c>
      <c r="J6878">
        <v>6</v>
      </c>
      <c r="K6878">
        <v>9</v>
      </c>
      <c r="L6878">
        <v>5</v>
      </c>
      <c r="M6878">
        <v>1.3340000000000001</v>
      </c>
    </row>
    <row r="6879" spans="1:13" ht="15" customHeight="1">
      <c r="A6879" t="s">
        <v>72</v>
      </c>
      <c r="B6879">
        <f t="shared" si="426"/>
        <v>33.692416000000001</v>
      </c>
      <c r="C6879">
        <f t="shared" si="427"/>
        <v>-117.85335499999999</v>
      </c>
      <c r="D6879">
        <f t="shared" si="428"/>
        <v>37</v>
      </c>
      <c r="E6879">
        <v>48.499000000000002</v>
      </c>
      <c r="F6879">
        <f t="shared" si="429"/>
        <v>-11.499000000000002</v>
      </c>
      <c r="G6879">
        <v>21.716999999999999</v>
      </c>
      <c r="H6879">
        <v>0.65800000000000003</v>
      </c>
      <c r="I6879">
        <v>2.9830000000000001</v>
      </c>
      <c r="J6879">
        <v>5</v>
      </c>
      <c r="K6879">
        <v>11</v>
      </c>
      <c r="L6879">
        <v>6</v>
      </c>
      <c r="M6879">
        <v>1.2749999999999999</v>
      </c>
    </row>
    <row r="6880" spans="1:13" ht="15" customHeight="1">
      <c r="A6880" t="s">
        <v>72</v>
      </c>
      <c r="B6880">
        <f t="shared" si="426"/>
        <v>33.692416000000001</v>
      </c>
      <c r="C6880">
        <f t="shared" si="427"/>
        <v>-117.85335499999999</v>
      </c>
      <c r="D6880">
        <f t="shared" si="428"/>
        <v>37</v>
      </c>
      <c r="E6880">
        <v>49.499000000000002</v>
      </c>
      <c r="F6880">
        <f t="shared" si="429"/>
        <v>-12.499000000000002</v>
      </c>
      <c r="G6880">
        <v>23.05</v>
      </c>
      <c r="H6880">
        <v>0.875</v>
      </c>
      <c r="I6880">
        <v>3.7080000000000002</v>
      </c>
      <c r="J6880">
        <v>4</v>
      </c>
      <c r="K6880">
        <v>15</v>
      </c>
      <c r="L6880">
        <v>8</v>
      </c>
      <c r="M6880">
        <v>1.3740000000000001</v>
      </c>
    </row>
    <row r="6881" spans="1:13" ht="15" customHeight="1">
      <c r="A6881" t="s">
        <v>72</v>
      </c>
      <c r="B6881">
        <f t="shared" si="426"/>
        <v>33.692416000000001</v>
      </c>
      <c r="C6881">
        <f t="shared" si="427"/>
        <v>-117.85335499999999</v>
      </c>
      <c r="D6881">
        <f t="shared" si="428"/>
        <v>37</v>
      </c>
      <c r="E6881">
        <v>50.499000000000002</v>
      </c>
      <c r="F6881">
        <f t="shared" si="429"/>
        <v>-13.499000000000002</v>
      </c>
      <c r="G6881">
        <v>25.117000000000001</v>
      </c>
      <c r="H6881">
        <v>0.82299999999999995</v>
      </c>
      <c r="I6881">
        <v>3.177</v>
      </c>
      <c r="J6881">
        <v>5</v>
      </c>
      <c r="K6881">
        <v>12</v>
      </c>
      <c r="L6881">
        <v>6</v>
      </c>
      <c r="M6881">
        <v>1.524</v>
      </c>
    </row>
    <row r="6882" spans="1:13" ht="15" customHeight="1">
      <c r="A6882" t="s">
        <v>72</v>
      </c>
      <c r="B6882">
        <f t="shared" si="426"/>
        <v>33.692416000000001</v>
      </c>
      <c r="C6882">
        <f t="shared" si="427"/>
        <v>-117.85335499999999</v>
      </c>
      <c r="D6882">
        <f t="shared" si="428"/>
        <v>37</v>
      </c>
      <c r="E6882">
        <v>51.499000000000002</v>
      </c>
      <c r="F6882">
        <f t="shared" si="429"/>
        <v>-14.499000000000002</v>
      </c>
      <c r="G6882">
        <v>35.466999999999999</v>
      </c>
      <c r="H6882">
        <v>1.5249999999999999</v>
      </c>
      <c r="I6882">
        <v>4.2220000000000004</v>
      </c>
      <c r="J6882">
        <v>4</v>
      </c>
      <c r="K6882">
        <v>23</v>
      </c>
      <c r="L6882">
        <v>12</v>
      </c>
      <c r="M6882">
        <v>2.2000000000000002</v>
      </c>
    </row>
    <row r="6883" spans="1:13" ht="15" customHeight="1">
      <c r="A6883" t="s">
        <v>72</v>
      </c>
      <c r="B6883">
        <f t="shared" si="426"/>
        <v>33.692416000000001</v>
      </c>
      <c r="C6883">
        <f t="shared" si="427"/>
        <v>-117.85335499999999</v>
      </c>
      <c r="D6883">
        <f t="shared" si="428"/>
        <v>37</v>
      </c>
      <c r="E6883">
        <v>52.499000000000002</v>
      </c>
      <c r="F6883">
        <f t="shared" si="429"/>
        <v>-15.499000000000002</v>
      </c>
      <c r="G6883">
        <v>79.656999999999996</v>
      </c>
      <c r="H6883">
        <v>2.496</v>
      </c>
      <c r="I6883">
        <v>3.1190000000000002</v>
      </c>
      <c r="J6883">
        <v>6</v>
      </c>
      <c r="K6883">
        <v>31</v>
      </c>
      <c r="L6883">
        <v>16</v>
      </c>
      <c r="M6883">
        <v>5.1230000000000002</v>
      </c>
    </row>
    <row r="6884" spans="1:13" ht="15" customHeight="1">
      <c r="A6884" t="s">
        <v>72</v>
      </c>
      <c r="B6884">
        <f t="shared" si="426"/>
        <v>33.692416000000001</v>
      </c>
      <c r="C6884">
        <f t="shared" si="427"/>
        <v>-117.85335499999999</v>
      </c>
      <c r="D6884">
        <f t="shared" si="428"/>
        <v>37</v>
      </c>
      <c r="E6884">
        <v>53.499000000000002</v>
      </c>
      <c r="F6884">
        <f t="shared" si="429"/>
        <v>-16.499000000000002</v>
      </c>
      <c r="G6884">
        <v>58.933</v>
      </c>
      <c r="H6884">
        <v>2.72</v>
      </c>
      <c r="I6884">
        <v>4.6150000000000002</v>
      </c>
      <c r="J6884">
        <v>4</v>
      </c>
      <c r="K6884">
        <v>38</v>
      </c>
      <c r="L6884">
        <v>20</v>
      </c>
      <c r="M6884">
        <v>3.7120000000000002</v>
      </c>
    </row>
    <row r="6885" spans="1:13" ht="15" customHeight="1">
      <c r="A6885" t="s">
        <v>72</v>
      </c>
      <c r="B6885">
        <f t="shared" si="426"/>
        <v>33.692416000000001</v>
      </c>
      <c r="C6885">
        <f t="shared" si="427"/>
        <v>-117.85335499999999</v>
      </c>
      <c r="D6885">
        <f t="shared" si="428"/>
        <v>37</v>
      </c>
      <c r="E6885">
        <v>54.499000000000002</v>
      </c>
      <c r="F6885">
        <f t="shared" si="429"/>
        <v>-17.499000000000002</v>
      </c>
      <c r="G6885">
        <v>27.367000000000001</v>
      </c>
      <c r="H6885">
        <v>1.1850000000000001</v>
      </c>
      <c r="I6885">
        <v>4.32</v>
      </c>
      <c r="J6885">
        <v>4</v>
      </c>
      <c r="K6885">
        <v>18</v>
      </c>
      <c r="L6885">
        <v>9</v>
      </c>
      <c r="M6885">
        <v>1.6080000000000001</v>
      </c>
    </row>
    <row r="6886" spans="1:13" ht="15" customHeight="1">
      <c r="A6886" t="s">
        <v>72</v>
      </c>
      <c r="B6886">
        <f t="shared" si="426"/>
        <v>33.692416000000001</v>
      </c>
      <c r="C6886">
        <f t="shared" si="427"/>
        <v>-117.85335499999999</v>
      </c>
      <c r="D6886">
        <f t="shared" si="428"/>
        <v>37</v>
      </c>
      <c r="E6886">
        <v>55.499000000000002</v>
      </c>
      <c r="F6886">
        <f t="shared" si="429"/>
        <v>-18.499000000000002</v>
      </c>
      <c r="G6886">
        <v>22.832999999999998</v>
      </c>
      <c r="H6886">
        <v>0.747</v>
      </c>
      <c r="I6886">
        <v>3.2530000000000001</v>
      </c>
      <c r="J6886">
        <v>5</v>
      </c>
      <c r="K6886">
        <v>11</v>
      </c>
      <c r="L6886">
        <v>6</v>
      </c>
      <c r="M6886">
        <v>1.3049999999999999</v>
      </c>
    </row>
    <row r="6887" spans="1:13" ht="15" customHeight="1">
      <c r="A6887" t="s">
        <v>72</v>
      </c>
      <c r="B6887">
        <f t="shared" si="426"/>
        <v>33.692416000000001</v>
      </c>
      <c r="C6887">
        <f t="shared" si="427"/>
        <v>-117.85335499999999</v>
      </c>
      <c r="D6887">
        <f t="shared" si="428"/>
        <v>37</v>
      </c>
      <c r="E6887">
        <v>56.499000000000002</v>
      </c>
      <c r="F6887">
        <f t="shared" si="429"/>
        <v>-19.499000000000002</v>
      </c>
      <c r="G6887">
        <v>22.55</v>
      </c>
      <c r="H6887">
        <v>0.60699999999999998</v>
      </c>
      <c r="I6887">
        <v>2.6629999999999998</v>
      </c>
      <c r="J6887">
        <v>5</v>
      </c>
      <c r="K6887">
        <v>11</v>
      </c>
      <c r="L6887">
        <v>6</v>
      </c>
      <c r="M6887">
        <v>1.29</v>
      </c>
    </row>
    <row r="6888" spans="1:13" ht="15" customHeight="1">
      <c r="A6888" t="s">
        <v>72</v>
      </c>
      <c r="B6888">
        <f t="shared" si="426"/>
        <v>33.692416000000001</v>
      </c>
      <c r="C6888">
        <f t="shared" si="427"/>
        <v>-117.85335499999999</v>
      </c>
      <c r="D6888">
        <f t="shared" si="428"/>
        <v>37</v>
      </c>
      <c r="E6888">
        <v>57.499000000000002</v>
      </c>
      <c r="F6888">
        <f t="shared" si="429"/>
        <v>-20.499000000000002</v>
      </c>
      <c r="G6888">
        <v>25.65</v>
      </c>
      <c r="H6888">
        <v>0.59199999999999997</v>
      </c>
      <c r="I6888">
        <v>2.2730000000000001</v>
      </c>
      <c r="J6888">
        <v>6</v>
      </c>
      <c r="K6888">
        <v>10</v>
      </c>
      <c r="L6888">
        <v>5</v>
      </c>
      <c r="M6888">
        <v>1.502</v>
      </c>
    </row>
    <row r="6889" spans="1:13" ht="15" customHeight="1">
      <c r="A6889" t="s">
        <v>72</v>
      </c>
      <c r="B6889">
        <f t="shared" si="426"/>
        <v>33.692416000000001</v>
      </c>
      <c r="C6889">
        <f t="shared" si="427"/>
        <v>-117.85335499999999</v>
      </c>
      <c r="D6889">
        <f t="shared" si="428"/>
        <v>37</v>
      </c>
      <c r="E6889">
        <v>58.499000000000002</v>
      </c>
      <c r="F6889">
        <f t="shared" si="429"/>
        <v>-21.499000000000002</v>
      </c>
      <c r="G6889">
        <v>27.683</v>
      </c>
      <c r="H6889">
        <v>0.96</v>
      </c>
      <c r="I6889">
        <v>3.3820000000000001</v>
      </c>
      <c r="J6889">
        <v>5</v>
      </c>
      <c r="K6889">
        <v>14</v>
      </c>
      <c r="L6889">
        <v>7</v>
      </c>
      <c r="M6889">
        <v>1.655</v>
      </c>
    </row>
    <row r="6890" spans="1:13" ht="15" customHeight="1">
      <c r="A6890" t="s">
        <v>72</v>
      </c>
      <c r="B6890">
        <f t="shared" si="426"/>
        <v>33.692416000000001</v>
      </c>
      <c r="C6890">
        <f t="shared" si="427"/>
        <v>-117.85335499999999</v>
      </c>
      <c r="D6890">
        <f t="shared" si="428"/>
        <v>37</v>
      </c>
      <c r="E6890">
        <v>59.499000000000002</v>
      </c>
      <c r="F6890">
        <f t="shared" si="429"/>
        <v>-22.499000000000002</v>
      </c>
      <c r="G6890">
        <v>40.567</v>
      </c>
      <c r="H6890">
        <v>1.542</v>
      </c>
      <c r="I6890">
        <v>3.706</v>
      </c>
      <c r="J6890">
        <v>5</v>
      </c>
      <c r="K6890">
        <v>20</v>
      </c>
      <c r="L6890">
        <v>10</v>
      </c>
      <c r="M6890">
        <v>2.532</v>
      </c>
    </row>
    <row r="6891" spans="1:13" ht="15" customHeight="1">
      <c r="A6891" t="s">
        <v>72</v>
      </c>
      <c r="B6891">
        <f t="shared" si="426"/>
        <v>33.692416000000001</v>
      </c>
      <c r="C6891">
        <f t="shared" si="427"/>
        <v>-117.85335499999999</v>
      </c>
      <c r="D6891">
        <f t="shared" si="428"/>
        <v>37</v>
      </c>
      <c r="E6891">
        <v>60.499000000000002</v>
      </c>
      <c r="F6891">
        <f t="shared" si="429"/>
        <v>-23.499000000000002</v>
      </c>
      <c r="G6891">
        <v>46.732999999999997</v>
      </c>
      <c r="H6891">
        <v>1.407</v>
      </c>
      <c r="I6891">
        <v>2.9510000000000001</v>
      </c>
      <c r="J6891">
        <v>6</v>
      </c>
      <c r="K6891">
        <v>18</v>
      </c>
      <c r="L6891">
        <v>9</v>
      </c>
      <c r="M6891">
        <v>2.9319999999999999</v>
      </c>
    </row>
    <row r="6892" spans="1:13" ht="15" customHeight="1">
      <c r="A6892" t="s">
        <v>72</v>
      </c>
      <c r="B6892">
        <f t="shared" si="426"/>
        <v>33.692416000000001</v>
      </c>
      <c r="C6892">
        <f t="shared" si="427"/>
        <v>-117.85335499999999</v>
      </c>
      <c r="D6892">
        <f t="shared" si="428"/>
        <v>37</v>
      </c>
      <c r="E6892">
        <v>61.499000000000002</v>
      </c>
      <c r="F6892">
        <f t="shared" si="429"/>
        <v>-24.499000000000002</v>
      </c>
      <c r="G6892">
        <v>103.65</v>
      </c>
      <c r="H6892">
        <v>3.24</v>
      </c>
      <c r="I6892">
        <v>3.1179999999999999</v>
      </c>
      <c r="J6892">
        <v>6</v>
      </c>
      <c r="K6892">
        <v>40</v>
      </c>
      <c r="L6892">
        <v>20</v>
      </c>
      <c r="M6892">
        <v>6.6779999999999999</v>
      </c>
    </row>
    <row r="6893" spans="1:13" ht="15" customHeight="1">
      <c r="A6893" t="s">
        <v>72</v>
      </c>
      <c r="B6893">
        <f t="shared" si="426"/>
        <v>33.692416000000001</v>
      </c>
      <c r="C6893">
        <f t="shared" si="427"/>
        <v>-117.85335499999999</v>
      </c>
      <c r="D6893">
        <f t="shared" si="428"/>
        <v>37</v>
      </c>
      <c r="E6893">
        <v>62.499000000000002</v>
      </c>
      <c r="F6893">
        <f t="shared" si="429"/>
        <v>-25.499000000000002</v>
      </c>
      <c r="G6893">
        <v>51.442999999999998</v>
      </c>
      <c r="H6893">
        <v>2.2810000000000001</v>
      </c>
      <c r="I6893">
        <v>4.4409999999999998</v>
      </c>
      <c r="J6893">
        <v>4</v>
      </c>
      <c r="K6893">
        <v>33</v>
      </c>
      <c r="L6893">
        <v>17</v>
      </c>
      <c r="M6893">
        <v>3.1709999999999998</v>
      </c>
    </row>
    <row r="6894" spans="1:13" ht="15" customHeight="1">
      <c r="A6894" t="s">
        <v>72</v>
      </c>
      <c r="B6894">
        <f t="shared" si="426"/>
        <v>33.692416000000001</v>
      </c>
      <c r="C6894">
        <f t="shared" si="427"/>
        <v>-117.85335499999999</v>
      </c>
      <c r="D6894">
        <f t="shared" si="428"/>
        <v>37</v>
      </c>
      <c r="E6894">
        <v>63.499000000000002</v>
      </c>
      <c r="F6894">
        <f t="shared" si="429"/>
        <v>-26.499000000000002</v>
      </c>
      <c r="G6894">
        <v>49.167000000000002</v>
      </c>
      <c r="H6894">
        <v>1.5029999999999999</v>
      </c>
      <c r="I6894">
        <v>3.0590000000000002</v>
      </c>
      <c r="J6894">
        <v>6</v>
      </c>
      <c r="K6894">
        <v>19</v>
      </c>
      <c r="L6894">
        <v>10</v>
      </c>
      <c r="M6894">
        <v>3.0179999999999998</v>
      </c>
    </row>
    <row r="6895" spans="1:13" ht="15" customHeight="1">
      <c r="A6895" t="s">
        <v>72</v>
      </c>
      <c r="B6895">
        <f t="shared" si="426"/>
        <v>33.692416000000001</v>
      </c>
      <c r="C6895">
        <f t="shared" si="427"/>
        <v>-117.85335499999999</v>
      </c>
      <c r="D6895">
        <f t="shared" si="428"/>
        <v>37</v>
      </c>
      <c r="E6895">
        <v>64.498999999999995</v>
      </c>
      <c r="F6895">
        <f t="shared" si="429"/>
        <v>-27.498999999999995</v>
      </c>
      <c r="G6895">
        <v>31.683</v>
      </c>
      <c r="H6895">
        <v>0.96199999999999997</v>
      </c>
      <c r="I6895">
        <v>3.0350000000000001</v>
      </c>
      <c r="J6895">
        <v>5</v>
      </c>
      <c r="K6895">
        <v>15</v>
      </c>
      <c r="L6895">
        <v>8</v>
      </c>
      <c r="M6895">
        <v>1.85</v>
      </c>
    </row>
    <row r="6896" spans="1:13" ht="15" customHeight="1">
      <c r="A6896" t="s">
        <v>72</v>
      </c>
      <c r="B6896">
        <f t="shared" si="426"/>
        <v>33.692416000000001</v>
      </c>
      <c r="C6896">
        <f t="shared" si="427"/>
        <v>-117.85335499999999</v>
      </c>
      <c r="D6896">
        <f t="shared" si="428"/>
        <v>37</v>
      </c>
      <c r="E6896">
        <v>65.498999999999995</v>
      </c>
      <c r="F6896">
        <f t="shared" si="429"/>
        <v>-28.498999999999995</v>
      </c>
      <c r="G6896">
        <v>64.283000000000001</v>
      </c>
      <c r="H6896">
        <v>2.5030000000000001</v>
      </c>
      <c r="I6896">
        <v>3.8929999999999998</v>
      </c>
      <c r="J6896">
        <v>5</v>
      </c>
      <c r="K6896">
        <v>31</v>
      </c>
      <c r="L6896">
        <v>16</v>
      </c>
      <c r="M6896">
        <v>4.0199999999999996</v>
      </c>
    </row>
    <row r="6897" spans="1:13" ht="15" customHeight="1">
      <c r="A6897" t="s">
        <v>72</v>
      </c>
      <c r="B6897">
        <f t="shared" si="426"/>
        <v>33.692416000000001</v>
      </c>
      <c r="C6897">
        <f t="shared" si="427"/>
        <v>-117.85335499999999</v>
      </c>
      <c r="D6897">
        <f t="shared" si="428"/>
        <v>37</v>
      </c>
      <c r="E6897">
        <v>66.498999999999995</v>
      </c>
      <c r="F6897">
        <f t="shared" si="429"/>
        <v>-29.498999999999995</v>
      </c>
      <c r="G6897">
        <v>91.466999999999999</v>
      </c>
      <c r="H6897">
        <v>2.8530000000000002</v>
      </c>
      <c r="I6897">
        <v>3.12</v>
      </c>
      <c r="J6897">
        <v>6</v>
      </c>
      <c r="K6897">
        <v>35</v>
      </c>
      <c r="L6897">
        <v>18</v>
      </c>
      <c r="M6897">
        <v>5.827</v>
      </c>
    </row>
    <row r="6898" spans="1:13" ht="15" customHeight="1">
      <c r="A6898" t="s">
        <v>72</v>
      </c>
      <c r="B6898">
        <f t="shared" si="426"/>
        <v>33.692416000000001</v>
      </c>
      <c r="C6898">
        <f t="shared" si="427"/>
        <v>-117.85335499999999</v>
      </c>
      <c r="D6898">
        <f t="shared" si="428"/>
        <v>37</v>
      </c>
      <c r="E6898">
        <v>67.498999999999995</v>
      </c>
      <c r="F6898">
        <f t="shared" si="429"/>
        <v>-30.498999999999995</v>
      </c>
      <c r="G6898">
        <v>150.06700000000001</v>
      </c>
      <c r="H6898">
        <v>3.2170000000000001</v>
      </c>
      <c r="I6898">
        <v>2.1419999999999999</v>
      </c>
      <c r="J6898">
        <v>7</v>
      </c>
      <c r="K6898">
        <v>48</v>
      </c>
      <c r="L6898">
        <v>24</v>
      </c>
      <c r="M6898" s="1">
        <v>9000000000</v>
      </c>
    </row>
    <row r="6899" spans="1:13" ht="15" customHeight="1">
      <c r="A6899" t="s">
        <v>72</v>
      </c>
      <c r="B6899">
        <f t="shared" si="426"/>
        <v>33.692416000000001</v>
      </c>
      <c r="C6899">
        <f t="shared" si="427"/>
        <v>-117.85335499999999</v>
      </c>
      <c r="D6899">
        <f t="shared" si="428"/>
        <v>37</v>
      </c>
      <c r="E6899">
        <v>68.498999999999995</v>
      </c>
      <c r="F6899">
        <f t="shared" si="429"/>
        <v>-31.498999999999995</v>
      </c>
      <c r="G6899">
        <v>329.81700000000001</v>
      </c>
      <c r="H6899">
        <v>2.262</v>
      </c>
      <c r="I6899">
        <v>0.68600000000000005</v>
      </c>
      <c r="J6899">
        <v>10</v>
      </c>
      <c r="K6899">
        <v>53</v>
      </c>
      <c r="L6899">
        <v>27</v>
      </c>
      <c r="M6899" s="1">
        <v>9000000000</v>
      </c>
    </row>
    <row r="6900" spans="1:13" ht="15" customHeight="1">
      <c r="A6900" t="s">
        <v>72</v>
      </c>
      <c r="B6900">
        <f t="shared" si="426"/>
        <v>33.692416000000001</v>
      </c>
      <c r="C6900">
        <f t="shared" si="427"/>
        <v>-117.85335499999999</v>
      </c>
      <c r="D6900">
        <f t="shared" si="428"/>
        <v>37</v>
      </c>
      <c r="E6900">
        <v>69.498999999999995</v>
      </c>
      <c r="F6900">
        <f t="shared" si="429"/>
        <v>-32.498999999999995</v>
      </c>
      <c r="G6900">
        <v>127.083</v>
      </c>
      <c r="H6900">
        <v>2.6949999999999998</v>
      </c>
      <c r="I6900">
        <v>2.121</v>
      </c>
      <c r="J6900">
        <v>7</v>
      </c>
      <c r="K6900">
        <v>41</v>
      </c>
      <c r="L6900">
        <v>21</v>
      </c>
      <c r="M6900" s="1">
        <v>9000000000</v>
      </c>
    </row>
    <row r="6901" spans="1:13" ht="15" customHeight="1">
      <c r="A6901" t="s">
        <v>72</v>
      </c>
      <c r="B6901">
        <f t="shared" si="426"/>
        <v>33.692416000000001</v>
      </c>
      <c r="C6901">
        <f t="shared" si="427"/>
        <v>-117.85335499999999</v>
      </c>
      <c r="D6901">
        <f t="shared" si="428"/>
        <v>37</v>
      </c>
      <c r="E6901">
        <v>70.498999999999995</v>
      </c>
      <c r="F6901">
        <f t="shared" si="429"/>
        <v>-33.498999999999995</v>
      </c>
      <c r="G6901">
        <v>143.43299999999999</v>
      </c>
      <c r="H6901">
        <v>2.9</v>
      </c>
      <c r="I6901">
        <v>2.0219999999999998</v>
      </c>
      <c r="J6901">
        <v>7</v>
      </c>
      <c r="K6901">
        <v>46</v>
      </c>
      <c r="L6901">
        <v>23</v>
      </c>
      <c r="M6901" s="1">
        <v>9000000000</v>
      </c>
    </row>
    <row r="6902" spans="1:13" ht="15" customHeight="1">
      <c r="A6902" t="s">
        <v>72</v>
      </c>
      <c r="B6902">
        <f t="shared" si="426"/>
        <v>33.692416000000001</v>
      </c>
      <c r="C6902">
        <f t="shared" si="427"/>
        <v>-117.85335499999999</v>
      </c>
      <c r="D6902">
        <f t="shared" si="428"/>
        <v>37</v>
      </c>
      <c r="E6902">
        <v>71.498999999999995</v>
      </c>
      <c r="F6902">
        <f t="shared" si="429"/>
        <v>-34.498999999999995</v>
      </c>
      <c r="G6902">
        <v>117.617</v>
      </c>
      <c r="H6902">
        <v>2.4780000000000002</v>
      </c>
      <c r="I6902">
        <v>2.105</v>
      </c>
      <c r="J6902">
        <v>7</v>
      </c>
      <c r="K6902">
        <v>38</v>
      </c>
      <c r="L6902">
        <v>19</v>
      </c>
      <c r="M6902" s="1">
        <v>9000000000</v>
      </c>
    </row>
    <row r="6903" spans="1:13" ht="15" customHeight="1">
      <c r="A6903" t="s">
        <v>72</v>
      </c>
      <c r="B6903">
        <f t="shared" si="426"/>
        <v>33.692416000000001</v>
      </c>
      <c r="C6903">
        <f t="shared" si="427"/>
        <v>-117.85335499999999</v>
      </c>
      <c r="D6903">
        <f t="shared" si="428"/>
        <v>37</v>
      </c>
      <c r="E6903">
        <v>72.498999999999995</v>
      </c>
      <c r="F6903">
        <f t="shared" si="429"/>
        <v>-35.498999999999995</v>
      </c>
      <c r="G6903">
        <v>24.556999999999999</v>
      </c>
      <c r="H6903">
        <v>0.496</v>
      </c>
      <c r="I6903">
        <v>1.9770000000000001</v>
      </c>
      <c r="J6903">
        <v>6</v>
      </c>
      <c r="K6903">
        <v>10</v>
      </c>
      <c r="L6903">
        <v>5</v>
      </c>
      <c r="M6903">
        <v>1.3759999999999999</v>
      </c>
    </row>
    <row r="6904" spans="1:13" ht="15" customHeight="1">
      <c r="A6904" t="s">
        <v>72</v>
      </c>
      <c r="B6904">
        <f t="shared" si="426"/>
        <v>33.692416000000001</v>
      </c>
      <c r="C6904">
        <f t="shared" si="427"/>
        <v>-117.85335499999999</v>
      </c>
      <c r="D6904">
        <f t="shared" si="428"/>
        <v>37</v>
      </c>
      <c r="E6904">
        <v>73.498999999999995</v>
      </c>
      <c r="F6904">
        <f t="shared" si="429"/>
        <v>-36.498999999999995</v>
      </c>
      <c r="G6904">
        <v>25.7</v>
      </c>
      <c r="H6904">
        <v>0.56999999999999995</v>
      </c>
      <c r="I6904">
        <v>2.0699999999999998</v>
      </c>
      <c r="J6904">
        <v>6</v>
      </c>
      <c r="K6904">
        <v>11</v>
      </c>
      <c r="L6904">
        <v>6</v>
      </c>
      <c r="M6904">
        <v>1.536</v>
      </c>
    </row>
    <row r="6905" spans="1:13" ht="15" customHeight="1">
      <c r="A6905" t="s">
        <v>72</v>
      </c>
      <c r="B6905">
        <f t="shared" si="426"/>
        <v>33.692416000000001</v>
      </c>
      <c r="C6905">
        <f t="shared" si="427"/>
        <v>-117.85335499999999</v>
      </c>
      <c r="D6905">
        <f t="shared" si="428"/>
        <v>37</v>
      </c>
      <c r="E6905">
        <v>74.498999999999995</v>
      </c>
      <c r="F6905">
        <f t="shared" si="429"/>
        <v>-37.498999999999995</v>
      </c>
      <c r="G6905">
        <v>38.033000000000001</v>
      </c>
      <c r="H6905">
        <v>1.2729999999999999</v>
      </c>
      <c r="I6905">
        <v>3.1739999999999999</v>
      </c>
      <c r="J6905">
        <v>5</v>
      </c>
      <c r="K6905">
        <v>19</v>
      </c>
      <c r="L6905">
        <v>10</v>
      </c>
      <c r="M6905">
        <v>2.371</v>
      </c>
    </row>
    <row r="6906" spans="1:13" ht="15" customHeight="1">
      <c r="A6906" t="s">
        <v>72</v>
      </c>
      <c r="B6906">
        <f t="shared" si="426"/>
        <v>33.692416000000001</v>
      </c>
      <c r="C6906">
        <f t="shared" si="427"/>
        <v>-117.85335499999999</v>
      </c>
      <c r="D6906">
        <f t="shared" si="428"/>
        <v>37</v>
      </c>
      <c r="E6906">
        <v>75.498999999999995</v>
      </c>
      <c r="F6906">
        <f t="shared" si="429"/>
        <v>-38.498999999999995</v>
      </c>
      <c r="G6906">
        <v>38.966999999999999</v>
      </c>
      <c r="H6906">
        <v>1.7669999999999999</v>
      </c>
      <c r="I6906">
        <v>4.3339999999999996</v>
      </c>
      <c r="J6906">
        <v>4</v>
      </c>
      <c r="K6906">
        <v>26</v>
      </c>
      <c r="L6906">
        <v>13</v>
      </c>
      <c r="M6906">
        <v>2.41</v>
      </c>
    </row>
    <row r="6907" spans="1:13" ht="15" customHeight="1">
      <c r="A6907" t="s">
        <v>72</v>
      </c>
      <c r="B6907">
        <f t="shared" si="426"/>
        <v>33.692416000000001</v>
      </c>
      <c r="C6907">
        <f t="shared" si="427"/>
        <v>-117.85335499999999</v>
      </c>
      <c r="D6907">
        <f t="shared" si="428"/>
        <v>37</v>
      </c>
      <c r="E6907">
        <v>76.498999999999995</v>
      </c>
      <c r="F6907">
        <f t="shared" si="429"/>
        <v>-39.498999999999995</v>
      </c>
      <c r="G6907">
        <v>37.116999999999997</v>
      </c>
      <c r="H6907">
        <v>1.673</v>
      </c>
      <c r="I6907">
        <v>4.2939999999999996</v>
      </c>
      <c r="J6907">
        <v>4</v>
      </c>
      <c r="K6907">
        <v>25</v>
      </c>
      <c r="L6907">
        <v>13</v>
      </c>
      <c r="M6907">
        <v>2.286</v>
      </c>
    </row>
    <row r="6908" spans="1:13" ht="15" customHeight="1">
      <c r="A6908" t="s">
        <v>72</v>
      </c>
      <c r="B6908">
        <f t="shared" si="426"/>
        <v>33.692416000000001</v>
      </c>
      <c r="C6908">
        <f t="shared" si="427"/>
        <v>-117.85335499999999</v>
      </c>
      <c r="D6908">
        <f t="shared" si="428"/>
        <v>37</v>
      </c>
      <c r="E6908">
        <v>77.498999999999995</v>
      </c>
      <c r="F6908">
        <f t="shared" si="429"/>
        <v>-40.498999999999995</v>
      </c>
      <c r="G6908">
        <v>59.716999999999999</v>
      </c>
      <c r="H6908">
        <v>2.742</v>
      </c>
      <c r="I6908">
        <v>4.5629999999999997</v>
      </c>
      <c r="J6908">
        <v>4</v>
      </c>
      <c r="K6908">
        <v>38</v>
      </c>
      <c r="L6908">
        <v>19</v>
      </c>
      <c r="M6908">
        <v>3.69</v>
      </c>
    </row>
    <row r="6909" spans="1:13" ht="15" customHeight="1">
      <c r="A6909" t="s">
        <v>72</v>
      </c>
      <c r="B6909">
        <f t="shared" si="426"/>
        <v>33.692416000000001</v>
      </c>
      <c r="C6909">
        <f t="shared" si="427"/>
        <v>-117.85335499999999</v>
      </c>
      <c r="D6909">
        <f t="shared" si="428"/>
        <v>37</v>
      </c>
      <c r="E6909">
        <v>78.498999999999995</v>
      </c>
      <c r="F6909">
        <f t="shared" si="429"/>
        <v>-41.498999999999995</v>
      </c>
      <c r="G6909">
        <v>89.882999999999996</v>
      </c>
      <c r="H6909">
        <v>3.2080000000000002</v>
      </c>
      <c r="I6909">
        <v>3.5619999999999998</v>
      </c>
      <c r="J6909">
        <v>6</v>
      </c>
      <c r="K6909">
        <v>35</v>
      </c>
      <c r="L6909">
        <v>18</v>
      </c>
      <c r="M6909">
        <v>5.6840000000000002</v>
      </c>
    </row>
    <row r="6910" spans="1:13" ht="15" customHeight="1">
      <c r="A6910" t="s">
        <v>72</v>
      </c>
      <c r="B6910">
        <f t="shared" si="426"/>
        <v>33.692416000000001</v>
      </c>
      <c r="C6910">
        <f t="shared" si="427"/>
        <v>-117.85335499999999</v>
      </c>
      <c r="D6910">
        <f t="shared" si="428"/>
        <v>37</v>
      </c>
      <c r="E6910">
        <v>79.498999999999995</v>
      </c>
      <c r="F6910">
        <f t="shared" si="429"/>
        <v>-42.498999999999995</v>
      </c>
      <c r="G6910">
        <v>173.8</v>
      </c>
      <c r="H6910">
        <v>4.7569999999999997</v>
      </c>
      <c r="I6910">
        <v>2.738</v>
      </c>
      <c r="J6910">
        <v>7</v>
      </c>
      <c r="K6910">
        <v>55</v>
      </c>
      <c r="L6910">
        <v>28</v>
      </c>
      <c r="M6910" s="1">
        <v>9000000000</v>
      </c>
    </row>
    <row r="6911" spans="1:13" ht="15" customHeight="1">
      <c r="A6911" t="s">
        <v>72</v>
      </c>
      <c r="B6911">
        <f t="shared" si="426"/>
        <v>33.692416000000001</v>
      </c>
      <c r="C6911">
        <f t="shared" si="427"/>
        <v>-117.85335499999999</v>
      </c>
      <c r="D6911">
        <f t="shared" si="428"/>
        <v>37</v>
      </c>
      <c r="E6911">
        <v>80.498999999999995</v>
      </c>
      <c r="F6911">
        <f t="shared" si="429"/>
        <v>-43.498999999999995</v>
      </c>
      <c r="G6911">
        <v>95</v>
      </c>
      <c r="H6911">
        <v>3.0169999999999999</v>
      </c>
      <c r="I6911">
        <v>3.1779999999999999</v>
      </c>
      <c r="J6911">
        <v>6</v>
      </c>
      <c r="K6911">
        <v>36</v>
      </c>
      <c r="L6911">
        <v>18</v>
      </c>
      <c r="M6911">
        <v>5.9989999999999997</v>
      </c>
    </row>
    <row r="6912" spans="1:13" ht="15" customHeight="1">
      <c r="A6912" t="s">
        <v>72</v>
      </c>
      <c r="B6912">
        <f t="shared" si="426"/>
        <v>33.692416000000001</v>
      </c>
      <c r="C6912">
        <f t="shared" si="427"/>
        <v>-117.85335499999999</v>
      </c>
      <c r="D6912">
        <f t="shared" si="428"/>
        <v>37</v>
      </c>
      <c r="E6912">
        <v>81.498999999999995</v>
      </c>
      <c r="F6912">
        <f t="shared" si="429"/>
        <v>-44.498999999999995</v>
      </c>
      <c r="G6912">
        <v>296.36700000000002</v>
      </c>
      <c r="H6912">
        <v>5.2469999999999999</v>
      </c>
      <c r="I6912">
        <v>1.7709999999999999</v>
      </c>
      <c r="J6912">
        <v>8</v>
      </c>
      <c r="K6912">
        <v>71</v>
      </c>
      <c r="L6912">
        <v>36</v>
      </c>
      <c r="M6912" s="1">
        <v>9000000000</v>
      </c>
    </row>
    <row r="6913" spans="1:13" ht="15" customHeight="1">
      <c r="A6913" t="s">
        <v>72</v>
      </c>
      <c r="B6913">
        <f t="shared" si="426"/>
        <v>33.692416000000001</v>
      </c>
      <c r="C6913">
        <f t="shared" si="427"/>
        <v>-117.85335499999999</v>
      </c>
      <c r="D6913">
        <f t="shared" si="428"/>
        <v>37</v>
      </c>
      <c r="E6913">
        <v>82.498999999999995</v>
      </c>
      <c r="F6913">
        <f t="shared" si="429"/>
        <v>-45.498999999999995</v>
      </c>
      <c r="G6913">
        <v>136.78299999999999</v>
      </c>
      <c r="H6913">
        <v>3.472</v>
      </c>
      <c r="I6913">
        <v>2.54</v>
      </c>
      <c r="J6913">
        <v>7</v>
      </c>
      <c r="K6913">
        <v>44</v>
      </c>
      <c r="L6913">
        <v>22</v>
      </c>
      <c r="M6913" s="1">
        <v>9000000000</v>
      </c>
    </row>
    <row r="6914" spans="1:13" ht="15" customHeight="1">
      <c r="A6914" t="s">
        <v>72</v>
      </c>
      <c r="B6914">
        <f t="shared" ref="B6914:B6977" si="430">VLOOKUP(A6914,XYdata,3,FALSE)</f>
        <v>33.692416000000001</v>
      </c>
      <c r="C6914">
        <f t="shared" ref="C6914:C6977" si="431">VLOOKUP(A6914,XYdata,2,FALSE)</f>
        <v>-117.85335499999999</v>
      </c>
      <c r="D6914">
        <f t="shared" ref="D6914:D6977" si="432">VLOOKUP(A6914,Elevation,2,FALSE)</f>
        <v>37</v>
      </c>
      <c r="E6914">
        <v>83.498999999999995</v>
      </c>
      <c r="F6914">
        <f t="shared" si="429"/>
        <v>-46.498999999999995</v>
      </c>
      <c r="G6914">
        <v>99.813999999999993</v>
      </c>
      <c r="H6914">
        <v>4.2240000000000002</v>
      </c>
      <c r="I6914">
        <v>4.2350000000000003</v>
      </c>
      <c r="J6914">
        <v>11</v>
      </c>
      <c r="K6914">
        <v>96</v>
      </c>
      <c r="L6914">
        <v>48</v>
      </c>
      <c r="M6914" s="1">
        <v>9000000000</v>
      </c>
    </row>
    <row r="6915" spans="1:13" ht="15" customHeight="1">
      <c r="A6915" t="s">
        <v>72</v>
      </c>
      <c r="B6915">
        <f t="shared" si="430"/>
        <v>33.692416000000001</v>
      </c>
      <c r="C6915">
        <f t="shared" si="431"/>
        <v>-117.85335499999999</v>
      </c>
      <c r="D6915">
        <f t="shared" si="432"/>
        <v>37</v>
      </c>
      <c r="E6915">
        <v>84.498999999999995</v>
      </c>
      <c r="F6915">
        <f t="shared" ref="F6915:F6978" si="433">D6915-E6915</f>
        <v>-47.498999999999995</v>
      </c>
      <c r="G6915">
        <v>84.15</v>
      </c>
      <c r="H6915">
        <v>3.1920000000000002</v>
      </c>
      <c r="I6915">
        <v>3.7970000000000002</v>
      </c>
      <c r="J6915">
        <v>5</v>
      </c>
      <c r="K6915">
        <v>40</v>
      </c>
      <c r="L6915">
        <v>20</v>
      </c>
      <c r="M6915">
        <v>5.258</v>
      </c>
    </row>
    <row r="6916" spans="1:13" ht="15" customHeight="1">
      <c r="A6916" t="s">
        <v>72</v>
      </c>
      <c r="B6916">
        <f t="shared" si="430"/>
        <v>33.692416000000001</v>
      </c>
      <c r="C6916">
        <f t="shared" si="431"/>
        <v>-117.85335499999999</v>
      </c>
      <c r="D6916">
        <f t="shared" si="432"/>
        <v>37</v>
      </c>
      <c r="E6916">
        <v>85.498999999999995</v>
      </c>
      <c r="F6916">
        <f t="shared" si="433"/>
        <v>-48.498999999999995</v>
      </c>
      <c r="G6916">
        <v>116.033</v>
      </c>
      <c r="H6916">
        <v>3.5129999999999999</v>
      </c>
      <c r="I6916">
        <v>3.03</v>
      </c>
      <c r="J6916">
        <v>6</v>
      </c>
      <c r="K6916">
        <v>44</v>
      </c>
      <c r="L6916">
        <v>22</v>
      </c>
      <c r="M6916">
        <v>7.3810000000000002</v>
      </c>
    </row>
    <row r="6917" spans="1:13" ht="15" customHeight="1">
      <c r="A6917" t="s">
        <v>72</v>
      </c>
      <c r="B6917">
        <f t="shared" si="430"/>
        <v>33.692416000000001</v>
      </c>
      <c r="C6917">
        <f t="shared" si="431"/>
        <v>-117.85335499999999</v>
      </c>
      <c r="D6917">
        <f t="shared" si="432"/>
        <v>37</v>
      </c>
      <c r="E6917">
        <v>86.498999999999995</v>
      </c>
      <c r="F6917">
        <f t="shared" si="433"/>
        <v>-49.498999999999995</v>
      </c>
      <c r="G6917">
        <v>183.517</v>
      </c>
      <c r="H6917">
        <v>4.59</v>
      </c>
      <c r="I6917">
        <v>2.5019999999999998</v>
      </c>
      <c r="J6917">
        <v>7</v>
      </c>
      <c r="K6917">
        <v>59</v>
      </c>
      <c r="L6917">
        <v>30</v>
      </c>
      <c r="M6917" s="1">
        <v>9000000000</v>
      </c>
    </row>
    <row r="6918" spans="1:13" ht="15" customHeight="1">
      <c r="A6918" t="s">
        <v>72</v>
      </c>
      <c r="B6918">
        <f t="shared" si="430"/>
        <v>33.692416000000001</v>
      </c>
      <c r="C6918">
        <f t="shared" si="431"/>
        <v>-117.85335499999999</v>
      </c>
      <c r="D6918">
        <f t="shared" si="432"/>
        <v>37</v>
      </c>
      <c r="E6918">
        <v>87.498999999999995</v>
      </c>
      <c r="F6918">
        <f t="shared" si="433"/>
        <v>-50.498999999999995</v>
      </c>
      <c r="G6918">
        <v>85.683000000000007</v>
      </c>
      <c r="H6918">
        <v>3.03</v>
      </c>
      <c r="I6918">
        <v>3.54</v>
      </c>
      <c r="J6918">
        <v>6</v>
      </c>
      <c r="K6918">
        <v>33</v>
      </c>
      <c r="L6918">
        <v>17</v>
      </c>
      <c r="M6918">
        <v>5.3490000000000002</v>
      </c>
    </row>
    <row r="6919" spans="1:13" ht="15" customHeight="1">
      <c r="A6919" t="s">
        <v>72</v>
      </c>
      <c r="B6919">
        <f t="shared" si="430"/>
        <v>33.692416000000001</v>
      </c>
      <c r="C6919">
        <f t="shared" si="431"/>
        <v>-117.85335499999999</v>
      </c>
      <c r="D6919">
        <f t="shared" si="432"/>
        <v>37</v>
      </c>
      <c r="E6919">
        <v>88.498999999999995</v>
      </c>
      <c r="F6919">
        <f t="shared" si="433"/>
        <v>-51.498999999999995</v>
      </c>
      <c r="G6919">
        <v>79.2</v>
      </c>
      <c r="H6919">
        <v>2.9420000000000002</v>
      </c>
      <c r="I6919">
        <v>3.718</v>
      </c>
      <c r="J6919">
        <v>5</v>
      </c>
      <c r="K6919">
        <v>38</v>
      </c>
      <c r="L6919">
        <v>19</v>
      </c>
      <c r="M6919">
        <v>4.9130000000000003</v>
      </c>
    </row>
    <row r="6920" spans="1:13" ht="15" customHeight="1">
      <c r="A6920" t="s">
        <v>72</v>
      </c>
      <c r="B6920">
        <f t="shared" si="430"/>
        <v>33.692416000000001</v>
      </c>
      <c r="C6920">
        <f t="shared" si="431"/>
        <v>-117.85335499999999</v>
      </c>
      <c r="D6920">
        <f t="shared" si="432"/>
        <v>37</v>
      </c>
      <c r="E6920">
        <v>89.498999999999995</v>
      </c>
      <c r="F6920">
        <f t="shared" si="433"/>
        <v>-52.498999999999995</v>
      </c>
      <c r="G6920">
        <v>47.1</v>
      </c>
      <c r="H6920">
        <v>1.827</v>
      </c>
      <c r="I6920">
        <v>3.8809999999999998</v>
      </c>
      <c r="J6920">
        <v>5</v>
      </c>
      <c r="K6920">
        <v>23</v>
      </c>
      <c r="L6920">
        <v>12</v>
      </c>
      <c r="M6920">
        <v>2.7719999999999998</v>
      </c>
    </row>
    <row r="6921" spans="1:13" ht="15" customHeight="1">
      <c r="A6921" t="s">
        <v>72</v>
      </c>
      <c r="B6921">
        <f t="shared" si="430"/>
        <v>33.692416000000001</v>
      </c>
      <c r="C6921">
        <f t="shared" si="431"/>
        <v>-117.85335499999999</v>
      </c>
      <c r="D6921">
        <f t="shared" si="432"/>
        <v>37</v>
      </c>
      <c r="E6921">
        <v>90.498999999999995</v>
      </c>
      <c r="F6921">
        <f t="shared" si="433"/>
        <v>-53.498999999999995</v>
      </c>
      <c r="G6921">
        <v>28.783000000000001</v>
      </c>
      <c r="H6921">
        <v>1.052</v>
      </c>
      <c r="I6921">
        <v>3.6579999999999999</v>
      </c>
      <c r="J6921">
        <v>5</v>
      </c>
      <c r="K6921">
        <v>14</v>
      </c>
      <c r="L6921">
        <v>7</v>
      </c>
      <c r="M6921">
        <v>1.5469999999999999</v>
      </c>
    </row>
    <row r="6922" spans="1:13" ht="15" customHeight="1">
      <c r="A6922" t="s">
        <v>72</v>
      </c>
      <c r="B6922">
        <f t="shared" si="430"/>
        <v>33.692416000000001</v>
      </c>
      <c r="C6922">
        <f t="shared" si="431"/>
        <v>-117.85335499999999</v>
      </c>
      <c r="D6922">
        <f t="shared" si="432"/>
        <v>37</v>
      </c>
      <c r="E6922">
        <v>91.498999999999995</v>
      </c>
      <c r="F6922">
        <f t="shared" si="433"/>
        <v>-54.498999999999995</v>
      </c>
      <c r="G6922">
        <v>30.382999999999999</v>
      </c>
      <c r="H6922">
        <v>1.3</v>
      </c>
      <c r="I6922">
        <v>4.2830000000000004</v>
      </c>
      <c r="J6922">
        <v>4</v>
      </c>
      <c r="K6922">
        <v>19</v>
      </c>
      <c r="L6922">
        <v>10</v>
      </c>
      <c r="M6922">
        <v>1.649</v>
      </c>
    </row>
    <row r="6923" spans="1:13" ht="15" customHeight="1">
      <c r="A6923" t="s">
        <v>72</v>
      </c>
      <c r="B6923">
        <f t="shared" si="430"/>
        <v>33.692416000000001</v>
      </c>
      <c r="C6923">
        <f t="shared" si="431"/>
        <v>-117.85335499999999</v>
      </c>
      <c r="D6923">
        <f t="shared" si="432"/>
        <v>37</v>
      </c>
      <c r="E6923">
        <v>92.498999999999995</v>
      </c>
      <c r="F6923">
        <f t="shared" si="433"/>
        <v>-55.498999999999995</v>
      </c>
      <c r="G6923">
        <v>27.15</v>
      </c>
      <c r="H6923">
        <v>0.86499999999999999</v>
      </c>
      <c r="I6923">
        <v>3.19</v>
      </c>
      <c r="J6923">
        <v>5</v>
      </c>
      <c r="K6923">
        <v>13</v>
      </c>
      <c r="L6923">
        <v>7</v>
      </c>
      <c r="M6923">
        <v>1.429</v>
      </c>
    </row>
    <row r="6924" spans="1:13" ht="15" customHeight="1">
      <c r="A6924" t="s">
        <v>72</v>
      </c>
      <c r="B6924">
        <f t="shared" si="430"/>
        <v>33.692416000000001</v>
      </c>
      <c r="C6924">
        <f t="shared" si="431"/>
        <v>-117.85335499999999</v>
      </c>
      <c r="D6924">
        <f t="shared" si="432"/>
        <v>37</v>
      </c>
      <c r="E6924">
        <v>93.498999999999995</v>
      </c>
      <c r="F6924">
        <f t="shared" si="433"/>
        <v>-56.498999999999995</v>
      </c>
      <c r="G6924">
        <v>37.771000000000001</v>
      </c>
      <c r="H6924">
        <v>1.3640000000000001</v>
      </c>
      <c r="I6924">
        <v>3.6120000000000001</v>
      </c>
      <c r="J6924">
        <v>5</v>
      </c>
      <c r="K6924">
        <v>18</v>
      </c>
      <c r="L6924">
        <v>9</v>
      </c>
      <c r="M6924">
        <v>2.1360000000000001</v>
      </c>
    </row>
    <row r="6925" spans="1:13" ht="15" customHeight="1">
      <c r="A6925" t="s">
        <v>72</v>
      </c>
      <c r="B6925">
        <f t="shared" si="430"/>
        <v>33.692416000000001</v>
      </c>
      <c r="C6925">
        <f t="shared" si="431"/>
        <v>-117.85335499999999</v>
      </c>
      <c r="D6925">
        <f t="shared" si="432"/>
        <v>37</v>
      </c>
      <c r="E6925">
        <v>94.498999999999995</v>
      </c>
      <c r="F6925">
        <f t="shared" si="433"/>
        <v>-57.498999999999995</v>
      </c>
      <c r="G6925">
        <v>29.733000000000001</v>
      </c>
      <c r="H6925">
        <v>1.032</v>
      </c>
      <c r="I6925">
        <v>3.464</v>
      </c>
      <c r="J6925">
        <v>5</v>
      </c>
      <c r="K6925">
        <v>14</v>
      </c>
      <c r="L6925">
        <v>7</v>
      </c>
      <c r="M6925">
        <v>1.599</v>
      </c>
    </row>
    <row r="6926" spans="1:13" ht="15" customHeight="1">
      <c r="A6926" t="s">
        <v>72</v>
      </c>
      <c r="B6926">
        <f t="shared" si="430"/>
        <v>33.692416000000001</v>
      </c>
      <c r="C6926">
        <f t="shared" si="431"/>
        <v>-117.85335499999999</v>
      </c>
      <c r="D6926">
        <f t="shared" si="432"/>
        <v>37</v>
      </c>
      <c r="E6926">
        <v>95.498999999999995</v>
      </c>
      <c r="F6926">
        <f t="shared" si="433"/>
        <v>-58.498999999999995</v>
      </c>
      <c r="G6926">
        <v>51.033000000000001</v>
      </c>
      <c r="H6926">
        <v>1.8620000000000001</v>
      </c>
      <c r="I6926">
        <v>3.6429999999999998</v>
      </c>
      <c r="J6926">
        <v>5</v>
      </c>
      <c r="K6926">
        <v>24</v>
      </c>
      <c r="L6926">
        <v>12</v>
      </c>
      <c r="M6926">
        <v>3.016</v>
      </c>
    </row>
    <row r="6927" spans="1:13" ht="15" customHeight="1">
      <c r="A6927" t="s">
        <v>72</v>
      </c>
      <c r="B6927">
        <f t="shared" si="430"/>
        <v>33.692416000000001</v>
      </c>
      <c r="C6927">
        <f t="shared" si="431"/>
        <v>-117.85335499999999</v>
      </c>
      <c r="D6927">
        <f t="shared" si="432"/>
        <v>37</v>
      </c>
      <c r="E6927">
        <v>96.498999999999995</v>
      </c>
      <c r="F6927">
        <f t="shared" si="433"/>
        <v>-59.498999999999995</v>
      </c>
      <c r="G6927">
        <v>36.332999999999998</v>
      </c>
      <c r="H6927">
        <v>1.472</v>
      </c>
      <c r="I6927">
        <v>4.0469999999999997</v>
      </c>
      <c r="J6927">
        <v>4</v>
      </c>
      <c r="K6927">
        <v>23</v>
      </c>
      <c r="L6927">
        <v>12</v>
      </c>
      <c r="M6927">
        <v>2.0289999999999999</v>
      </c>
    </row>
    <row r="6928" spans="1:13" ht="15" customHeight="1">
      <c r="A6928" t="s">
        <v>72</v>
      </c>
      <c r="B6928">
        <f t="shared" si="430"/>
        <v>33.692416000000001</v>
      </c>
      <c r="C6928">
        <f t="shared" si="431"/>
        <v>-117.85335499999999</v>
      </c>
      <c r="D6928">
        <f t="shared" si="432"/>
        <v>37</v>
      </c>
      <c r="E6928">
        <v>97.498999999999995</v>
      </c>
      <c r="F6928">
        <f t="shared" si="433"/>
        <v>-60.498999999999995</v>
      </c>
      <c r="G6928">
        <v>33.933</v>
      </c>
      <c r="H6928">
        <v>1.4930000000000001</v>
      </c>
      <c r="I6928">
        <v>4.3899999999999997</v>
      </c>
      <c r="J6928">
        <v>4</v>
      </c>
      <c r="K6928">
        <v>22</v>
      </c>
      <c r="L6928">
        <v>11</v>
      </c>
      <c r="M6928">
        <v>1.869</v>
      </c>
    </row>
    <row r="6929" spans="1:13" ht="15" customHeight="1">
      <c r="A6929" t="s">
        <v>72</v>
      </c>
      <c r="B6929">
        <f t="shared" si="430"/>
        <v>33.692416000000001</v>
      </c>
      <c r="C6929">
        <f t="shared" si="431"/>
        <v>-117.85335499999999</v>
      </c>
      <c r="D6929">
        <f t="shared" si="432"/>
        <v>37</v>
      </c>
      <c r="E6929">
        <v>98.498999999999995</v>
      </c>
      <c r="F6929">
        <f t="shared" si="433"/>
        <v>-61.498999999999995</v>
      </c>
      <c r="G6929">
        <v>28.082999999999998</v>
      </c>
      <c r="H6929">
        <v>0.98799999999999999</v>
      </c>
      <c r="I6929">
        <v>3.5089999999999999</v>
      </c>
      <c r="J6929">
        <v>5</v>
      </c>
      <c r="K6929">
        <v>13</v>
      </c>
      <c r="L6929">
        <v>7</v>
      </c>
      <c r="M6929">
        <v>1.474</v>
      </c>
    </row>
    <row r="6930" spans="1:13" ht="15" customHeight="1">
      <c r="A6930" t="s">
        <v>72</v>
      </c>
      <c r="B6930">
        <f t="shared" si="430"/>
        <v>33.692416000000001</v>
      </c>
      <c r="C6930">
        <f t="shared" si="431"/>
        <v>-117.85335499999999</v>
      </c>
      <c r="D6930">
        <f t="shared" si="432"/>
        <v>37</v>
      </c>
      <c r="E6930">
        <v>99.498999999999995</v>
      </c>
      <c r="F6930">
        <f t="shared" si="433"/>
        <v>-62.498999999999995</v>
      </c>
      <c r="G6930">
        <v>33.817</v>
      </c>
      <c r="H6930">
        <v>1.107</v>
      </c>
      <c r="I6930">
        <v>3.2629999999999999</v>
      </c>
      <c r="J6930">
        <v>5</v>
      </c>
      <c r="K6930">
        <v>16</v>
      </c>
      <c r="L6930">
        <v>8</v>
      </c>
      <c r="M6930">
        <v>1.8540000000000001</v>
      </c>
    </row>
    <row r="6931" spans="1:13" ht="15" customHeight="1">
      <c r="A6931" t="s">
        <v>72</v>
      </c>
      <c r="B6931">
        <f t="shared" si="430"/>
        <v>33.692416000000001</v>
      </c>
      <c r="C6931">
        <f t="shared" si="431"/>
        <v>-117.85335499999999</v>
      </c>
      <c r="D6931">
        <f t="shared" si="432"/>
        <v>37</v>
      </c>
      <c r="E6931">
        <v>100.499</v>
      </c>
      <c r="F6931">
        <f t="shared" si="433"/>
        <v>-63.498999999999995</v>
      </c>
      <c r="G6931">
        <v>35.5</v>
      </c>
      <c r="H6931">
        <v>1.2250000000000001</v>
      </c>
      <c r="I6931">
        <v>3.444</v>
      </c>
      <c r="J6931">
        <v>5</v>
      </c>
      <c r="K6931">
        <v>17</v>
      </c>
      <c r="L6931">
        <v>9</v>
      </c>
      <c r="M6931">
        <v>1.9590000000000001</v>
      </c>
    </row>
    <row r="6932" spans="1:13" ht="15" customHeight="1">
      <c r="A6932" t="s">
        <v>72</v>
      </c>
      <c r="B6932">
        <f t="shared" si="430"/>
        <v>33.692416000000001</v>
      </c>
      <c r="C6932">
        <f t="shared" si="431"/>
        <v>-117.85335499999999</v>
      </c>
      <c r="D6932">
        <f t="shared" si="432"/>
        <v>37</v>
      </c>
      <c r="E6932">
        <v>101.499</v>
      </c>
      <c r="F6932">
        <f t="shared" si="433"/>
        <v>-64.498999999999995</v>
      </c>
      <c r="G6932">
        <v>27.632999999999999</v>
      </c>
      <c r="H6932">
        <v>1.093</v>
      </c>
      <c r="I6932">
        <v>3.9420000000000002</v>
      </c>
      <c r="J6932">
        <v>4</v>
      </c>
      <c r="K6932">
        <v>18</v>
      </c>
      <c r="L6932">
        <v>9</v>
      </c>
      <c r="M6932">
        <v>1.4330000000000001</v>
      </c>
    </row>
    <row r="6933" spans="1:13" ht="15" customHeight="1">
      <c r="A6933" t="s">
        <v>72</v>
      </c>
      <c r="B6933">
        <f t="shared" si="430"/>
        <v>33.692416000000001</v>
      </c>
      <c r="C6933">
        <f t="shared" si="431"/>
        <v>-117.85335499999999</v>
      </c>
      <c r="D6933">
        <f t="shared" si="432"/>
        <v>37</v>
      </c>
      <c r="E6933">
        <v>102.499</v>
      </c>
      <c r="F6933">
        <f t="shared" si="433"/>
        <v>-65.498999999999995</v>
      </c>
      <c r="G6933">
        <v>27.317</v>
      </c>
      <c r="H6933">
        <v>1.075</v>
      </c>
      <c r="I6933">
        <v>3.9209999999999998</v>
      </c>
      <c r="J6933">
        <v>4</v>
      </c>
      <c r="K6933">
        <v>18</v>
      </c>
      <c r="L6933">
        <v>9</v>
      </c>
      <c r="M6933">
        <v>1.4079999999999999</v>
      </c>
    </row>
    <row r="6934" spans="1:13" ht="15" customHeight="1">
      <c r="A6934" t="s">
        <v>72</v>
      </c>
      <c r="B6934">
        <f t="shared" si="430"/>
        <v>33.692416000000001</v>
      </c>
      <c r="C6934">
        <f t="shared" si="431"/>
        <v>-117.85335499999999</v>
      </c>
      <c r="D6934">
        <f t="shared" si="432"/>
        <v>37</v>
      </c>
      <c r="E6934">
        <v>103.499</v>
      </c>
      <c r="F6934">
        <f t="shared" si="433"/>
        <v>-66.498999999999995</v>
      </c>
      <c r="G6934">
        <v>29.183</v>
      </c>
      <c r="H6934">
        <v>1.0529999999999999</v>
      </c>
      <c r="I6934">
        <v>3.593</v>
      </c>
      <c r="J6934">
        <v>5</v>
      </c>
      <c r="K6934">
        <v>14</v>
      </c>
      <c r="L6934">
        <v>7</v>
      </c>
      <c r="M6934">
        <v>1.53</v>
      </c>
    </row>
    <row r="6935" spans="1:13" ht="15" customHeight="1">
      <c r="A6935" t="s">
        <v>72</v>
      </c>
      <c r="B6935">
        <f t="shared" si="430"/>
        <v>33.692416000000001</v>
      </c>
      <c r="C6935">
        <f t="shared" si="431"/>
        <v>-117.85335499999999</v>
      </c>
      <c r="D6935">
        <f t="shared" si="432"/>
        <v>37</v>
      </c>
      <c r="E6935">
        <v>104.499</v>
      </c>
      <c r="F6935">
        <f t="shared" si="433"/>
        <v>-67.498999999999995</v>
      </c>
      <c r="G6935">
        <v>31.257000000000001</v>
      </c>
      <c r="H6935">
        <v>1.3360000000000001</v>
      </c>
      <c r="I6935">
        <v>4.25</v>
      </c>
      <c r="J6935">
        <v>4</v>
      </c>
      <c r="K6935">
        <v>20</v>
      </c>
      <c r="L6935">
        <v>10</v>
      </c>
      <c r="M6935">
        <v>1.667</v>
      </c>
    </row>
    <row r="6936" spans="1:13" ht="15" customHeight="1">
      <c r="A6936" t="s">
        <v>72</v>
      </c>
      <c r="B6936">
        <f t="shared" si="430"/>
        <v>33.692416000000001</v>
      </c>
      <c r="C6936">
        <f t="shared" si="431"/>
        <v>-117.85335499999999</v>
      </c>
      <c r="D6936">
        <f t="shared" si="432"/>
        <v>37</v>
      </c>
      <c r="E6936">
        <v>105.499</v>
      </c>
      <c r="F6936">
        <f t="shared" si="433"/>
        <v>-68.498999999999995</v>
      </c>
      <c r="G6936">
        <v>30.417000000000002</v>
      </c>
      <c r="H6936">
        <v>1.1579999999999999</v>
      </c>
      <c r="I6936">
        <v>3.7829999999999999</v>
      </c>
      <c r="J6936">
        <v>5</v>
      </c>
      <c r="K6936">
        <v>15</v>
      </c>
      <c r="L6936">
        <v>8</v>
      </c>
      <c r="M6936">
        <v>1.609</v>
      </c>
    </row>
    <row r="6937" spans="1:13" ht="15" customHeight="1">
      <c r="A6937" t="s">
        <v>72</v>
      </c>
      <c r="B6937">
        <f t="shared" si="430"/>
        <v>33.692416000000001</v>
      </c>
      <c r="C6937">
        <f t="shared" si="431"/>
        <v>-117.85335499999999</v>
      </c>
      <c r="D6937">
        <f t="shared" si="432"/>
        <v>37</v>
      </c>
      <c r="E6937">
        <v>106.499</v>
      </c>
      <c r="F6937">
        <f t="shared" si="433"/>
        <v>-69.498999999999995</v>
      </c>
      <c r="G6937">
        <v>30.332999999999998</v>
      </c>
      <c r="H6937">
        <v>1.208</v>
      </c>
      <c r="I6937">
        <v>3.96</v>
      </c>
      <c r="J6937">
        <v>4</v>
      </c>
      <c r="K6937">
        <v>19</v>
      </c>
      <c r="L6937">
        <v>10</v>
      </c>
      <c r="M6937">
        <v>1.5980000000000001</v>
      </c>
    </row>
    <row r="6938" spans="1:13" ht="15" customHeight="1">
      <c r="A6938" t="s">
        <v>72</v>
      </c>
      <c r="B6938">
        <f t="shared" si="430"/>
        <v>33.692416000000001</v>
      </c>
      <c r="C6938">
        <f t="shared" si="431"/>
        <v>-117.85335499999999</v>
      </c>
      <c r="D6938">
        <f t="shared" si="432"/>
        <v>37</v>
      </c>
      <c r="E6938">
        <v>107.499</v>
      </c>
      <c r="F6938">
        <f t="shared" si="433"/>
        <v>-70.498999999999995</v>
      </c>
      <c r="G6938">
        <v>31.582999999999998</v>
      </c>
      <c r="H6938">
        <v>1.252</v>
      </c>
      <c r="I6938">
        <v>3.9380000000000002</v>
      </c>
      <c r="J6938">
        <v>4</v>
      </c>
      <c r="K6938">
        <v>20</v>
      </c>
      <c r="L6938">
        <v>10</v>
      </c>
      <c r="M6938">
        <v>1.6779999999999999</v>
      </c>
    </row>
    <row r="6939" spans="1:13" ht="15" customHeight="1">
      <c r="A6939" t="s">
        <v>72</v>
      </c>
      <c r="B6939">
        <f t="shared" si="430"/>
        <v>33.692416000000001</v>
      </c>
      <c r="C6939">
        <f t="shared" si="431"/>
        <v>-117.85335499999999</v>
      </c>
      <c r="D6939">
        <f t="shared" si="432"/>
        <v>37</v>
      </c>
      <c r="E6939">
        <v>108.499</v>
      </c>
      <c r="F6939">
        <f t="shared" si="433"/>
        <v>-71.498999999999995</v>
      </c>
      <c r="G6939">
        <v>31.8</v>
      </c>
      <c r="H6939">
        <v>1.2030000000000001</v>
      </c>
      <c r="I6939">
        <v>3.7570000000000001</v>
      </c>
      <c r="J6939">
        <v>5</v>
      </c>
      <c r="K6939">
        <v>15</v>
      </c>
      <c r="L6939">
        <v>8</v>
      </c>
      <c r="M6939">
        <v>1.69</v>
      </c>
    </row>
    <row r="6940" spans="1:13" ht="15" customHeight="1">
      <c r="A6940" t="s">
        <v>72</v>
      </c>
      <c r="B6940">
        <f t="shared" si="430"/>
        <v>33.692416000000001</v>
      </c>
      <c r="C6940">
        <f t="shared" si="431"/>
        <v>-117.85335499999999</v>
      </c>
      <c r="D6940">
        <f t="shared" si="432"/>
        <v>37</v>
      </c>
      <c r="E6940">
        <v>109.499</v>
      </c>
      <c r="F6940">
        <f t="shared" si="433"/>
        <v>-72.498999999999995</v>
      </c>
      <c r="G6940">
        <v>33.15</v>
      </c>
      <c r="H6940">
        <v>1.2529999999999999</v>
      </c>
      <c r="I6940">
        <v>3.7490000000000001</v>
      </c>
      <c r="J6940">
        <v>5</v>
      </c>
      <c r="K6940">
        <v>16</v>
      </c>
      <c r="L6940">
        <v>8</v>
      </c>
      <c r="M6940">
        <v>1.78</v>
      </c>
    </row>
    <row r="6941" spans="1:13" ht="15" customHeight="1">
      <c r="A6941" t="s">
        <v>72</v>
      </c>
      <c r="B6941">
        <f t="shared" si="430"/>
        <v>33.692416000000001</v>
      </c>
      <c r="C6941">
        <f t="shared" si="431"/>
        <v>-117.85335499999999</v>
      </c>
      <c r="D6941">
        <f t="shared" si="432"/>
        <v>37</v>
      </c>
      <c r="E6941">
        <v>110.499</v>
      </c>
      <c r="F6941">
        <f t="shared" si="433"/>
        <v>-73.498999999999995</v>
      </c>
      <c r="G6941">
        <v>34.25</v>
      </c>
      <c r="H6941">
        <v>1.238</v>
      </c>
      <c r="I6941">
        <v>3.5819999999999999</v>
      </c>
      <c r="J6941">
        <v>5</v>
      </c>
      <c r="K6941">
        <v>17</v>
      </c>
      <c r="L6941">
        <v>9</v>
      </c>
      <c r="M6941">
        <v>1.851</v>
      </c>
    </row>
    <row r="6942" spans="1:13" ht="15" customHeight="1">
      <c r="A6942" t="s">
        <v>72</v>
      </c>
      <c r="B6942">
        <f t="shared" si="430"/>
        <v>33.692416000000001</v>
      </c>
      <c r="C6942">
        <f t="shared" si="431"/>
        <v>-117.85335499999999</v>
      </c>
      <c r="D6942">
        <f t="shared" si="432"/>
        <v>37</v>
      </c>
      <c r="E6942">
        <v>111.499</v>
      </c>
      <c r="F6942">
        <f t="shared" si="433"/>
        <v>-74.498999999999995</v>
      </c>
      <c r="G6942">
        <v>30.082999999999998</v>
      </c>
      <c r="H6942">
        <v>0.86699999999999999</v>
      </c>
      <c r="I6942">
        <v>2.8460000000000001</v>
      </c>
      <c r="J6942">
        <v>5</v>
      </c>
      <c r="K6942">
        <v>15</v>
      </c>
      <c r="L6942">
        <v>8</v>
      </c>
      <c r="M6942">
        <v>1.5720000000000001</v>
      </c>
    </row>
    <row r="6943" spans="1:13" ht="15" customHeight="1">
      <c r="A6943" t="s">
        <v>72</v>
      </c>
      <c r="B6943">
        <f t="shared" si="430"/>
        <v>33.692416000000001</v>
      </c>
      <c r="C6943">
        <f t="shared" si="431"/>
        <v>-117.85335499999999</v>
      </c>
      <c r="D6943">
        <f t="shared" si="432"/>
        <v>37</v>
      </c>
      <c r="E6943">
        <v>112.499</v>
      </c>
      <c r="F6943">
        <f t="shared" si="433"/>
        <v>-75.498999999999995</v>
      </c>
      <c r="G6943">
        <v>28.582999999999998</v>
      </c>
      <c r="H6943">
        <v>0.51800000000000002</v>
      </c>
      <c r="I6943">
        <v>1.7849999999999999</v>
      </c>
      <c r="J6943">
        <v>6</v>
      </c>
      <c r="K6943">
        <v>11</v>
      </c>
      <c r="L6943">
        <v>6</v>
      </c>
      <c r="M6943">
        <v>1.474</v>
      </c>
    </row>
    <row r="6944" spans="1:13" ht="15" customHeight="1">
      <c r="A6944" t="s">
        <v>72</v>
      </c>
      <c r="B6944">
        <f t="shared" si="430"/>
        <v>33.692416000000001</v>
      </c>
      <c r="C6944">
        <f t="shared" si="431"/>
        <v>-117.85335499999999</v>
      </c>
      <c r="D6944">
        <f t="shared" si="432"/>
        <v>37</v>
      </c>
      <c r="E6944">
        <v>113.499</v>
      </c>
      <c r="F6944">
        <f t="shared" si="433"/>
        <v>-76.498999999999995</v>
      </c>
      <c r="G6944">
        <v>27.9</v>
      </c>
      <c r="H6944">
        <v>0.48499999999999999</v>
      </c>
      <c r="I6944">
        <v>1.6950000000000001</v>
      </c>
      <c r="J6944">
        <v>6</v>
      </c>
      <c r="K6944">
        <v>11</v>
      </c>
      <c r="L6944">
        <v>6</v>
      </c>
      <c r="M6944">
        <v>1.4419999999999999</v>
      </c>
    </row>
    <row r="6945" spans="1:13" ht="15" customHeight="1">
      <c r="A6945" t="s">
        <v>72</v>
      </c>
      <c r="B6945">
        <f t="shared" si="430"/>
        <v>33.692416000000001</v>
      </c>
      <c r="C6945">
        <f t="shared" si="431"/>
        <v>-117.85335499999999</v>
      </c>
      <c r="D6945">
        <f t="shared" si="432"/>
        <v>37</v>
      </c>
      <c r="E6945">
        <v>114.499</v>
      </c>
      <c r="F6945">
        <f t="shared" si="433"/>
        <v>-77.498999999999995</v>
      </c>
      <c r="G6945">
        <v>30.513999999999999</v>
      </c>
      <c r="H6945">
        <v>0.64700000000000002</v>
      </c>
      <c r="I6945">
        <v>2.0609999999999999</v>
      </c>
      <c r="J6945">
        <v>6</v>
      </c>
      <c r="K6945">
        <v>12</v>
      </c>
      <c r="L6945">
        <v>6</v>
      </c>
      <c r="M6945">
        <v>1.623</v>
      </c>
    </row>
    <row r="6946" spans="1:13" ht="15" customHeight="1">
      <c r="A6946" t="s">
        <v>72</v>
      </c>
      <c r="B6946">
        <f t="shared" si="430"/>
        <v>33.692416000000001</v>
      </c>
      <c r="C6946">
        <f t="shared" si="431"/>
        <v>-117.85335499999999</v>
      </c>
      <c r="D6946">
        <f t="shared" si="432"/>
        <v>37</v>
      </c>
      <c r="E6946">
        <v>115.499</v>
      </c>
      <c r="F6946">
        <f t="shared" si="433"/>
        <v>-78.498999999999995</v>
      </c>
      <c r="G6946">
        <v>30</v>
      </c>
      <c r="H6946">
        <v>0.57299999999999995</v>
      </c>
      <c r="I6946">
        <v>1.8320000000000001</v>
      </c>
      <c r="J6946">
        <v>6</v>
      </c>
      <c r="K6946">
        <v>12</v>
      </c>
      <c r="L6946">
        <v>6</v>
      </c>
      <c r="M6946">
        <v>1.6120000000000001</v>
      </c>
    </row>
    <row r="6947" spans="1:13" ht="15" customHeight="1">
      <c r="A6947" t="s">
        <v>72</v>
      </c>
      <c r="B6947">
        <f t="shared" si="430"/>
        <v>33.692416000000001</v>
      </c>
      <c r="C6947">
        <f t="shared" si="431"/>
        <v>-117.85335499999999</v>
      </c>
      <c r="D6947">
        <f t="shared" si="432"/>
        <v>37</v>
      </c>
      <c r="E6947">
        <v>116.499</v>
      </c>
      <c r="F6947">
        <f t="shared" si="433"/>
        <v>-79.498999999999995</v>
      </c>
      <c r="G6947">
        <v>33.832999999999998</v>
      </c>
      <c r="H6947">
        <v>0.80300000000000005</v>
      </c>
      <c r="I6947">
        <v>2.2410000000000001</v>
      </c>
      <c r="J6947">
        <v>6</v>
      </c>
      <c r="K6947">
        <v>14</v>
      </c>
      <c r="L6947">
        <v>7</v>
      </c>
      <c r="M6947">
        <v>1.9119999999999999</v>
      </c>
    </row>
    <row r="6948" spans="1:13" ht="15" customHeight="1">
      <c r="A6948" t="s">
        <v>72</v>
      </c>
      <c r="B6948">
        <f t="shared" si="430"/>
        <v>33.692416000000001</v>
      </c>
      <c r="C6948">
        <f t="shared" si="431"/>
        <v>-117.85335499999999</v>
      </c>
      <c r="D6948">
        <f t="shared" si="432"/>
        <v>37</v>
      </c>
      <c r="E6948">
        <v>117.498</v>
      </c>
      <c r="F6948">
        <f t="shared" si="433"/>
        <v>-80.498000000000005</v>
      </c>
      <c r="G6948">
        <v>33.633000000000003</v>
      </c>
      <c r="H6948">
        <v>0.80800000000000005</v>
      </c>
      <c r="I6948">
        <v>2.2400000000000002</v>
      </c>
      <c r="J6948">
        <v>6</v>
      </c>
      <c r="K6948">
        <v>14</v>
      </c>
      <c r="L6948">
        <v>7</v>
      </c>
      <c r="M6948">
        <v>1.923</v>
      </c>
    </row>
    <row r="6949" spans="1:13" ht="15" customHeight="1">
      <c r="A6949" t="s">
        <v>72</v>
      </c>
      <c r="B6949">
        <f t="shared" si="430"/>
        <v>33.692416000000001</v>
      </c>
      <c r="C6949">
        <f t="shared" si="431"/>
        <v>-117.85335499999999</v>
      </c>
      <c r="D6949">
        <f t="shared" si="432"/>
        <v>37</v>
      </c>
      <c r="E6949">
        <v>118.498</v>
      </c>
      <c r="F6949">
        <f t="shared" si="433"/>
        <v>-81.498000000000005</v>
      </c>
      <c r="G6949">
        <v>34.232999999999997</v>
      </c>
      <c r="H6949">
        <v>0.86699999999999999</v>
      </c>
      <c r="I6949">
        <v>2.339</v>
      </c>
      <c r="J6949">
        <v>6</v>
      </c>
      <c r="K6949">
        <v>14</v>
      </c>
      <c r="L6949">
        <v>7</v>
      </c>
      <c r="M6949">
        <v>1.9830000000000001</v>
      </c>
    </row>
    <row r="6950" spans="1:13" ht="15" customHeight="1">
      <c r="A6950" t="s">
        <v>72</v>
      </c>
      <c r="B6950">
        <f t="shared" si="430"/>
        <v>33.692416000000001</v>
      </c>
      <c r="C6950">
        <f t="shared" si="431"/>
        <v>-117.85335499999999</v>
      </c>
      <c r="D6950">
        <f t="shared" si="432"/>
        <v>37</v>
      </c>
      <c r="E6950">
        <v>119.498</v>
      </c>
      <c r="F6950">
        <f t="shared" si="433"/>
        <v>-82.498000000000005</v>
      </c>
      <c r="G6950">
        <v>26.683</v>
      </c>
      <c r="H6950">
        <v>0.58699999999999997</v>
      </c>
      <c r="I6950">
        <v>1.9690000000000001</v>
      </c>
      <c r="J6950">
        <v>6</v>
      </c>
      <c r="K6950">
        <v>11</v>
      </c>
      <c r="L6950">
        <v>6</v>
      </c>
      <c r="M6950">
        <v>1.496</v>
      </c>
    </row>
    <row r="6951" spans="1:13" ht="15" customHeight="1">
      <c r="A6951" t="s">
        <v>72</v>
      </c>
      <c r="B6951">
        <f t="shared" si="430"/>
        <v>33.692416000000001</v>
      </c>
      <c r="C6951">
        <f t="shared" si="431"/>
        <v>-117.85335499999999</v>
      </c>
      <c r="D6951">
        <f t="shared" si="432"/>
        <v>37</v>
      </c>
      <c r="E6951">
        <v>120.498</v>
      </c>
      <c r="F6951">
        <f t="shared" si="433"/>
        <v>-83.498000000000005</v>
      </c>
      <c r="G6951">
        <v>24.917000000000002</v>
      </c>
      <c r="H6951">
        <v>0.50800000000000001</v>
      </c>
      <c r="I6951">
        <v>1.806</v>
      </c>
      <c r="J6951">
        <v>6</v>
      </c>
      <c r="K6951">
        <v>11</v>
      </c>
      <c r="L6951">
        <v>6</v>
      </c>
      <c r="M6951">
        <v>1.3819999999999999</v>
      </c>
    </row>
    <row r="6952" spans="1:13" ht="15" customHeight="1">
      <c r="A6952" t="s">
        <v>72</v>
      </c>
      <c r="B6952">
        <f t="shared" si="430"/>
        <v>33.692416000000001</v>
      </c>
      <c r="C6952">
        <f t="shared" si="431"/>
        <v>-117.85335499999999</v>
      </c>
      <c r="D6952">
        <f t="shared" si="432"/>
        <v>37</v>
      </c>
      <c r="E6952">
        <v>121.498</v>
      </c>
      <c r="F6952">
        <f t="shared" si="433"/>
        <v>-84.498000000000005</v>
      </c>
      <c r="G6952">
        <v>23.933</v>
      </c>
      <c r="H6952">
        <v>0.502</v>
      </c>
      <c r="I6952">
        <v>1.847</v>
      </c>
      <c r="J6952">
        <v>6</v>
      </c>
      <c r="K6952">
        <v>10</v>
      </c>
      <c r="L6952">
        <v>5</v>
      </c>
      <c r="M6952">
        <v>1.3120000000000001</v>
      </c>
    </row>
    <row r="6953" spans="1:13" ht="15" customHeight="1">
      <c r="A6953" t="s">
        <v>72</v>
      </c>
      <c r="B6953">
        <f t="shared" si="430"/>
        <v>33.692416000000001</v>
      </c>
      <c r="C6953">
        <f t="shared" si="431"/>
        <v>-117.85335499999999</v>
      </c>
      <c r="D6953">
        <f t="shared" si="432"/>
        <v>37</v>
      </c>
      <c r="E6953">
        <v>122.498</v>
      </c>
      <c r="F6953">
        <f t="shared" si="433"/>
        <v>-85.498000000000005</v>
      </c>
      <c r="G6953">
        <v>23.266999999999999</v>
      </c>
      <c r="H6953">
        <v>0.48199999999999998</v>
      </c>
      <c r="I6953">
        <v>1.8140000000000001</v>
      </c>
      <c r="J6953">
        <v>6</v>
      </c>
      <c r="K6953">
        <v>10</v>
      </c>
      <c r="L6953">
        <v>5</v>
      </c>
      <c r="M6953">
        <v>1.2669999999999999</v>
      </c>
    </row>
    <row r="6954" spans="1:13" ht="15" customHeight="1">
      <c r="A6954" t="s">
        <v>72</v>
      </c>
      <c r="B6954">
        <f t="shared" si="430"/>
        <v>33.692416000000001</v>
      </c>
      <c r="C6954">
        <f t="shared" si="431"/>
        <v>-117.85335499999999</v>
      </c>
      <c r="D6954">
        <f t="shared" si="432"/>
        <v>37</v>
      </c>
      <c r="E6954">
        <v>123.498</v>
      </c>
      <c r="F6954">
        <f t="shared" si="433"/>
        <v>-86.498000000000005</v>
      </c>
      <c r="G6954">
        <v>23.2</v>
      </c>
      <c r="H6954">
        <v>0.47199999999999998</v>
      </c>
      <c r="I6954">
        <v>1.7929999999999999</v>
      </c>
      <c r="J6954">
        <v>6</v>
      </c>
      <c r="K6954">
        <v>10</v>
      </c>
      <c r="L6954">
        <v>5</v>
      </c>
      <c r="M6954">
        <v>1.246</v>
      </c>
    </row>
    <row r="6955" spans="1:13" ht="15" customHeight="1">
      <c r="A6955" t="s">
        <v>72</v>
      </c>
      <c r="B6955">
        <f t="shared" si="430"/>
        <v>33.692416000000001</v>
      </c>
      <c r="C6955">
        <f t="shared" si="431"/>
        <v>-117.85335499999999</v>
      </c>
      <c r="D6955">
        <f t="shared" si="432"/>
        <v>37</v>
      </c>
      <c r="E6955">
        <v>124.498</v>
      </c>
      <c r="F6955">
        <f t="shared" si="433"/>
        <v>-87.498000000000005</v>
      </c>
      <c r="G6955">
        <v>22.033000000000001</v>
      </c>
      <c r="H6955">
        <v>0.51300000000000001</v>
      </c>
      <c r="I6955">
        <v>2.04</v>
      </c>
      <c r="J6955">
        <v>6</v>
      </c>
      <c r="K6955">
        <v>10</v>
      </c>
      <c r="L6955">
        <v>5</v>
      </c>
      <c r="M6955">
        <v>1.1659999999999999</v>
      </c>
    </row>
    <row r="6956" spans="1:13" ht="15" customHeight="1">
      <c r="A6956" t="s">
        <v>72</v>
      </c>
      <c r="B6956">
        <f t="shared" si="430"/>
        <v>33.692416000000001</v>
      </c>
      <c r="C6956">
        <f t="shared" si="431"/>
        <v>-117.85335499999999</v>
      </c>
      <c r="D6956">
        <f t="shared" si="432"/>
        <v>37</v>
      </c>
      <c r="E6956">
        <v>125.498</v>
      </c>
      <c r="F6956">
        <f t="shared" si="433"/>
        <v>-88.498000000000005</v>
      </c>
      <c r="G6956">
        <v>21.457000000000001</v>
      </c>
      <c r="H6956">
        <v>0.499</v>
      </c>
      <c r="I6956">
        <v>2.028</v>
      </c>
      <c r="J6956">
        <v>6</v>
      </c>
      <c r="K6956">
        <v>9</v>
      </c>
      <c r="L6956">
        <v>5</v>
      </c>
      <c r="M6956">
        <v>1.123</v>
      </c>
    </row>
    <row r="6957" spans="1:13" ht="15" customHeight="1">
      <c r="A6957" t="s">
        <v>72</v>
      </c>
      <c r="B6957">
        <f t="shared" si="430"/>
        <v>33.692416000000001</v>
      </c>
      <c r="C6957">
        <f t="shared" si="431"/>
        <v>-117.85335499999999</v>
      </c>
      <c r="D6957">
        <f t="shared" si="432"/>
        <v>37</v>
      </c>
      <c r="E6957">
        <v>126.498</v>
      </c>
      <c r="F6957">
        <f t="shared" si="433"/>
        <v>-89.498000000000005</v>
      </c>
      <c r="G6957">
        <v>32.183</v>
      </c>
      <c r="H6957">
        <v>0.82699999999999996</v>
      </c>
      <c r="I6957">
        <v>2.3809999999999998</v>
      </c>
      <c r="J6957">
        <v>6</v>
      </c>
      <c r="K6957">
        <v>13</v>
      </c>
      <c r="L6957">
        <v>7</v>
      </c>
      <c r="M6957">
        <v>1.794</v>
      </c>
    </row>
    <row r="6958" spans="1:13" ht="15" customHeight="1">
      <c r="A6958" t="s">
        <v>72</v>
      </c>
      <c r="B6958">
        <f t="shared" si="430"/>
        <v>33.692416000000001</v>
      </c>
      <c r="C6958">
        <f t="shared" si="431"/>
        <v>-117.85335499999999</v>
      </c>
      <c r="D6958">
        <f t="shared" si="432"/>
        <v>37</v>
      </c>
      <c r="E6958">
        <v>127.498</v>
      </c>
      <c r="F6958">
        <f t="shared" si="433"/>
        <v>-90.498000000000005</v>
      </c>
      <c r="G6958">
        <v>33.917000000000002</v>
      </c>
      <c r="H6958">
        <v>0.46300000000000002</v>
      </c>
      <c r="I6958">
        <v>1.3120000000000001</v>
      </c>
      <c r="J6958">
        <v>7</v>
      </c>
      <c r="K6958">
        <v>11</v>
      </c>
      <c r="L6958">
        <v>6</v>
      </c>
      <c r="M6958" s="1">
        <v>9000000000</v>
      </c>
    </row>
    <row r="6959" spans="1:13" ht="15" customHeight="1">
      <c r="A6959" t="s">
        <v>212</v>
      </c>
      <c r="B6959">
        <f t="shared" si="430"/>
        <v>33.693134000000001</v>
      </c>
      <c r="C6959">
        <f t="shared" si="431"/>
        <v>-117.855469</v>
      </c>
      <c r="D6959">
        <f t="shared" si="432"/>
        <v>37</v>
      </c>
      <c r="E6959">
        <v>0.5</v>
      </c>
      <c r="F6959">
        <f t="shared" si="433"/>
        <v>36.5</v>
      </c>
      <c r="G6959">
        <v>3.6</v>
      </c>
      <c r="H6959">
        <v>1.7000000000000001E-2</v>
      </c>
      <c r="I6959">
        <v>0.46300000000000002</v>
      </c>
      <c r="J6959">
        <v>1</v>
      </c>
      <c r="K6959">
        <v>2</v>
      </c>
      <c r="L6959">
        <v>3</v>
      </c>
      <c r="M6959">
        <v>0.23799999999999999</v>
      </c>
    </row>
    <row r="6960" spans="1:13" ht="15" customHeight="1">
      <c r="A6960" t="s">
        <v>212</v>
      </c>
      <c r="B6960">
        <f t="shared" si="430"/>
        <v>33.693134000000001</v>
      </c>
      <c r="C6960">
        <f t="shared" si="431"/>
        <v>-117.855469</v>
      </c>
      <c r="D6960">
        <f t="shared" si="432"/>
        <v>37</v>
      </c>
      <c r="E6960">
        <v>1.5</v>
      </c>
      <c r="F6960">
        <f t="shared" si="433"/>
        <v>35.5</v>
      </c>
      <c r="G6960">
        <v>60.232999999999997</v>
      </c>
      <c r="H6960">
        <v>1.1619999999999999</v>
      </c>
      <c r="I6960">
        <v>1.929</v>
      </c>
      <c r="J6960">
        <v>7</v>
      </c>
      <c r="K6960">
        <v>19</v>
      </c>
      <c r="L6960">
        <v>29</v>
      </c>
      <c r="M6960" s="1">
        <v>9000000000</v>
      </c>
    </row>
    <row r="6961" spans="1:13" ht="15" customHeight="1">
      <c r="A6961" t="s">
        <v>212</v>
      </c>
      <c r="B6961">
        <f t="shared" si="430"/>
        <v>33.693134000000001</v>
      </c>
      <c r="C6961">
        <f t="shared" si="431"/>
        <v>-117.855469</v>
      </c>
      <c r="D6961">
        <f t="shared" si="432"/>
        <v>37</v>
      </c>
      <c r="E6961">
        <v>2.5</v>
      </c>
      <c r="F6961">
        <f t="shared" si="433"/>
        <v>34.5</v>
      </c>
      <c r="G6961">
        <v>38.383000000000003</v>
      </c>
      <c r="H6961">
        <v>1.5329999999999999</v>
      </c>
      <c r="I6961">
        <v>3.9950000000000001</v>
      </c>
      <c r="J6961">
        <v>5</v>
      </c>
      <c r="K6961">
        <v>18</v>
      </c>
      <c r="L6961">
        <v>27</v>
      </c>
      <c r="M6961">
        <v>2.5489999999999999</v>
      </c>
    </row>
    <row r="6962" spans="1:13" ht="15" customHeight="1">
      <c r="A6962" t="s">
        <v>212</v>
      </c>
      <c r="B6962">
        <f t="shared" si="430"/>
        <v>33.693134000000001</v>
      </c>
      <c r="C6962">
        <f t="shared" si="431"/>
        <v>-117.855469</v>
      </c>
      <c r="D6962">
        <f t="shared" si="432"/>
        <v>37</v>
      </c>
      <c r="E6962">
        <v>3.5</v>
      </c>
      <c r="F6962">
        <f t="shared" si="433"/>
        <v>33.5</v>
      </c>
      <c r="G6962">
        <v>10.016999999999999</v>
      </c>
      <c r="H6962">
        <v>0.32</v>
      </c>
      <c r="I6962">
        <v>3.2</v>
      </c>
      <c r="J6962">
        <v>4</v>
      </c>
      <c r="K6962">
        <v>6</v>
      </c>
      <c r="L6962">
        <v>9</v>
      </c>
      <c r="M6962">
        <v>0.65300000000000002</v>
      </c>
    </row>
    <row r="6963" spans="1:13" ht="15" customHeight="1">
      <c r="A6963" t="s">
        <v>212</v>
      </c>
      <c r="B6963">
        <f t="shared" si="430"/>
        <v>33.693134000000001</v>
      </c>
      <c r="C6963">
        <f t="shared" si="431"/>
        <v>-117.855469</v>
      </c>
      <c r="D6963">
        <f t="shared" si="432"/>
        <v>37</v>
      </c>
      <c r="E6963">
        <v>4.5</v>
      </c>
      <c r="F6963">
        <f t="shared" si="433"/>
        <v>32.5</v>
      </c>
      <c r="G6963">
        <v>18.7</v>
      </c>
      <c r="H6963">
        <v>1.0720000000000001</v>
      </c>
      <c r="I6963">
        <v>5.7309999999999999</v>
      </c>
      <c r="J6963">
        <v>3</v>
      </c>
      <c r="K6963">
        <v>18</v>
      </c>
      <c r="L6963">
        <v>27</v>
      </c>
      <c r="M6963">
        <v>1.2290000000000001</v>
      </c>
    </row>
    <row r="6964" spans="1:13" ht="15" customHeight="1">
      <c r="A6964" t="s">
        <v>212</v>
      </c>
      <c r="B6964">
        <f t="shared" si="430"/>
        <v>33.693134000000001</v>
      </c>
      <c r="C6964">
        <f t="shared" si="431"/>
        <v>-117.855469</v>
      </c>
      <c r="D6964">
        <f t="shared" si="432"/>
        <v>37</v>
      </c>
      <c r="E6964">
        <v>5.5</v>
      </c>
      <c r="F6964">
        <f t="shared" si="433"/>
        <v>31.5</v>
      </c>
      <c r="G6964">
        <v>16.850000000000001</v>
      </c>
      <c r="H6964">
        <v>1.052</v>
      </c>
      <c r="I6964">
        <v>6.2409999999999997</v>
      </c>
      <c r="J6964">
        <v>3</v>
      </c>
      <c r="K6964">
        <v>16</v>
      </c>
      <c r="L6964">
        <v>24</v>
      </c>
      <c r="M6964">
        <v>1.1020000000000001</v>
      </c>
    </row>
    <row r="6965" spans="1:13" ht="15" customHeight="1">
      <c r="A6965" t="s">
        <v>212</v>
      </c>
      <c r="B6965">
        <f t="shared" si="430"/>
        <v>33.693134000000001</v>
      </c>
      <c r="C6965">
        <f t="shared" si="431"/>
        <v>-117.855469</v>
      </c>
      <c r="D6965">
        <f t="shared" si="432"/>
        <v>37</v>
      </c>
      <c r="E6965">
        <v>6.5</v>
      </c>
      <c r="F6965">
        <f t="shared" si="433"/>
        <v>30.5</v>
      </c>
      <c r="G6965">
        <v>6.9329999999999998</v>
      </c>
      <c r="H6965">
        <v>0.40500000000000003</v>
      </c>
      <c r="I6965">
        <v>5.8410000000000002</v>
      </c>
      <c r="J6965">
        <v>3</v>
      </c>
      <c r="K6965">
        <v>7</v>
      </c>
      <c r="L6965">
        <v>11</v>
      </c>
      <c r="M6965">
        <v>0.436</v>
      </c>
    </row>
    <row r="6966" spans="1:13" ht="15" customHeight="1">
      <c r="A6966" t="s">
        <v>212</v>
      </c>
      <c r="B6966">
        <f t="shared" si="430"/>
        <v>33.693134000000001</v>
      </c>
      <c r="C6966">
        <f t="shared" si="431"/>
        <v>-117.855469</v>
      </c>
      <c r="D6966">
        <f t="shared" si="432"/>
        <v>37</v>
      </c>
      <c r="E6966">
        <v>7.5</v>
      </c>
      <c r="F6966">
        <f t="shared" si="433"/>
        <v>29.5</v>
      </c>
      <c r="G6966">
        <v>14.183</v>
      </c>
      <c r="H6966">
        <v>0.52500000000000002</v>
      </c>
      <c r="I6966">
        <v>3.6890000000000001</v>
      </c>
      <c r="J6966">
        <v>4</v>
      </c>
      <c r="K6966">
        <v>9</v>
      </c>
      <c r="L6966">
        <v>14</v>
      </c>
      <c r="M6966">
        <v>0.91900000000000004</v>
      </c>
    </row>
    <row r="6967" spans="1:13" ht="15" customHeight="1">
      <c r="A6967" t="s">
        <v>212</v>
      </c>
      <c r="B6967">
        <f t="shared" si="430"/>
        <v>33.693134000000001</v>
      </c>
      <c r="C6967">
        <f t="shared" si="431"/>
        <v>-117.855469</v>
      </c>
      <c r="D6967">
        <f t="shared" si="432"/>
        <v>37</v>
      </c>
      <c r="E6967">
        <v>8.5</v>
      </c>
      <c r="F6967">
        <f t="shared" si="433"/>
        <v>28.5</v>
      </c>
      <c r="G6967">
        <v>15.617000000000001</v>
      </c>
      <c r="H6967">
        <v>0.69699999999999995</v>
      </c>
      <c r="I6967">
        <v>4.4329999999999998</v>
      </c>
      <c r="J6967">
        <v>3</v>
      </c>
      <c r="K6967">
        <v>15</v>
      </c>
      <c r="L6967">
        <v>23</v>
      </c>
      <c r="M6967">
        <v>1.014</v>
      </c>
    </row>
    <row r="6968" spans="1:13" ht="15" customHeight="1">
      <c r="A6968" t="s">
        <v>212</v>
      </c>
      <c r="B6968">
        <f t="shared" si="430"/>
        <v>33.693134000000001</v>
      </c>
      <c r="C6968">
        <f t="shared" si="431"/>
        <v>-117.855469</v>
      </c>
      <c r="D6968">
        <f t="shared" si="432"/>
        <v>37</v>
      </c>
      <c r="E6968">
        <v>9.5</v>
      </c>
      <c r="F6968">
        <f t="shared" si="433"/>
        <v>27.5</v>
      </c>
      <c r="G6968">
        <v>11.967000000000001</v>
      </c>
      <c r="H6968">
        <v>0.55000000000000004</v>
      </c>
      <c r="I6968">
        <v>4.577</v>
      </c>
      <c r="J6968">
        <v>3</v>
      </c>
      <c r="K6968">
        <v>12</v>
      </c>
      <c r="L6968">
        <v>18</v>
      </c>
      <c r="M6968">
        <v>0.76300000000000001</v>
      </c>
    </row>
    <row r="6969" spans="1:13" ht="15" customHeight="1">
      <c r="A6969" t="s">
        <v>212</v>
      </c>
      <c r="B6969">
        <f t="shared" si="430"/>
        <v>33.693134000000001</v>
      </c>
      <c r="C6969">
        <f t="shared" si="431"/>
        <v>-117.855469</v>
      </c>
      <c r="D6969">
        <f t="shared" si="432"/>
        <v>37</v>
      </c>
      <c r="E6969">
        <v>10.5</v>
      </c>
      <c r="F6969">
        <f t="shared" si="433"/>
        <v>26.5</v>
      </c>
      <c r="G6969">
        <v>12.686</v>
      </c>
      <c r="H6969">
        <v>0.48599999999999999</v>
      </c>
      <c r="I6969">
        <v>3.7949999999999999</v>
      </c>
      <c r="J6969">
        <v>3</v>
      </c>
      <c r="K6969">
        <v>12</v>
      </c>
      <c r="L6969">
        <v>17</v>
      </c>
      <c r="M6969">
        <v>0.81100000000000005</v>
      </c>
    </row>
    <row r="6970" spans="1:13" ht="15" customHeight="1">
      <c r="A6970" t="s">
        <v>212</v>
      </c>
      <c r="B6970">
        <f t="shared" si="430"/>
        <v>33.693134000000001</v>
      </c>
      <c r="C6970">
        <f t="shared" si="431"/>
        <v>-117.855469</v>
      </c>
      <c r="D6970">
        <f t="shared" si="432"/>
        <v>37</v>
      </c>
      <c r="E6970">
        <v>11.5</v>
      </c>
      <c r="F6970">
        <f t="shared" si="433"/>
        <v>25.5</v>
      </c>
      <c r="G6970">
        <v>11.433</v>
      </c>
      <c r="H6970">
        <v>0.50800000000000001</v>
      </c>
      <c r="I6970">
        <v>4.3949999999999996</v>
      </c>
      <c r="J6970">
        <v>3</v>
      </c>
      <c r="K6970">
        <v>11</v>
      </c>
      <c r="L6970">
        <v>15</v>
      </c>
      <c r="M6970">
        <v>0.72499999999999998</v>
      </c>
    </row>
    <row r="6971" spans="1:13" ht="15" customHeight="1">
      <c r="A6971" t="s">
        <v>212</v>
      </c>
      <c r="B6971">
        <f t="shared" si="430"/>
        <v>33.693134000000001</v>
      </c>
      <c r="C6971">
        <f t="shared" si="431"/>
        <v>-117.855469</v>
      </c>
      <c r="D6971">
        <f t="shared" si="432"/>
        <v>37</v>
      </c>
      <c r="E6971">
        <v>12.5</v>
      </c>
      <c r="F6971">
        <f t="shared" si="433"/>
        <v>24.5</v>
      </c>
      <c r="G6971">
        <v>5.883</v>
      </c>
      <c r="H6971">
        <v>0.17699999999999999</v>
      </c>
      <c r="I6971">
        <v>2.944</v>
      </c>
      <c r="J6971">
        <v>3</v>
      </c>
      <c r="K6971">
        <v>6</v>
      </c>
      <c r="L6971">
        <v>7</v>
      </c>
      <c r="M6971">
        <v>0.34899999999999998</v>
      </c>
    </row>
    <row r="6972" spans="1:13" ht="15" customHeight="1">
      <c r="A6972" t="s">
        <v>212</v>
      </c>
      <c r="B6972">
        <f t="shared" si="430"/>
        <v>33.693134000000001</v>
      </c>
      <c r="C6972">
        <f t="shared" si="431"/>
        <v>-117.855469</v>
      </c>
      <c r="D6972">
        <f t="shared" si="432"/>
        <v>37</v>
      </c>
      <c r="E6972">
        <v>13.5</v>
      </c>
      <c r="F6972">
        <f t="shared" si="433"/>
        <v>23.5</v>
      </c>
      <c r="G6972">
        <v>7.383</v>
      </c>
      <c r="H6972">
        <v>6.7000000000000004E-2</v>
      </c>
      <c r="I6972">
        <v>0.88700000000000001</v>
      </c>
      <c r="J6972">
        <v>1</v>
      </c>
      <c r="K6972">
        <v>4</v>
      </c>
      <c r="L6972">
        <v>5</v>
      </c>
      <c r="M6972">
        <v>0.44700000000000001</v>
      </c>
    </row>
    <row r="6973" spans="1:13" ht="15" customHeight="1">
      <c r="A6973" t="s">
        <v>212</v>
      </c>
      <c r="B6973">
        <f t="shared" si="430"/>
        <v>33.693134000000001</v>
      </c>
      <c r="C6973">
        <f t="shared" si="431"/>
        <v>-117.855469</v>
      </c>
      <c r="D6973">
        <f t="shared" si="432"/>
        <v>37</v>
      </c>
      <c r="E6973">
        <v>14.5</v>
      </c>
      <c r="F6973">
        <f t="shared" si="433"/>
        <v>22.5</v>
      </c>
      <c r="G6973">
        <v>7.4669999999999996</v>
      </c>
      <c r="H6973">
        <v>9.8000000000000004E-2</v>
      </c>
      <c r="I6973">
        <v>1.3</v>
      </c>
      <c r="J6973">
        <v>5</v>
      </c>
      <c r="K6973">
        <v>4</v>
      </c>
      <c r="L6973">
        <v>4</v>
      </c>
      <c r="M6973">
        <v>0.44600000000000001</v>
      </c>
    </row>
    <row r="6974" spans="1:13" ht="15" customHeight="1">
      <c r="A6974" t="s">
        <v>212</v>
      </c>
      <c r="B6974">
        <f t="shared" si="430"/>
        <v>33.693134000000001</v>
      </c>
      <c r="C6974">
        <f t="shared" si="431"/>
        <v>-117.855469</v>
      </c>
      <c r="D6974">
        <f t="shared" si="432"/>
        <v>37</v>
      </c>
      <c r="E6974">
        <v>15.5</v>
      </c>
      <c r="F6974">
        <f t="shared" si="433"/>
        <v>21.5</v>
      </c>
      <c r="G6974">
        <v>10.933</v>
      </c>
      <c r="H6974">
        <v>0.115</v>
      </c>
      <c r="I6974">
        <v>1.042</v>
      </c>
      <c r="J6974">
        <v>5</v>
      </c>
      <c r="K6974">
        <v>5</v>
      </c>
      <c r="L6974">
        <v>5</v>
      </c>
      <c r="M6974">
        <v>0.67300000000000004</v>
      </c>
    </row>
    <row r="6975" spans="1:13" ht="15" customHeight="1">
      <c r="A6975" t="s">
        <v>212</v>
      </c>
      <c r="B6975">
        <f t="shared" si="430"/>
        <v>33.693134000000001</v>
      </c>
      <c r="C6975">
        <f t="shared" si="431"/>
        <v>-117.855469</v>
      </c>
      <c r="D6975">
        <f t="shared" si="432"/>
        <v>37</v>
      </c>
      <c r="E6975">
        <v>16.5</v>
      </c>
      <c r="F6975">
        <f t="shared" si="433"/>
        <v>20.5</v>
      </c>
      <c r="G6975">
        <v>45.383000000000003</v>
      </c>
      <c r="H6975">
        <v>0.77700000000000002</v>
      </c>
      <c r="I6975">
        <v>1.7110000000000001</v>
      </c>
      <c r="J6975">
        <v>7</v>
      </c>
      <c r="K6975">
        <v>14</v>
      </c>
      <c r="L6975">
        <v>14</v>
      </c>
      <c r="M6975" s="1">
        <v>9000000000</v>
      </c>
    </row>
    <row r="6976" spans="1:13" ht="15" customHeight="1">
      <c r="A6976" t="s">
        <v>212</v>
      </c>
      <c r="B6976">
        <f t="shared" si="430"/>
        <v>33.693134000000001</v>
      </c>
      <c r="C6976">
        <f t="shared" si="431"/>
        <v>-117.855469</v>
      </c>
      <c r="D6976">
        <f t="shared" si="432"/>
        <v>37</v>
      </c>
      <c r="E6976">
        <v>17.5</v>
      </c>
      <c r="F6976">
        <f t="shared" si="433"/>
        <v>19.5</v>
      </c>
      <c r="G6976">
        <v>117.3</v>
      </c>
      <c r="H6976">
        <v>1.0229999999999999</v>
      </c>
      <c r="I6976">
        <v>0.872</v>
      </c>
      <c r="J6976">
        <v>8</v>
      </c>
      <c r="K6976">
        <v>28</v>
      </c>
      <c r="L6976">
        <v>27</v>
      </c>
      <c r="M6976" s="1">
        <v>9000000000</v>
      </c>
    </row>
    <row r="6977" spans="1:13" ht="15" customHeight="1">
      <c r="A6977" t="s">
        <v>212</v>
      </c>
      <c r="B6977">
        <f t="shared" si="430"/>
        <v>33.693134000000001</v>
      </c>
      <c r="C6977">
        <f t="shared" si="431"/>
        <v>-117.855469</v>
      </c>
      <c r="D6977">
        <f t="shared" si="432"/>
        <v>37</v>
      </c>
      <c r="E6977">
        <v>18.5</v>
      </c>
      <c r="F6977">
        <f t="shared" si="433"/>
        <v>18.5</v>
      </c>
      <c r="G6977">
        <v>159.18299999999999</v>
      </c>
      <c r="H6977">
        <v>1.087</v>
      </c>
      <c r="I6977">
        <v>0.68200000000000005</v>
      </c>
      <c r="J6977">
        <v>9</v>
      </c>
      <c r="K6977">
        <v>31</v>
      </c>
      <c r="L6977">
        <v>28</v>
      </c>
      <c r="M6977" s="1">
        <v>9000000000</v>
      </c>
    </row>
    <row r="6978" spans="1:13" ht="15" customHeight="1">
      <c r="A6978" t="s">
        <v>212</v>
      </c>
      <c r="B6978">
        <f t="shared" ref="B6978:B7041" si="434">VLOOKUP(A6978,XYdata,3,FALSE)</f>
        <v>33.693134000000001</v>
      </c>
      <c r="C6978">
        <f t="shared" ref="C6978:C7041" si="435">VLOOKUP(A6978,XYdata,2,FALSE)</f>
        <v>-117.855469</v>
      </c>
      <c r="D6978">
        <f t="shared" ref="D6978:D7041" si="436">VLOOKUP(A6978,Elevation,2,FALSE)</f>
        <v>37</v>
      </c>
      <c r="E6978">
        <v>19.5</v>
      </c>
      <c r="F6978">
        <f t="shared" si="433"/>
        <v>17.5</v>
      </c>
      <c r="G6978">
        <v>159</v>
      </c>
      <c r="H6978">
        <v>0.81699999999999995</v>
      </c>
      <c r="I6978">
        <v>0.51400000000000001</v>
      </c>
      <c r="J6978">
        <v>9</v>
      </c>
      <c r="K6978">
        <v>30</v>
      </c>
      <c r="L6978">
        <v>26</v>
      </c>
      <c r="M6978" s="1">
        <v>9000000000</v>
      </c>
    </row>
    <row r="6979" spans="1:13" ht="15" customHeight="1">
      <c r="A6979" t="s">
        <v>212</v>
      </c>
      <c r="B6979">
        <f t="shared" si="434"/>
        <v>33.693134000000001</v>
      </c>
      <c r="C6979">
        <f t="shared" si="435"/>
        <v>-117.855469</v>
      </c>
      <c r="D6979">
        <f t="shared" si="436"/>
        <v>37</v>
      </c>
      <c r="E6979">
        <v>20.5</v>
      </c>
      <c r="F6979">
        <f t="shared" ref="F6979:F7042" si="437">D6979-E6979</f>
        <v>16.5</v>
      </c>
      <c r="G6979">
        <v>158.45699999999999</v>
      </c>
      <c r="H6979">
        <v>0.63900000000000001</v>
      </c>
      <c r="I6979">
        <v>0.40300000000000002</v>
      </c>
      <c r="J6979">
        <v>9</v>
      </c>
      <c r="K6979">
        <v>30</v>
      </c>
      <c r="L6979">
        <v>25</v>
      </c>
      <c r="M6979" s="1">
        <v>9000000000</v>
      </c>
    </row>
    <row r="6980" spans="1:13" ht="15" customHeight="1">
      <c r="A6980" t="s">
        <v>212</v>
      </c>
      <c r="B6980">
        <f t="shared" si="434"/>
        <v>33.693134000000001</v>
      </c>
      <c r="C6980">
        <f t="shared" si="435"/>
        <v>-117.855469</v>
      </c>
      <c r="D6980">
        <f t="shared" si="436"/>
        <v>37</v>
      </c>
      <c r="E6980">
        <v>21.5</v>
      </c>
      <c r="F6980">
        <f t="shared" si="437"/>
        <v>15.5</v>
      </c>
      <c r="G6980">
        <v>203.68299999999999</v>
      </c>
      <c r="H6980">
        <v>0.70799999999999996</v>
      </c>
      <c r="I6980">
        <v>0.34799999999999998</v>
      </c>
      <c r="J6980">
        <v>9</v>
      </c>
      <c r="K6980">
        <v>39</v>
      </c>
      <c r="L6980">
        <v>32</v>
      </c>
      <c r="M6980" s="1">
        <v>9000000000</v>
      </c>
    </row>
    <row r="6981" spans="1:13" ht="15" customHeight="1">
      <c r="A6981" t="s">
        <v>212</v>
      </c>
      <c r="B6981">
        <f t="shared" si="434"/>
        <v>33.693134000000001</v>
      </c>
      <c r="C6981">
        <f t="shared" si="435"/>
        <v>-117.855469</v>
      </c>
      <c r="D6981">
        <f t="shared" si="436"/>
        <v>37</v>
      </c>
      <c r="E6981">
        <v>22.5</v>
      </c>
      <c r="F6981">
        <f t="shared" si="437"/>
        <v>14.5</v>
      </c>
      <c r="G6981">
        <v>216.25</v>
      </c>
      <c r="H6981">
        <v>0.68300000000000005</v>
      </c>
      <c r="I6981">
        <v>0.316</v>
      </c>
      <c r="J6981">
        <v>9</v>
      </c>
      <c r="K6981">
        <v>41</v>
      </c>
      <c r="L6981">
        <v>32</v>
      </c>
      <c r="M6981" s="1">
        <v>9000000000</v>
      </c>
    </row>
    <row r="6982" spans="1:13" ht="15" customHeight="1">
      <c r="A6982" t="s">
        <v>212</v>
      </c>
      <c r="B6982">
        <f t="shared" si="434"/>
        <v>33.693134000000001</v>
      </c>
      <c r="C6982">
        <f t="shared" si="435"/>
        <v>-117.855469</v>
      </c>
      <c r="D6982">
        <f t="shared" si="436"/>
        <v>37</v>
      </c>
      <c r="E6982">
        <v>23.5</v>
      </c>
      <c r="F6982">
        <f t="shared" si="437"/>
        <v>13.5</v>
      </c>
      <c r="G6982">
        <v>242.583</v>
      </c>
      <c r="H6982">
        <v>0.93200000000000005</v>
      </c>
      <c r="I6982">
        <v>0.38400000000000001</v>
      </c>
      <c r="J6982">
        <v>10</v>
      </c>
      <c r="K6982">
        <v>39</v>
      </c>
      <c r="L6982">
        <v>30</v>
      </c>
      <c r="M6982" s="1">
        <v>9000000000</v>
      </c>
    </row>
    <row r="6983" spans="1:13" ht="15" customHeight="1">
      <c r="A6983" t="s">
        <v>212</v>
      </c>
      <c r="B6983">
        <f t="shared" si="434"/>
        <v>33.693134000000001</v>
      </c>
      <c r="C6983">
        <f t="shared" si="435"/>
        <v>-117.855469</v>
      </c>
      <c r="D6983">
        <f t="shared" si="436"/>
        <v>37</v>
      </c>
      <c r="E6983">
        <v>24.5</v>
      </c>
      <c r="F6983">
        <f t="shared" si="437"/>
        <v>12.5</v>
      </c>
      <c r="G6983">
        <v>242.06700000000001</v>
      </c>
      <c r="H6983">
        <v>1.008</v>
      </c>
      <c r="I6983">
        <v>0.41699999999999998</v>
      </c>
      <c r="J6983">
        <v>9</v>
      </c>
      <c r="K6983">
        <v>46</v>
      </c>
      <c r="L6983">
        <v>34</v>
      </c>
      <c r="M6983" s="1">
        <v>9000000000</v>
      </c>
    </row>
    <row r="6984" spans="1:13" ht="15" customHeight="1">
      <c r="A6984" t="s">
        <v>212</v>
      </c>
      <c r="B6984">
        <f t="shared" si="434"/>
        <v>33.693134000000001</v>
      </c>
      <c r="C6984">
        <f t="shared" si="435"/>
        <v>-117.855469</v>
      </c>
      <c r="D6984">
        <f t="shared" si="436"/>
        <v>37</v>
      </c>
      <c r="E6984">
        <v>25.5</v>
      </c>
      <c r="F6984">
        <f t="shared" si="437"/>
        <v>11.5</v>
      </c>
      <c r="G6984">
        <v>263.93299999999999</v>
      </c>
      <c r="H6984">
        <v>0.85299999999999998</v>
      </c>
      <c r="I6984">
        <v>0.32300000000000001</v>
      </c>
      <c r="J6984">
        <v>10</v>
      </c>
      <c r="K6984">
        <v>42</v>
      </c>
      <c r="L6984">
        <v>30</v>
      </c>
      <c r="M6984" s="1">
        <v>9000000000</v>
      </c>
    </row>
    <row r="6985" spans="1:13" ht="15" customHeight="1">
      <c r="A6985" t="s">
        <v>212</v>
      </c>
      <c r="B6985">
        <f t="shared" si="434"/>
        <v>33.693134000000001</v>
      </c>
      <c r="C6985">
        <f t="shared" si="435"/>
        <v>-117.855469</v>
      </c>
      <c r="D6985">
        <f t="shared" si="436"/>
        <v>37</v>
      </c>
      <c r="E6985">
        <v>26.5</v>
      </c>
      <c r="F6985">
        <f t="shared" si="437"/>
        <v>10.5</v>
      </c>
      <c r="G6985">
        <v>277.8</v>
      </c>
      <c r="H6985">
        <v>1.0620000000000001</v>
      </c>
      <c r="I6985">
        <v>0.38200000000000001</v>
      </c>
      <c r="J6985">
        <v>10</v>
      </c>
      <c r="K6985">
        <v>44</v>
      </c>
      <c r="L6985">
        <v>31</v>
      </c>
      <c r="M6985" s="1">
        <v>9000000000</v>
      </c>
    </row>
    <row r="6986" spans="1:13" ht="15" customHeight="1">
      <c r="A6986" t="s">
        <v>212</v>
      </c>
      <c r="B6986">
        <f t="shared" si="434"/>
        <v>33.693134000000001</v>
      </c>
      <c r="C6986">
        <f t="shared" si="435"/>
        <v>-117.855469</v>
      </c>
      <c r="D6986">
        <f t="shared" si="436"/>
        <v>37</v>
      </c>
      <c r="E6986">
        <v>27.5</v>
      </c>
      <c r="F6986">
        <f t="shared" si="437"/>
        <v>9.5</v>
      </c>
      <c r="G6986">
        <v>307.35000000000002</v>
      </c>
      <c r="H6986">
        <v>1.3129999999999999</v>
      </c>
      <c r="I6986">
        <v>0.42699999999999999</v>
      </c>
      <c r="J6986">
        <v>10</v>
      </c>
      <c r="K6986">
        <v>49</v>
      </c>
      <c r="L6986">
        <v>34</v>
      </c>
      <c r="M6986" s="1">
        <v>9000000000</v>
      </c>
    </row>
    <row r="6987" spans="1:13" ht="15" customHeight="1">
      <c r="A6987" t="s">
        <v>212</v>
      </c>
      <c r="B6987">
        <f t="shared" si="434"/>
        <v>33.693134000000001</v>
      </c>
      <c r="C6987">
        <f t="shared" si="435"/>
        <v>-117.855469</v>
      </c>
      <c r="D6987">
        <f t="shared" si="436"/>
        <v>37</v>
      </c>
      <c r="E6987">
        <v>28.5</v>
      </c>
      <c r="F6987">
        <f t="shared" si="437"/>
        <v>8.5</v>
      </c>
      <c r="G6987">
        <v>339.06700000000001</v>
      </c>
      <c r="H6987">
        <v>1.3680000000000001</v>
      </c>
      <c r="I6987">
        <v>0.40400000000000003</v>
      </c>
      <c r="J6987">
        <v>10</v>
      </c>
      <c r="K6987">
        <v>54</v>
      </c>
      <c r="L6987">
        <v>37</v>
      </c>
      <c r="M6987" s="1">
        <v>9000000000</v>
      </c>
    </row>
    <row r="6988" spans="1:13" ht="15" customHeight="1">
      <c r="A6988" t="s">
        <v>212</v>
      </c>
      <c r="B6988">
        <f t="shared" si="434"/>
        <v>33.693134000000001</v>
      </c>
      <c r="C6988">
        <f t="shared" si="435"/>
        <v>-117.855469</v>
      </c>
      <c r="D6988">
        <f t="shared" si="436"/>
        <v>37</v>
      </c>
      <c r="E6988">
        <v>29.5</v>
      </c>
      <c r="F6988">
        <f t="shared" si="437"/>
        <v>7.5</v>
      </c>
      <c r="G6988">
        <v>314.64999999999998</v>
      </c>
      <c r="H6988">
        <v>1.4530000000000001</v>
      </c>
      <c r="I6988">
        <v>0.46200000000000002</v>
      </c>
      <c r="J6988">
        <v>10</v>
      </c>
      <c r="K6988">
        <v>50</v>
      </c>
      <c r="L6988">
        <v>34</v>
      </c>
      <c r="M6988" s="1">
        <v>9000000000</v>
      </c>
    </row>
    <row r="6989" spans="1:13" ht="15" customHeight="1">
      <c r="A6989" t="s">
        <v>212</v>
      </c>
      <c r="B6989">
        <f t="shared" si="434"/>
        <v>33.693134000000001</v>
      </c>
      <c r="C6989">
        <f t="shared" si="435"/>
        <v>-117.855469</v>
      </c>
      <c r="D6989">
        <f t="shared" si="436"/>
        <v>37</v>
      </c>
      <c r="E6989">
        <v>30.5</v>
      </c>
      <c r="F6989">
        <f t="shared" si="437"/>
        <v>6.5</v>
      </c>
      <c r="G6989">
        <v>281.28300000000002</v>
      </c>
      <c r="H6989">
        <v>2.06</v>
      </c>
      <c r="I6989">
        <v>0.73199999999999998</v>
      </c>
      <c r="J6989">
        <v>9</v>
      </c>
      <c r="K6989">
        <v>54</v>
      </c>
      <c r="L6989">
        <v>36</v>
      </c>
      <c r="M6989" s="1">
        <v>9000000000</v>
      </c>
    </row>
    <row r="6990" spans="1:13" ht="15" customHeight="1">
      <c r="A6990" t="s">
        <v>212</v>
      </c>
      <c r="B6990">
        <f t="shared" si="434"/>
        <v>33.693134000000001</v>
      </c>
      <c r="C6990">
        <f t="shared" si="435"/>
        <v>-117.855469</v>
      </c>
      <c r="D6990">
        <f t="shared" si="436"/>
        <v>37</v>
      </c>
      <c r="E6990">
        <v>31.5</v>
      </c>
      <c r="F6990">
        <f t="shared" si="437"/>
        <v>5.5</v>
      </c>
      <c r="G6990">
        <v>315.029</v>
      </c>
      <c r="H6990">
        <v>1.7010000000000001</v>
      </c>
      <c r="I6990">
        <v>0.54</v>
      </c>
      <c r="J6990">
        <v>10</v>
      </c>
      <c r="K6990">
        <v>50</v>
      </c>
      <c r="L6990">
        <v>33</v>
      </c>
      <c r="M6990" s="1">
        <v>9000000000</v>
      </c>
    </row>
    <row r="6991" spans="1:13" ht="15" customHeight="1">
      <c r="A6991" t="s">
        <v>212</v>
      </c>
      <c r="B6991">
        <f t="shared" si="434"/>
        <v>33.693134000000001</v>
      </c>
      <c r="C6991">
        <f t="shared" si="435"/>
        <v>-117.855469</v>
      </c>
      <c r="D6991">
        <f t="shared" si="436"/>
        <v>37</v>
      </c>
      <c r="E6991">
        <v>32.5</v>
      </c>
      <c r="F6991">
        <f t="shared" si="437"/>
        <v>4.5</v>
      </c>
      <c r="G6991">
        <v>278.89999999999998</v>
      </c>
      <c r="H6991">
        <v>1.3169999999999999</v>
      </c>
      <c r="I6991">
        <v>0.47199999999999998</v>
      </c>
      <c r="J6991">
        <v>10</v>
      </c>
      <c r="K6991">
        <v>45</v>
      </c>
      <c r="L6991">
        <v>29</v>
      </c>
      <c r="M6991" s="1">
        <v>9000000000</v>
      </c>
    </row>
    <row r="6992" spans="1:13" ht="15" customHeight="1">
      <c r="A6992" t="s">
        <v>212</v>
      </c>
      <c r="B6992">
        <f t="shared" si="434"/>
        <v>33.693134000000001</v>
      </c>
      <c r="C6992">
        <f t="shared" si="435"/>
        <v>-117.855469</v>
      </c>
      <c r="D6992">
        <f t="shared" si="436"/>
        <v>37</v>
      </c>
      <c r="E6992">
        <v>33.5</v>
      </c>
      <c r="F6992">
        <f t="shared" si="437"/>
        <v>3.5</v>
      </c>
      <c r="G6992">
        <v>60.05</v>
      </c>
      <c r="H6992">
        <v>1.3220000000000001</v>
      </c>
      <c r="I6992">
        <v>2.1960000000000002</v>
      </c>
      <c r="J6992">
        <v>6</v>
      </c>
      <c r="K6992">
        <v>23</v>
      </c>
      <c r="L6992">
        <v>15</v>
      </c>
      <c r="M6992">
        <v>3.8740000000000001</v>
      </c>
    </row>
    <row r="6993" spans="1:13" ht="15" customHeight="1">
      <c r="A6993" t="s">
        <v>212</v>
      </c>
      <c r="B6993">
        <f t="shared" si="434"/>
        <v>33.693134000000001</v>
      </c>
      <c r="C6993">
        <f t="shared" si="435"/>
        <v>-117.855469</v>
      </c>
      <c r="D6993">
        <f t="shared" si="436"/>
        <v>37</v>
      </c>
      <c r="E6993">
        <v>34.5</v>
      </c>
      <c r="F6993">
        <f t="shared" si="437"/>
        <v>2.5</v>
      </c>
      <c r="G6993">
        <v>64.117000000000004</v>
      </c>
      <c r="H6993">
        <v>1.468</v>
      </c>
      <c r="I6993">
        <v>2.2719999999999998</v>
      </c>
      <c r="J6993">
        <v>6</v>
      </c>
      <c r="K6993">
        <v>25</v>
      </c>
      <c r="L6993">
        <v>16</v>
      </c>
      <c r="M6993">
        <v>4.165</v>
      </c>
    </row>
    <row r="6994" spans="1:13" ht="15" customHeight="1">
      <c r="A6994" t="s">
        <v>212</v>
      </c>
      <c r="B6994">
        <f t="shared" si="434"/>
        <v>33.693134000000001</v>
      </c>
      <c r="C6994">
        <f t="shared" si="435"/>
        <v>-117.855469</v>
      </c>
      <c r="D6994">
        <f t="shared" si="436"/>
        <v>37</v>
      </c>
      <c r="E6994">
        <v>35.5</v>
      </c>
      <c r="F6994">
        <f t="shared" si="437"/>
        <v>1.5</v>
      </c>
      <c r="G6994">
        <v>263.017</v>
      </c>
      <c r="H6994">
        <v>1.873</v>
      </c>
      <c r="I6994">
        <v>0.71199999999999997</v>
      </c>
      <c r="J6994">
        <v>9</v>
      </c>
      <c r="K6994">
        <v>50</v>
      </c>
      <c r="L6994">
        <v>31</v>
      </c>
      <c r="M6994" s="1">
        <v>9000000000</v>
      </c>
    </row>
    <row r="6995" spans="1:13" ht="15" customHeight="1">
      <c r="A6995" t="s">
        <v>212</v>
      </c>
      <c r="B6995">
        <f t="shared" si="434"/>
        <v>33.693134000000001</v>
      </c>
      <c r="C6995">
        <f t="shared" si="435"/>
        <v>-117.855469</v>
      </c>
      <c r="D6995">
        <f t="shared" si="436"/>
        <v>37</v>
      </c>
      <c r="E6995">
        <v>36.5</v>
      </c>
      <c r="F6995">
        <f t="shared" si="437"/>
        <v>0.5</v>
      </c>
      <c r="G6995">
        <v>305.61700000000002</v>
      </c>
      <c r="H6995">
        <v>2.048</v>
      </c>
      <c r="I6995">
        <v>0.67</v>
      </c>
      <c r="J6995">
        <v>10</v>
      </c>
      <c r="K6995">
        <v>49</v>
      </c>
      <c r="L6995">
        <v>30</v>
      </c>
      <c r="M6995" s="1">
        <v>9000000000</v>
      </c>
    </row>
    <row r="6996" spans="1:13" ht="15" customHeight="1">
      <c r="A6996" t="s">
        <v>212</v>
      </c>
      <c r="B6996">
        <f t="shared" si="434"/>
        <v>33.693134000000001</v>
      </c>
      <c r="C6996">
        <f t="shared" si="435"/>
        <v>-117.855469</v>
      </c>
      <c r="D6996">
        <f t="shared" si="436"/>
        <v>37</v>
      </c>
      <c r="E6996">
        <v>37.5</v>
      </c>
      <c r="F6996">
        <f t="shared" si="437"/>
        <v>-0.5</v>
      </c>
      <c r="G6996">
        <v>169.36699999999999</v>
      </c>
      <c r="H6996">
        <v>2.4780000000000002</v>
      </c>
      <c r="I6996">
        <v>1.464</v>
      </c>
      <c r="J6996">
        <v>8</v>
      </c>
      <c r="K6996">
        <v>41</v>
      </c>
      <c r="L6996">
        <v>25</v>
      </c>
      <c r="M6996" s="1">
        <v>9000000000</v>
      </c>
    </row>
    <row r="6997" spans="1:13" ht="15" customHeight="1">
      <c r="A6997" t="s">
        <v>212</v>
      </c>
      <c r="B6997">
        <f t="shared" si="434"/>
        <v>33.693134000000001</v>
      </c>
      <c r="C6997">
        <f t="shared" si="435"/>
        <v>-117.855469</v>
      </c>
      <c r="D6997">
        <f t="shared" si="436"/>
        <v>37</v>
      </c>
      <c r="E6997">
        <v>38.5</v>
      </c>
      <c r="F6997">
        <f t="shared" si="437"/>
        <v>-1.5</v>
      </c>
      <c r="G6997">
        <v>23.95</v>
      </c>
      <c r="H6997">
        <v>0.58699999999999997</v>
      </c>
      <c r="I6997">
        <v>2.448</v>
      </c>
      <c r="J6997">
        <v>6</v>
      </c>
      <c r="K6997">
        <v>9</v>
      </c>
      <c r="L6997">
        <v>5</v>
      </c>
      <c r="M6997">
        <v>1.4379999999999999</v>
      </c>
    </row>
    <row r="6998" spans="1:13" ht="15" customHeight="1">
      <c r="A6998" t="s">
        <v>212</v>
      </c>
      <c r="B6998">
        <f t="shared" si="434"/>
        <v>33.693134000000001</v>
      </c>
      <c r="C6998">
        <f t="shared" si="435"/>
        <v>-117.855469</v>
      </c>
      <c r="D6998">
        <f t="shared" si="436"/>
        <v>37</v>
      </c>
      <c r="E6998">
        <v>39.5</v>
      </c>
      <c r="F6998">
        <f t="shared" si="437"/>
        <v>-2.5</v>
      </c>
      <c r="G6998">
        <v>39.183</v>
      </c>
      <c r="H6998">
        <v>1.248</v>
      </c>
      <c r="I6998">
        <v>3.1779999999999999</v>
      </c>
      <c r="J6998">
        <v>5</v>
      </c>
      <c r="K6998">
        <v>19</v>
      </c>
      <c r="L6998">
        <v>11</v>
      </c>
      <c r="M6998">
        <v>2.4550000000000001</v>
      </c>
    </row>
    <row r="6999" spans="1:13" ht="15" customHeight="1">
      <c r="A6999" t="s">
        <v>212</v>
      </c>
      <c r="B6999">
        <f t="shared" si="434"/>
        <v>33.693134000000001</v>
      </c>
      <c r="C6999">
        <f t="shared" si="435"/>
        <v>-117.855469</v>
      </c>
      <c r="D6999">
        <f t="shared" si="436"/>
        <v>37</v>
      </c>
      <c r="E6999">
        <v>40.5</v>
      </c>
      <c r="F6999">
        <f t="shared" si="437"/>
        <v>-3.5</v>
      </c>
      <c r="G6999">
        <v>39.4</v>
      </c>
      <c r="H6999">
        <v>1.0980000000000001</v>
      </c>
      <c r="I6999">
        <v>2.7850000000000001</v>
      </c>
      <c r="J6999">
        <v>6</v>
      </c>
      <c r="K6999">
        <v>15</v>
      </c>
      <c r="L6999">
        <v>9</v>
      </c>
      <c r="M6999">
        <v>2.4609999999999999</v>
      </c>
    </row>
    <row r="7000" spans="1:13" ht="15" customHeight="1">
      <c r="A7000" t="s">
        <v>212</v>
      </c>
      <c r="B7000">
        <f t="shared" si="434"/>
        <v>33.693134000000001</v>
      </c>
      <c r="C7000">
        <f t="shared" si="435"/>
        <v>-117.855469</v>
      </c>
      <c r="D7000">
        <f t="shared" si="436"/>
        <v>37</v>
      </c>
      <c r="E7000">
        <v>41.499000000000002</v>
      </c>
      <c r="F7000">
        <f t="shared" si="437"/>
        <v>-4.4990000000000023</v>
      </c>
      <c r="G7000">
        <v>34.643000000000001</v>
      </c>
      <c r="H7000">
        <v>1.5389999999999999</v>
      </c>
      <c r="I7000">
        <v>4.4320000000000004</v>
      </c>
      <c r="J7000">
        <v>4</v>
      </c>
      <c r="K7000">
        <v>22</v>
      </c>
      <c r="L7000">
        <v>13</v>
      </c>
      <c r="M7000">
        <v>2.1419999999999999</v>
      </c>
    </row>
    <row r="7001" spans="1:13" ht="15" customHeight="1">
      <c r="A7001" t="s">
        <v>212</v>
      </c>
      <c r="B7001">
        <f t="shared" si="434"/>
        <v>33.693134000000001</v>
      </c>
      <c r="C7001">
        <f t="shared" si="435"/>
        <v>-117.855469</v>
      </c>
      <c r="D7001">
        <f t="shared" si="436"/>
        <v>37</v>
      </c>
      <c r="E7001">
        <v>42.499000000000002</v>
      </c>
      <c r="F7001">
        <f t="shared" si="437"/>
        <v>-5.4990000000000023</v>
      </c>
      <c r="G7001">
        <v>156.46700000000001</v>
      </c>
      <c r="H7001">
        <v>3.3580000000000001</v>
      </c>
      <c r="I7001">
        <v>2.1469999999999998</v>
      </c>
      <c r="J7001">
        <v>7</v>
      </c>
      <c r="K7001">
        <v>50</v>
      </c>
      <c r="L7001">
        <v>28</v>
      </c>
      <c r="M7001" s="1">
        <v>9000000000</v>
      </c>
    </row>
    <row r="7002" spans="1:13" ht="15" customHeight="1">
      <c r="A7002" t="s">
        <v>212</v>
      </c>
      <c r="B7002">
        <f t="shared" si="434"/>
        <v>33.693134000000001</v>
      </c>
      <c r="C7002">
        <f t="shared" si="435"/>
        <v>-117.855469</v>
      </c>
      <c r="D7002">
        <f t="shared" si="436"/>
        <v>37</v>
      </c>
      <c r="E7002">
        <v>43.499000000000002</v>
      </c>
      <c r="F7002">
        <f t="shared" si="437"/>
        <v>-6.4990000000000023</v>
      </c>
      <c r="G7002">
        <v>223.65</v>
      </c>
      <c r="H7002">
        <v>4.0549999999999997</v>
      </c>
      <c r="I7002">
        <v>1.8140000000000001</v>
      </c>
      <c r="J7002">
        <v>8</v>
      </c>
      <c r="K7002">
        <v>54</v>
      </c>
      <c r="L7002">
        <v>30</v>
      </c>
      <c r="M7002" s="1">
        <v>9000000000</v>
      </c>
    </row>
    <row r="7003" spans="1:13" ht="15" customHeight="1">
      <c r="A7003" t="s">
        <v>212</v>
      </c>
      <c r="B7003">
        <f t="shared" si="434"/>
        <v>33.693134000000001</v>
      </c>
      <c r="C7003">
        <f t="shared" si="435"/>
        <v>-117.855469</v>
      </c>
      <c r="D7003">
        <f t="shared" si="436"/>
        <v>37</v>
      </c>
      <c r="E7003">
        <v>44.499000000000002</v>
      </c>
      <c r="F7003">
        <f t="shared" si="437"/>
        <v>-7.4990000000000023</v>
      </c>
      <c r="G7003">
        <v>350.9</v>
      </c>
      <c r="H7003">
        <v>2.8580000000000001</v>
      </c>
      <c r="I7003">
        <v>0.81499999999999995</v>
      </c>
      <c r="J7003">
        <v>9</v>
      </c>
      <c r="K7003">
        <v>67</v>
      </c>
      <c r="L7003">
        <v>37</v>
      </c>
      <c r="M7003" s="1">
        <v>9000000000</v>
      </c>
    </row>
    <row r="7004" spans="1:13" ht="15" customHeight="1">
      <c r="A7004" t="s">
        <v>212</v>
      </c>
      <c r="B7004">
        <f t="shared" si="434"/>
        <v>33.693134000000001</v>
      </c>
      <c r="C7004">
        <f t="shared" si="435"/>
        <v>-117.855469</v>
      </c>
      <c r="D7004">
        <f t="shared" si="436"/>
        <v>37</v>
      </c>
      <c r="E7004">
        <v>45.499000000000002</v>
      </c>
      <c r="F7004">
        <f t="shared" si="437"/>
        <v>-8.4990000000000023</v>
      </c>
      <c r="G7004">
        <v>143.69999999999999</v>
      </c>
      <c r="H7004">
        <v>1.552</v>
      </c>
      <c r="I7004">
        <v>1.081</v>
      </c>
      <c r="J7004">
        <v>8</v>
      </c>
      <c r="K7004">
        <v>34</v>
      </c>
      <c r="L7004">
        <v>19</v>
      </c>
      <c r="M7004" s="1">
        <v>9000000000</v>
      </c>
    </row>
    <row r="7005" spans="1:13" ht="15" customHeight="1">
      <c r="A7005" t="s">
        <v>212</v>
      </c>
      <c r="B7005">
        <f t="shared" si="434"/>
        <v>33.693134000000001</v>
      </c>
      <c r="C7005">
        <f t="shared" si="435"/>
        <v>-117.855469</v>
      </c>
      <c r="D7005">
        <f t="shared" si="436"/>
        <v>37</v>
      </c>
      <c r="E7005">
        <v>46.499000000000002</v>
      </c>
      <c r="F7005">
        <f t="shared" si="437"/>
        <v>-9.4990000000000023</v>
      </c>
      <c r="G7005">
        <v>29.082999999999998</v>
      </c>
      <c r="H7005">
        <v>0.81799999999999995</v>
      </c>
      <c r="I7005">
        <v>2.823</v>
      </c>
      <c r="J7005">
        <v>5</v>
      </c>
      <c r="K7005">
        <v>14</v>
      </c>
      <c r="L7005">
        <v>8</v>
      </c>
      <c r="M7005">
        <v>1.74</v>
      </c>
    </row>
    <row r="7006" spans="1:13" ht="15" customHeight="1">
      <c r="A7006" t="s">
        <v>212</v>
      </c>
      <c r="B7006">
        <f t="shared" si="434"/>
        <v>33.693134000000001</v>
      </c>
      <c r="C7006">
        <f t="shared" si="435"/>
        <v>-117.855469</v>
      </c>
      <c r="D7006">
        <f t="shared" si="436"/>
        <v>37</v>
      </c>
      <c r="E7006">
        <v>47.499000000000002</v>
      </c>
      <c r="F7006">
        <f t="shared" si="437"/>
        <v>-10.499000000000002</v>
      </c>
      <c r="G7006">
        <v>24.067</v>
      </c>
      <c r="H7006">
        <v>0.75700000000000001</v>
      </c>
      <c r="I7006">
        <v>3.157</v>
      </c>
      <c r="J7006">
        <v>5</v>
      </c>
      <c r="K7006">
        <v>11</v>
      </c>
      <c r="L7006">
        <v>6</v>
      </c>
      <c r="M7006">
        <v>1.401</v>
      </c>
    </row>
    <row r="7007" spans="1:13" ht="15" customHeight="1">
      <c r="A7007" t="s">
        <v>212</v>
      </c>
      <c r="B7007">
        <f t="shared" si="434"/>
        <v>33.693134000000001</v>
      </c>
      <c r="C7007">
        <f t="shared" si="435"/>
        <v>-117.855469</v>
      </c>
      <c r="D7007">
        <f t="shared" si="436"/>
        <v>37</v>
      </c>
      <c r="E7007">
        <v>48.499000000000002</v>
      </c>
      <c r="F7007">
        <f t="shared" si="437"/>
        <v>-11.499000000000002</v>
      </c>
      <c r="G7007">
        <v>25.783000000000001</v>
      </c>
      <c r="H7007">
        <v>0.627</v>
      </c>
      <c r="I7007">
        <v>2.4350000000000001</v>
      </c>
      <c r="J7007">
        <v>6</v>
      </c>
      <c r="K7007">
        <v>10</v>
      </c>
      <c r="L7007">
        <v>5</v>
      </c>
      <c r="M7007">
        <v>1.5149999999999999</v>
      </c>
    </row>
    <row r="7008" spans="1:13" ht="15" customHeight="1">
      <c r="A7008" t="s">
        <v>212</v>
      </c>
      <c r="B7008">
        <f t="shared" si="434"/>
        <v>33.693134000000001</v>
      </c>
      <c r="C7008">
        <f t="shared" si="435"/>
        <v>-117.855469</v>
      </c>
      <c r="D7008">
        <f t="shared" si="436"/>
        <v>37</v>
      </c>
      <c r="E7008">
        <v>49.499000000000002</v>
      </c>
      <c r="F7008">
        <f t="shared" si="437"/>
        <v>-12.499000000000002</v>
      </c>
      <c r="G7008">
        <v>37.582999999999998</v>
      </c>
      <c r="H7008">
        <v>1.288</v>
      </c>
      <c r="I7008">
        <v>3.4279999999999999</v>
      </c>
      <c r="J7008">
        <v>5</v>
      </c>
      <c r="K7008">
        <v>18</v>
      </c>
      <c r="L7008">
        <v>9</v>
      </c>
      <c r="M7008">
        <v>2.3010000000000002</v>
      </c>
    </row>
    <row r="7009" spans="1:13" ht="15" customHeight="1">
      <c r="A7009" t="s">
        <v>212</v>
      </c>
      <c r="B7009">
        <f t="shared" si="434"/>
        <v>33.693134000000001</v>
      </c>
      <c r="C7009">
        <f t="shared" si="435"/>
        <v>-117.855469</v>
      </c>
      <c r="D7009">
        <f t="shared" si="436"/>
        <v>37</v>
      </c>
      <c r="E7009">
        <v>50.499000000000002</v>
      </c>
      <c r="F7009">
        <f t="shared" si="437"/>
        <v>-13.499000000000002</v>
      </c>
      <c r="G7009">
        <v>27.367000000000001</v>
      </c>
      <c r="H7009">
        <v>0.69199999999999995</v>
      </c>
      <c r="I7009">
        <v>2.524</v>
      </c>
      <c r="J7009">
        <v>6</v>
      </c>
      <c r="K7009">
        <v>10</v>
      </c>
      <c r="L7009">
        <v>5</v>
      </c>
      <c r="M7009">
        <v>1.617</v>
      </c>
    </row>
    <row r="7010" spans="1:13" ht="15" customHeight="1">
      <c r="A7010" t="s">
        <v>212</v>
      </c>
      <c r="B7010">
        <f t="shared" si="434"/>
        <v>33.693134000000001</v>
      </c>
      <c r="C7010">
        <f t="shared" si="435"/>
        <v>-117.855469</v>
      </c>
      <c r="D7010">
        <f t="shared" si="436"/>
        <v>37</v>
      </c>
      <c r="E7010">
        <v>51.499000000000002</v>
      </c>
      <c r="F7010">
        <f t="shared" si="437"/>
        <v>-14.499000000000002</v>
      </c>
      <c r="G7010">
        <v>21.832999999999998</v>
      </c>
      <c r="H7010">
        <v>0.55200000000000005</v>
      </c>
      <c r="I7010">
        <v>2.5150000000000001</v>
      </c>
      <c r="J7010">
        <v>5</v>
      </c>
      <c r="K7010">
        <v>11</v>
      </c>
      <c r="L7010">
        <v>6</v>
      </c>
      <c r="M7010">
        <v>1.2490000000000001</v>
      </c>
    </row>
    <row r="7011" spans="1:13" ht="15" customHeight="1">
      <c r="A7011" t="s">
        <v>212</v>
      </c>
      <c r="B7011">
        <f t="shared" si="434"/>
        <v>33.693134000000001</v>
      </c>
      <c r="C7011">
        <f t="shared" si="435"/>
        <v>-117.855469</v>
      </c>
      <c r="D7011">
        <f t="shared" si="436"/>
        <v>37</v>
      </c>
      <c r="E7011">
        <v>52.499000000000002</v>
      </c>
      <c r="F7011">
        <f t="shared" si="437"/>
        <v>-15.499000000000002</v>
      </c>
      <c r="G7011">
        <v>27.513999999999999</v>
      </c>
      <c r="H7011">
        <v>0.81899999999999995</v>
      </c>
      <c r="I7011">
        <v>2.964</v>
      </c>
      <c r="J7011">
        <v>5</v>
      </c>
      <c r="K7011">
        <v>13</v>
      </c>
      <c r="L7011">
        <v>7</v>
      </c>
      <c r="M7011">
        <v>1.623</v>
      </c>
    </row>
    <row r="7012" spans="1:13" ht="15" customHeight="1">
      <c r="A7012" t="s">
        <v>212</v>
      </c>
      <c r="B7012">
        <f t="shared" si="434"/>
        <v>33.693134000000001</v>
      </c>
      <c r="C7012">
        <f t="shared" si="435"/>
        <v>-117.855469</v>
      </c>
      <c r="D7012">
        <f t="shared" si="436"/>
        <v>37</v>
      </c>
      <c r="E7012">
        <v>53.499000000000002</v>
      </c>
      <c r="F7012">
        <f t="shared" si="437"/>
        <v>-16.499000000000002</v>
      </c>
      <c r="G7012">
        <v>29.516999999999999</v>
      </c>
      <c r="H7012">
        <v>1.073</v>
      </c>
      <c r="I7012">
        <v>3.6160000000000001</v>
      </c>
      <c r="J7012">
        <v>5</v>
      </c>
      <c r="K7012">
        <v>14</v>
      </c>
      <c r="L7012">
        <v>7</v>
      </c>
      <c r="M7012">
        <v>1.7569999999999999</v>
      </c>
    </row>
    <row r="7013" spans="1:13" ht="15" customHeight="1">
      <c r="A7013" t="s">
        <v>212</v>
      </c>
      <c r="B7013">
        <f t="shared" si="434"/>
        <v>33.693134000000001</v>
      </c>
      <c r="C7013">
        <f t="shared" si="435"/>
        <v>-117.855469</v>
      </c>
      <c r="D7013">
        <f t="shared" si="436"/>
        <v>37</v>
      </c>
      <c r="E7013">
        <v>54.499000000000002</v>
      </c>
      <c r="F7013">
        <f t="shared" si="437"/>
        <v>-17.499000000000002</v>
      </c>
      <c r="G7013">
        <v>119.8</v>
      </c>
      <c r="H7013">
        <v>3.02</v>
      </c>
      <c r="I7013">
        <v>2.5190000000000001</v>
      </c>
      <c r="J7013">
        <v>7</v>
      </c>
      <c r="K7013">
        <v>38</v>
      </c>
      <c r="L7013">
        <v>19</v>
      </c>
      <c r="M7013" s="1">
        <v>9000000000</v>
      </c>
    </row>
    <row r="7014" spans="1:13" ht="15" customHeight="1">
      <c r="A7014" t="s">
        <v>212</v>
      </c>
      <c r="B7014">
        <f t="shared" si="434"/>
        <v>33.693134000000001</v>
      </c>
      <c r="C7014">
        <f t="shared" si="435"/>
        <v>-117.855469</v>
      </c>
      <c r="D7014">
        <f t="shared" si="436"/>
        <v>37</v>
      </c>
      <c r="E7014">
        <v>55.499000000000002</v>
      </c>
      <c r="F7014">
        <f t="shared" si="437"/>
        <v>-18.499000000000002</v>
      </c>
      <c r="G7014">
        <v>81.400000000000006</v>
      </c>
      <c r="H7014">
        <v>2.0049999999999999</v>
      </c>
      <c r="I7014">
        <v>2.4660000000000002</v>
      </c>
      <c r="J7014">
        <v>6</v>
      </c>
      <c r="K7014">
        <v>31</v>
      </c>
      <c r="L7014">
        <v>16</v>
      </c>
      <c r="M7014">
        <v>5.19</v>
      </c>
    </row>
    <row r="7015" spans="1:13" ht="15" customHeight="1">
      <c r="A7015" t="s">
        <v>212</v>
      </c>
      <c r="B7015">
        <f t="shared" si="434"/>
        <v>33.693134000000001</v>
      </c>
      <c r="C7015">
        <f t="shared" si="435"/>
        <v>-117.855469</v>
      </c>
      <c r="D7015">
        <f t="shared" si="436"/>
        <v>37</v>
      </c>
      <c r="E7015">
        <v>56.499000000000002</v>
      </c>
      <c r="F7015">
        <f t="shared" si="437"/>
        <v>-19.499000000000002</v>
      </c>
      <c r="G7015">
        <v>28.266999999999999</v>
      </c>
      <c r="H7015">
        <v>1.07</v>
      </c>
      <c r="I7015">
        <v>3.7989999999999999</v>
      </c>
      <c r="J7015">
        <v>4</v>
      </c>
      <c r="K7015">
        <v>18</v>
      </c>
      <c r="L7015">
        <v>9</v>
      </c>
      <c r="M7015">
        <v>1.6439999999999999</v>
      </c>
    </row>
    <row r="7016" spans="1:13" ht="15" customHeight="1">
      <c r="A7016" t="s">
        <v>212</v>
      </c>
      <c r="B7016">
        <f t="shared" si="434"/>
        <v>33.693134000000001</v>
      </c>
      <c r="C7016">
        <f t="shared" si="435"/>
        <v>-117.855469</v>
      </c>
      <c r="D7016">
        <f t="shared" si="436"/>
        <v>37</v>
      </c>
      <c r="E7016">
        <v>57.499000000000002</v>
      </c>
      <c r="F7016">
        <f t="shared" si="437"/>
        <v>-20.499000000000002</v>
      </c>
      <c r="G7016">
        <v>20.3</v>
      </c>
      <c r="H7016">
        <v>0.65300000000000002</v>
      </c>
      <c r="I7016">
        <v>3.2320000000000002</v>
      </c>
      <c r="J7016">
        <v>5</v>
      </c>
      <c r="K7016">
        <v>10</v>
      </c>
      <c r="L7016">
        <v>5</v>
      </c>
      <c r="M7016">
        <v>1.1100000000000001</v>
      </c>
    </row>
    <row r="7017" spans="1:13" ht="15" customHeight="1">
      <c r="A7017" t="s">
        <v>212</v>
      </c>
      <c r="B7017">
        <f t="shared" si="434"/>
        <v>33.693134000000001</v>
      </c>
      <c r="C7017">
        <f t="shared" si="435"/>
        <v>-117.855469</v>
      </c>
      <c r="D7017">
        <f t="shared" si="436"/>
        <v>37</v>
      </c>
      <c r="E7017">
        <v>58.499000000000002</v>
      </c>
      <c r="F7017">
        <f t="shared" si="437"/>
        <v>-21.499000000000002</v>
      </c>
      <c r="G7017">
        <v>23.167000000000002</v>
      </c>
      <c r="H7017">
        <v>0.60499999999999998</v>
      </c>
      <c r="I7017">
        <v>2.6120000000000001</v>
      </c>
      <c r="J7017">
        <v>5</v>
      </c>
      <c r="K7017">
        <v>11</v>
      </c>
      <c r="L7017">
        <v>6</v>
      </c>
      <c r="M7017">
        <v>1.302</v>
      </c>
    </row>
    <row r="7018" spans="1:13" ht="15" customHeight="1">
      <c r="A7018" t="s">
        <v>212</v>
      </c>
      <c r="B7018">
        <f t="shared" si="434"/>
        <v>33.693134000000001</v>
      </c>
      <c r="C7018">
        <f t="shared" si="435"/>
        <v>-117.855469</v>
      </c>
      <c r="D7018">
        <f t="shared" si="436"/>
        <v>37</v>
      </c>
      <c r="E7018">
        <v>59.499000000000002</v>
      </c>
      <c r="F7018">
        <f t="shared" si="437"/>
        <v>-22.499000000000002</v>
      </c>
      <c r="G7018">
        <v>24.9</v>
      </c>
      <c r="H7018">
        <v>0.88800000000000001</v>
      </c>
      <c r="I7018">
        <v>3.5630000000000002</v>
      </c>
      <c r="J7018">
        <v>5</v>
      </c>
      <c r="K7018">
        <v>12</v>
      </c>
      <c r="L7018">
        <v>6</v>
      </c>
      <c r="M7018">
        <v>1.4159999999999999</v>
      </c>
    </row>
    <row r="7019" spans="1:13" ht="15" customHeight="1">
      <c r="A7019" t="s">
        <v>212</v>
      </c>
      <c r="B7019">
        <f t="shared" si="434"/>
        <v>33.693134000000001</v>
      </c>
      <c r="C7019">
        <f t="shared" si="435"/>
        <v>-117.855469</v>
      </c>
      <c r="D7019">
        <f t="shared" si="436"/>
        <v>37</v>
      </c>
      <c r="E7019">
        <v>60.499000000000002</v>
      </c>
      <c r="F7019">
        <f t="shared" si="437"/>
        <v>-23.499000000000002</v>
      </c>
      <c r="G7019">
        <v>24.35</v>
      </c>
      <c r="H7019">
        <v>0.75</v>
      </c>
      <c r="I7019">
        <v>3.0760000000000001</v>
      </c>
      <c r="J7019">
        <v>5</v>
      </c>
      <c r="K7019">
        <v>12</v>
      </c>
      <c r="L7019">
        <v>6</v>
      </c>
      <c r="M7019">
        <v>1.375</v>
      </c>
    </row>
    <row r="7020" spans="1:13" ht="15" customHeight="1">
      <c r="A7020" t="s">
        <v>212</v>
      </c>
      <c r="B7020">
        <f t="shared" si="434"/>
        <v>33.693134000000001</v>
      </c>
      <c r="C7020">
        <f t="shared" si="435"/>
        <v>-117.855469</v>
      </c>
      <c r="D7020">
        <f t="shared" si="436"/>
        <v>37</v>
      </c>
      <c r="E7020">
        <v>61.499000000000002</v>
      </c>
      <c r="F7020">
        <f t="shared" si="437"/>
        <v>-24.499000000000002</v>
      </c>
      <c r="G7020">
        <v>30.45</v>
      </c>
      <c r="H7020">
        <v>1.0329999999999999</v>
      </c>
      <c r="I7020">
        <v>3.3820000000000001</v>
      </c>
      <c r="J7020">
        <v>5</v>
      </c>
      <c r="K7020">
        <v>15</v>
      </c>
      <c r="L7020">
        <v>8</v>
      </c>
      <c r="M7020">
        <v>1.782</v>
      </c>
    </row>
    <row r="7021" spans="1:13" ht="15" customHeight="1">
      <c r="A7021" t="s">
        <v>212</v>
      </c>
      <c r="B7021">
        <f t="shared" si="434"/>
        <v>33.693134000000001</v>
      </c>
      <c r="C7021">
        <f t="shared" si="435"/>
        <v>-117.855469</v>
      </c>
      <c r="D7021">
        <f t="shared" si="436"/>
        <v>37</v>
      </c>
      <c r="E7021">
        <v>62.499000000000002</v>
      </c>
      <c r="F7021">
        <f t="shared" si="437"/>
        <v>-25.499000000000002</v>
      </c>
      <c r="G7021">
        <v>32.256999999999998</v>
      </c>
      <c r="H7021">
        <v>1.147</v>
      </c>
      <c r="I7021">
        <v>3.5449999999999999</v>
      </c>
      <c r="J7021">
        <v>5</v>
      </c>
      <c r="K7021">
        <v>15</v>
      </c>
      <c r="L7021">
        <v>8</v>
      </c>
      <c r="M7021">
        <v>1.8979999999999999</v>
      </c>
    </row>
    <row r="7022" spans="1:13" ht="15" customHeight="1">
      <c r="A7022" t="s">
        <v>212</v>
      </c>
      <c r="B7022">
        <f t="shared" si="434"/>
        <v>33.693134000000001</v>
      </c>
      <c r="C7022">
        <f t="shared" si="435"/>
        <v>-117.855469</v>
      </c>
      <c r="D7022">
        <f t="shared" si="436"/>
        <v>37</v>
      </c>
      <c r="E7022">
        <v>63.499000000000002</v>
      </c>
      <c r="F7022">
        <f t="shared" si="437"/>
        <v>-26.499000000000002</v>
      </c>
      <c r="G7022">
        <v>50.1</v>
      </c>
      <c r="H7022">
        <v>2.1720000000000002</v>
      </c>
      <c r="I7022">
        <v>4.327</v>
      </c>
      <c r="J7022">
        <v>4</v>
      </c>
      <c r="K7022">
        <v>32</v>
      </c>
      <c r="L7022">
        <v>16</v>
      </c>
      <c r="M7022">
        <v>3.0830000000000002</v>
      </c>
    </row>
    <row r="7023" spans="1:13" ht="15" customHeight="1">
      <c r="A7023" t="s">
        <v>212</v>
      </c>
      <c r="B7023">
        <f t="shared" si="434"/>
        <v>33.693134000000001</v>
      </c>
      <c r="C7023">
        <f t="shared" si="435"/>
        <v>-117.855469</v>
      </c>
      <c r="D7023">
        <f t="shared" si="436"/>
        <v>37</v>
      </c>
      <c r="E7023">
        <v>64.498999999999995</v>
      </c>
      <c r="F7023">
        <f t="shared" si="437"/>
        <v>-27.498999999999995</v>
      </c>
      <c r="G7023">
        <v>68.066999999999993</v>
      </c>
      <c r="H7023">
        <v>2.84</v>
      </c>
      <c r="I7023">
        <v>4.1660000000000004</v>
      </c>
      <c r="J7023">
        <v>5</v>
      </c>
      <c r="K7023">
        <v>33</v>
      </c>
      <c r="L7023">
        <v>17</v>
      </c>
      <c r="M7023">
        <v>4.2770000000000001</v>
      </c>
    </row>
    <row r="7024" spans="1:13" ht="15" customHeight="1">
      <c r="A7024" t="s">
        <v>212</v>
      </c>
      <c r="B7024">
        <f t="shared" si="434"/>
        <v>33.693134000000001</v>
      </c>
      <c r="C7024">
        <f t="shared" si="435"/>
        <v>-117.855469</v>
      </c>
      <c r="D7024">
        <f t="shared" si="436"/>
        <v>37</v>
      </c>
      <c r="E7024">
        <v>65.498999999999995</v>
      </c>
      <c r="F7024">
        <f t="shared" si="437"/>
        <v>-28.498999999999995</v>
      </c>
      <c r="G7024">
        <v>129.25</v>
      </c>
      <c r="H7024">
        <v>3.2</v>
      </c>
      <c r="I7024">
        <v>2.4750000000000001</v>
      </c>
      <c r="J7024">
        <v>7</v>
      </c>
      <c r="K7024">
        <v>41</v>
      </c>
      <c r="L7024">
        <v>21</v>
      </c>
      <c r="M7024" s="1">
        <v>9000000000</v>
      </c>
    </row>
    <row r="7025" spans="1:13" ht="15" customHeight="1">
      <c r="A7025" t="s">
        <v>212</v>
      </c>
      <c r="B7025">
        <f t="shared" si="434"/>
        <v>33.693134000000001</v>
      </c>
      <c r="C7025">
        <f t="shared" si="435"/>
        <v>-117.855469</v>
      </c>
      <c r="D7025">
        <f t="shared" si="436"/>
        <v>37</v>
      </c>
      <c r="E7025">
        <v>66.498999999999995</v>
      </c>
      <c r="F7025">
        <f t="shared" si="437"/>
        <v>-29.498999999999995</v>
      </c>
      <c r="G7025">
        <v>162.68299999999999</v>
      </c>
      <c r="H7025">
        <v>3.0750000000000002</v>
      </c>
      <c r="I7025">
        <v>1.89</v>
      </c>
      <c r="J7025">
        <v>7</v>
      </c>
      <c r="K7025">
        <v>52</v>
      </c>
      <c r="L7025">
        <v>26</v>
      </c>
      <c r="M7025" s="1">
        <v>9000000000</v>
      </c>
    </row>
    <row r="7026" spans="1:13" ht="15" customHeight="1">
      <c r="A7026" t="s">
        <v>212</v>
      </c>
      <c r="B7026">
        <f t="shared" si="434"/>
        <v>33.693134000000001</v>
      </c>
      <c r="C7026">
        <f t="shared" si="435"/>
        <v>-117.855469</v>
      </c>
      <c r="D7026">
        <f t="shared" si="436"/>
        <v>37</v>
      </c>
      <c r="E7026">
        <v>67.498999999999995</v>
      </c>
      <c r="F7026">
        <f t="shared" si="437"/>
        <v>-30.498999999999995</v>
      </c>
      <c r="G7026">
        <v>42.433</v>
      </c>
      <c r="H7026">
        <v>1.4750000000000001</v>
      </c>
      <c r="I7026">
        <v>3.4820000000000002</v>
      </c>
      <c r="J7026">
        <v>5</v>
      </c>
      <c r="K7026">
        <v>20</v>
      </c>
      <c r="L7026">
        <v>10</v>
      </c>
      <c r="M7026">
        <v>2.5449999999999999</v>
      </c>
    </row>
    <row r="7027" spans="1:13" ht="15" customHeight="1">
      <c r="A7027" t="s">
        <v>212</v>
      </c>
      <c r="B7027">
        <f t="shared" si="434"/>
        <v>33.693134000000001</v>
      </c>
      <c r="C7027">
        <f t="shared" si="435"/>
        <v>-117.855469</v>
      </c>
      <c r="D7027">
        <f t="shared" si="436"/>
        <v>37</v>
      </c>
      <c r="E7027">
        <v>68.498999999999995</v>
      </c>
      <c r="F7027">
        <f t="shared" si="437"/>
        <v>-31.498999999999995</v>
      </c>
      <c r="G7027">
        <v>33.533000000000001</v>
      </c>
      <c r="H7027">
        <v>1.113</v>
      </c>
      <c r="I7027">
        <v>3.32</v>
      </c>
      <c r="J7027">
        <v>5</v>
      </c>
      <c r="K7027">
        <v>16</v>
      </c>
      <c r="L7027">
        <v>8</v>
      </c>
      <c r="M7027">
        <v>1.952</v>
      </c>
    </row>
    <row r="7028" spans="1:13" ht="15" customHeight="1">
      <c r="A7028" t="s">
        <v>212</v>
      </c>
      <c r="B7028">
        <f t="shared" si="434"/>
        <v>33.693134000000001</v>
      </c>
      <c r="C7028">
        <f t="shared" si="435"/>
        <v>-117.855469</v>
      </c>
      <c r="D7028">
        <f t="shared" si="436"/>
        <v>37</v>
      </c>
      <c r="E7028">
        <v>69.498999999999995</v>
      </c>
      <c r="F7028">
        <f t="shared" si="437"/>
        <v>-32.498999999999995</v>
      </c>
      <c r="G7028">
        <v>181.65</v>
      </c>
      <c r="H7028">
        <v>2.7349999999999999</v>
      </c>
      <c r="I7028">
        <v>1.506</v>
      </c>
      <c r="J7028">
        <v>8</v>
      </c>
      <c r="K7028">
        <v>43</v>
      </c>
      <c r="L7028">
        <v>22</v>
      </c>
      <c r="M7028" s="1">
        <v>9000000000</v>
      </c>
    </row>
    <row r="7029" spans="1:13" ht="15" customHeight="1">
      <c r="A7029" t="s">
        <v>212</v>
      </c>
      <c r="B7029">
        <f t="shared" si="434"/>
        <v>33.693134000000001</v>
      </c>
      <c r="C7029">
        <f t="shared" si="435"/>
        <v>-117.855469</v>
      </c>
      <c r="D7029">
        <f t="shared" si="436"/>
        <v>37</v>
      </c>
      <c r="E7029">
        <v>70.498999999999995</v>
      </c>
      <c r="F7029">
        <f t="shared" si="437"/>
        <v>-33.498999999999995</v>
      </c>
      <c r="G7029">
        <v>305.11700000000002</v>
      </c>
      <c r="H7029">
        <v>1.927</v>
      </c>
      <c r="I7029">
        <v>0.63200000000000001</v>
      </c>
      <c r="J7029">
        <v>10</v>
      </c>
      <c r="K7029">
        <v>49</v>
      </c>
      <c r="L7029">
        <v>25</v>
      </c>
      <c r="M7029" s="1">
        <v>9000000000</v>
      </c>
    </row>
    <row r="7030" spans="1:13" ht="15" customHeight="1">
      <c r="A7030" t="s">
        <v>212</v>
      </c>
      <c r="B7030">
        <f t="shared" si="434"/>
        <v>33.693134000000001</v>
      </c>
      <c r="C7030">
        <f t="shared" si="435"/>
        <v>-117.855469</v>
      </c>
      <c r="D7030">
        <f t="shared" si="436"/>
        <v>37</v>
      </c>
      <c r="E7030">
        <v>71.498999999999995</v>
      </c>
      <c r="F7030">
        <f t="shared" si="437"/>
        <v>-34.498999999999995</v>
      </c>
      <c r="G7030">
        <v>243.61699999999999</v>
      </c>
      <c r="H7030">
        <v>2.5819999999999999</v>
      </c>
      <c r="I7030">
        <v>1.06</v>
      </c>
      <c r="J7030">
        <v>9</v>
      </c>
      <c r="K7030">
        <v>47</v>
      </c>
      <c r="L7030">
        <v>24</v>
      </c>
      <c r="M7030" s="1">
        <v>9000000000</v>
      </c>
    </row>
    <row r="7031" spans="1:13" ht="15" customHeight="1">
      <c r="A7031" t="s">
        <v>212</v>
      </c>
      <c r="B7031">
        <f t="shared" si="434"/>
        <v>33.693134000000001</v>
      </c>
      <c r="C7031">
        <f t="shared" si="435"/>
        <v>-117.855469</v>
      </c>
      <c r="D7031">
        <f t="shared" si="436"/>
        <v>37</v>
      </c>
      <c r="E7031">
        <v>72.498999999999995</v>
      </c>
      <c r="F7031">
        <f t="shared" si="437"/>
        <v>-35.498999999999995</v>
      </c>
      <c r="G7031">
        <v>157.18600000000001</v>
      </c>
      <c r="H7031">
        <v>2.7290000000000001</v>
      </c>
      <c r="I7031">
        <v>1.7370000000000001</v>
      </c>
      <c r="J7031">
        <v>8</v>
      </c>
      <c r="K7031">
        <v>38</v>
      </c>
      <c r="L7031">
        <v>19</v>
      </c>
      <c r="M7031" s="1">
        <v>9000000000</v>
      </c>
    </row>
    <row r="7032" spans="1:13" ht="15" customHeight="1">
      <c r="A7032" t="s">
        <v>212</v>
      </c>
      <c r="B7032">
        <f t="shared" si="434"/>
        <v>33.693134000000001</v>
      </c>
      <c r="C7032">
        <f t="shared" si="435"/>
        <v>-117.855469</v>
      </c>
      <c r="D7032">
        <f t="shared" si="436"/>
        <v>37</v>
      </c>
      <c r="E7032">
        <v>73.498999999999995</v>
      </c>
      <c r="F7032">
        <f t="shared" si="437"/>
        <v>-36.498999999999995</v>
      </c>
      <c r="G7032">
        <v>48.832999999999998</v>
      </c>
      <c r="H7032">
        <v>1.865</v>
      </c>
      <c r="I7032">
        <v>3.8279999999999998</v>
      </c>
      <c r="J7032">
        <v>5</v>
      </c>
      <c r="K7032">
        <v>23</v>
      </c>
      <c r="L7032">
        <v>12</v>
      </c>
      <c r="M7032">
        <v>2.9430000000000001</v>
      </c>
    </row>
    <row r="7033" spans="1:13" ht="15" customHeight="1">
      <c r="A7033" t="s">
        <v>212</v>
      </c>
      <c r="B7033">
        <f t="shared" si="434"/>
        <v>33.693134000000001</v>
      </c>
      <c r="C7033">
        <f t="shared" si="435"/>
        <v>-117.855469</v>
      </c>
      <c r="D7033">
        <f t="shared" si="436"/>
        <v>37</v>
      </c>
      <c r="E7033">
        <v>74.498999999999995</v>
      </c>
      <c r="F7033">
        <f t="shared" si="437"/>
        <v>-37.498999999999995</v>
      </c>
      <c r="G7033">
        <v>62.716999999999999</v>
      </c>
      <c r="H7033">
        <v>1.863</v>
      </c>
      <c r="I7033">
        <v>2.9740000000000002</v>
      </c>
      <c r="J7033">
        <v>6</v>
      </c>
      <c r="K7033">
        <v>24</v>
      </c>
      <c r="L7033">
        <v>12</v>
      </c>
      <c r="M7033">
        <v>3.8679999999999999</v>
      </c>
    </row>
    <row r="7034" spans="1:13" ht="15" customHeight="1">
      <c r="A7034" t="s">
        <v>212</v>
      </c>
      <c r="B7034">
        <f t="shared" si="434"/>
        <v>33.693134000000001</v>
      </c>
      <c r="C7034">
        <f t="shared" si="435"/>
        <v>-117.855469</v>
      </c>
      <c r="D7034">
        <f t="shared" si="436"/>
        <v>37</v>
      </c>
      <c r="E7034">
        <v>75.498999999999995</v>
      </c>
      <c r="F7034">
        <f t="shared" si="437"/>
        <v>-38.498999999999995</v>
      </c>
      <c r="G7034">
        <v>31.067</v>
      </c>
      <c r="H7034">
        <v>1.113</v>
      </c>
      <c r="I7034">
        <v>3.5950000000000002</v>
      </c>
      <c r="J7034">
        <v>5</v>
      </c>
      <c r="K7034">
        <v>15</v>
      </c>
      <c r="L7034">
        <v>8</v>
      </c>
      <c r="M7034">
        <v>1.752</v>
      </c>
    </row>
    <row r="7035" spans="1:13" ht="15" customHeight="1">
      <c r="A7035" t="s">
        <v>212</v>
      </c>
      <c r="B7035">
        <f t="shared" si="434"/>
        <v>33.693134000000001</v>
      </c>
      <c r="C7035">
        <f t="shared" si="435"/>
        <v>-117.855469</v>
      </c>
      <c r="D7035">
        <f t="shared" si="436"/>
        <v>37</v>
      </c>
      <c r="E7035">
        <v>76.498999999999995</v>
      </c>
      <c r="F7035">
        <f t="shared" si="437"/>
        <v>-39.498999999999995</v>
      </c>
      <c r="G7035">
        <v>32.433</v>
      </c>
      <c r="H7035">
        <v>0.94499999999999995</v>
      </c>
      <c r="I7035">
        <v>2.9209999999999998</v>
      </c>
      <c r="J7035">
        <v>5</v>
      </c>
      <c r="K7035">
        <v>15</v>
      </c>
      <c r="L7035">
        <v>8</v>
      </c>
      <c r="M7035">
        <v>1.84</v>
      </c>
    </row>
    <row r="7036" spans="1:13" ht="15" customHeight="1">
      <c r="A7036" t="s">
        <v>212</v>
      </c>
      <c r="B7036">
        <f t="shared" si="434"/>
        <v>33.693134000000001</v>
      </c>
      <c r="C7036">
        <f t="shared" si="435"/>
        <v>-117.855469</v>
      </c>
      <c r="D7036">
        <f t="shared" si="436"/>
        <v>37</v>
      </c>
      <c r="E7036">
        <v>77.498999999999995</v>
      </c>
      <c r="F7036">
        <f t="shared" si="437"/>
        <v>-40.498999999999995</v>
      </c>
      <c r="G7036">
        <v>41.033000000000001</v>
      </c>
      <c r="H7036">
        <v>1.768</v>
      </c>
      <c r="I7036">
        <v>4.3150000000000004</v>
      </c>
      <c r="J7036">
        <v>4</v>
      </c>
      <c r="K7036">
        <v>26</v>
      </c>
      <c r="L7036">
        <v>13</v>
      </c>
      <c r="M7036">
        <v>2.411</v>
      </c>
    </row>
    <row r="7037" spans="1:13" ht="15" customHeight="1">
      <c r="A7037" t="s">
        <v>212</v>
      </c>
      <c r="B7037">
        <f t="shared" si="434"/>
        <v>33.693134000000001</v>
      </c>
      <c r="C7037">
        <f t="shared" si="435"/>
        <v>-117.855469</v>
      </c>
      <c r="D7037">
        <f t="shared" si="436"/>
        <v>37</v>
      </c>
      <c r="E7037">
        <v>78.498999999999995</v>
      </c>
      <c r="F7037">
        <f t="shared" si="437"/>
        <v>-41.498999999999995</v>
      </c>
      <c r="G7037">
        <v>50.05</v>
      </c>
      <c r="H7037">
        <v>2.0649999999999999</v>
      </c>
      <c r="I7037">
        <v>4.1260000000000003</v>
      </c>
      <c r="J7037">
        <v>5</v>
      </c>
      <c r="K7037">
        <v>24</v>
      </c>
      <c r="L7037">
        <v>12</v>
      </c>
      <c r="M7037">
        <v>3.0110000000000001</v>
      </c>
    </row>
    <row r="7038" spans="1:13" ht="15" customHeight="1">
      <c r="A7038" t="s">
        <v>212</v>
      </c>
      <c r="B7038">
        <f t="shared" si="434"/>
        <v>33.693134000000001</v>
      </c>
      <c r="C7038">
        <f t="shared" si="435"/>
        <v>-117.855469</v>
      </c>
      <c r="D7038">
        <f t="shared" si="436"/>
        <v>37</v>
      </c>
      <c r="E7038">
        <v>79.498999999999995</v>
      </c>
      <c r="F7038">
        <f t="shared" si="437"/>
        <v>-42.498999999999995</v>
      </c>
      <c r="G7038">
        <v>151.833</v>
      </c>
      <c r="H7038">
        <v>6.38</v>
      </c>
      <c r="I7038">
        <v>4.2030000000000003</v>
      </c>
      <c r="J7038">
        <v>11</v>
      </c>
      <c r="K7038">
        <v>145</v>
      </c>
      <c r="L7038">
        <v>73</v>
      </c>
      <c r="M7038" s="1">
        <v>9000000000</v>
      </c>
    </row>
    <row r="7039" spans="1:13" ht="15" customHeight="1">
      <c r="A7039" t="s">
        <v>212</v>
      </c>
      <c r="B7039">
        <f t="shared" si="434"/>
        <v>33.693134000000001</v>
      </c>
      <c r="C7039">
        <f t="shared" si="435"/>
        <v>-117.855469</v>
      </c>
      <c r="D7039">
        <f t="shared" si="436"/>
        <v>37</v>
      </c>
      <c r="E7039">
        <v>80.498999999999995</v>
      </c>
      <c r="F7039">
        <f t="shared" si="437"/>
        <v>-43.498999999999995</v>
      </c>
      <c r="G7039">
        <v>77.05</v>
      </c>
      <c r="H7039">
        <v>3.4950000000000001</v>
      </c>
      <c r="I7039">
        <v>4.5369999999999999</v>
      </c>
      <c r="J7039">
        <v>5</v>
      </c>
      <c r="K7039">
        <v>37</v>
      </c>
      <c r="L7039">
        <v>19</v>
      </c>
      <c r="M7039">
        <v>4.8010000000000002</v>
      </c>
    </row>
    <row r="7040" spans="1:13" ht="15" customHeight="1">
      <c r="A7040" t="s">
        <v>212</v>
      </c>
      <c r="B7040">
        <f t="shared" si="434"/>
        <v>33.693134000000001</v>
      </c>
      <c r="C7040">
        <f t="shared" si="435"/>
        <v>-117.855469</v>
      </c>
      <c r="D7040">
        <f t="shared" si="436"/>
        <v>37</v>
      </c>
      <c r="E7040">
        <v>81.498999999999995</v>
      </c>
      <c r="F7040">
        <f t="shared" si="437"/>
        <v>-44.498999999999995</v>
      </c>
      <c r="G7040">
        <v>43.85</v>
      </c>
      <c r="H7040">
        <v>1.86</v>
      </c>
      <c r="I7040">
        <v>4.242</v>
      </c>
      <c r="J7040">
        <v>4</v>
      </c>
      <c r="K7040">
        <v>28</v>
      </c>
      <c r="L7040">
        <v>14</v>
      </c>
      <c r="M7040">
        <v>2.585</v>
      </c>
    </row>
    <row r="7041" spans="1:13" ht="15" customHeight="1">
      <c r="A7041" t="s">
        <v>212</v>
      </c>
      <c r="B7041">
        <f t="shared" si="434"/>
        <v>33.693134000000001</v>
      </c>
      <c r="C7041">
        <f t="shared" si="435"/>
        <v>-117.855469</v>
      </c>
      <c r="D7041">
        <f t="shared" si="436"/>
        <v>37</v>
      </c>
      <c r="E7041">
        <v>82.498999999999995</v>
      </c>
      <c r="F7041">
        <f t="shared" si="437"/>
        <v>-45.498999999999995</v>
      </c>
      <c r="G7041">
        <v>38.517000000000003</v>
      </c>
      <c r="H7041">
        <v>1.415</v>
      </c>
      <c r="I7041">
        <v>3.6709999999999998</v>
      </c>
      <c r="J7041">
        <v>5</v>
      </c>
      <c r="K7041">
        <v>18</v>
      </c>
      <c r="L7041">
        <v>9</v>
      </c>
      <c r="M7041">
        <v>2.2280000000000002</v>
      </c>
    </row>
    <row r="7042" spans="1:13" ht="15" customHeight="1">
      <c r="A7042" t="s">
        <v>212</v>
      </c>
      <c r="B7042">
        <f t="shared" ref="B7042:B7105" si="438">VLOOKUP(A7042,XYdata,3,FALSE)</f>
        <v>33.693134000000001</v>
      </c>
      <c r="C7042">
        <f t="shared" ref="C7042:C7105" si="439">VLOOKUP(A7042,XYdata,2,FALSE)</f>
        <v>-117.855469</v>
      </c>
      <c r="D7042">
        <f t="shared" ref="D7042:D7105" si="440">VLOOKUP(A7042,Elevation,2,FALSE)</f>
        <v>37</v>
      </c>
      <c r="E7042">
        <v>83.498999999999995</v>
      </c>
      <c r="F7042">
        <f t="shared" si="437"/>
        <v>-46.498999999999995</v>
      </c>
      <c r="G7042">
        <v>238.77099999999999</v>
      </c>
      <c r="H7042">
        <v>4.8929999999999998</v>
      </c>
      <c r="I7042">
        <v>2.0489999999999999</v>
      </c>
      <c r="J7042">
        <v>8</v>
      </c>
      <c r="K7042">
        <v>57</v>
      </c>
      <c r="L7042">
        <v>29</v>
      </c>
      <c r="M7042" s="1">
        <v>9000000000</v>
      </c>
    </row>
    <row r="7043" spans="1:13" ht="15" customHeight="1">
      <c r="A7043" t="s">
        <v>212</v>
      </c>
      <c r="B7043">
        <f t="shared" si="438"/>
        <v>33.693134000000001</v>
      </c>
      <c r="C7043">
        <f t="shared" si="439"/>
        <v>-117.855469</v>
      </c>
      <c r="D7043">
        <f t="shared" si="440"/>
        <v>37</v>
      </c>
      <c r="E7043">
        <v>84.498999999999995</v>
      </c>
      <c r="F7043">
        <f t="shared" ref="F7043:F7106" si="441">D7043-E7043</f>
        <v>-47.498999999999995</v>
      </c>
      <c r="G7043">
        <v>486.75</v>
      </c>
      <c r="H7043">
        <v>4.1879999999999997</v>
      </c>
      <c r="I7043">
        <v>0.86099999999999999</v>
      </c>
      <c r="J7043">
        <v>10</v>
      </c>
      <c r="K7043">
        <v>78</v>
      </c>
      <c r="L7043">
        <v>39</v>
      </c>
      <c r="M7043" s="1">
        <v>9000000000</v>
      </c>
    </row>
    <row r="7044" spans="1:13" ht="15" customHeight="1">
      <c r="A7044" t="s">
        <v>212</v>
      </c>
      <c r="B7044">
        <f t="shared" si="438"/>
        <v>33.693134000000001</v>
      </c>
      <c r="C7044">
        <f t="shared" si="439"/>
        <v>-117.855469</v>
      </c>
      <c r="D7044">
        <f t="shared" si="440"/>
        <v>37</v>
      </c>
      <c r="E7044">
        <v>85.498999999999995</v>
      </c>
      <c r="F7044">
        <f t="shared" si="441"/>
        <v>-48.498999999999995</v>
      </c>
      <c r="G7044">
        <v>357.16699999999997</v>
      </c>
      <c r="H7044">
        <v>2.6070000000000002</v>
      </c>
      <c r="I7044">
        <v>0.73</v>
      </c>
      <c r="J7044">
        <v>10</v>
      </c>
      <c r="K7044">
        <v>57</v>
      </c>
      <c r="L7044">
        <v>29</v>
      </c>
      <c r="M7044" s="1">
        <v>9000000000</v>
      </c>
    </row>
    <row r="7045" spans="1:13" ht="15" customHeight="1">
      <c r="A7045" t="s">
        <v>212</v>
      </c>
      <c r="B7045">
        <f t="shared" si="438"/>
        <v>33.693134000000001</v>
      </c>
      <c r="C7045">
        <f t="shared" si="439"/>
        <v>-117.855469</v>
      </c>
      <c r="D7045">
        <f t="shared" si="440"/>
        <v>37</v>
      </c>
      <c r="E7045">
        <v>86.498999999999995</v>
      </c>
      <c r="F7045">
        <f t="shared" si="441"/>
        <v>-49.498999999999995</v>
      </c>
      <c r="G7045">
        <v>182.93299999999999</v>
      </c>
      <c r="H7045">
        <v>4.8220000000000001</v>
      </c>
      <c r="I7045">
        <v>2.6360000000000001</v>
      </c>
      <c r="J7045">
        <v>7</v>
      </c>
      <c r="K7045">
        <v>58</v>
      </c>
      <c r="L7045">
        <v>29</v>
      </c>
      <c r="M7045" s="1">
        <v>9000000000</v>
      </c>
    </row>
    <row r="7046" spans="1:13" ht="15" customHeight="1">
      <c r="A7046" t="s">
        <v>212</v>
      </c>
      <c r="B7046">
        <f t="shared" si="438"/>
        <v>33.693134000000001</v>
      </c>
      <c r="C7046">
        <f t="shared" si="439"/>
        <v>-117.855469</v>
      </c>
      <c r="D7046">
        <f t="shared" si="440"/>
        <v>37</v>
      </c>
      <c r="E7046">
        <v>87.498999999999995</v>
      </c>
      <c r="F7046">
        <f t="shared" si="441"/>
        <v>-50.498999999999995</v>
      </c>
      <c r="G7046">
        <v>300.66699999999997</v>
      </c>
      <c r="H7046">
        <v>2.1829999999999998</v>
      </c>
      <c r="I7046">
        <v>0.72599999999999998</v>
      </c>
      <c r="J7046">
        <v>9</v>
      </c>
      <c r="K7046">
        <v>58</v>
      </c>
      <c r="L7046">
        <v>29</v>
      </c>
      <c r="M7046" s="1">
        <v>9000000000</v>
      </c>
    </row>
    <row r="7047" spans="1:13" ht="15" customHeight="1">
      <c r="A7047" t="s">
        <v>212</v>
      </c>
      <c r="B7047">
        <f t="shared" si="438"/>
        <v>33.693134000000001</v>
      </c>
      <c r="C7047">
        <f t="shared" si="439"/>
        <v>-117.855469</v>
      </c>
      <c r="D7047">
        <f t="shared" si="440"/>
        <v>37</v>
      </c>
      <c r="E7047">
        <v>88.498999999999995</v>
      </c>
      <c r="F7047">
        <f t="shared" si="441"/>
        <v>-51.498999999999995</v>
      </c>
      <c r="G7047">
        <v>138.233</v>
      </c>
      <c r="H7047">
        <v>3.6579999999999999</v>
      </c>
      <c r="I7047">
        <v>2.6480000000000001</v>
      </c>
      <c r="J7047">
        <v>7</v>
      </c>
      <c r="K7047">
        <v>44</v>
      </c>
      <c r="L7047">
        <v>22</v>
      </c>
      <c r="M7047" s="1">
        <v>9000000000</v>
      </c>
    </row>
    <row r="7048" spans="1:13" ht="15" customHeight="1">
      <c r="A7048" t="s">
        <v>212</v>
      </c>
      <c r="B7048">
        <f t="shared" si="438"/>
        <v>33.693134000000001</v>
      </c>
      <c r="C7048">
        <f t="shared" si="439"/>
        <v>-117.855469</v>
      </c>
      <c r="D7048">
        <f t="shared" si="440"/>
        <v>37</v>
      </c>
      <c r="E7048">
        <v>89.498999999999995</v>
      </c>
      <c r="F7048">
        <f t="shared" si="441"/>
        <v>-52.498999999999995</v>
      </c>
      <c r="G7048">
        <v>67.417000000000002</v>
      </c>
      <c r="H7048">
        <v>2.9049999999999998</v>
      </c>
      <c r="I7048">
        <v>4.3129999999999997</v>
      </c>
      <c r="J7048">
        <v>5</v>
      </c>
      <c r="K7048">
        <v>32</v>
      </c>
      <c r="L7048">
        <v>16</v>
      </c>
      <c r="M7048">
        <v>4.1180000000000003</v>
      </c>
    </row>
    <row r="7049" spans="1:13" ht="15" customHeight="1">
      <c r="A7049" t="s">
        <v>212</v>
      </c>
      <c r="B7049">
        <f t="shared" si="438"/>
        <v>33.693134000000001</v>
      </c>
      <c r="C7049">
        <f t="shared" si="439"/>
        <v>-117.855469</v>
      </c>
      <c r="D7049">
        <f t="shared" si="440"/>
        <v>37</v>
      </c>
      <c r="E7049">
        <v>90.498999999999995</v>
      </c>
      <c r="F7049">
        <f t="shared" si="441"/>
        <v>-53.498999999999995</v>
      </c>
      <c r="G7049">
        <v>95.283000000000001</v>
      </c>
      <c r="H7049">
        <v>3.7930000000000001</v>
      </c>
      <c r="I7049">
        <v>3.9830000000000001</v>
      </c>
      <c r="J7049">
        <v>5</v>
      </c>
      <c r="K7049">
        <v>46</v>
      </c>
      <c r="L7049">
        <v>23</v>
      </c>
      <c r="M7049">
        <v>5.9740000000000002</v>
      </c>
    </row>
    <row r="7050" spans="1:13" ht="15" customHeight="1">
      <c r="A7050" t="s">
        <v>212</v>
      </c>
      <c r="B7050">
        <f t="shared" si="438"/>
        <v>33.693134000000001</v>
      </c>
      <c r="C7050">
        <f t="shared" si="439"/>
        <v>-117.855469</v>
      </c>
      <c r="D7050">
        <f t="shared" si="440"/>
        <v>37</v>
      </c>
      <c r="E7050">
        <v>91.498999999999995</v>
      </c>
      <c r="F7050">
        <f t="shared" si="441"/>
        <v>-54.498999999999995</v>
      </c>
      <c r="G7050">
        <v>65.716999999999999</v>
      </c>
      <c r="H7050">
        <v>2.81</v>
      </c>
      <c r="I7050">
        <v>4.2770000000000001</v>
      </c>
      <c r="J7050">
        <v>5</v>
      </c>
      <c r="K7050">
        <v>31</v>
      </c>
      <c r="L7050">
        <v>16</v>
      </c>
      <c r="M7050">
        <v>4</v>
      </c>
    </row>
    <row r="7051" spans="1:13" ht="15" customHeight="1">
      <c r="A7051" t="s">
        <v>212</v>
      </c>
      <c r="B7051">
        <f t="shared" si="438"/>
        <v>33.693134000000001</v>
      </c>
      <c r="C7051">
        <f t="shared" si="439"/>
        <v>-117.855469</v>
      </c>
      <c r="D7051">
        <f t="shared" si="440"/>
        <v>37</v>
      </c>
      <c r="E7051">
        <v>92.498999999999995</v>
      </c>
      <c r="F7051">
        <f t="shared" si="441"/>
        <v>-55.498999999999995</v>
      </c>
      <c r="G7051">
        <v>57.183</v>
      </c>
      <c r="H7051">
        <v>2.1970000000000001</v>
      </c>
      <c r="I7051">
        <v>3.8450000000000002</v>
      </c>
      <c r="J7051">
        <v>5</v>
      </c>
      <c r="K7051">
        <v>27</v>
      </c>
      <c r="L7051">
        <v>14</v>
      </c>
      <c r="M7051">
        <v>3.4249999999999998</v>
      </c>
    </row>
    <row r="7052" spans="1:13" ht="15" customHeight="1">
      <c r="A7052" t="s">
        <v>212</v>
      </c>
      <c r="B7052">
        <f t="shared" si="438"/>
        <v>33.693134000000001</v>
      </c>
      <c r="C7052">
        <f t="shared" si="439"/>
        <v>-117.855469</v>
      </c>
      <c r="D7052">
        <f t="shared" si="440"/>
        <v>37</v>
      </c>
      <c r="E7052">
        <v>93.498999999999995</v>
      </c>
      <c r="F7052">
        <f t="shared" si="441"/>
        <v>-56.498999999999995</v>
      </c>
      <c r="G7052">
        <v>76.813999999999993</v>
      </c>
      <c r="H7052">
        <v>2.661</v>
      </c>
      <c r="I7052">
        <v>3.4649999999999999</v>
      </c>
      <c r="J7052">
        <v>6</v>
      </c>
      <c r="K7052">
        <v>29</v>
      </c>
      <c r="L7052">
        <v>15</v>
      </c>
      <c r="M7052">
        <v>4.7329999999999997</v>
      </c>
    </row>
    <row r="7053" spans="1:13" ht="15" customHeight="1">
      <c r="A7053" t="s">
        <v>212</v>
      </c>
      <c r="B7053">
        <f t="shared" si="438"/>
        <v>33.693134000000001</v>
      </c>
      <c r="C7053">
        <f t="shared" si="439"/>
        <v>-117.855469</v>
      </c>
      <c r="D7053">
        <f t="shared" si="440"/>
        <v>37</v>
      </c>
      <c r="E7053">
        <v>94.498999999999995</v>
      </c>
      <c r="F7053">
        <f t="shared" si="441"/>
        <v>-57.498999999999995</v>
      </c>
      <c r="G7053">
        <v>34.283000000000001</v>
      </c>
      <c r="H7053">
        <v>0.93300000000000005</v>
      </c>
      <c r="I7053">
        <v>2.72</v>
      </c>
      <c r="J7053">
        <v>6</v>
      </c>
      <c r="K7053">
        <v>13</v>
      </c>
      <c r="L7053">
        <v>7</v>
      </c>
      <c r="M7053">
        <v>1.895</v>
      </c>
    </row>
    <row r="7054" spans="1:13" ht="15" customHeight="1">
      <c r="A7054" t="s">
        <v>212</v>
      </c>
      <c r="B7054">
        <f t="shared" si="438"/>
        <v>33.693134000000001</v>
      </c>
      <c r="C7054">
        <f t="shared" si="439"/>
        <v>-117.855469</v>
      </c>
      <c r="D7054">
        <f t="shared" si="440"/>
        <v>37</v>
      </c>
      <c r="E7054">
        <v>95.498999999999995</v>
      </c>
      <c r="F7054">
        <f t="shared" si="441"/>
        <v>-58.498999999999995</v>
      </c>
      <c r="G7054">
        <v>32.783000000000001</v>
      </c>
      <c r="H7054">
        <v>0.99199999999999999</v>
      </c>
      <c r="I7054">
        <v>3.02</v>
      </c>
      <c r="J7054">
        <v>5</v>
      </c>
      <c r="K7054">
        <v>16</v>
      </c>
      <c r="L7054">
        <v>8</v>
      </c>
      <c r="M7054">
        <v>1.792</v>
      </c>
    </row>
    <row r="7055" spans="1:13" ht="15" customHeight="1">
      <c r="A7055" t="s">
        <v>212</v>
      </c>
      <c r="B7055">
        <f t="shared" si="438"/>
        <v>33.693134000000001</v>
      </c>
      <c r="C7055">
        <f t="shared" si="439"/>
        <v>-117.855469</v>
      </c>
      <c r="D7055">
        <f t="shared" si="440"/>
        <v>37</v>
      </c>
      <c r="E7055">
        <v>96.498999999999995</v>
      </c>
      <c r="F7055">
        <f t="shared" si="441"/>
        <v>-59.498999999999995</v>
      </c>
      <c r="G7055">
        <v>36.817</v>
      </c>
      <c r="H7055">
        <v>1.0629999999999999</v>
      </c>
      <c r="I7055">
        <v>2.8759999999999999</v>
      </c>
      <c r="J7055">
        <v>6</v>
      </c>
      <c r="K7055">
        <v>14</v>
      </c>
      <c r="L7055">
        <v>7</v>
      </c>
      <c r="M7055">
        <v>2.0640000000000001</v>
      </c>
    </row>
    <row r="7056" spans="1:13" ht="15" customHeight="1">
      <c r="A7056" t="s">
        <v>212</v>
      </c>
      <c r="B7056">
        <f t="shared" si="438"/>
        <v>33.693134000000001</v>
      </c>
      <c r="C7056">
        <f t="shared" si="439"/>
        <v>-117.855469</v>
      </c>
      <c r="D7056">
        <f t="shared" si="440"/>
        <v>37</v>
      </c>
      <c r="E7056">
        <v>97.498999999999995</v>
      </c>
      <c r="F7056">
        <f t="shared" si="441"/>
        <v>-60.498999999999995</v>
      </c>
      <c r="G7056">
        <v>42.966999999999999</v>
      </c>
      <c r="H7056">
        <v>1.5029999999999999</v>
      </c>
      <c r="I7056">
        <v>3.4750000000000001</v>
      </c>
      <c r="J7056">
        <v>5</v>
      </c>
      <c r="K7056">
        <v>21</v>
      </c>
      <c r="L7056">
        <v>11</v>
      </c>
      <c r="M7056">
        <v>2.48</v>
      </c>
    </row>
    <row r="7057" spans="1:13" ht="15" customHeight="1">
      <c r="A7057" t="s">
        <v>212</v>
      </c>
      <c r="B7057">
        <f t="shared" si="438"/>
        <v>33.693134000000001</v>
      </c>
      <c r="C7057">
        <f t="shared" si="439"/>
        <v>-117.855469</v>
      </c>
      <c r="D7057">
        <f t="shared" si="440"/>
        <v>37</v>
      </c>
      <c r="E7057">
        <v>98.498999999999995</v>
      </c>
      <c r="F7057">
        <f t="shared" si="441"/>
        <v>-61.498999999999995</v>
      </c>
      <c r="G7057">
        <v>41.116999999999997</v>
      </c>
      <c r="H7057">
        <v>1.413</v>
      </c>
      <c r="I7057">
        <v>3.3969999999999998</v>
      </c>
      <c r="J7057">
        <v>5</v>
      </c>
      <c r="K7057">
        <v>20</v>
      </c>
      <c r="L7057">
        <v>10</v>
      </c>
      <c r="M7057">
        <v>2.3639999999999999</v>
      </c>
    </row>
    <row r="7058" spans="1:13" ht="15" customHeight="1">
      <c r="A7058" t="s">
        <v>212</v>
      </c>
      <c r="B7058">
        <f t="shared" si="438"/>
        <v>33.693134000000001</v>
      </c>
      <c r="C7058">
        <f t="shared" si="439"/>
        <v>-117.855469</v>
      </c>
      <c r="D7058">
        <f t="shared" si="440"/>
        <v>37</v>
      </c>
      <c r="E7058">
        <v>99.498999999999995</v>
      </c>
      <c r="F7058">
        <f t="shared" si="441"/>
        <v>-62.498999999999995</v>
      </c>
      <c r="G7058">
        <v>33.683</v>
      </c>
      <c r="H7058">
        <v>1.3049999999999999</v>
      </c>
      <c r="I7058">
        <v>3.786</v>
      </c>
      <c r="J7058">
        <v>5</v>
      </c>
      <c r="K7058">
        <v>17</v>
      </c>
      <c r="L7058">
        <v>9</v>
      </c>
      <c r="M7058">
        <v>1.885</v>
      </c>
    </row>
    <row r="7059" spans="1:13" ht="15" customHeight="1">
      <c r="A7059" t="s">
        <v>212</v>
      </c>
      <c r="B7059">
        <f t="shared" si="438"/>
        <v>33.693134000000001</v>
      </c>
      <c r="C7059">
        <f t="shared" si="439"/>
        <v>-117.855469</v>
      </c>
      <c r="D7059">
        <f t="shared" si="440"/>
        <v>37</v>
      </c>
      <c r="E7059">
        <v>100.499</v>
      </c>
      <c r="F7059">
        <f t="shared" si="441"/>
        <v>-63.498999999999995</v>
      </c>
      <c r="G7059">
        <v>32.633000000000003</v>
      </c>
      <c r="H7059">
        <v>1.208</v>
      </c>
      <c r="I7059">
        <v>3.5680000000000001</v>
      </c>
      <c r="J7059">
        <v>5</v>
      </c>
      <c r="K7059">
        <v>16</v>
      </c>
      <c r="L7059">
        <v>8</v>
      </c>
      <c r="M7059">
        <v>1.84</v>
      </c>
    </row>
    <row r="7060" spans="1:13" ht="15" customHeight="1">
      <c r="A7060" t="s">
        <v>212</v>
      </c>
      <c r="B7060">
        <f t="shared" si="438"/>
        <v>33.693134000000001</v>
      </c>
      <c r="C7060">
        <f t="shared" si="439"/>
        <v>-117.855469</v>
      </c>
      <c r="D7060">
        <f t="shared" si="440"/>
        <v>37</v>
      </c>
      <c r="E7060">
        <v>101.499</v>
      </c>
      <c r="F7060">
        <f t="shared" si="441"/>
        <v>-64.498999999999995</v>
      </c>
      <c r="G7060">
        <v>34.299999999999997</v>
      </c>
      <c r="H7060">
        <v>1.0429999999999999</v>
      </c>
      <c r="I7060">
        <v>2.899</v>
      </c>
      <c r="J7060">
        <v>6</v>
      </c>
      <c r="K7060">
        <v>14</v>
      </c>
      <c r="L7060">
        <v>7</v>
      </c>
      <c r="M7060">
        <v>1.9770000000000001</v>
      </c>
    </row>
    <row r="7061" spans="1:13" ht="15" customHeight="1">
      <c r="A7061" t="s">
        <v>212</v>
      </c>
      <c r="B7061">
        <f t="shared" si="438"/>
        <v>33.693134000000001</v>
      </c>
      <c r="C7061">
        <f t="shared" si="439"/>
        <v>-117.855469</v>
      </c>
      <c r="D7061">
        <f t="shared" si="440"/>
        <v>37</v>
      </c>
      <c r="E7061">
        <v>102.499</v>
      </c>
      <c r="F7061">
        <f t="shared" si="441"/>
        <v>-65.498999999999995</v>
      </c>
      <c r="G7061">
        <v>29.25</v>
      </c>
      <c r="H7061">
        <v>1</v>
      </c>
      <c r="I7061">
        <v>3.2170000000000001</v>
      </c>
      <c r="J7061">
        <v>5</v>
      </c>
      <c r="K7061">
        <v>15</v>
      </c>
      <c r="L7061">
        <v>8</v>
      </c>
      <c r="M7061">
        <v>1.6459999999999999</v>
      </c>
    </row>
    <row r="7062" spans="1:13" ht="15" customHeight="1">
      <c r="A7062" t="s">
        <v>212</v>
      </c>
      <c r="B7062">
        <f t="shared" si="438"/>
        <v>33.693134000000001</v>
      </c>
      <c r="C7062">
        <f t="shared" si="439"/>
        <v>-117.855469</v>
      </c>
      <c r="D7062">
        <f t="shared" si="440"/>
        <v>37</v>
      </c>
      <c r="E7062">
        <v>103.499</v>
      </c>
      <c r="F7062">
        <f t="shared" si="441"/>
        <v>-66.498999999999995</v>
      </c>
      <c r="G7062">
        <v>29.016999999999999</v>
      </c>
      <c r="H7062">
        <v>1.0529999999999999</v>
      </c>
      <c r="I7062">
        <v>3.4140000000000001</v>
      </c>
      <c r="J7062">
        <v>5</v>
      </c>
      <c r="K7062">
        <v>15</v>
      </c>
      <c r="L7062">
        <v>8</v>
      </c>
      <c r="M7062">
        <v>1.627</v>
      </c>
    </row>
    <row r="7063" spans="1:13" ht="15" customHeight="1">
      <c r="A7063" t="s">
        <v>212</v>
      </c>
      <c r="B7063">
        <f t="shared" si="438"/>
        <v>33.693134000000001</v>
      </c>
      <c r="C7063">
        <f t="shared" si="439"/>
        <v>-117.855469</v>
      </c>
      <c r="D7063">
        <f t="shared" si="440"/>
        <v>37</v>
      </c>
      <c r="E7063">
        <v>104.499</v>
      </c>
      <c r="F7063">
        <f t="shared" si="441"/>
        <v>-67.498999999999995</v>
      </c>
      <c r="G7063">
        <v>30.556999999999999</v>
      </c>
      <c r="H7063">
        <v>1.21</v>
      </c>
      <c r="I7063">
        <v>3.7850000000000001</v>
      </c>
      <c r="J7063">
        <v>5</v>
      </c>
      <c r="K7063">
        <v>15</v>
      </c>
      <c r="L7063">
        <v>8</v>
      </c>
      <c r="M7063">
        <v>1.6970000000000001</v>
      </c>
    </row>
    <row r="7064" spans="1:13" ht="15" customHeight="1">
      <c r="A7064" t="s">
        <v>212</v>
      </c>
      <c r="B7064">
        <f t="shared" si="438"/>
        <v>33.693134000000001</v>
      </c>
      <c r="C7064">
        <f t="shared" si="439"/>
        <v>-117.855469</v>
      </c>
      <c r="D7064">
        <f t="shared" si="440"/>
        <v>37</v>
      </c>
      <c r="E7064">
        <v>105.499</v>
      </c>
      <c r="F7064">
        <f t="shared" si="441"/>
        <v>-68.498999999999995</v>
      </c>
      <c r="G7064">
        <v>30.567</v>
      </c>
      <c r="H7064">
        <v>1.175</v>
      </c>
      <c r="I7064">
        <v>3.6360000000000001</v>
      </c>
      <c r="J7064">
        <v>5</v>
      </c>
      <c r="K7064">
        <v>15</v>
      </c>
      <c r="L7064">
        <v>8</v>
      </c>
      <c r="M7064">
        <v>1.716</v>
      </c>
    </row>
    <row r="7065" spans="1:13" ht="15" customHeight="1">
      <c r="A7065" t="s">
        <v>212</v>
      </c>
      <c r="B7065">
        <f t="shared" si="438"/>
        <v>33.693134000000001</v>
      </c>
      <c r="C7065">
        <f t="shared" si="439"/>
        <v>-117.855469</v>
      </c>
      <c r="D7065">
        <f t="shared" si="440"/>
        <v>37</v>
      </c>
      <c r="E7065">
        <v>106.499</v>
      </c>
      <c r="F7065">
        <f t="shared" si="441"/>
        <v>-69.498999999999995</v>
      </c>
      <c r="G7065">
        <v>32.866999999999997</v>
      </c>
      <c r="H7065">
        <v>1.2070000000000001</v>
      </c>
      <c r="I7065">
        <v>3.496</v>
      </c>
      <c r="J7065">
        <v>5</v>
      </c>
      <c r="K7065">
        <v>17</v>
      </c>
      <c r="L7065">
        <v>9</v>
      </c>
      <c r="M7065">
        <v>1.859</v>
      </c>
    </row>
    <row r="7066" spans="1:13" ht="15" customHeight="1">
      <c r="A7066" t="s">
        <v>212</v>
      </c>
      <c r="B7066">
        <f t="shared" si="438"/>
        <v>33.693134000000001</v>
      </c>
      <c r="C7066">
        <f t="shared" si="439"/>
        <v>-117.855469</v>
      </c>
      <c r="D7066">
        <f t="shared" si="440"/>
        <v>37</v>
      </c>
      <c r="E7066">
        <v>107.499</v>
      </c>
      <c r="F7066">
        <f t="shared" si="441"/>
        <v>-70.498999999999995</v>
      </c>
      <c r="G7066">
        <v>31.983000000000001</v>
      </c>
      <c r="H7066">
        <v>1.327</v>
      </c>
      <c r="I7066">
        <v>3.9660000000000002</v>
      </c>
      <c r="J7066">
        <v>4</v>
      </c>
      <c r="K7066">
        <v>21</v>
      </c>
      <c r="L7066">
        <v>11</v>
      </c>
      <c r="M7066">
        <v>1.7829999999999999</v>
      </c>
    </row>
    <row r="7067" spans="1:13" ht="15" customHeight="1">
      <c r="A7067" t="s">
        <v>212</v>
      </c>
      <c r="B7067">
        <f t="shared" si="438"/>
        <v>33.693134000000001</v>
      </c>
      <c r="C7067">
        <f t="shared" si="439"/>
        <v>-117.855469</v>
      </c>
      <c r="D7067">
        <f t="shared" si="440"/>
        <v>37</v>
      </c>
      <c r="E7067">
        <v>108.499</v>
      </c>
      <c r="F7067">
        <f t="shared" si="441"/>
        <v>-71.498999999999995</v>
      </c>
      <c r="G7067">
        <v>30.033000000000001</v>
      </c>
      <c r="H7067">
        <v>1.2350000000000001</v>
      </c>
      <c r="I7067">
        <v>3.8959999999999999</v>
      </c>
      <c r="J7067">
        <v>4</v>
      </c>
      <c r="K7067">
        <v>20</v>
      </c>
      <c r="L7067">
        <v>10</v>
      </c>
      <c r="M7067">
        <v>1.663</v>
      </c>
    </row>
    <row r="7068" spans="1:13" ht="15" customHeight="1">
      <c r="A7068" t="s">
        <v>212</v>
      </c>
      <c r="B7068">
        <f t="shared" si="438"/>
        <v>33.693134000000001</v>
      </c>
      <c r="C7068">
        <f t="shared" si="439"/>
        <v>-117.855469</v>
      </c>
      <c r="D7068">
        <f t="shared" si="440"/>
        <v>37</v>
      </c>
      <c r="E7068">
        <v>109.499</v>
      </c>
      <c r="F7068">
        <f t="shared" si="441"/>
        <v>-72.498999999999995</v>
      </c>
      <c r="G7068">
        <v>31.382999999999999</v>
      </c>
      <c r="H7068">
        <v>1.3480000000000001</v>
      </c>
      <c r="I7068">
        <v>4.0979999999999999</v>
      </c>
      <c r="J7068">
        <v>4</v>
      </c>
      <c r="K7068">
        <v>21</v>
      </c>
      <c r="L7068">
        <v>11</v>
      </c>
      <c r="M7068">
        <v>1.738</v>
      </c>
    </row>
    <row r="7069" spans="1:13" ht="15" customHeight="1">
      <c r="A7069" t="s">
        <v>212</v>
      </c>
      <c r="B7069">
        <f t="shared" si="438"/>
        <v>33.693134000000001</v>
      </c>
      <c r="C7069">
        <f t="shared" si="439"/>
        <v>-117.855469</v>
      </c>
      <c r="D7069">
        <f t="shared" si="440"/>
        <v>37</v>
      </c>
      <c r="E7069">
        <v>110.499</v>
      </c>
      <c r="F7069">
        <f t="shared" si="441"/>
        <v>-73.498999999999995</v>
      </c>
      <c r="G7069">
        <v>31.85</v>
      </c>
      <c r="H7069">
        <v>1.3680000000000001</v>
      </c>
      <c r="I7069">
        <v>4.0949999999999998</v>
      </c>
      <c r="J7069">
        <v>4</v>
      </c>
      <c r="K7069">
        <v>21</v>
      </c>
      <c r="L7069">
        <v>11</v>
      </c>
      <c r="M7069">
        <v>1.7689999999999999</v>
      </c>
    </row>
    <row r="7070" spans="1:13" ht="15" customHeight="1">
      <c r="A7070" t="s">
        <v>212</v>
      </c>
      <c r="B7070">
        <f t="shared" si="438"/>
        <v>33.693134000000001</v>
      </c>
      <c r="C7070">
        <f t="shared" si="439"/>
        <v>-117.855469</v>
      </c>
      <c r="D7070">
        <f t="shared" si="440"/>
        <v>37</v>
      </c>
      <c r="E7070">
        <v>111.499</v>
      </c>
      <c r="F7070">
        <f t="shared" si="441"/>
        <v>-74.498999999999995</v>
      </c>
      <c r="G7070">
        <v>31.132999999999999</v>
      </c>
      <c r="H7070">
        <v>1.165</v>
      </c>
      <c r="I7070">
        <v>3.532</v>
      </c>
      <c r="J7070">
        <v>5</v>
      </c>
      <c r="K7070">
        <v>16</v>
      </c>
      <c r="L7070">
        <v>8</v>
      </c>
      <c r="M7070">
        <v>1.736</v>
      </c>
    </row>
    <row r="7071" spans="1:13" ht="15" customHeight="1">
      <c r="A7071" t="s">
        <v>212</v>
      </c>
      <c r="B7071">
        <f t="shared" si="438"/>
        <v>33.693134000000001</v>
      </c>
      <c r="C7071">
        <f t="shared" si="439"/>
        <v>-117.855469</v>
      </c>
      <c r="D7071">
        <f t="shared" si="440"/>
        <v>37</v>
      </c>
      <c r="E7071">
        <v>112.499</v>
      </c>
      <c r="F7071">
        <f t="shared" si="441"/>
        <v>-75.498999999999995</v>
      </c>
      <c r="G7071">
        <v>29.882999999999999</v>
      </c>
      <c r="H7071">
        <v>1.2549999999999999</v>
      </c>
      <c r="I7071">
        <v>3.9470000000000001</v>
      </c>
      <c r="J7071">
        <v>4</v>
      </c>
      <c r="K7071">
        <v>20</v>
      </c>
      <c r="L7071">
        <v>10</v>
      </c>
      <c r="M7071">
        <v>1.653</v>
      </c>
    </row>
    <row r="7072" spans="1:13" ht="15" customHeight="1">
      <c r="A7072" t="s">
        <v>212</v>
      </c>
      <c r="B7072">
        <f t="shared" si="438"/>
        <v>33.693134000000001</v>
      </c>
      <c r="C7072">
        <f t="shared" si="439"/>
        <v>-117.855469</v>
      </c>
      <c r="D7072">
        <f t="shared" si="440"/>
        <v>37</v>
      </c>
      <c r="E7072">
        <v>113.499</v>
      </c>
      <c r="F7072">
        <f t="shared" si="441"/>
        <v>-76.498999999999995</v>
      </c>
      <c r="G7072">
        <v>36.933</v>
      </c>
      <c r="H7072">
        <v>1.2869999999999999</v>
      </c>
      <c r="I7072">
        <v>3.282</v>
      </c>
      <c r="J7072">
        <v>5</v>
      </c>
      <c r="K7072">
        <v>19</v>
      </c>
      <c r="L7072">
        <v>10</v>
      </c>
      <c r="M7072">
        <v>2.1419999999999999</v>
      </c>
    </row>
    <row r="7073" spans="1:13" ht="15" customHeight="1">
      <c r="A7073" t="s">
        <v>212</v>
      </c>
      <c r="B7073">
        <f t="shared" si="438"/>
        <v>33.693134000000001</v>
      </c>
      <c r="C7073">
        <f t="shared" si="439"/>
        <v>-117.855469</v>
      </c>
      <c r="D7073">
        <f t="shared" si="440"/>
        <v>37</v>
      </c>
      <c r="E7073">
        <v>114.499</v>
      </c>
      <c r="F7073">
        <f t="shared" si="441"/>
        <v>-77.498999999999995</v>
      </c>
      <c r="G7073">
        <v>31.986000000000001</v>
      </c>
      <c r="H7073">
        <v>0.71299999999999997</v>
      </c>
      <c r="I7073">
        <v>2.048</v>
      </c>
      <c r="J7073">
        <v>6</v>
      </c>
      <c r="K7073">
        <v>13</v>
      </c>
      <c r="L7073">
        <v>7</v>
      </c>
      <c r="M7073">
        <v>1.845</v>
      </c>
    </row>
    <row r="7074" spans="1:13" ht="15" customHeight="1">
      <c r="A7074" t="s">
        <v>212</v>
      </c>
      <c r="B7074">
        <f t="shared" si="438"/>
        <v>33.693134000000001</v>
      </c>
      <c r="C7074">
        <f t="shared" si="439"/>
        <v>-117.855469</v>
      </c>
      <c r="D7074">
        <f t="shared" si="440"/>
        <v>37</v>
      </c>
      <c r="E7074">
        <v>115.499</v>
      </c>
      <c r="F7074">
        <f t="shared" si="441"/>
        <v>-78.498999999999995</v>
      </c>
      <c r="G7074">
        <v>28.25</v>
      </c>
      <c r="H7074">
        <v>0.49199999999999999</v>
      </c>
      <c r="I7074">
        <v>1.5569999999999999</v>
      </c>
      <c r="J7074">
        <v>6</v>
      </c>
      <c r="K7074">
        <v>12</v>
      </c>
      <c r="L7074">
        <v>6</v>
      </c>
      <c r="M7074">
        <v>1.6259999999999999</v>
      </c>
    </row>
    <row r="7075" spans="1:13" ht="15" customHeight="1">
      <c r="A7075" t="s">
        <v>212</v>
      </c>
      <c r="B7075">
        <f t="shared" si="438"/>
        <v>33.693134000000001</v>
      </c>
      <c r="C7075">
        <f t="shared" si="439"/>
        <v>-117.855469</v>
      </c>
      <c r="D7075">
        <f t="shared" si="440"/>
        <v>37</v>
      </c>
      <c r="E7075">
        <v>116.499</v>
      </c>
      <c r="F7075">
        <f t="shared" si="441"/>
        <v>-79.498999999999995</v>
      </c>
      <c r="G7075">
        <v>30.382999999999999</v>
      </c>
      <c r="H7075">
        <v>0.81</v>
      </c>
      <c r="I7075">
        <v>2.419</v>
      </c>
      <c r="J7075">
        <v>6</v>
      </c>
      <c r="K7075">
        <v>13</v>
      </c>
      <c r="L7075">
        <v>7</v>
      </c>
      <c r="M7075">
        <v>1.748</v>
      </c>
    </row>
    <row r="7076" spans="1:13" ht="15" customHeight="1">
      <c r="A7076" t="s">
        <v>212</v>
      </c>
      <c r="B7076">
        <f t="shared" si="438"/>
        <v>33.693134000000001</v>
      </c>
      <c r="C7076">
        <f t="shared" si="439"/>
        <v>-117.855469</v>
      </c>
      <c r="D7076">
        <f t="shared" si="440"/>
        <v>37</v>
      </c>
      <c r="E7076">
        <v>117.498</v>
      </c>
      <c r="F7076">
        <f t="shared" si="441"/>
        <v>-80.498000000000005</v>
      </c>
      <c r="G7076">
        <v>29.55</v>
      </c>
      <c r="H7076">
        <v>0.64300000000000002</v>
      </c>
      <c r="I7076">
        <v>1.96</v>
      </c>
      <c r="J7076">
        <v>6</v>
      </c>
      <c r="K7076">
        <v>13</v>
      </c>
      <c r="L7076">
        <v>7</v>
      </c>
      <c r="M7076">
        <v>1.6990000000000001</v>
      </c>
    </row>
    <row r="7077" spans="1:13" ht="15" customHeight="1">
      <c r="A7077" t="s">
        <v>212</v>
      </c>
      <c r="B7077">
        <f t="shared" si="438"/>
        <v>33.693134000000001</v>
      </c>
      <c r="C7077">
        <f t="shared" si="439"/>
        <v>-117.855469</v>
      </c>
      <c r="D7077">
        <f t="shared" si="440"/>
        <v>37</v>
      </c>
      <c r="E7077">
        <v>118.498</v>
      </c>
      <c r="F7077">
        <f t="shared" si="441"/>
        <v>-81.498000000000005</v>
      </c>
      <c r="G7077">
        <v>31.266999999999999</v>
      </c>
      <c r="H7077">
        <v>0.6</v>
      </c>
      <c r="I7077">
        <v>1.728</v>
      </c>
      <c r="J7077">
        <v>6</v>
      </c>
      <c r="K7077">
        <v>13</v>
      </c>
      <c r="L7077">
        <v>7</v>
      </c>
      <c r="M7077">
        <v>1.8220000000000001</v>
      </c>
    </row>
    <row r="7078" spans="1:13" ht="15" customHeight="1">
      <c r="A7078" t="s">
        <v>212</v>
      </c>
      <c r="B7078">
        <f t="shared" si="438"/>
        <v>33.693134000000001</v>
      </c>
      <c r="C7078">
        <f t="shared" si="439"/>
        <v>-117.855469</v>
      </c>
      <c r="D7078">
        <f t="shared" si="440"/>
        <v>37</v>
      </c>
      <c r="E7078">
        <v>119.498</v>
      </c>
      <c r="F7078">
        <f t="shared" si="441"/>
        <v>-82.498000000000005</v>
      </c>
      <c r="G7078">
        <v>34.683</v>
      </c>
      <c r="H7078">
        <v>0.73799999999999999</v>
      </c>
      <c r="I7078">
        <v>1.9359999999999999</v>
      </c>
      <c r="J7078">
        <v>6</v>
      </c>
      <c r="K7078">
        <v>15</v>
      </c>
      <c r="L7078">
        <v>8</v>
      </c>
      <c r="M7078">
        <v>2.0459999999999998</v>
      </c>
    </row>
    <row r="7079" spans="1:13" ht="15" customHeight="1">
      <c r="A7079" t="s">
        <v>212</v>
      </c>
      <c r="B7079">
        <f t="shared" si="438"/>
        <v>33.693134000000001</v>
      </c>
      <c r="C7079">
        <f t="shared" si="439"/>
        <v>-117.855469</v>
      </c>
      <c r="D7079">
        <f t="shared" si="440"/>
        <v>37</v>
      </c>
      <c r="E7079">
        <v>120.498</v>
      </c>
      <c r="F7079">
        <f t="shared" si="441"/>
        <v>-83.498000000000005</v>
      </c>
      <c r="G7079">
        <v>36.366999999999997</v>
      </c>
      <c r="H7079">
        <v>1.08</v>
      </c>
      <c r="I7079">
        <v>2.7250000000000001</v>
      </c>
      <c r="J7079">
        <v>6</v>
      </c>
      <c r="K7079">
        <v>15</v>
      </c>
      <c r="L7079">
        <v>8</v>
      </c>
      <c r="M7079">
        <v>2.141</v>
      </c>
    </row>
    <row r="7080" spans="1:13" ht="15" customHeight="1">
      <c r="A7080" t="s">
        <v>212</v>
      </c>
      <c r="B7080">
        <f t="shared" si="438"/>
        <v>33.693134000000001</v>
      </c>
      <c r="C7080">
        <f t="shared" si="439"/>
        <v>-117.855469</v>
      </c>
      <c r="D7080">
        <f t="shared" si="440"/>
        <v>37</v>
      </c>
      <c r="E7080">
        <v>121.498</v>
      </c>
      <c r="F7080">
        <f t="shared" si="441"/>
        <v>-84.498000000000005</v>
      </c>
      <c r="G7080">
        <v>36.116999999999997</v>
      </c>
      <c r="H7080">
        <v>1.018</v>
      </c>
      <c r="I7080">
        <v>2.5649999999999999</v>
      </c>
      <c r="J7080">
        <v>6</v>
      </c>
      <c r="K7080">
        <v>15</v>
      </c>
      <c r="L7080">
        <v>8</v>
      </c>
      <c r="M7080">
        <v>2.1419999999999999</v>
      </c>
    </row>
    <row r="7081" spans="1:13" ht="15" customHeight="1">
      <c r="A7081" t="s">
        <v>212</v>
      </c>
      <c r="B7081">
        <f t="shared" si="438"/>
        <v>33.693134000000001</v>
      </c>
      <c r="C7081">
        <f t="shared" si="439"/>
        <v>-117.855469</v>
      </c>
      <c r="D7081">
        <f t="shared" si="440"/>
        <v>37</v>
      </c>
      <c r="E7081">
        <v>122.498</v>
      </c>
      <c r="F7081">
        <f t="shared" si="441"/>
        <v>-85.498000000000005</v>
      </c>
      <c r="G7081">
        <v>36.75</v>
      </c>
      <c r="H7081">
        <v>1.028</v>
      </c>
      <c r="I7081">
        <v>2.5499999999999998</v>
      </c>
      <c r="J7081">
        <v>6</v>
      </c>
      <c r="K7081">
        <v>15</v>
      </c>
      <c r="L7081">
        <v>8</v>
      </c>
      <c r="M7081">
        <v>2.1800000000000002</v>
      </c>
    </row>
    <row r="7082" spans="1:13" ht="15" customHeight="1">
      <c r="A7082" t="s">
        <v>212</v>
      </c>
      <c r="B7082">
        <f t="shared" si="438"/>
        <v>33.693134000000001</v>
      </c>
      <c r="C7082">
        <f t="shared" si="439"/>
        <v>-117.855469</v>
      </c>
      <c r="D7082">
        <f t="shared" si="440"/>
        <v>37</v>
      </c>
      <c r="E7082">
        <v>123.498</v>
      </c>
      <c r="F7082">
        <f t="shared" si="441"/>
        <v>-86.498000000000005</v>
      </c>
      <c r="G7082">
        <v>37.667000000000002</v>
      </c>
      <c r="H7082">
        <v>0.99199999999999999</v>
      </c>
      <c r="I7082">
        <v>2.395</v>
      </c>
      <c r="J7082">
        <v>6</v>
      </c>
      <c r="K7082">
        <v>16</v>
      </c>
      <c r="L7082">
        <v>8</v>
      </c>
      <c r="M7082">
        <v>2.2469999999999999</v>
      </c>
    </row>
    <row r="7083" spans="1:13" ht="15" customHeight="1">
      <c r="A7083" t="s">
        <v>212</v>
      </c>
      <c r="B7083">
        <f t="shared" si="438"/>
        <v>33.693134000000001</v>
      </c>
      <c r="C7083">
        <f t="shared" si="439"/>
        <v>-117.855469</v>
      </c>
      <c r="D7083">
        <f t="shared" si="440"/>
        <v>37</v>
      </c>
      <c r="E7083">
        <v>124.498</v>
      </c>
      <c r="F7083">
        <f t="shared" si="441"/>
        <v>-87.498000000000005</v>
      </c>
      <c r="G7083">
        <v>36.549999999999997</v>
      </c>
      <c r="H7083">
        <v>0.93700000000000006</v>
      </c>
      <c r="I7083">
        <v>2.3109999999999999</v>
      </c>
      <c r="J7083">
        <v>6</v>
      </c>
      <c r="K7083">
        <v>16</v>
      </c>
      <c r="L7083">
        <v>8</v>
      </c>
      <c r="M7083">
        <v>2.1850000000000001</v>
      </c>
    </row>
    <row r="7084" spans="1:13" ht="15" customHeight="1">
      <c r="A7084" t="s">
        <v>212</v>
      </c>
      <c r="B7084">
        <f t="shared" si="438"/>
        <v>33.693134000000001</v>
      </c>
      <c r="C7084">
        <f t="shared" si="439"/>
        <v>-117.855469</v>
      </c>
      <c r="D7084">
        <f t="shared" si="440"/>
        <v>37</v>
      </c>
      <c r="E7084">
        <v>125.498</v>
      </c>
      <c r="F7084">
        <f t="shared" si="441"/>
        <v>-88.498000000000005</v>
      </c>
      <c r="G7084">
        <v>37.042999999999999</v>
      </c>
      <c r="H7084">
        <v>0.97599999999999998</v>
      </c>
      <c r="I7084">
        <v>2.3719999999999999</v>
      </c>
      <c r="J7084">
        <v>6</v>
      </c>
      <c r="K7084">
        <v>16</v>
      </c>
      <c r="L7084">
        <v>8</v>
      </c>
      <c r="M7084">
        <v>2.2210000000000001</v>
      </c>
    </row>
    <row r="7085" spans="1:13" ht="15" customHeight="1">
      <c r="A7085" t="s">
        <v>212</v>
      </c>
      <c r="B7085">
        <f t="shared" si="438"/>
        <v>33.693134000000001</v>
      </c>
      <c r="C7085">
        <f t="shared" si="439"/>
        <v>-117.855469</v>
      </c>
      <c r="D7085">
        <f t="shared" si="440"/>
        <v>37</v>
      </c>
      <c r="E7085">
        <v>126.498</v>
      </c>
      <c r="F7085">
        <f t="shared" si="441"/>
        <v>-89.498000000000005</v>
      </c>
      <c r="G7085">
        <v>38.533000000000001</v>
      </c>
      <c r="H7085">
        <v>1.032</v>
      </c>
      <c r="I7085">
        <v>2.4340000000000002</v>
      </c>
      <c r="J7085">
        <v>6</v>
      </c>
      <c r="K7085">
        <v>16</v>
      </c>
      <c r="L7085">
        <v>8</v>
      </c>
      <c r="M7085">
        <v>2.2999999999999998</v>
      </c>
    </row>
    <row r="7086" spans="1:13" ht="15" customHeight="1">
      <c r="A7086" t="s">
        <v>212</v>
      </c>
      <c r="B7086">
        <f t="shared" si="438"/>
        <v>33.693134000000001</v>
      </c>
      <c r="C7086">
        <f t="shared" si="439"/>
        <v>-117.855469</v>
      </c>
      <c r="D7086">
        <f t="shared" si="440"/>
        <v>37</v>
      </c>
      <c r="E7086">
        <v>127.498</v>
      </c>
      <c r="F7086">
        <f t="shared" si="441"/>
        <v>-90.498000000000005</v>
      </c>
      <c r="G7086">
        <v>35</v>
      </c>
      <c r="H7086">
        <v>0.98199999999999998</v>
      </c>
      <c r="I7086">
        <v>2.552</v>
      </c>
      <c r="J7086">
        <v>6</v>
      </c>
      <c r="K7086">
        <v>15</v>
      </c>
      <c r="L7086">
        <v>8</v>
      </c>
      <c r="M7086">
        <v>2.0339999999999998</v>
      </c>
    </row>
    <row r="7087" spans="1:13" ht="15" customHeight="1">
      <c r="A7087" t="s">
        <v>212</v>
      </c>
      <c r="B7087">
        <f t="shared" si="438"/>
        <v>33.693134000000001</v>
      </c>
      <c r="C7087">
        <f t="shared" si="439"/>
        <v>-117.855469</v>
      </c>
      <c r="D7087">
        <f t="shared" si="440"/>
        <v>37</v>
      </c>
      <c r="E7087">
        <v>128.49799999999999</v>
      </c>
      <c r="F7087">
        <f t="shared" si="441"/>
        <v>-91.49799999999999</v>
      </c>
      <c r="G7087">
        <v>26.516999999999999</v>
      </c>
      <c r="H7087">
        <v>0.59299999999999997</v>
      </c>
      <c r="I7087">
        <v>1.9610000000000001</v>
      </c>
      <c r="J7087">
        <v>6</v>
      </c>
      <c r="K7087">
        <v>12</v>
      </c>
      <c r="L7087">
        <v>6</v>
      </c>
      <c r="M7087">
        <v>1.4830000000000001</v>
      </c>
    </row>
    <row r="7088" spans="1:13" ht="15" customHeight="1">
      <c r="A7088" t="s">
        <v>212</v>
      </c>
      <c r="B7088">
        <f t="shared" si="438"/>
        <v>33.693134000000001</v>
      </c>
      <c r="C7088">
        <f t="shared" si="439"/>
        <v>-117.855469</v>
      </c>
      <c r="D7088">
        <f t="shared" si="440"/>
        <v>37</v>
      </c>
      <c r="E7088">
        <v>129.49799999999999</v>
      </c>
      <c r="F7088">
        <f t="shared" si="441"/>
        <v>-92.49799999999999</v>
      </c>
      <c r="G7088">
        <v>28.882999999999999</v>
      </c>
      <c r="H7088">
        <v>0.65700000000000003</v>
      </c>
      <c r="I7088">
        <v>2.0110000000000001</v>
      </c>
      <c r="J7088">
        <v>6</v>
      </c>
      <c r="K7088">
        <v>13</v>
      </c>
      <c r="L7088">
        <v>7</v>
      </c>
      <c r="M7088">
        <v>1.6379999999999999</v>
      </c>
    </row>
    <row r="7089" spans="1:13" ht="15" customHeight="1">
      <c r="A7089" t="s">
        <v>212</v>
      </c>
      <c r="B7089">
        <f t="shared" si="438"/>
        <v>33.693134000000001</v>
      </c>
      <c r="C7089">
        <f t="shared" si="439"/>
        <v>-117.855469</v>
      </c>
      <c r="D7089">
        <f t="shared" si="440"/>
        <v>37</v>
      </c>
      <c r="E7089">
        <v>130.49799999999999</v>
      </c>
      <c r="F7089">
        <f t="shared" si="441"/>
        <v>-93.49799999999999</v>
      </c>
      <c r="G7089">
        <v>51.6</v>
      </c>
      <c r="H7089">
        <v>1.53</v>
      </c>
      <c r="I7089">
        <v>2.762</v>
      </c>
      <c r="J7089">
        <v>6</v>
      </c>
      <c r="K7089">
        <v>21</v>
      </c>
      <c r="L7089">
        <v>11</v>
      </c>
      <c r="M7089">
        <v>3.1509999999999998</v>
      </c>
    </row>
    <row r="7090" spans="1:13" ht="15" customHeight="1">
      <c r="A7090" t="s">
        <v>73</v>
      </c>
      <c r="B7090">
        <f t="shared" si="438"/>
        <v>33.695031999999998</v>
      </c>
      <c r="C7090">
        <f t="shared" si="439"/>
        <v>-117.85844899999999</v>
      </c>
      <c r="D7090">
        <f t="shared" si="440"/>
        <v>37</v>
      </c>
      <c r="E7090">
        <v>0.5</v>
      </c>
      <c r="F7090">
        <f t="shared" si="441"/>
        <v>36.5</v>
      </c>
      <c r="G7090">
        <v>1.8</v>
      </c>
      <c r="H7090">
        <v>2.1999999999999999E-2</v>
      </c>
      <c r="I7090">
        <v>1.226</v>
      </c>
      <c r="J7090">
        <v>1</v>
      </c>
      <c r="K7090">
        <v>1</v>
      </c>
      <c r="L7090">
        <v>2</v>
      </c>
      <c r="M7090">
        <v>0.11600000000000001</v>
      </c>
    </row>
    <row r="7091" spans="1:13" ht="15" customHeight="1">
      <c r="A7091" t="s">
        <v>73</v>
      </c>
      <c r="B7091">
        <f t="shared" si="438"/>
        <v>33.695031999999998</v>
      </c>
      <c r="C7091">
        <f t="shared" si="439"/>
        <v>-117.85844899999999</v>
      </c>
      <c r="D7091">
        <f t="shared" si="440"/>
        <v>37</v>
      </c>
      <c r="E7091">
        <v>1.5</v>
      </c>
      <c r="F7091">
        <f t="shared" si="441"/>
        <v>35.5</v>
      </c>
      <c r="G7091">
        <v>25.933</v>
      </c>
      <c r="H7091">
        <v>1.012</v>
      </c>
      <c r="I7091">
        <v>3.899</v>
      </c>
      <c r="J7091">
        <v>4</v>
      </c>
      <c r="K7091">
        <v>17</v>
      </c>
      <c r="L7091">
        <v>26</v>
      </c>
      <c r="M7091">
        <v>1.7250000000000001</v>
      </c>
    </row>
    <row r="7092" spans="1:13" ht="15" customHeight="1">
      <c r="A7092" t="s">
        <v>73</v>
      </c>
      <c r="B7092">
        <f t="shared" si="438"/>
        <v>33.695031999999998</v>
      </c>
      <c r="C7092">
        <f t="shared" si="439"/>
        <v>-117.85844899999999</v>
      </c>
      <c r="D7092">
        <f t="shared" si="440"/>
        <v>37</v>
      </c>
      <c r="E7092">
        <v>2.5</v>
      </c>
      <c r="F7092">
        <f t="shared" si="441"/>
        <v>34.5</v>
      </c>
      <c r="G7092">
        <v>13.9</v>
      </c>
      <c r="H7092">
        <v>0.623</v>
      </c>
      <c r="I7092">
        <v>4.4790000000000001</v>
      </c>
      <c r="J7092">
        <v>3</v>
      </c>
      <c r="K7092">
        <v>13</v>
      </c>
      <c r="L7092">
        <v>20</v>
      </c>
      <c r="M7092">
        <v>0.91800000000000004</v>
      </c>
    </row>
    <row r="7093" spans="1:13" ht="15" customHeight="1">
      <c r="A7093" t="s">
        <v>73</v>
      </c>
      <c r="B7093">
        <f t="shared" si="438"/>
        <v>33.695031999999998</v>
      </c>
      <c r="C7093">
        <f t="shared" si="439"/>
        <v>-117.85844899999999</v>
      </c>
      <c r="D7093">
        <f t="shared" si="440"/>
        <v>37</v>
      </c>
      <c r="E7093">
        <v>3.5</v>
      </c>
      <c r="F7093">
        <f t="shared" si="441"/>
        <v>33.5</v>
      </c>
      <c r="G7093">
        <v>11.583</v>
      </c>
      <c r="H7093">
        <v>0.48199999999999998</v>
      </c>
      <c r="I7093">
        <v>4.1459999999999999</v>
      </c>
      <c r="J7093">
        <v>3</v>
      </c>
      <c r="K7093">
        <v>11</v>
      </c>
      <c r="L7093">
        <v>17</v>
      </c>
      <c r="M7093">
        <v>0.76100000000000001</v>
      </c>
    </row>
    <row r="7094" spans="1:13" ht="15" customHeight="1">
      <c r="A7094" t="s">
        <v>73</v>
      </c>
      <c r="B7094">
        <f t="shared" si="438"/>
        <v>33.695031999999998</v>
      </c>
      <c r="C7094">
        <f t="shared" si="439"/>
        <v>-117.85844899999999</v>
      </c>
      <c r="D7094">
        <f t="shared" si="440"/>
        <v>37</v>
      </c>
      <c r="E7094">
        <v>4.5</v>
      </c>
      <c r="F7094">
        <f t="shared" si="441"/>
        <v>32.5</v>
      </c>
      <c r="G7094">
        <v>9.5830000000000002</v>
      </c>
      <c r="H7094">
        <v>0.36799999999999999</v>
      </c>
      <c r="I7094">
        <v>3.843</v>
      </c>
      <c r="J7094">
        <v>3</v>
      </c>
      <c r="K7094">
        <v>9</v>
      </c>
      <c r="L7094">
        <v>14</v>
      </c>
      <c r="M7094">
        <v>0.621</v>
      </c>
    </row>
    <row r="7095" spans="1:13" ht="15" customHeight="1">
      <c r="A7095" t="s">
        <v>73</v>
      </c>
      <c r="B7095">
        <f t="shared" si="438"/>
        <v>33.695031999999998</v>
      </c>
      <c r="C7095">
        <f t="shared" si="439"/>
        <v>-117.85844899999999</v>
      </c>
      <c r="D7095">
        <f t="shared" si="440"/>
        <v>37</v>
      </c>
      <c r="E7095">
        <v>5.5</v>
      </c>
      <c r="F7095">
        <f t="shared" si="441"/>
        <v>31.5</v>
      </c>
      <c r="G7095">
        <v>7.05</v>
      </c>
      <c r="H7095">
        <v>0.21199999999999999</v>
      </c>
      <c r="I7095">
        <v>3.0089999999999999</v>
      </c>
      <c r="J7095">
        <v>3</v>
      </c>
      <c r="K7095">
        <v>7</v>
      </c>
      <c r="L7095">
        <v>11</v>
      </c>
      <c r="M7095">
        <v>0.44700000000000001</v>
      </c>
    </row>
    <row r="7096" spans="1:13" ht="15" customHeight="1">
      <c r="A7096" t="s">
        <v>73</v>
      </c>
      <c r="B7096">
        <f t="shared" si="438"/>
        <v>33.695031999999998</v>
      </c>
      <c r="C7096">
        <f t="shared" si="439"/>
        <v>-117.85844899999999</v>
      </c>
      <c r="D7096">
        <f t="shared" si="440"/>
        <v>37</v>
      </c>
      <c r="E7096">
        <v>6.5</v>
      </c>
      <c r="F7096">
        <f t="shared" si="441"/>
        <v>30.5</v>
      </c>
      <c r="G7096">
        <v>6.6669999999999998</v>
      </c>
      <c r="H7096">
        <v>0.14499999999999999</v>
      </c>
      <c r="I7096">
        <v>2.1859999999999999</v>
      </c>
      <c r="J7096">
        <v>4</v>
      </c>
      <c r="K7096">
        <v>4</v>
      </c>
      <c r="L7096">
        <v>6</v>
      </c>
      <c r="M7096">
        <v>0.41599999999999998</v>
      </c>
    </row>
    <row r="7097" spans="1:13" ht="15" customHeight="1">
      <c r="A7097" t="s">
        <v>73</v>
      </c>
      <c r="B7097">
        <f t="shared" si="438"/>
        <v>33.695031999999998</v>
      </c>
      <c r="C7097">
        <f t="shared" si="439"/>
        <v>-117.85844899999999</v>
      </c>
      <c r="D7097">
        <f t="shared" si="440"/>
        <v>37</v>
      </c>
      <c r="E7097">
        <v>7.5</v>
      </c>
      <c r="F7097">
        <f t="shared" si="441"/>
        <v>29.5</v>
      </c>
      <c r="G7097">
        <v>12.8</v>
      </c>
      <c r="H7097">
        <v>0.37</v>
      </c>
      <c r="I7097">
        <v>2.883</v>
      </c>
      <c r="J7097">
        <v>4</v>
      </c>
      <c r="K7097">
        <v>8</v>
      </c>
      <c r="L7097">
        <v>12</v>
      </c>
      <c r="M7097">
        <v>0.82599999999999996</v>
      </c>
    </row>
    <row r="7098" spans="1:13" ht="15" customHeight="1">
      <c r="A7098" t="s">
        <v>73</v>
      </c>
      <c r="B7098">
        <f t="shared" si="438"/>
        <v>33.695031999999998</v>
      </c>
      <c r="C7098">
        <f t="shared" si="439"/>
        <v>-117.85844899999999</v>
      </c>
      <c r="D7098">
        <f t="shared" si="440"/>
        <v>37</v>
      </c>
      <c r="E7098">
        <v>8.5</v>
      </c>
      <c r="F7098">
        <f t="shared" si="441"/>
        <v>28.5</v>
      </c>
      <c r="G7098">
        <v>11.583</v>
      </c>
      <c r="H7098">
        <v>0.217</v>
      </c>
      <c r="I7098">
        <v>1.871</v>
      </c>
      <c r="J7098">
        <v>5</v>
      </c>
      <c r="K7098">
        <v>6</v>
      </c>
      <c r="L7098">
        <v>9</v>
      </c>
      <c r="M7098">
        <v>0.73799999999999999</v>
      </c>
    </row>
    <row r="7099" spans="1:13" ht="15" customHeight="1">
      <c r="A7099" t="s">
        <v>73</v>
      </c>
      <c r="B7099">
        <f t="shared" si="438"/>
        <v>33.695031999999998</v>
      </c>
      <c r="C7099">
        <f t="shared" si="439"/>
        <v>-117.85844899999999</v>
      </c>
      <c r="D7099">
        <f t="shared" si="440"/>
        <v>37</v>
      </c>
      <c r="E7099">
        <v>9.5</v>
      </c>
      <c r="F7099">
        <f t="shared" si="441"/>
        <v>27.5</v>
      </c>
      <c r="G7099">
        <v>7.2670000000000003</v>
      </c>
      <c r="H7099">
        <v>0.14799999999999999</v>
      </c>
      <c r="I7099">
        <v>2.0369999999999999</v>
      </c>
      <c r="J7099">
        <v>4</v>
      </c>
      <c r="K7099">
        <v>5</v>
      </c>
      <c r="L7099">
        <v>8</v>
      </c>
      <c r="M7099">
        <v>0.44800000000000001</v>
      </c>
    </row>
    <row r="7100" spans="1:13" ht="15" customHeight="1">
      <c r="A7100" t="s">
        <v>73</v>
      </c>
      <c r="B7100">
        <f t="shared" si="438"/>
        <v>33.695031999999998</v>
      </c>
      <c r="C7100">
        <f t="shared" si="439"/>
        <v>-117.85844899999999</v>
      </c>
      <c r="D7100">
        <f t="shared" si="440"/>
        <v>37</v>
      </c>
      <c r="E7100">
        <v>10.5</v>
      </c>
      <c r="F7100">
        <f t="shared" si="441"/>
        <v>26.5</v>
      </c>
      <c r="G7100">
        <v>7.2709999999999999</v>
      </c>
      <c r="H7100">
        <v>0.2</v>
      </c>
      <c r="I7100">
        <v>2.7130000000000001</v>
      </c>
      <c r="J7100">
        <v>4</v>
      </c>
      <c r="K7100">
        <v>5</v>
      </c>
      <c r="L7100">
        <v>7</v>
      </c>
      <c r="M7100">
        <v>0.45</v>
      </c>
    </row>
    <row r="7101" spans="1:13" ht="15" customHeight="1">
      <c r="A7101" t="s">
        <v>73</v>
      </c>
      <c r="B7101">
        <f t="shared" si="438"/>
        <v>33.695031999999998</v>
      </c>
      <c r="C7101">
        <f t="shared" si="439"/>
        <v>-117.85844899999999</v>
      </c>
      <c r="D7101">
        <f t="shared" si="440"/>
        <v>37</v>
      </c>
      <c r="E7101">
        <v>11.5</v>
      </c>
      <c r="F7101">
        <f t="shared" si="441"/>
        <v>25.5</v>
      </c>
      <c r="G7101">
        <v>8.5329999999999995</v>
      </c>
      <c r="H7101">
        <v>0.23300000000000001</v>
      </c>
      <c r="I7101">
        <v>2.7029999999999998</v>
      </c>
      <c r="J7101">
        <v>4</v>
      </c>
      <c r="K7101">
        <v>6</v>
      </c>
      <c r="L7101">
        <v>8</v>
      </c>
      <c r="M7101">
        <v>0.53</v>
      </c>
    </row>
    <row r="7102" spans="1:13" ht="15" customHeight="1">
      <c r="A7102" t="s">
        <v>73</v>
      </c>
      <c r="B7102">
        <f t="shared" si="438"/>
        <v>33.695031999999998</v>
      </c>
      <c r="C7102">
        <f t="shared" si="439"/>
        <v>-117.85844899999999</v>
      </c>
      <c r="D7102">
        <f t="shared" si="440"/>
        <v>37</v>
      </c>
      <c r="E7102">
        <v>12.5</v>
      </c>
      <c r="F7102">
        <f t="shared" si="441"/>
        <v>24.5</v>
      </c>
      <c r="G7102">
        <v>13.532999999999999</v>
      </c>
      <c r="H7102">
        <v>0.48299999999999998</v>
      </c>
      <c r="I7102">
        <v>3.55</v>
      </c>
      <c r="J7102">
        <v>4</v>
      </c>
      <c r="K7102">
        <v>9</v>
      </c>
      <c r="L7102">
        <v>11</v>
      </c>
      <c r="M7102">
        <v>0.85799999999999998</v>
      </c>
    </row>
    <row r="7103" spans="1:13" ht="15" customHeight="1">
      <c r="A7103" t="s">
        <v>73</v>
      </c>
      <c r="B7103">
        <f t="shared" si="438"/>
        <v>33.695031999999998</v>
      </c>
      <c r="C7103">
        <f t="shared" si="439"/>
        <v>-117.85844899999999</v>
      </c>
      <c r="D7103">
        <f t="shared" si="440"/>
        <v>37</v>
      </c>
      <c r="E7103">
        <v>13.5</v>
      </c>
      <c r="F7103">
        <f t="shared" si="441"/>
        <v>23.5</v>
      </c>
      <c r="G7103">
        <v>12.05</v>
      </c>
      <c r="H7103">
        <v>0.443</v>
      </c>
      <c r="I7103">
        <v>3.6539999999999999</v>
      </c>
      <c r="J7103">
        <v>4</v>
      </c>
      <c r="K7103">
        <v>8</v>
      </c>
      <c r="L7103">
        <v>9</v>
      </c>
      <c r="M7103">
        <v>0.755</v>
      </c>
    </row>
    <row r="7104" spans="1:13" ht="15" customHeight="1">
      <c r="A7104" t="s">
        <v>73</v>
      </c>
      <c r="B7104">
        <f t="shared" si="438"/>
        <v>33.695031999999998</v>
      </c>
      <c r="C7104">
        <f t="shared" si="439"/>
        <v>-117.85844899999999</v>
      </c>
      <c r="D7104">
        <f t="shared" si="440"/>
        <v>37</v>
      </c>
      <c r="E7104">
        <v>14.5</v>
      </c>
      <c r="F7104">
        <f t="shared" si="441"/>
        <v>22.5</v>
      </c>
      <c r="G7104">
        <v>10.6</v>
      </c>
      <c r="H7104">
        <v>0.40500000000000003</v>
      </c>
      <c r="I7104">
        <v>3.7850000000000001</v>
      </c>
      <c r="J7104">
        <v>3</v>
      </c>
      <c r="K7104">
        <v>10</v>
      </c>
      <c r="L7104">
        <v>11</v>
      </c>
      <c r="M7104">
        <v>0.65500000000000003</v>
      </c>
    </row>
    <row r="7105" spans="1:13" ht="15" customHeight="1">
      <c r="A7105" t="s">
        <v>73</v>
      </c>
      <c r="B7105">
        <f t="shared" si="438"/>
        <v>33.695031999999998</v>
      </c>
      <c r="C7105">
        <f t="shared" si="439"/>
        <v>-117.85844899999999</v>
      </c>
      <c r="D7105">
        <f t="shared" si="440"/>
        <v>37</v>
      </c>
      <c r="E7105">
        <v>15.5</v>
      </c>
      <c r="F7105">
        <f t="shared" si="441"/>
        <v>21.5</v>
      </c>
      <c r="G7105">
        <v>9.5500000000000007</v>
      </c>
      <c r="H7105">
        <v>0.32300000000000001</v>
      </c>
      <c r="I7105">
        <v>3.351</v>
      </c>
      <c r="J7105">
        <v>3</v>
      </c>
      <c r="K7105">
        <v>9</v>
      </c>
      <c r="L7105">
        <v>10</v>
      </c>
      <c r="M7105">
        <v>0.58099999999999996</v>
      </c>
    </row>
    <row r="7106" spans="1:13" ht="15" customHeight="1">
      <c r="A7106" t="s">
        <v>73</v>
      </c>
      <c r="B7106">
        <f t="shared" ref="B7106:B7169" si="442">VLOOKUP(A7106,XYdata,3,FALSE)</f>
        <v>33.695031999999998</v>
      </c>
      <c r="C7106">
        <f t="shared" ref="C7106:C7169" si="443">VLOOKUP(A7106,XYdata,2,FALSE)</f>
        <v>-117.85844899999999</v>
      </c>
      <c r="D7106">
        <f t="shared" ref="D7106:D7169" si="444">VLOOKUP(A7106,Elevation,2,FALSE)</f>
        <v>37</v>
      </c>
      <c r="E7106">
        <v>16.5</v>
      </c>
      <c r="F7106">
        <f t="shared" si="441"/>
        <v>20.5</v>
      </c>
      <c r="G7106">
        <v>9.3330000000000002</v>
      </c>
      <c r="H7106">
        <v>0.28699999999999998</v>
      </c>
      <c r="I7106">
        <v>3.05</v>
      </c>
      <c r="J7106">
        <v>4</v>
      </c>
      <c r="K7106">
        <v>6</v>
      </c>
      <c r="L7106">
        <v>6</v>
      </c>
      <c r="M7106">
        <v>0.56100000000000005</v>
      </c>
    </row>
    <row r="7107" spans="1:13" ht="15" customHeight="1">
      <c r="A7107" t="s">
        <v>73</v>
      </c>
      <c r="B7107">
        <f t="shared" si="442"/>
        <v>33.695031999999998</v>
      </c>
      <c r="C7107">
        <f t="shared" si="443"/>
        <v>-117.85844899999999</v>
      </c>
      <c r="D7107">
        <f t="shared" si="444"/>
        <v>37</v>
      </c>
      <c r="E7107">
        <v>17.5</v>
      </c>
      <c r="F7107">
        <f t="shared" ref="F7107:F7170" si="445">D7107-E7107</f>
        <v>19.5</v>
      </c>
      <c r="G7107">
        <v>14.617000000000001</v>
      </c>
      <c r="H7107">
        <v>0.315</v>
      </c>
      <c r="I7107">
        <v>2.1429999999999998</v>
      </c>
      <c r="J7107">
        <v>5</v>
      </c>
      <c r="K7107">
        <v>7</v>
      </c>
      <c r="L7107">
        <v>7</v>
      </c>
      <c r="M7107">
        <v>0.91</v>
      </c>
    </row>
    <row r="7108" spans="1:13" ht="15" customHeight="1">
      <c r="A7108" t="s">
        <v>73</v>
      </c>
      <c r="B7108">
        <f t="shared" si="442"/>
        <v>33.695031999999998</v>
      </c>
      <c r="C7108">
        <f t="shared" si="443"/>
        <v>-117.85844899999999</v>
      </c>
      <c r="D7108">
        <f t="shared" si="444"/>
        <v>37</v>
      </c>
      <c r="E7108">
        <v>18.5</v>
      </c>
      <c r="F7108">
        <f t="shared" si="445"/>
        <v>18.5</v>
      </c>
      <c r="G7108">
        <v>30.283000000000001</v>
      </c>
      <c r="H7108">
        <v>0.7</v>
      </c>
      <c r="I7108">
        <v>2.306</v>
      </c>
      <c r="J7108">
        <v>6</v>
      </c>
      <c r="K7108">
        <v>12</v>
      </c>
      <c r="L7108">
        <v>11</v>
      </c>
      <c r="M7108">
        <v>1.9490000000000001</v>
      </c>
    </row>
    <row r="7109" spans="1:13" ht="15" customHeight="1">
      <c r="A7109" t="s">
        <v>73</v>
      </c>
      <c r="B7109">
        <f t="shared" si="442"/>
        <v>33.695031999999998</v>
      </c>
      <c r="C7109">
        <f t="shared" si="443"/>
        <v>-117.85844899999999</v>
      </c>
      <c r="D7109">
        <f t="shared" si="444"/>
        <v>37</v>
      </c>
      <c r="E7109">
        <v>19.5</v>
      </c>
      <c r="F7109">
        <f t="shared" si="445"/>
        <v>17.5</v>
      </c>
      <c r="G7109">
        <v>39.700000000000003</v>
      </c>
      <c r="H7109">
        <v>1.1870000000000001</v>
      </c>
      <c r="I7109">
        <v>2.9820000000000002</v>
      </c>
      <c r="J7109">
        <v>6</v>
      </c>
      <c r="K7109">
        <v>15</v>
      </c>
      <c r="L7109">
        <v>13</v>
      </c>
      <c r="M7109">
        <v>2.5750000000000002</v>
      </c>
    </row>
    <row r="7110" spans="1:13" ht="15" customHeight="1">
      <c r="A7110" t="s">
        <v>73</v>
      </c>
      <c r="B7110">
        <f t="shared" si="442"/>
        <v>33.695031999999998</v>
      </c>
      <c r="C7110">
        <f t="shared" si="443"/>
        <v>-117.85844899999999</v>
      </c>
      <c r="D7110">
        <f t="shared" si="444"/>
        <v>37</v>
      </c>
      <c r="E7110">
        <v>20.5</v>
      </c>
      <c r="F7110">
        <f t="shared" si="445"/>
        <v>16.5</v>
      </c>
      <c r="G7110">
        <v>43.286000000000001</v>
      </c>
      <c r="H7110">
        <v>1.296</v>
      </c>
      <c r="I7110">
        <v>2.98</v>
      </c>
      <c r="J7110">
        <v>6</v>
      </c>
      <c r="K7110">
        <v>17</v>
      </c>
      <c r="L7110">
        <v>14</v>
      </c>
      <c r="M7110">
        <v>2.8170000000000002</v>
      </c>
    </row>
    <row r="7111" spans="1:13" ht="15" customHeight="1">
      <c r="A7111" t="s">
        <v>73</v>
      </c>
      <c r="B7111">
        <f t="shared" si="442"/>
        <v>33.695031999999998</v>
      </c>
      <c r="C7111">
        <f t="shared" si="443"/>
        <v>-117.85844899999999</v>
      </c>
      <c r="D7111">
        <f t="shared" si="444"/>
        <v>37</v>
      </c>
      <c r="E7111">
        <v>21.5</v>
      </c>
      <c r="F7111">
        <f t="shared" si="445"/>
        <v>15.5</v>
      </c>
      <c r="G7111">
        <v>29.683</v>
      </c>
      <c r="H7111">
        <v>1.335</v>
      </c>
      <c r="I7111">
        <v>4.4770000000000003</v>
      </c>
      <c r="J7111">
        <v>4</v>
      </c>
      <c r="K7111">
        <v>19</v>
      </c>
      <c r="L7111">
        <v>16</v>
      </c>
      <c r="M7111">
        <v>1.901</v>
      </c>
    </row>
    <row r="7112" spans="1:13" ht="15" customHeight="1">
      <c r="A7112" t="s">
        <v>73</v>
      </c>
      <c r="B7112">
        <f t="shared" si="442"/>
        <v>33.695031999999998</v>
      </c>
      <c r="C7112">
        <f t="shared" si="443"/>
        <v>-117.85844899999999</v>
      </c>
      <c r="D7112">
        <f t="shared" si="444"/>
        <v>37</v>
      </c>
      <c r="E7112">
        <v>22.5</v>
      </c>
      <c r="F7112">
        <f t="shared" si="445"/>
        <v>14.5</v>
      </c>
      <c r="G7112">
        <v>36.582999999999998</v>
      </c>
      <c r="H7112">
        <v>1.272</v>
      </c>
      <c r="I7112">
        <v>3.4710000000000001</v>
      </c>
      <c r="J7112">
        <v>5</v>
      </c>
      <c r="K7112">
        <v>18</v>
      </c>
      <c r="L7112">
        <v>14</v>
      </c>
      <c r="M7112">
        <v>2.351</v>
      </c>
    </row>
    <row r="7113" spans="1:13" ht="15" customHeight="1">
      <c r="A7113" t="s">
        <v>73</v>
      </c>
      <c r="B7113">
        <f t="shared" si="442"/>
        <v>33.695031999999998</v>
      </c>
      <c r="C7113">
        <f t="shared" si="443"/>
        <v>-117.85844899999999</v>
      </c>
      <c r="D7113">
        <f t="shared" si="444"/>
        <v>37</v>
      </c>
      <c r="E7113">
        <v>23.5</v>
      </c>
      <c r="F7113">
        <f t="shared" si="445"/>
        <v>13.5</v>
      </c>
      <c r="G7113">
        <v>49.616999999999997</v>
      </c>
      <c r="H7113">
        <v>0.86799999999999999</v>
      </c>
      <c r="I7113">
        <v>1.7509999999999999</v>
      </c>
      <c r="J7113">
        <v>7</v>
      </c>
      <c r="K7113">
        <v>16</v>
      </c>
      <c r="L7113">
        <v>12</v>
      </c>
      <c r="M7113" s="1">
        <v>9000000000</v>
      </c>
    </row>
    <row r="7114" spans="1:13" ht="15" customHeight="1">
      <c r="A7114" t="s">
        <v>73</v>
      </c>
      <c r="B7114">
        <f t="shared" si="442"/>
        <v>33.695031999999998</v>
      </c>
      <c r="C7114">
        <f t="shared" si="443"/>
        <v>-117.85844899999999</v>
      </c>
      <c r="D7114">
        <f t="shared" si="444"/>
        <v>37</v>
      </c>
      <c r="E7114">
        <v>24.5</v>
      </c>
      <c r="F7114">
        <f t="shared" si="445"/>
        <v>12.5</v>
      </c>
      <c r="G7114">
        <v>87.667000000000002</v>
      </c>
      <c r="H7114">
        <v>1.208</v>
      </c>
      <c r="I7114">
        <v>1.38</v>
      </c>
      <c r="J7114">
        <v>8</v>
      </c>
      <c r="K7114">
        <v>21</v>
      </c>
      <c r="L7114">
        <v>15</v>
      </c>
      <c r="M7114" s="1">
        <v>9000000000</v>
      </c>
    </row>
    <row r="7115" spans="1:13" ht="15" customHeight="1">
      <c r="A7115" t="s">
        <v>73</v>
      </c>
      <c r="B7115">
        <f t="shared" si="442"/>
        <v>33.695031999999998</v>
      </c>
      <c r="C7115">
        <f t="shared" si="443"/>
        <v>-117.85844899999999</v>
      </c>
      <c r="D7115">
        <f t="shared" si="444"/>
        <v>37</v>
      </c>
      <c r="E7115">
        <v>25.5</v>
      </c>
      <c r="F7115">
        <f t="shared" si="445"/>
        <v>11.5</v>
      </c>
      <c r="G7115">
        <v>32.533000000000001</v>
      </c>
      <c r="H7115">
        <v>1.5</v>
      </c>
      <c r="I7115">
        <v>4.63</v>
      </c>
      <c r="J7115">
        <v>4</v>
      </c>
      <c r="K7115">
        <v>21</v>
      </c>
      <c r="L7115">
        <v>15</v>
      </c>
      <c r="M7115">
        <v>2.0569999999999999</v>
      </c>
    </row>
    <row r="7116" spans="1:13" ht="15" customHeight="1">
      <c r="A7116" t="s">
        <v>73</v>
      </c>
      <c r="B7116">
        <f t="shared" si="442"/>
        <v>33.695031999999998</v>
      </c>
      <c r="C7116">
        <f t="shared" si="443"/>
        <v>-117.85844899999999</v>
      </c>
      <c r="D7116">
        <f t="shared" si="444"/>
        <v>37</v>
      </c>
      <c r="E7116">
        <v>26.5</v>
      </c>
      <c r="F7116">
        <f t="shared" si="445"/>
        <v>10.5</v>
      </c>
      <c r="G7116">
        <v>29.317</v>
      </c>
      <c r="H7116">
        <v>1.19</v>
      </c>
      <c r="I7116">
        <v>4.0730000000000004</v>
      </c>
      <c r="J7116">
        <v>4</v>
      </c>
      <c r="K7116">
        <v>19</v>
      </c>
      <c r="L7116">
        <v>13</v>
      </c>
      <c r="M7116">
        <v>1.84</v>
      </c>
    </row>
    <row r="7117" spans="1:13" ht="15" customHeight="1">
      <c r="A7117" t="s">
        <v>73</v>
      </c>
      <c r="B7117">
        <f t="shared" si="442"/>
        <v>33.695031999999998</v>
      </c>
      <c r="C7117">
        <f t="shared" si="443"/>
        <v>-117.85844899999999</v>
      </c>
      <c r="D7117">
        <f t="shared" si="444"/>
        <v>37</v>
      </c>
      <c r="E7117">
        <v>27.5</v>
      </c>
      <c r="F7117">
        <f t="shared" si="445"/>
        <v>9.5</v>
      </c>
      <c r="G7117">
        <v>33.633000000000003</v>
      </c>
      <c r="H7117">
        <v>1.9450000000000001</v>
      </c>
      <c r="I7117">
        <v>5.8</v>
      </c>
      <c r="J7117">
        <v>3</v>
      </c>
      <c r="K7117">
        <v>32</v>
      </c>
      <c r="L7117">
        <v>22</v>
      </c>
      <c r="M7117">
        <v>2.1240000000000001</v>
      </c>
    </row>
    <row r="7118" spans="1:13" ht="15" customHeight="1">
      <c r="A7118" t="s">
        <v>73</v>
      </c>
      <c r="B7118">
        <f t="shared" si="442"/>
        <v>33.695031999999998</v>
      </c>
      <c r="C7118">
        <f t="shared" si="443"/>
        <v>-117.85844899999999</v>
      </c>
      <c r="D7118">
        <f t="shared" si="444"/>
        <v>37</v>
      </c>
      <c r="E7118">
        <v>28.5</v>
      </c>
      <c r="F7118">
        <f t="shared" si="445"/>
        <v>8.5</v>
      </c>
      <c r="G7118">
        <v>63.4</v>
      </c>
      <c r="H7118">
        <v>1.4970000000000001</v>
      </c>
      <c r="I7118">
        <v>2.3650000000000002</v>
      </c>
      <c r="J7118">
        <v>6</v>
      </c>
      <c r="K7118">
        <v>24</v>
      </c>
      <c r="L7118">
        <v>17</v>
      </c>
      <c r="M7118">
        <v>4.1029999999999998</v>
      </c>
    </row>
    <row r="7119" spans="1:13" ht="15" customHeight="1">
      <c r="A7119" t="s">
        <v>73</v>
      </c>
      <c r="B7119">
        <f t="shared" si="442"/>
        <v>33.695031999999998</v>
      </c>
      <c r="C7119">
        <f t="shared" si="443"/>
        <v>-117.85844899999999</v>
      </c>
      <c r="D7119">
        <f t="shared" si="444"/>
        <v>37</v>
      </c>
      <c r="E7119">
        <v>29.5</v>
      </c>
      <c r="F7119">
        <f t="shared" si="445"/>
        <v>7.5</v>
      </c>
      <c r="G7119">
        <v>230.53299999999999</v>
      </c>
      <c r="H7119">
        <v>1.52</v>
      </c>
      <c r="I7119">
        <v>0.66</v>
      </c>
      <c r="J7119">
        <v>9</v>
      </c>
      <c r="K7119">
        <v>44</v>
      </c>
      <c r="L7119">
        <v>30</v>
      </c>
      <c r="M7119" s="1">
        <v>9000000000</v>
      </c>
    </row>
    <row r="7120" spans="1:13" ht="15" customHeight="1">
      <c r="A7120" t="s">
        <v>73</v>
      </c>
      <c r="B7120">
        <f t="shared" si="442"/>
        <v>33.695031999999998</v>
      </c>
      <c r="C7120">
        <f t="shared" si="443"/>
        <v>-117.85844899999999</v>
      </c>
      <c r="D7120">
        <f t="shared" si="444"/>
        <v>37</v>
      </c>
      <c r="E7120">
        <v>30.5</v>
      </c>
      <c r="F7120">
        <f t="shared" si="445"/>
        <v>6.5</v>
      </c>
      <c r="G7120">
        <v>99.9</v>
      </c>
      <c r="H7120">
        <v>2.4180000000000001</v>
      </c>
      <c r="I7120">
        <v>2.423</v>
      </c>
      <c r="J7120">
        <v>7</v>
      </c>
      <c r="K7120">
        <v>32</v>
      </c>
      <c r="L7120">
        <v>21</v>
      </c>
      <c r="M7120" s="1">
        <v>9000000000</v>
      </c>
    </row>
    <row r="7121" spans="1:13" ht="15" customHeight="1">
      <c r="A7121" t="s">
        <v>73</v>
      </c>
      <c r="B7121">
        <f t="shared" si="442"/>
        <v>33.695031999999998</v>
      </c>
      <c r="C7121">
        <f t="shared" si="443"/>
        <v>-117.85844899999999</v>
      </c>
      <c r="D7121">
        <f t="shared" si="444"/>
        <v>37</v>
      </c>
      <c r="E7121">
        <v>31.5</v>
      </c>
      <c r="F7121">
        <f t="shared" si="445"/>
        <v>5.5</v>
      </c>
      <c r="G7121">
        <v>143</v>
      </c>
      <c r="H7121">
        <v>3.1629999999999998</v>
      </c>
      <c r="I7121">
        <v>2.214</v>
      </c>
      <c r="J7121">
        <v>7</v>
      </c>
      <c r="K7121">
        <v>46</v>
      </c>
      <c r="L7121">
        <v>30</v>
      </c>
      <c r="M7121" s="1">
        <v>9000000000</v>
      </c>
    </row>
    <row r="7122" spans="1:13" ht="15" customHeight="1">
      <c r="A7122" t="s">
        <v>73</v>
      </c>
      <c r="B7122">
        <f t="shared" si="442"/>
        <v>33.695031999999998</v>
      </c>
      <c r="C7122">
        <f t="shared" si="443"/>
        <v>-117.85844899999999</v>
      </c>
      <c r="D7122">
        <f t="shared" si="444"/>
        <v>37</v>
      </c>
      <c r="E7122">
        <v>32.5</v>
      </c>
      <c r="F7122">
        <f t="shared" si="445"/>
        <v>4.5</v>
      </c>
      <c r="G7122">
        <v>218.38300000000001</v>
      </c>
      <c r="H7122">
        <v>3.105</v>
      </c>
      <c r="I7122">
        <v>1.4219999999999999</v>
      </c>
      <c r="J7122">
        <v>8</v>
      </c>
      <c r="K7122">
        <v>52</v>
      </c>
      <c r="L7122">
        <v>34</v>
      </c>
      <c r="M7122" s="1">
        <v>9000000000</v>
      </c>
    </row>
    <row r="7123" spans="1:13" ht="15" customHeight="1">
      <c r="A7123" t="s">
        <v>73</v>
      </c>
      <c r="B7123">
        <f t="shared" si="442"/>
        <v>33.695031999999998</v>
      </c>
      <c r="C7123">
        <f t="shared" si="443"/>
        <v>-117.85844899999999</v>
      </c>
      <c r="D7123">
        <f t="shared" si="444"/>
        <v>37</v>
      </c>
      <c r="E7123">
        <v>33.5</v>
      </c>
      <c r="F7123">
        <f t="shared" si="445"/>
        <v>3.5</v>
      </c>
      <c r="G7123">
        <v>235.56700000000001</v>
      </c>
      <c r="H7123">
        <v>3.2530000000000001</v>
      </c>
      <c r="I7123">
        <v>1.381</v>
      </c>
      <c r="J7123">
        <v>8</v>
      </c>
      <c r="K7123">
        <v>56</v>
      </c>
      <c r="L7123">
        <v>36</v>
      </c>
      <c r="M7123" s="1">
        <v>9000000000</v>
      </c>
    </row>
    <row r="7124" spans="1:13" ht="15" customHeight="1">
      <c r="A7124" t="s">
        <v>73</v>
      </c>
      <c r="B7124">
        <f t="shared" si="442"/>
        <v>33.695031999999998</v>
      </c>
      <c r="C7124">
        <f t="shared" si="443"/>
        <v>-117.85844899999999</v>
      </c>
      <c r="D7124">
        <f t="shared" si="444"/>
        <v>37</v>
      </c>
      <c r="E7124">
        <v>34.5</v>
      </c>
      <c r="F7124">
        <f t="shared" si="445"/>
        <v>2.5</v>
      </c>
      <c r="G7124">
        <v>49.116999999999997</v>
      </c>
      <c r="H7124">
        <v>1.46</v>
      </c>
      <c r="I7124">
        <v>2.976</v>
      </c>
      <c r="J7124">
        <v>6</v>
      </c>
      <c r="K7124">
        <v>19</v>
      </c>
      <c r="L7124">
        <v>12</v>
      </c>
      <c r="M7124">
        <v>3.1309999999999998</v>
      </c>
    </row>
    <row r="7125" spans="1:13" ht="15" customHeight="1">
      <c r="A7125" t="s">
        <v>73</v>
      </c>
      <c r="B7125">
        <f t="shared" si="442"/>
        <v>33.695031999999998</v>
      </c>
      <c r="C7125">
        <f t="shared" si="443"/>
        <v>-117.85844899999999</v>
      </c>
      <c r="D7125">
        <f t="shared" si="444"/>
        <v>37</v>
      </c>
      <c r="E7125">
        <v>35.5</v>
      </c>
      <c r="F7125">
        <f t="shared" si="445"/>
        <v>1.5</v>
      </c>
      <c r="G7125">
        <v>42.3</v>
      </c>
      <c r="H7125">
        <v>1.8919999999999999</v>
      </c>
      <c r="I7125">
        <v>4.4649999999999999</v>
      </c>
      <c r="J7125">
        <v>4</v>
      </c>
      <c r="K7125">
        <v>27</v>
      </c>
      <c r="L7125">
        <v>17</v>
      </c>
      <c r="M7125">
        <v>2.68</v>
      </c>
    </row>
    <row r="7126" spans="1:13" ht="15" customHeight="1">
      <c r="A7126" t="s">
        <v>73</v>
      </c>
      <c r="B7126">
        <f t="shared" si="442"/>
        <v>33.695031999999998</v>
      </c>
      <c r="C7126">
        <f t="shared" si="443"/>
        <v>-117.85844899999999</v>
      </c>
      <c r="D7126">
        <f t="shared" si="444"/>
        <v>37</v>
      </c>
      <c r="E7126">
        <v>36.5</v>
      </c>
      <c r="F7126">
        <f t="shared" si="445"/>
        <v>0.5</v>
      </c>
      <c r="G7126">
        <v>78.667000000000002</v>
      </c>
      <c r="H7126">
        <v>2.097</v>
      </c>
      <c r="I7126">
        <v>2.6619999999999999</v>
      </c>
      <c r="J7126">
        <v>6</v>
      </c>
      <c r="K7126">
        <v>30</v>
      </c>
      <c r="L7126">
        <v>19</v>
      </c>
      <c r="M7126">
        <v>5.1020000000000003</v>
      </c>
    </row>
    <row r="7127" spans="1:13" ht="15" customHeight="1">
      <c r="A7127" t="s">
        <v>73</v>
      </c>
      <c r="B7127">
        <f t="shared" si="442"/>
        <v>33.695031999999998</v>
      </c>
      <c r="C7127">
        <f t="shared" si="443"/>
        <v>-117.85844899999999</v>
      </c>
      <c r="D7127">
        <f t="shared" si="444"/>
        <v>37</v>
      </c>
      <c r="E7127">
        <v>37.5</v>
      </c>
      <c r="F7127">
        <f t="shared" si="445"/>
        <v>-0.5</v>
      </c>
      <c r="G7127">
        <v>140</v>
      </c>
      <c r="H7127">
        <v>2.7349999999999999</v>
      </c>
      <c r="I7127">
        <v>1.9550000000000001</v>
      </c>
      <c r="J7127">
        <v>7</v>
      </c>
      <c r="K7127">
        <v>45</v>
      </c>
      <c r="L7127">
        <v>27</v>
      </c>
      <c r="M7127" s="1">
        <v>9000000000</v>
      </c>
    </row>
    <row r="7128" spans="1:13" ht="15" customHeight="1">
      <c r="A7128" t="s">
        <v>73</v>
      </c>
      <c r="B7128">
        <f t="shared" si="442"/>
        <v>33.695031999999998</v>
      </c>
      <c r="C7128">
        <f t="shared" si="443"/>
        <v>-117.85844899999999</v>
      </c>
      <c r="D7128">
        <f t="shared" si="444"/>
        <v>37</v>
      </c>
      <c r="E7128">
        <v>38.5</v>
      </c>
      <c r="F7128">
        <f t="shared" si="445"/>
        <v>-1.5</v>
      </c>
      <c r="G7128">
        <v>91.617000000000004</v>
      </c>
      <c r="H7128">
        <v>2.2280000000000002</v>
      </c>
      <c r="I7128">
        <v>2.4350000000000001</v>
      </c>
      <c r="J7128">
        <v>7</v>
      </c>
      <c r="K7128">
        <v>29</v>
      </c>
      <c r="L7128">
        <v>17</v>
      </c>
      <c r="M7128" s="1">
        <v>9000000000</v>
      </c>
    </row>
    <row r="7129" spans="1:13" ht="15" customHeight="1">
      <c r="A7129" t="s">
        <v>73</v>
      </c>
      <c r="B7129">
        <f t="shared" si="442"/>
        <v>33.695031999999998</v>
      </c>
      <c r="C7129">
        <f t="shared" si="443"/>
        <v>-117.85844899999999</v>
      </c>
      <c r="D7129">
        <f t="shared" si="444"/>
        <v>37</v>
      </c>
      <c r="E7129">
        <v>39.5</v>
      </c>
      <c r="F7129">
        <f t="shared" si="445"/>
        <v>-2.5</v>
      </c>
      <c r="G7129">
        <v>61.05</v>
      </c>
      <c r="H7129">
        <v>1.92</v>
      </c>
      <c r="I7129">
        <v>3.149</v>
      </c>
      <c r="J7129">
        <v>6</v>
      </c>
      <c r="K7129">
        <v>23</v>
      </c>
      <c r="L7129">
        <v>14</v>
      </c>
      <c r="M7129">
        <v>3.9039999999999999</v>
      </c>
    </row>
    <row r="7130" spans="1:13" ht="15" customHeight="1">
      <c r="A7130" t="s">
        <v>73</v>
      </c>
      <c r="B7130">
        <f t="shared" si="442"/>
        <v>33.695031999999998</v>
      </c>
      <c r="C7130">
        <f t="shared" si="443"/>
        <v>-117.85844899999999</v>
      </c>
      <c r="D7130">
        <f t="shared" si="444"/>
        <v>37</v>
      </c>
      <c r="E7130">
        <v>40.5</v>
      </c>
      <c r="F7130">
        <f t="shared" si="445"/>
        <v>-3.5</v>
      </c>
      <c r="G7130">
        <v>22.85</v>
      </c>
      <c r="H7130">
        <v>1.012</v>
      </c>
      <c r="I7130">
        <v>4.431</v>
      </c>
      <c r="J7130">
        <v>3</v>
      </c>
      <c r="K7130">
        <v>22</v>
      </c>
      <c r="L7130">
        <v>13</v>
      </c>
      <c r="M7130">
        <v>1.357</v>
      </c>
    </row>
    <row r="7131" spans="1:13" ht="15" customHeight="1">
      <c r="A7131" t="s">
        <v>73</v>
      </c>
      <c r="B7131">
        <f t="shared" si="442"/>
        <v>33.695031999999998</v>
      </c>
      <c r="C7131">
        <f t="shared" si="443"/>
        <v>-117.85844899999999</v>
      </c>
      <c r="D7131">
        <f t="shared" si="444"/>
        <v>37</v>
      </c>
      <c r="E7131">
        <v>41.499000000000002</v>
      </c>
      <c r="F7131">
        <f t="shared" si="445"/>
        <v>-4.4990000000000023</v>
      </c>
      <c r="G7131">
        <v>32.343000000000004</v>
      </c>
      <c r="H7131">
        <v>1.4930000000000001</v>
      </c>
      <c r="I7131">
        <v>4.601</v>
      </c>
      <c r="J7131">
        <v>4</v>
      </c>
      <c r="K7131">
        <v>21</v>
      </c>
      <c r="L7131">
        <v>12</v>
      </c>
      <c r="M7131">
        <v>1.994</v>
      </c>
    </row>
    <row r="7132" spans="1:13" ht="15" customHeight="1">
      <c r="A7132" t="s">
        <v>73</v>
      </c>
      <c r="B7132">
        <f t="shared" si="442"/>
        <v>33.695031999999998</v>
      </c>
      <c r="C7132">
        <f t="shared" si="443"/>
        <v>-117.85844899999999</v>
      </c>
      <c r="D7132">
        <f t="shared" si="444"/>
        <v>37</v>
      </c>
      <c r="E7132">
        <v>42.499000000000002</v>
      </c>
      <c r="F7132">
        <f t="shared" si="445"/>
        <v>-5.4990000000000023</v>
      </c>
      <c r="G7132">
        <v>52.567</v>
      </c>
      <c r="H7132">
        <v>3.7250000000000001</v>
      </c>
      <c r="I7132">
        <v>7.0910000000000002</v>
      </c>
      <c r="J7132">
        <v>3</v>
      </c>
      <c r="K7132">
        <v>50</v>
      </c>
      <c r="L7132">
        <v>29</v>
      </c>
      <c r="M7132">
        <v>3.3290000000000002</v>
      </c>
    </row>
    <row r="7133" spans="1:13" ht="15" customHeight="1">
      <c r="A7133" t="s">
        <v>73</v>
      </c>
      <c r="B7133">
        <f t="shared" si="442"/>
        <v>33.695031999999998</v>
      </c>
      <c r="C7133">
        <f t="shared" si="443"/>
        <v>-117.85844899999999</v>
      </c>
      <c r="D7133">
        <f t="shared" si="444"/>
        <v>37</v>
      </c>
      <c r="E7133">
        <v>43.499000000000002</v>
      </c>
      <c r="F7133">
        <f t="shared" si="445"/>
        <v>-6.4990000000000023</v>
      </c>
      <c r="G7133">
        <v>78.400000000000006</v>
      </c>
      <c r="H7133">
        <v>3.4430000000000001</v>
      </c>
      <c r="I7133">
        <v>4.4000000000000004</v>
      </c>
      <c r="J7133">
        <v>5</v>
      </c>
      <c r="K7133">
        <v>37</v>
      </c>
      <c r="L7133">
        <v>21</v>
      </c>
      <c r="M7133">
        <v>5.0389999999999997</v>
      </c>
    </row>
    <row r="7134" spans="1:13" ht="15" customHeight="1">
      <c r="A7134" t="s">
        <v>73</v>
      </c>
      <c r="B7134">
        <f t="shared" si="442"/>
        <v>33.695031999999998</v>
      </c>
      <c r="C7134">
        <f t="shared" si="443"/>
        <v>-117.85844899999999</v>
      </c>
      <c r="D7134">
        <f t="shared" si="444"/>
        <v>37</v>
      </c>
      <c r="E7134">
        <v>44.499000000000002</v>
      </c>
      <c r="F7134">
        <f t="shared" si="445"/>
        <v>-7.4990000000000023</v>
      </c>
      <c r="G7134">
        <v>131.13300000000001</v>
      </c>
      <c r="H7134">
        <v>2.637</v>
      </c>
      <c r="I7134">
        <v>2.012</v>
      </c>
      <c r="J7134">
        <v>7</v>
      </c>
      <c r="K7134">
        <v>42</v>
      </c>
      <c r="L7134">
        <v>24</v>
      </c>
      <c r="M7134" s="1">
        <v>9000000000</v>
      </c>
    </row>
    <row r="7135" spans="1:13" ht="15" customHeight="1">
      <c r="A7135" t="s">
        <v>73</v>
      </c>
      <c r="B7135">
        <f t="shared" si="442"/>
        <v>33.695031999999998</v>
      </c>
      <c r="C7135">
        <f t="shared" si="443"/>
        <v>-117.85844899999999</v>
      </c>
      <c r="D7135">
        <f t="shared" si="444"/>
        <v>37</v>
      </c>
      <c r="E7135">
        <v>45.499000000000002</v>
      </c>
      <c r="F7135">
        <f t="shared" si="445"/>
        <v>-8.4990000000000023</v>
      </c>
      <c r="G7135">
        <v>95.582999999999998</v>
      </c>
      <c r="H7135">
        <v>2.72</v>
      </c>
      <c r="I7135">
        <v>2.8490000000000002</v>
      </c>
      <c r="J7135">
        <v>6</v>
      </c>
      <c r="K7135">
        <v>37</v>
      </c>
      <c r="L7135">
        <v>21</v>
      </c>
      <c r="M7135">
        <v>6.18</v>
      </c>
    </row>
    <row r="7136" spans="1:13" ht="15" customHeight="1">
      <c r="A7136" t="s">
        <v>73</v>
      </c>
      <c r="B7136">
        <f t="shared" si="442"/>
        <v>33.695031999999998</v>
      </c>
      <c r="C7136">
        <f t="shared" si="443"/>
        <v>-117.85844899999999</v>
      </c>
      <c r="D7136">
        <f t="shared" si="444"/>
        <v>37</v>
      </c>
      <c r="E7136">
        <v>46.499000000000002</v>
      </c>
      <c r="F7136">
        <f t="shared" si="445"/>
        <v>-9.4990000000000023</v>
      </c>
      <c r="G7136">
        <v>225.63300000000001</v>
      </c>
      <c r="H7136">
        <v>3.4430000000000001</v>
      </c>
      <c r="I7136">
        <v>1.5269999999999999</v>
      </c>
      <c r="J7136">
        <v>8</v>
      </c>
      <c r="K7136">
        <v>54</v>
      </c>
      <c r="L7136">
        <v>30</v>
      </c>
      <c r="M7136" s="1">
        <v>9000000000</v>
      </c>
    </row>
    <row r="7137" spans="1:13" ht="15" customHeight="1">
      <c r="A7137" t="s">
        <v>73</v>
      </c>
      <c r="B7137">
        <f t="shared" si="442"/>
        <v>33.695031999999998</v>
      </c>
      <c r="C7137">
        <f t="shared" si="443"/>
        <v>-117.85844899999999</v>
      </c>
      <c r="D7137">
        <f t="shared" si="444"/>
        <v>37</v>
      </c>
      <c r="E7137">
        <v>47.499000000000002</v>
      </c>
      <c r="F7137">
        <f t="shared" si="445"/>
        <v>-10.499000000000002</v>
      </c>
      <c r="G7137">
        <v>270.88299999999998</v>
      </c>
      <c r="H7137">
        <v>2.1829999999999998</v>
      </c>
      <c r="I7137">
        <v>0.80600000000000005</v>
      </c>
      <c r="J7137">
        <v>9</v>
      </c>
      <c r="K7137">
        <v>52</v>
      </c>
      <c r="L7137">
        <v>28</v>
      </c>
      <c r="M7137" s="1">
        <v>9000000000</v>
      </c>
    </row>
    <row r="7138" spans="1:13" ht="15" customHeight="1">
      <c r="A7138" t="s">
        <v>73</v>
      </c>
      <c r="B7138">
        <f t="shared" si="442"/>
        <v>33.695031999999998</v>
      </c>
      <c r="C7138">
        <f t="shared" si="443"/>
        <v>-117.85844899999999</v>
      </c>
      <c r="D7138">
        <f t="shared" si="444"/>
        <v>37</v>
      </c>
      <c r="E7138">
        <v>48.499000000000002</v>
      </c>
      <c r="F7138">
        <f t="shared" si="445"/>
        <v>-11.499000000000002</v>
      </c>
      <c r="G7138">
        <v>231.083</v>
      </c>
      <c r="H7138">
        <v>2.0499999999999998</v>
      </c>
      <c r="I7138">
        <v>0.88700000000000001</v>
      </c>
      <c r="J7138">
        <v>9</v>
      </c>
      <c r="K7138">
        <v>44</v>
      </c>
      <c r="L7138">
        <v>24</v>
      </c>
      <c r="M7138" s="1">
        <v>9000000000</v>
      </c>
    </row>
    <row r="7139" spans="1:13" ht="15" customHeight="1">
      <c r="A7139" t="s">
        <v>73</v>
      </c>
      <c r="B7139">
        <f t="shared" si="442"/>
        <v>33.695031999999998</v>
      </c>
      <c r="C7139">
        <f t="shared" si="443"/>
        <v>-117.85844899999999</v>
      </c>
      <c r="D7139">
        <f t="shared" si="444"/>
        <v>37</v>
      </c>
      <c r="E7139">
        <v>49.499000000000002</v>
      </c>
      <c r="F7139">
        <f t="shared" si="445"/>
        <v>-12.499000000000002</v>
      </c>
      <c r="G7139">
        <v>254.167</v>
      </c>
      <c r="H7139">
        <v>2.88</v>
      </c>
      <c r="I7139">
        <v>1.133</v>
      </c>
      <c r="J7139">
        <v>9</v>
      </c>
      <c r="K7139">
        <v>49</v>
      </c>
      <c r="L7139">
        <v>26</v>
      </c>
      <c r="M7139" s="1">
        <v>9000000000</v>
      </c>
    </row>
    <row r="7140" spans="1:13" ht="15" customHeight="1">
      <c r="A7140" t="s">
        <v>73</v>
      </c>
      <c r="B7140">
        <f t="shared" si="442"/>
        <v>33.695031999999998</v>
      </c>
      <c r="C7140">
        <f t="shared" si="443"/>
        <v>-117.85844899999999</v>
      </c>
      <c r="D7140">
        <f t="shared" si="444"/>
        <v>37</v>
      </c>
      <c r="E7140">
        <v>50.499000000000002</v>
      </c>
      <c r="F7140">
        <f t="shared" si="445"/>
        <v>-13.499000000000002</v>
      </c>
      <c r="G7140">
        <v>37.700000000000003</v>
      </c>
      <c r="H7140">
        <v>0.92300000000000004</v>
      </c>
      <c r="I7140">
        <v>2.395</v>
      </c>
      <c r="J7140">
        <v>6</v>
      </c>
      <c r="K7140">
        <v>15</v>
      </c>
      <c r="L7140">
        <v>8</v>
      </c>
      <c r="M7140">
        <v>2.3639999999999999</v>
      </c>
    </row>
    <row r="7141" spans="1:13" ht="15" customHeight="1">
      <c r="A7141" t="s">
        <v>73</v>
      </c>
      <c r="B7141">
        <f t="shared" si="442"/>
        <v>33.695031999999998</v>
      </c>
      <c r="C7141">
        <f t="shared" si="443"/>
        <v>-117.85844899999999</v>
      </c>
      <c r="D7141">
        <f t="shared" si="444"/>
        <v>37</v>
      </c>
      <c r="E7141">
        <v>51.499000000000002</v>
      </c>
      <c r="F7141">
        <f t="shared" si="445"/>
        <v>-14.499000000000002</v>
      </c>
      <c r="G7141">
        <v>23.117000000000001</v>
      </c>
      <c r="H7141">
        <v>0.54300000000000004</v>
      </c>
      <c r="I7141">
        <v>2.2120000000000002</v>
      </c>
      <c r="J7141">
        <v>6</v>
      </c>
      <c r="K7141">
        <v>9</v>
      </c>
      <c r="L7141">
        <v>5</v>
      </c>
      <c r="M7141">
        <v>1.427</v>
      </c>
    </row>
    <row r="7142" spans="1:13" ht="15" customHeight="1">
      <c r="A7142" t="s">
        <v>73</v>
      </c>
      <c r="B7142">
        <f t="shared" si="442"/>
        <v>33.695031999999998</v>
      </c>
      <c r="C7142">
        <f t="shared" si="443"/>
        <v>-117.85844899999999</v>
      </c>
      <c r="D7142">
        <f t="shared" si="444"/>
        <v>37</v>
      </c>
      <c r="E7142">
        <v>52.499000000000002</v>
      </c>
      <c r="F7142">
        <f t="shared" si="445"/>
        <v>-15.499000000000002</v>
      </c>
      <c r="G7142">
        <v>55.314</v>
      </c>
      <c r="H7142">
        <v>1.98</v>
      </c>
      <c r="I7142">
        <v>3.5190000000000001</v>
      </c>
      <c r="J7142">
        <v>5</v>
      </c>
      <c r="K7142">
        <v>27</v>
      </c>
      <c r="L7142">
        <v>14</v>
      </c>
      <c r="M7142">
        <v>3.5369999999999999</v>
      </c>
    </row>
    <row r="7143" spans="1:13" ht="15" customHeight="1">
      <c r="A7143" t="s">
        <v>73</v>
      </c>
      <c r="B7143">
        <f t="shared" si="442"/>
        <v>33.695031999999998</v>
      </c>
      <c r="C7143">
        <f t="shared" si="443"/>
        <v>-117.85844899999999</v>
      </c>
      <c r="D7143">
        <f t="shared" si="444"/>
        <v>37</v>
      </c>
      <c r="E7143">
        <v>53.499000000000002</v>
      </c>
      <c r="F7143">
        <f t="shared" si="445"/>
        <v>-16.499000000000002</v>
      </c>
      <c r="G7143">
        <v>47.65</v>
      </c>
      <c r="H7143">
        <v>1.7949999999999999</v>
      </c>
      <c r="I7143">
        <v>3.7759999999999998</v>
      </c>
      <c r="J7143">
        <v>5</v>
      </c>
      <c r="K7143">
        <v>23</v>
      </c>
      <c r="L7143">
        <v>12</v>
      </c>
      <c r="M7143">
        <v>2.95</v>
      </c>
    </row>
    <row r="7144" spans="1:13" ht="15" customHeight="1">
      <c r="A7144" t="s">
        <v>73</v>
      </c>
      <c r="B7144">
        <f t="shared" si="442"/>
        <v>33.695031999999998</v>
      </c>
      <c r="C7144">
        <f t="shared" si="443"/>
        <v>-117.85844899999999</v>
      </c>
      <c r="D7144">
        <f t="shared" si="444"/>
        <v>37</v>
      </c>
      <c r="E7144">
        <v>54.499000000000002</v>
      </c>
      <c r="F7144">
        <f t="shared" si="445"/>
        <v>-17.499000000000002</v>
      </c>
      <c r="G7144">
        <v>21.483000000000001</v>
      </c>
      <c r="H7144">
        <v>0.52800000000000002</v>
      </c>
      <c r="I7144">
        <v>2.4670000000000001</v>
      </c>
      <c r="J7144">
        <v>5</v>
      </c>
      <c r="K7144">
        <v>10</v>
      </c>
      <c r="L7144">
        <v>5</v>
      </c>
      <c r="M7144">
        <v>1.2050000000000001</v>
      </c>
    </row>
    <row r="7145" spans="1:13" ht="15" customHeight="1">
      <c r="A7145" t="s">
        <v>73</v>
      </c>
      <c r="B7145">
        <f t="shared" si="442"/>
        <v>33.695031999999998</v>
      </c>
      <c r="C7145">
        <f t="shared" si="443"/>
        <v>-117.85844899999999</v>
      </c>
      <c r="D7145">
        <f t="shared" si="444"/>
        <v>37</v>
      </c>
      <c r="E7145">
        <v>55.499000000000002</v>
      </c>
      <c r="F7145">
        <f t="shared" si="445"/>
        <v>-18.499000000000002</v>
      </c>
      <c r="G7145">
        <v>23.1</v>
      </c>
      <c r="H7145">
        <v>0.71499999999999997</v>
      </c>
      <c r="I7145">
        <v>3.1040000000000001</v>
      </c>
      <c r="J7145">
        <v>5</v>
      </c>
      <c r="K7145">
        <v>11</v>
      </c>
      <c r="L7145">
        <v>6</v>
      </c>
      <c r="M7145">
        <v>1.3080000000000001</v>
      </c>
    </row>
    <row r="7146" spans="1:13" ht="15" customHeight="1">
      <c r="A7146" t="s">
        <v>73</v>
      </c>
      <c r="B7146">
        <f t="shared" si="442"/>
        <v>33.695031999999998</v>
      </c>
      <c r="C7146">
        <f t="shared" si="443"/>
        <v>-117.85844899999999</v>
      </c>
      <c r="D7146">
        <f t="shared" si="444"/>
        <v>37</v>
      </c>
      <c r="E7146">
        <v>56.499000000000002</v>
      </c>
      <c r="F7146">
        <f t="shared" si="445"/>
        <v>-19.499000000000002</v>
      </c>
      <c r="G7146">
        <v>27.766999999999999</v>
      </c>
      <c r="H7146">
        <v>0.98699999999999999</v>
      </c>
      <c r="I7146">
        <v>3.5529999999999999</v>
      </c>
      <c r="J7146">
        <v>5</v>
      </c>
      <c r="K7146">
        <v>13</v>
      </c>
      <c r="L7146">
        <v>7</v>
      </c>
      <c r="M7146">
        <v>1.62</v>
      </c>
    </row>
    <row r="7147" spans="1:13" ht="15" customHeight="1">
      <c r="A7147" t="s">
        <v>73</v>
      </c>
      <c r="B7147">
        <f t="shared" si="442"/>
        <v>33.695031999999998</v>
      </c>
      <c r="C7147">
        <f t="shared" si="443"/>
        <v>-117.85844899999999</v>
      </c>
      <c r="D7147">
        <f t="shared" si="444"/>
        <v>37</v>
      </c>
      <c r="E7147">
        <v>57.499000000000002</v>
      </c>
      <c r="F7147">
        <f t="shared" si="445"/>
        <v>-20.499000000000002</v>
      </c>
      <c r="G7147">
        <v>41.9</v>
      </c>
      <c r="H7147">
        <v>1.7549999999999999</v>
      </c>
      <c r="I7147">
        <v>4.1920000000000002</v>
      </c>
      <c r="J7147">
        <v>4</v>
      </c>
      <c r="K7147">
        <v>27</v>
      </c>
      <c r="L7147">
        <v>14</v>
      </c>
      <c r="M7147">
        <v>2.5550000000000002</v>
      </c>
    </row>
    <row r="7148" spans="1:13" ht="15" customHeight="1">
      <c r="A7148" t="s">
        <v>73</v>
      </c>
      <c r="B7148">
        <f t="shared" si="442"/>
        <v>33.695031999999998</v>
      </c>
      <c r="C7148">
        <f t="shared" si="443"/>
        <v>-117.85844899999999</v>
      </c>
      <c r="D7148">
        <f t="shared" si="444"/>
        <v>37</v>
      </c>
      <c r="E7148">
        <v>58.499000000000002</v>
      </c>
      <c r="F7148">
        <f t="shared" si="445"/>
        <v>-21.499000000000002</v>
      </c>
      <c r="G7148">
        <v>29.917000000000002</v>
      </c>
      <c r="H7148">
        <v>1.302</v>
      </c>
      <c r="I7148">
        <v>4.3490000000000002</v>
      </c>
      <c r="J7148">
        <v>4</v>
      </c>
      <c r="K7148">
        <v>19</v>
      </c>
      <c r="L7148">
        <v>10</v>
      </c>
      <c r="M7148">
        <v>1.756</v>
      </c>
    </row>
    <row r="7149" spans="1:13" ht="15" customHeight="1">
      <c r="A7149" t="s">
        <v>73</v>
      </c>
      <c r="B7149">
        <f t="shared" si="442"/>
        <v>33.695031999999998</v>
      </c>
      <c r="C7149">
        <f t="shared" si="443"/>
        <v>-117.85844899999999</v>
      </c>
      <c r="D7149">
        <f t="shared" si="444"/>
        <v>37</v>
      </c>
      <c r="E7149">
        <v>59.499000000000002</v>
      </c>
      <c r="F7149">
        <f t="shared" si="445"/>
        <v>-22.499000000000002</v>
      </c>
      <c r="G7149">
        <v>129.56700000000001</v>
      </c>
      <c r="H7149">
        <v>3.6320000000000001</v>
      </c>
      <c r="I7149">
        <v>2.8039999999999998</v>
      </c>
      <c r="J7149">
        <v>6</v>
      </c>
      <c r="K7149">
        <v>50</v>
      </c>
      <c r="L7149">
        <v>25</v>
      </c>
      <c r="M7149">
        <v>8.3889999999999993</v>
      </c>
    </row>
    <row r="7150" spans="1:13" ht="15" customHeight="1">
      <c r="A7150" t="s">
        <v>73</v>
      </c>
      <c r="B7150">
        <f t="shared" si="442"/>
        <v>33.695031999999998</v>
      </c>
      <c r="C7150">
        <f t="shared" si="443"/>
        <v>-117.85844899999999</v>
      </c>
      <c r="D7150">
        <f t="shared" si="444"/>
        <v>37</v>
      </c>
      <c r="E7150">
        <v>60.499000000000002</v>
      </c>
      <c r="F7150">
        <f t="shared" si="445"/>
        <v>-23.499000000000002</v>
      </c>
      <c r="G7150">
        <v>107.65</v>
      </c>
      <c r="H7150">
        <v>2.7570000000000001</v>
      </c>
      <c r="I7150">
        <v>2.5630000000000002</v>
      </c>
      <c r="J7150">
        <v>7</v>
      </c>
      <c r="K7150">
        <v>34</v>
      </c>
      <c r="L7150">
        <v>17</v>
      </c>
      <c r="M7150" s="1">
        <v>9000000000</v>
      </c>
    </row>
    <row r="7151" spans="1:13" ht="15" customHeight="1">
      <c r="A7151" t="s">
        <v>73</v>
      </c>
      <c r="B7151">
        <f t="shared" si="442"/>
        <v>33.695031999999998</v>
      </c>
      <c r="C7151">
        <f t="shared" si="443"/>
        <v>-117.85844899999999</v>
      </c>
      <c r="D7151">
        <f t="shared" si="444"/>
        <v>37</v>
      </c>
      <c r="E7151">
        <v>61.499000000000002</v>
      </c>
      <c r="F7151">
        <f t="shared" si="445"/>
        <v>-24.499000000000002</v>
      </c>
      <c r="G7151">
        <v>24.533000000000001</v>
      </c>
      <c r="H7151">
        <v>0.75</v>
      </c>
      <c r="I7151">
        <v>3.0649999999999999</v>
      </c>
      <c r="J7151">
        <v>5</v>
      </c>
      <c r="K7151">
        <v>12</v>
      </c>
      <c r="L7151">
        <v>6</v>
      </c>
      <c r="M7151">
        <v>1.379</v>
      </c>
    </row>
    <row r="7152" spans="1:13" ht="15" customHeight="1">
      <c r="A7152" t="s">
        <v>73</v>
      </c>
      <c r="B7152">
        <f t="shared" si="442"/>
        <v>33.695031999999998</v>
      </c>
      <c r="C7152">
        <f t="shared" si="443"/>
        <v>-117.85844899999999</v>
      </c>
      <c r="D7152">
        <f t="shared" si="444"/>
        <v>37</v>
      </c>
      <c r="E7152">
        <v>62.499000000000002</v>
      </c>
      <c r="F7152">
        <f t="shared" si="445"/>
        <v>-25.499000000000002</v>
      </c>
      <c r="G7152">
        <v>30.186</v>
      </c>
      <c r="H7152">
        <v>0.84</v>
      </c>
      <c r="I7152">
        <v>2.7879999999999998</v>
      </c>
      <c r="J7152">
        <v>6</v>
      </c>
      <c r="K7152">
        <v>12</v>
      </c>
      <c r="L7152">
        <v>6</v>
      </c>
      <c r="M7152">
        <v>1.752</v>
      </c>
    </row>
    <row r="7153" spans="1:13" ht="15" customHeight="1">
      <c r="A7153" t="s">
        <v>73</v>
      </c>
      <c r="B7153">
        <f t="shared" si="442"/>
        <v>33.695031999999998</v>
      </c>
      <c r="C7153">
        <f t="shared" si="443"/>
        <v>-117.85844899999999</v>
      </c>
      <c r="D7153">
        <f t="shared" si="444"/>
        <v>37</v>
      </c>
      <c r="E7153">
        <v>63.499000000000002</v>
      </c>
      <c r="F7153">
        <f t="shared" si="445"/>
        <v>-26.499000000000002</v>
      </c>
      <c r="G7153">
        <v>24.283000000000001</v>
      </c>
      <c r="H7153">
        <v>0.85699999999999998</v>
      </c>
      <c r="I7153">
        <v>3.528</v>
      </c>
      <c r="J7153">
        <v>5</v>
      </c>
      <c r="K7153">
        <v>12</v>
      </c>
      <c r="L7153">
        <v>6</v>
      </c>
      <c r="M7153">
        <v>1.3580000000000001</v>
      </c>
    </row>
    <row r="7154" spans="1:13" ht="15" customHeight="1">
      <c r="A7154" t="s">
        <v>73</v>
      </c>
      <c r="B7154">
        <f t="shared" si="442"/>
        <v>33.695031999999998</v>
      </c>
      <c r="C7154">
        <f t="shared" si="443"/>
        <v>-117.85844899999999</v>
      </c>
      <c r="D7154">
        <f t="shared" si="444"/>
        <v>37</v>
      </c>
      <c r="E7154">
        <v>64.498999999999995</v>
      </c>
      <c r="F7154">
        <f t="shared" si="445"/>
        <v>-27.498999999999995</v>
      </c>
      <c r="G7154">
        <v>27.733000000000001</v>
      </c>
      <c r="H7154">
        <v>1.038</v>
      </c>
      <c r="I7154">
        <v>3.7389999999999999</v>
      </c>
      <c r="J7154">
        <v>5</v>
      </c>
      <c r="K7154">
        <v>13</v>
      </c>
      <c r="L7154">
        <v>7</v>
      </c>
      <c r="M7154">
        <v>1.5860000000000001</v>
      </c>
    </row>
    <row r="7155" spans="1:13" ht="15" customHeight="1">
      <c r="A7155" t="s">
        <v>73</v>
      </c>
      <c r="B7155">
        <f t="shared" si="442"/>
        <v>33.695031999999998</v>
      </c>
      <c r="C7155">
        <f t="shared" si="443"/>
        <v>-117.85844899999999</v>
      </c>
      <c r="D7155">
        <f t="shared" si="444"/>
        <v>37</v>
      </c>
      <c r="E7155">
        <v>65.498999999999995</v>
      </c>
      <c r="F7155">
        <f t="shared" si="445"/>
        <v>-28.498999999999995</v>
      </c>
      <c r="G7155">
        <v>26.85</v>
      </c>
      <c r="H7155">
        <v>0.79</v>
      </c>
      <c r="I7155">
        <v>2.9350000000000001</v>
      </c>
      <c r="J7155">
        <v>5</v>
      </c>
      <c r="K7155">
        <v>13</v>
      </c>
      <c r="L7155">
        <v>7</v>
      </c>
      <c r="M7155">
        <v>1.526</v>
      </c>
    </row>
    <row r="7156" spans="1:13" ht="15" customHeight="1">
      <c r="A7156" t="s">
        <v>73</v>
      </c>
      <c r="B7156">
        <f t="shared" si="442"/>
        <v>33.695031999999998</v>
      </c>
      <c r="C7156">
        <f t="shared" si="443"/>
        <v>-117.85844899999999</v>
      </c>
      <c r="D7156">
        <f t="shared" si="444"/>
        <v>37</v>
      </c>
      <c r="E7156">
        <v>66.498999999999995</v>
      </c>
      <c r="F7156">
        <f t="shared" si="445"/>
        <v>-29.498999999999995</v>
      </c>
      <c r="G7156">
        <v>32.933</v>
      </c>
      <c r="H7156">
        <v>1.337</v>
      </c>
      <c r="I7156">
        <v>4.0439999999999996</v>
      </c>
      <c r="J7156">
        <v>4</v>
      </c>
      <c r="K7156">
        <v>21</v>
      </c>
      <c r="L7156">
        <v>11</v>
      </c>
      <c r="M7156">
        <v>1.93</v>
      </c>
    </row>
    <row r="7157" spans="1:13" ht="15" customHeight="1">
      <c r="A7157" t="s">
        <v>73</v>
      </c>
      <c r="B7157">
        <f t="shared" si="442"/>
        <v>33.695031999999998</v>
      </c>
      <c r="C7157">
        <f t="shared" si="443"/>
        <v>-117.85844899999999</v>
      </c>
      <c r="D7157">
        <f t="shared" si="444"/>
        <v>37</v>
      </c>
      <c r="E7157">
        <v>67.498999999999995</v>
      </c>
      <c r="F7157">
        <f t="shared" si="445"/>
        <v>-30.498999999999995</v>
      </c>
      <c r="G7157">
        <v>31.45</v>
      </c>
      <c r="H7157">
        <v>1.3149999999999999</v>
      </c>
      <c r="I7157">
        <v>4.1529999999999996</v>
      </c>
      <c r="J7157">
        <v>4</v>
      </c>
      <c r="K7157">
        <v>20</v>
      </c>
      <c r="L7157">
        <v>10</v>
      </c>
      <c r="M7157">
        <v>1.8340000000000001</v>
      </c>
    </row>
    <row r="7158" spans="1:13" ht="15" customHeight="1">
      <c r="A7158" t="s">
        <v>73</v>
      </c>
      <c r="B7158">
        <f t="shared" si="442"/>
        <v>33.695031999999998</v>
      </c>
      <c r="C7158">
        <f t="shared" si="443"/>
        <v>-117.85844899999999</v>
      </c>
      <c r="D7158">
        <f t="shared" si="444"/>
        <v>37</v>
      </c>
      <c r="E7158">
        <v>68.498999999999995</v>
      </c>
      <c r="F7158">
        <f t="shared" si="445"/>
        <v>-31.498999999999995</v>
      </c>
      <c r="G7158">
        <v>25.466999999999999</v>
      </c>
      <c r="H7158">
        <v>1.1120000000000001</v>
      </c>
      <c r="I7158">
        <v>4.3170000000000002</v>
      </c>
      <c r="J7158">
        <v>4</v>
      </c>
      <c r="K7158">
        <v>16</v>
      </c>
      <c r="L7158">
        <v>8</v>
      </c>
      <c r="M7158">
        <v>1.4350000000000001</v>
      </c>
    </row>
    <row r="7159" spans="1:13" ht="15" customHeight="1">
      <c r="A7159" t="s">
        <v>73</v>
      </c>
      <c r="B7159">
        <f t="shared" si="442"/>
        <v>33.695031999999998</v>
      </c>
      <c r="C7159">
        <f t="shared" si="443"/>
        <v>-117.85844899999999</v>
      </c>
      <c r="D7159">
        <f t="shared" si="444"/>
        <v>37</v>
      </c>
      <c r="E7159">
        <v>69.498999999999995</v>
      </c>
      <c r="F7159">
        <f t="shared" si="445"/>
        <v>-32.498999999999995</v>
      </c>
      <c r="G7159">
        <v>45.017000000000003</v>
      </c>
      <c r="H7159">
        <v>2.2930000000000001</v>
      </c>
      <c r="I7159">
        <v>5.0810000000000004</v>
      </c>
      <c r="J7159">
        <v>3</v>
      </c>
      <c r="K7159">
        <v>43</v>
      </c>
      <c r="L7159">
        <v>22</v>
      </c>
      <c r="M7159">
        <v>2.7229999999999999</v>
      </c>
    </row>
    <row r="7160" spans="1:13" ht="15" customHeight="1">
      <c r="A7160" t="s">
        <v>73</v>
      </c>
      <c r="B7160">
        <f t="shared" si="442"/>
        <v>33.695031999999998</v>
      </c>
      <c r="C7160">
        <f t="shared" si="443"/>
        <v>-117.85844899999999</v>
      </c>
      <c r="D7160">
        <f t="shared" si="444"/>
        <v>37</v>
      </c>
      <c r="E7160">
        <v>70.498999999999995</v>
      </c>
      <c r="F7160">
        <f t="shared" si="445"/>
        <v>-33.498999999999995</v>
      </c>
      <c r="G7160">
        <v>37.25</v>
      </c>
      <c r="H7160">
        <v>1.407</v>
      </c>
      <c r="I7160">
        <v>3.7759999999999998</v>
      </c>
      <c r="J7160">
        <v>5</v>
      </c>
      <c r="K7160">
        <v>18</v>
      </c>
      <c r="L7160">
        <v>9</v>
      </c>
      <c r="M7160">
        <v>2.194</v>
      </c>
    </row>
    <row r="7161" spans="1:13" ht="15" customHeight="1">
      <c r="A7161" t="s">
        <v>73</v>
      </c>
      <c r="B7161">
        <f t="shared" si="442"/>
        <v>33.695031999999998</v>
      </c>
      <c r="C7161">
        <f t="shared" si="443"/>
        <v>-117.85844899999999</v>
      </c>
      <c r="D7161">
        <f t="shared" si="444"/>
        <v>37</v>
      </c>
      <c r="E7161">
        <v>71.498999999999995</v>
      </c>
      <c r="F7161">
        <f t="shared" si="445"/>
        <v>-34.498999999999995</v>
      </c>
      <c r="G7161">
        <v>23.766999999999999</v>
      </c>
      <c r="H7161">
        <v>0.88800000000000001</v>
      </c>
      <c r="I7161">
        <v>3.73</v>
      </c>
      <c r="J7161">
        <v>4</v>
      </c>
      <c r="K7161">
        <v>15</v>
      </c>
      <c r="L7161">
        <v>8</v>
      </c>
      <c r="M7161">
        <v>1.294</v>
      </c>
    </row>
    <row r="7162" spans="1:13" ht="15" customHeight="1">
      <c r="A7162" t="s">
        <v>73</v>
      </c>
      <c r="B7162">
        <f t="shared" si="442"/>
        <v>33.695031999999998</v>
      </c>
      <c r="C7162">
        <f t="shared" si="443"/>
        <v>-117.85844899999999</v>
      </c>
      <c r="D7162">
        <f t="shared" si="444"/>
        <v>37</v>
      </c>
      <c r="E7162">
        <v>72.498999999999995</v>
      </c>
      <c r="F7162">
        <f t="shared" si="445"/>
        <v>-35.498999999999995</v>
      </c>
      <c r="G7162">
        <v>29.986000000000001</v>
      </c>
      <c r="H7162">
        <v>0.98</v>
      </c>
      <c r="I7162">
        <v>3.2589999999999999</v>
      </c>
      <c r="J7162">
        <v>5</v>
      </c>
      <c r="K7162">
        <v>14</v>
      </c>
      <c r="L7162">
        <v>7</v>
      </c>
      <c r="M7162">
        <v>1.7070000000000001</v>
      </c>
    </row>
    <row r="7163" spans="1:13" ht="15" customHeight="1">
      <c r="A7163" t="s">
        <v>73</v>
      </c>
      <c r="B7163">
        <f t="shared" si="442"/>
        <v>33.695031999999998</v>
      </c>
      <c r="C7163">
        <f t="shared" si="443"/>
        <v>-117.85844899999999</v>
      </c>
      <c r="D7163">
        <f t="shared" si="444"/>
        <v>37</v>
      </c>
      <c r="E7163">
        <v>73.498999999999995</v>
      </c>
      <c r="F7163">
        <f t="shared" si="445"/>
        <v>-36.498999999999995</v>
      </c>
      <c r="G7163">
        <v>87.033000000000001</v>
      </c>
      <c r="H7163">
        <v>3.8719999999999999</v>
      </c>
      <c r="I7163">
        <v>4.4450000000000003</v>
      </c>
      <c r="J7163">
        <v>11</v>
      </c>
      <c r="K7163">
        <v>83</v>
      </c>
      <c r="L7163">
        <v>42</v>
      </c>
      <c r="M7163" s="1">
        <v>9000000000</v>
      </c>
    </row>
    <row r="7164" spans="1:13" ht="15" customHeight="1">
      <c r="A7164" t="s">
        <v>73</v>
      </c>
      <c r="B7164">
        <f t="shared" si="442"/>
        <v>33.695031999999998</v>
      </c>
      <c r="C7164">
        <f t="shared" si="443"/>
        <v>-117.85844899999999</v>
      </c>
      <c r="D7164">
        <f t="shared" si="444"/>
        <v>37</v>
      </c>
      <c r="E7164">
        <v>74.498999999999995</v>
      </c>
      <c r="F7164">
        <f t="shared" si="445"/>
        <v>-37.498999999999995</v>
      </c>
      <c r="G7164">
        <v>218.31700000000001</v>
      </c>
      <c r="H7164">
        <v>3.6949999999999998</v>
      </c>
      <c r="I7164">
        <v>1.6930000000000001</v>
      </c>
      <c r="J7164">
        <v>8</v>
      </c>
      <c r="K7164">
        <v>52</v>
      </c>
      <c r="L7164">
        <v>26</v>
      </c>
      <c r="M7164" s="1">
        <v>9000000000</v>
      </c>
    </row>
    <row r="7165" spans="1:13" ht="15" customHeight="1">
      <c r="A7165" t="s">
        <v>73</v>
      </c>
      <c r="B7165">
        <f t="shared" si="442"/>
        <v>33.695031999999998</v>
      </c>
      <c r="C7165">
        <f t="shared" si="443"/>
        <v>-117.85844899999999</v>
      </c>
      <c r="D7165">
        <f t="shared" si="444"/>
        <v>37</v>
      </c>
      <c r="E7165">
        <v>75.498999999999995</v>
      </c>
      <c r="F7165">
        <f t="shared" si="445"/>
        <v>-38.498999999999995</v>
      </c>
      <c r="G7165">
        <v>83.283000000000001</v>
      </c>
      <c r="H7165">
        <v>3.4769999999999999</v>
      </c>
      <c r="I7165">
        <v>4.1710000000000003</v>
      </c>
      <c r="J7165">
        <v>5</v>
      </c>
      <c r="K7165">
        <v>40</v>
      </c>
      <c r="L7165">
        <v>20</v>
      </c>
      <c r="M7165">
        <v>5.2460000000000004</v>
      </c>
    </row>
    <row r="7166" spans="1:13" ht="15" customHeight="1">
      <c r="A7166" t="s">
        <v>73</v>
      </c>
      <c r="B7166">
        <f t="shared" si="442"/>
        <v>33.695031999999998</v>
      </c>
      <c r="C7166">
        <f t="shared" si="443"/>
        <v>-117.85844899999999</v>
      </c>
      <c r="D7166">
        <f t="shared" si="444"/>
        <v>37</v>
      </c>
      <c r="E7166">
        <v>76.498999999999995</v>
      </c>
      <c r="F7166">
        <f t="shared" si="445"/>
        <v>-39.498999999999995</v>
      </c>
      <c r="G7166">
        <v>89.382999999999996</v>
      </c>
      <c r="H7166">
        <v>3.1520000000000001</v>
      </c>
      <c r="I7166">
        <v>3.5270000000000001</v>
      </c>
      <c r="J7166">
        <v>6</v>
      </c>
      <c r="K7166">
        <v>34</v>
      </c>
      <c r="L7166">
        <v>17</v>
      </c>
      <c r="M7166">
        <v>5.6420000000000003</v>
      </c>
    </row>
    <row r="7167" spans="1:13" ht="15" customHeight="1">
      <c r="A7167" t="s">
        <v>73</v>
      </c>
      <c r="B7167">
        <f t="shared" si="442"/>
        <v>33.695031999999998</v>
      </c>
      <c r="C7167">
        <f t="shared" si="443"/>
        <v>-117.85844899999999</v>
      </c>
      <c r="D7167">
        <f t="shared" si="444"/>
        <v>37</v>
      </c>
      <c r="E7167">
        <v>77.498999999999995</v>
      </c>
      <c r="F7167">
        <f t="shared" si="445"/>
        <v>-40.498999999999995</v>
      </c>
      <c r="G7167">
        <v>187.483</v>
      </c>
      <c r="H7167">
        <v>4.0730000000000004</v>
      </c>
      <c r="I7167">
        <v>2.173</v>
      </c>
      <c r="J7167">
        <v>7</v>
      </c>
      <c r="K7167">
        <v>60</v>
      </c>
      <c r="L7167">
        <v>30</v>
      </c>
      <c r="M7167" s="1">
        <v>9000000000</v>
      </c>
    </row>
    <row r="7168" spans="1:13" ht="15" customHeight="1">
      <c r="A7168" t="s">
        <v>73</v>
      </c>
      <c r="B7168">
        <f t="shared" si="442"/>
        <v>33.695031999999998</v>
      </c>
      <c r="C7168">
        <f t="shared" si="443"/>
        <v>-117.85844899999999</v>
      </c>
      <c r="D7168">
        <f t="shared" si="444"/>
        <v>37</v>
      </c>
      <c r="E7168">
        <v>78.498999999999995</v>
      </c>
      <c r="F7168">
        <f t="shared" si="445"/>
        <v>-41.498999999999995</v>
      </c>
      <c r="G7168">
        <v>123.017</v>
      </c>
      <c r="H7168">
        <v>2.3570000000000002</v>
      </c>
      <c r="I7168">
        <v>1.9179999999999999</v>
      </c>
      <c r="J7168">
        <v>7</v>
      </c>
      <c r="K7168">
        <v>39</v>
      </c>
      <c r="L7168">
        <v>20</v>
      </c>
      <c r="M7168" s="1">
        <v>9000000000</v>
      </c>
    </row>
    <row r="7169" spans="1:13" ht="15" customHeight="1">
      <c r="A7169" t="s">
        <v>73</v>
      </c>
      <c r="B7169">
        <f t="shared" si="442"/>
        <v>33.695031999999998</v>
      </c>
      <c r="C7169">
        <f t="shared" si="443"/>
        <v>-117.85844899999999</v>
      </c>
      <c r="D7169">
        <f t="shared" si="444"/>
        <v>37</v>
      </c>
      <c r="E7169">
        <v>79.498999999999995</v>
      </c>
      <c r="F7169">
        <f t="shared" si="445"/>
        <v>-42.498999999999995</v>
      </c>
      <c r="G7169">
        <v>52.95</v>
      </c>
      <c r="H7169">
        <v>2.1819999999999999</v>
      </c>
      <c r="I7169">
        <v>4.1230000000000002</v>
      </c>
      <c r="J7169">
        <v>5</v>
      </c>
      <c r="K7169">
        <v>25</v>
      </c>
      <c r="L7169">
        <v>13</v>
      </c>
      <c r="M7169">
        <v>3.2010000000000001</v>
      </c>
    </row>
    <row r="7170" spans="1:13" ht="15" customHeight="1">
      <c r="A7170" t="s">
        <v>73</v>
      </c>
      <c r="B7170">
        <f t="shared" ref="B7170:B7233" si="446">VLOOKUP(A7170,XYdata,3,FALSE)</f>
        <v>33.695031999999998</v>
      </c>
      <c r="C7170">
        <f t="shared" ref="C7170:C7233" si="447">VLOOKUP(A7170,XYdata,2,FALSE)</f>
        <v>-117.85844899999999</v>
      </c>
      <c r="D7170">
        <f t="shared" ref="D7170:D7233" si="448">VLOOKUP(A7170,Elevation,2,FALSE)</f>
        <v>37</v>
      </c>
      <c r="E7170">
        <v>80.498999999999995</v>
      </c>
      <c r="F7170">
        <f t="shared" si="445"/>
        <v>-43.498999999999995</v>
      </c>
      <c r="G7170">
        <v>53.982999999999997</v>
      </c>
      <c r="H7170">
        <v>2.1579999999999999</v>
      </c>
      <c r="I7170">
        <v>3.9980000000000002</v>
      </c>
      <c r="J7170">
        <v>5</v>
      </c>
      <c r="K7170">
        <v>26</v>
      </c>
      <c r="L7170">
        <v>13</v>
      </c>
      <c r="M7170">
        <v>3.2679999999999998</v>
      </c>
    </row>
    <row r="7171" spans="1:13" ht="15" customHeight="1">
      <c r="A7171" t="s">
        <v>73</v>
      </c>
      <c r="B7171">
        <f t="shared" si="446"/>
        <v>33.695031999999998</v>
      </c>
      <c r="C7171">
        <f t="shared" si="447"/>
        <v>-117.85844899999999</v>
      </c>
      <c r="D7171">
        <f t="shared" si="448"/>
        <v>37</v>
      </c>
      <c r="E7171">
        <v>81.498999999999995</v>
      </c>
      <c r="F7171">
        <f t="shared" ref="F7171:F7234" si="449">D7171-E7171</f>
        <v>-44.498999999999995</v>
      </c>
      <c r="G7171">
        <v>45.267000000000003</v>
      </c>
      <c r="H7171">
        <v>1.9370000000000001</v>
      </c>
      <c r="I7171">
        <v>4.2779999999999996</v>
      </c>
      <c r="J7171">
        <v>4</v>
      </c>
      <c r="K7171">
        <v>29</v>
      </c>
      <c r="L7171">
        <v>15</v>
      </c>
      <c r="M7171">
        <v>2.6819999999999999</v>
      </c>
    </row>
    <row r="7172" spans="1:13" ht="15" customHeight="1">
      <c r="A7172" t="s">
        <v>73</v>
      </c>
      <c r="B7172">
        <f t="shared" si="446"/>
        <v>33.695031999999998</v>
      </c>
      <c r="C7172">
        <f t="shared" si="447"/>
        <v>-117.85844899999999</v>
      </c>
      <c r="D7172">
        <f t="shared" si="448"/>
        <v>37</v>
      </c>
      <c r="E7172">
        <v>82.498999999999995</v>
      </c>
      <c r="F7172">
        <f t="shared" si="449"/>
        <v>-45.498999999999995</v>
      </c>
      <c r="G7172">
        <v>67.533000000000001</v>
      </c>
      <c r="H7172">
        <v>3.0750000000000002</v>
      </c>
      <c r="I7172">
        <v>4.5490000000000004</v>
      </c>
      <c r="J7172">
        <v>4</v>
      </c>
      <c r="K7172">
        <v>43</v>
      </c>
      <c r="L7172">
        <v>22</v>
      </c>
      <c r="M7172">
        <v>4.1669999999999998</v>
      </c>
    </row>
    <row r="7173" spans="1:13" ht="15" customHeight="1">
      <c r="A7173" t="s">
        <v>73</v>
      </c>
      <c r="B7173">
        <f t="shared" si="446"/>
        <v>33.695031999999998</v>
      </c>
      <c r="C7173">
        <f t="shared" si="447"/>
        <v>-117.85844899999999</v>
      </c>
      <c r="D7173">
        <f t="shared" si="448"/>
        <v>37</v>
      </c>
      <c r="E7173">
        <v>83.498999999999995</v>
      </c>
      <c r="F7173">
        <f t="shared" si="449"/>
        <v>-46.498999999999995</v>
      </c>
      <c r="G7173">
        <v>64.271000000000001</v>
      </c>
      <c r="H7173">
        <v>4.13</v>
      </c>
      <c r="I7173">
        <v>6.4130000000000003</v>
      </c>
      <c r="J7173">
        <v>11</v>
      </c>
      <c r="K7173">
        <v>62</v>
      </c>
      <c r="L7173">
        <v>31</v>
      </c>
      <c r="M7173" s="1">
        <v>9000000000</v>
      </c>
    </row>
    <row r="7174" spans="1:13" ht="15" customHeight="1">
      <c r="A7174" t="s">
        <v>73</v>
      </c>
      <c r="B7174">
        <f t="shared" si="446"/>
        <v>33.695031999999998</v>
      </c>
      <c r="C7174">
        <f t="shared" si="447"/>
        <v>-117.85844899999999</v>
      </c>
      <c r="D7174">
        <f t="shared" si="448"/>
        <v>37</v>
      </c>
      <c r="E7174">
        <v>84.498999999999995</v>
      </c>
      <c r="F7174">
        <f t="shared" si="449"/>
        <v>-47.498999999999995</v>
      </c>
      <c r="G7174">
        <v>41.517000000000003</v>
      </c>
      <c r="H7174">
        <v>2.1070000000000002</v>
      </c>
      <c r="I7174">
        <v>5.0439999999999996</v>
      </c>
      <c r="J7174">
        <v>3</v>
      </c>
      <c r="K7174">
        <v>40</v>
      </c>
      <c r="L7174">
        <v>20</v>
      </c>
      <c r="M7174">
        <v>2.4359999999999999</v>
      </c>
    </row>
    <row r="7175" spans="1:13" ht="15" customHeight="1">
      <c r="A7175" t="s">
        <v>73</v>
      </c>
      <c r="B7175">
        <f t="shared" si="446"/>
        <v>33.695031999999998</v>
      </c>
      <c r="C7175">
        <f t="shared" si="447"/>
        <v>-117.85844899999999</v>
      </c>
      <c r="D7175">
        <f t="shared" si="448"/>
        <v>37</v>
      </c>
      <c r="E7175">
        <v>85.498999999999995</v>
      </c>
      <c r="F7175">
        <f t="shared" si="449"/>
        <v>-48.498999999999995</v>
      </c>
      <c r="G7175">
        <v>58.982999999999997</v>
      </c>
      <c r="H7175">
        <v>2.8530000000000002</v>
      </c>
      <c r="I7175">
        <v>4.8250000000000002</v>
      </c>
      <c r="J7175">
        <v>4</v>
      </c>
      <c r="K7175">
        <v>38</v>
      </c>
      <c r="L7175">
        <v>19</v>
      </c>
      <c r="M7175">
        <v>3.59</v>
      </c>
    </row>
    <row r="7176" spans="1:13" ht="15" customHeight="1">
      <c r="A7176" t="s">
        <v>73</v>
      </c>
      <c r="B7176">
        <f t="shared" si="446"/>
        <v>33.695031999999998</v>
      </c>
      <c r="C7176">
        <f t="shared" si="447"/>
        <v>-117.85844899999999</v>
      </c>
      <c r="D7176">
        <f t="shared" si="448"/>
        <v>37</v>
      </c>
      <c r="E7176">
        <v>86.498999999999995</v>
      </c>
      <c r="F7176">
        <f t="shared" si="449"/>
        <v>-49.498999999999995</v>
      </c>
      <c r="G7176">
        <v>60.633000000000003</v>
      </c>
      <c r="H7176">
        <v>1.667</v>
      </c>
      <c r="I7176">
        <v>2.7509999999999999</v>
      </c>
      <c r="J7176">
        <v>6</v>
      </c>
      <c r="K7176">
        <v>23</v>
      </c>
      <c r="L7176">
        <v>12</v>
      </c>
      <c r="M7176">
        <v>3.6819999999999999</v>
      </c>
    </row>
    <row r="7177" spans="1:13" ht="15" customHeight="1">
      <c r="A7177" t="s">
        <v>73</v>
      </c>
      <c r="B7177">
        <f t="shared" si="446"/>
        <v>33.695031999999998</v>
      </c>
      <c r="C7177">
        <f t="shared" si="447"/>
        <v>-117.85844899999999</v>
      </c>
      <c r="D7177">
        <f t="shared" si="448"/>
        <v>37</v>
      </c>
      <c r="E7177">
        <v>87.498999999999995</v>
      </c>
      <c r="F7177">
        <f t="shared" si="449"/>
        <v>-50.498999999999995</v>
      </c>
      <c r="G7177">
        <v>150.19999999999999</v>
      </c>
      <c r="H7177">
        <v>3.992</v>
      </c>
      <c r="I7177">
        <v>2.6589999999999998</v>
      </c>
      <c r="J7177">
        <v>7</v>
      </c>
      <c r="K7177">
        <v>48</v>
      </c>
      <c r="L7177">
        <v>24</v>
      </c>
      <c r="M7177" s="1">
        <v>9000000000</v>
      </c>
    </row>
    <row r="7178" spans="1:13" ht="15" customHeight="1">
      <c r="A7178" t="s">
        <v>73</v>
      </c>
      <c r="B7178">
        <f t="shared" si="446"/>
        <v>33.695031999999998</v>
      </c>
      <c r="C7178">
        <f t="shared" si="447"/>
        <v>-117.85844899999999</v>
      </c>
      <c r="D7178">
        <f t="shared" si="448"/>
        <v>37</v>
      </c>
      <c r="E7178">
        <v>88.498999999999995</v>
      </c>
      <c r="F7178">
        <f t="shared" si="449"/>
        <v>-51.498999999999995</v>
      </c>
      <c r="G7178">
        <v>491.16699999999997</v>
      </c>
      <c r="H7178">
        <v>6.577</v>
      </c>
      <c r="I7178">
        <v>1.339</v>
      </c>
      <c r="J7178">
        <v>9</v>
      </c>
      <c r="K7178">
        <v>94</v>
      </c>
      <c r="L7178">
        <v>47</v>
      </c>
      <c r="M7178" s="1">
        <v>9000000000</v>
      </c>
    </row>
    <row r="7179" spans="1:13" ht="15" customHeight="1">
      <c r="A7179" t="s">
        <v>73</v>
      </c>
      <c r="B7179">
        <f t="shared" si="446"/>
        <v>33.695031999999998</v>
      </c>
      <c r="C7179">
        <f t="shared" si="447"/>
        <v>-117.85844899999999</v>
      </c>
      <c r="D7179">
        <f t="shared" si="448"/>
        <v>37</v>
      </c>
      <c r="E7179">
        <v>89.498999999999995</v>
      </c>
      <c r="F7179">
        <f t="shared" si="449"/>
        <v>-52.498999999999995</v>
      </c>
      <c r="G7179">
        <v>446.06700000000001</v>
      </c>
      <c r="H7179">
        <v>6.1269999999999998</v>
      </c>
      <c r="I7179">
        <v>1.3740000000000001</v>
      </c>
      <c r="J7179">
        <v>9</v>
      </c>
      <c r="K7179">
        <v>85</v>
      </c>
      <c r="L7179">
        <v>43</v>
      </c>
      <c r="M7179" s="1">
        <v>9000000000</v>
      </c>
    </row>
    <row r="7180" spans="1:13" ht="15" customHeight="1">
      <c r="A7180" t="s">
        <v>73</v>
      </c>
      <c r="B7180">
        <f t="shared" si="446"/>
        <v>33.695031999999998</v>
      </c>
      <c r="C7180">
        <f t="shared" si="447"/>
        <v>-117.85844899999999</v>
      </c>
      <c r="D7180">
        <f t="shared" si="448"/>
        <v>37</v>
      </c>
      <c r="E7180">
        <v>90.498999999999995</v>
      </c>
      <c r="F7180">
        <f t="shared" si="449"/>
        <v>-53.498999999999995</v>
      </c>
      <c r="G7180">
        <v>299.5</v>
      </c>
      <c r="H7180">
        <v>4.84</v>
      </c>
      <c r="I7180">
        <v>1.617</v>
      </c>
      <c r="J7180">
        <v>8</v>
      </c>
      <c r="K7180">
        <v>72</v>
      </c>
      <c r="L7180">
        <v>36</v>
      </c>
      <c r="M7180" s="1">
        <v>9000000000</v>
      </c>
    </row>
    <row r="7181" spans="1:13" ht="15" customHeight="1">
      <c r="A7181" t="s">
        <v>74</v>
      </c>
      <c r="B7181">
        <f t="shared" si="446"/>
        <v>33.695875000000001</v>
      </c>
      <c r="C7181">
        <f t="shared" si="447"/>
        <v>-117.85823600000001</v>
      </c>
      <c r="D7181">
        <f t="shared" si="448"/>
        <v>38</v>
      </c>
      <c r="E7181">
        <v>0.5</v>
      </c>
      <c r="F7181">
        <f t="shared" si="449"/>
        <v>37.5</v>
      </c>
      <c r="G7181">
        <v>24.016999999999999</v>
      </c>
      <c r="H7181">
        <v>1.0269999999999999</v>
      </c>
      <c r="I7181">
        <v>4.1959999999999997</v>
      </c>
      <c r="J7181">
        <v>4</v>
      </c>
      <c r="K7181">
        <v>16</v>
      </c>
      <c r="L7181">
        <v>24</v>
      </c>
      <c r="M7181">
        <v>1.629</v>
      </c>
    </row>
    <row r="7182" spans="1:13" ht="15" customHeight="1">
      <c r="A7182" t="s">
        <v>74</v>
      </c>
      <c r="B7182">
        <f t="shared" si="446"/>
        <v>33.695875000000001</v>
      </c>
      <c r="C7182">
        <f t="shared" si="447"/>
        <v>-117.85823600000001</v>
      </c>
      <c r="D7182">
        <f t="shared" si="448"/>
        <v>38</v>
      </c>
      <c r="E7182">
        <v>1.5</v>
      </c>
      <c r="F7182">
        <f t="shared" si="449"/>
        <v>36.5</v>
      </c>
      <c r="G7182">
        <v>33.15</v>
      </c>
      <c r="H7182">
        <v>1.4119999999999999</v>
      </c>
      <c r="I7182">
        <v>4.1159999999999997</v>
      </c>
      <c r="J7182">
        <v>4</v>
      </c>
      <c r="K7182">
        <v>22</v>
      </c>
      <c r="L7182">
        <v>33</v>
      </c>
      <c r="M7182">
        <v>2.2799999999999998</v>
      </c>
    </row>
    <row r="7183" spans="1:13" ht="15" customHeight="1">
      <c r="A7183" t="s">
        <v>74</v>
      </c>
      <c r="B7183">
        <f t="shared" si="446"/>
        <v>33.695875000000001</v>
      </c>
      <c r="C7183">
        <f t="shared" si="447"/>
        <v>-117.85823600000001</v>
      </c>
      <c r="D7183">
        <f t="shared" si="448"/>
        <v>38</v>
      </c>
      <c r="E7183">
        <v>2.5</v>
      </c>
      <c r="F7183">
        <f t="shared" si="449"/>
        <v>35.5</v>
      </c>
      <c r="G7183">
        <v>17.067</v>
      </c>
      <c r="H7183">
        <v>0.79200000000000004</v>
      </c>
      <c r="I7183">
        <v>4.5890000000000004</v>
      </c>
      <c r="J7183">
        <v>3</v>
      </c>
      <c r="K7183">
        <v>17</v>
      </c>
      <c r="L7183">
        <v>26</v>
      </c>
      <c r="M7183">
        <v>1.1399999999999999</v>
      </c>
    </row>
    <row r="7184" spans="1:13" ht="15" customHeight="1">
      <c r="A7184" t="s">
        <v>74</v>
      </c>
      <c r="B7184">
        <f t="shared" si="446"/>
        <v>33.695875000000001</v>
      </c>
      <c r="C7184">
        <f t="shared" si="447"/>
        <v>-117.85823600000001</v>
      </c>
      <c r="D7184">
        <f t="shared" si="448"/>
        <v>38</v>
      </c>
      <c r="E7184">
        <v>3.5</v>
      </c>
      <c r="F7184">
        <f t="shared" si="449"/>
        <v>34.5</v>
      </c>
      <c r="G7184">
        <v>20.983000000000001</v>
      </c>
      <c r="H7184">
        <v>1.05</v>
      </c>
      <c r="I7184">
        <v>4.968</v>
      </c>
      <c r="J7184">
        <v>3</v>
      </c>
      <c r="K7184">
        <v>20</v>
      </c>
      <c r="L7184">
        <v>30</v>
      </c>
      <c r="M7184">
        <v>1.3939999999999999</v>
      </c>
    </row>
    <row r="7185" spans="1:13" ht="15" customHeight="1">
      <c r="A7185" t="s">
        <v>74</v>
      </c>
      <c r="B7185">
        <f t="shared" si="446"/>
        <v>33.695875000000001</v>
      </c>
      <c r="C7185">
        <f t="shared" si="447"/>
        <v>-117.85823600000001</v>
      </c>
      <c r="D7185">
        <f t="shared" si="448"/>
        <v>38</v>
      </c>
      <c r="E7185">
        <v>4.5</v>
      </c>
      <c r="F7185">
        <f t="shared" si="449"/>
        <v>33.5</v>
      </c>
      <c r="G7185">
        <v>19.382999999999999</v>
      </c>
      <c r="H7185">
        <v>1.0569999999999999</v>
      </c>
      <c r="I7185">
        <v>5.4420000000000002</v>
      </c>
      <c r="J7185">
        <v>3</v>
      </c>
      <c r="K7185">
        <v>19</v>
      </c>
      <c r="L7185">
        <v>29</v>
      </c>
      <c r="M7185">
        <v>1.276</v>
      </c>
    </row>
    <row r="7186" spans="1:13" ht="15" customHeight="1">
      <c r="A7186" t="s">
        <v>74</v>
      </c>
      <c r="B7186">
        <f t="shared" si="446"/>
        <v>33.695875000000001</v>
      </c>
      <c r="C7186">
        <f t="shared" si="447"/>
        <v>-117.85823600000001</v>
      </c>
      <c r="D7186">
        <f t="shared" si="448"/>
        <v>38</v>
      </c>
      <c r="E7186">
        <v>5.5</v>
      </c>
      <c r="F7186">
        <f t="shared" si="449"/>
        <v>32.5</v>
      </c>
      <c r="G7186">
        <v>16.216999999999999</v>
      </c>
      <c r="H7186">
        <v>0.80700000000000005</v>
      </c>
      <c r="I7186">
        <v>4.9740000000000002</v>
      </c>
      <c r="J7186">
        <v>3</v>
      </c>
      <c r="K7186">
        <v>16</v>
      </c>
      <c r="L7186">
        <v>24</v>
      </c>
      <c r="M7186">
        <v>1.0580000000000001</v>
      </c>
    </row>
    <row r="7187" spans="1:13" ht="15" customHeight="1">
      <c r="A7187" t="s">
        <v>74</v>
      </c>
      <c r="B7187">
        <f t="shared" si="446"/>
        <v>33.695875000000001</v>
      </c>
      <c r="C7187">
        <f t="shared" si="447"/>
        <v>-117.85823600000001</v>
      </c>
      <c r="D7187">
        <f t="shared" si="448"/>
        <v>38</v>
      </c>
      <c r="E7187">
        <v>6.5</v>
      </c>
      <c r="F7187">
        <f t="shared" si="449"/>
        <v>31.5</v>
      </c>
      <c r="G7187">
        <v>8.6999999999999993</v>
      </c>
      <c r="H7187">
        <v>0.44500000000000001</v>
      </c>
      <c r="I7187">
        <v>5.125</v>
      </c>
      <c r="J7187">
        <v>3</v>
      </c>
      <c r="K7187">
        <v>8</v>
      </c>
      <c r="L7187">
        <v>12</v>
      </c>
      <c r="M7187">
        <v>0.55200000000000005</v>
      </c>
    </row>
    <row r="7188" spans="1:13" ht="15" customHeight="1">
      <c r="A7188" t="s">
        <v>74</v>
      </c>
      <c r="B7188">
        <f t="shared" si="446"/>
        <v>33.695875000000001</v>
      </c>
      <c r="C7188">
        <f t="shared" si="447"/>
        <v>-117.85823600000001</v>
      </c>
      <c r="D7188">
        <f t="shared" si="448"/>
        <v>38</v>
      </c>
      <c r="E7188">
        <v>7.5</v>
      </c>
      <c r="F7188">
        <f t="shared" si="449"/>
        <v>30.5</v>
      </c>
      <c r="G7188">
        <v>5.5670000000000002</v>
      </c>
      <c r="H7188">
        <v>0.248</v>
      </c>
      <c r="I7188">
        <v>4.4349999999999996</v>
      </c>
      <c r="J7188">
        <v>3</v>
      </c>
      <c r="K7188">
        <v>5</v>
      </c>
      <c r="L7188">
        <v>8</v>
      </c>
      <c r="M7188">
        <v>0.34200000000000003</v>
      </c>
    </row>
    <row r="7189" spans="1:13" ht="15" customHeight="1">
      <c r="A7189" t="s">
        <v>74</v>
      </c>
      <c r="B7189">
        <f t="shared" si="446"/>
        <v>33.695875000000001</v>
      </c>
      <c r="C7189">
        <f t="shared" si="447"/>
        <v>-117.85823600000001</v>
      </c>
      <c r="D7189">
        <f t="shared" si="448"/>
        <v>38</v>
      </c>
      <c r="E7189">
        <v>8.5</v>
      </c>
      <c r="F7189">
        <f t="shared" si="449"/>
        <v>29.5</v>
      </c>
      <c r="G7189">
        <v>7.2</v>
      </c>
      <c r="H7189">
        <v>0.23499999999999999</v>
      </c>
      <c r="I7189">
        <v>3.234</v>
      </c>
      <c r="J7189">
        <v>3</v>
      </c>
      <c r="K7189">
        <v>7</v>
      </c>
      <c r="L7189">
        <v>11</v>
      </c>
      <c r="M7189">
        <v>0.44900000000000001</v>
      </c>
    </row>
    <row r="7190" spans="1:13" ht="15" customHeight="1">
      <c r="A7190" t="s">
        <v>74</v>
      </c>
      <c r="B7190">
        <f t="shared" si="446"/>
        <v>33.695875000000001</v>
      </c>
      <c r="C7190">
        <f t="shared" si="447"/>
        <v>-117.85823600000001</v>
      </c>
      <c r="D7190">
        <f t="shared" si="448"/>
        <v>38</v>
      </c>
      <c r="E7190">
        <v>9.5</v>
      </c>
      <c r="F7190">
        <f t="shared" si="449"/>
        <v>28.5</v>
      </c>
      <c r="G7190">
        <v>9.5830000000000002</v>
      </c>
      <c r="H7190">
        <v>0.36499999999999999</v>
      </c>
      <c r="I7190">
        <v>3.7690000000000001</v>
      </c>
      <c r="J7190">
        <v>3</v>
      </c>
      <c r="K7190">
        <v>9</v>
      </c>
      <c r="L7190">
        <v>14</v>
      </c>
      <c r="M7190">
        <v>0.60699999999999998</v>
      </c>
    </row>
    <row r="7191" spans="1:13" ht="15" customHeight="1">
      <c r="A7191" t="s">
        <v>74</v>
      </c>
      <c r="B7191">
        <f t="shared" si="446"/>
        <v>33.695875000000001</v>
      </c>
      <c r="C7191">
        <f t="shared" si="447"/>
        <v>-117.85823600000001</v>
      </c>
      <c r="D7191">
        <f t="shared" si="448"/>
        <v>38</v>
      </c>
      <c r="E7191">
        <v>10.5</v>
      </c>
      <c r="F7191">
        <f t="shared" si="449"/>
        <v>27.5</v>
      </c>
      <c r="G7191">
        <v>10.114000000000001</v>
      </c>
      <c r="H7191">
        <v>0.40899999999999997</v>
      </c>
      <c r="I7191">
        <v>4</v>
      </c>
      <c r="J7191">
        <v>3</v>
      </c>
      <c r="K7191">
        <v>10</v>
      </c>
      <c r="L7191">
        <v>14</v>
      </c>
      <c r="M7191">
        <v>0.63800000000000001</v>
      </c>
    </row>
    <row r="7192" spans="1:13" ht="15" customHeight="1">
      <c r="A7192" t="s">
        <v>74</v>
      </c>
      <c r="B7192">
        <f t="shared" si="446"/>
        <v>33.695875000000001</v>
      </c>
      <c r="C7192">
        <f t="shared" si="447"/>
        <v>-117.85823600000001</v>
      </c>
      <c r="D7192">
        <f t="shared" si="448"/>
        <v>38</v>
      </c>
      <c r="E7192">
        <v>11.5</v>
      </c>
      <c r="F7192">
        <f t="shared" si="449"/>
        <v>26.5</v>
      </c>
      <c r="G7192">
        <v>9.2170000000000005</v>
      </c>
      <c r="H7192">
        <v>0.377</v>
      </c>
      <c r="I7192">
        <v>4.0430000000000001</v>
      </c>
      <c r="J7192">
        <v>3</v>
      </c>
      <c r="K7192">
        <v>9</v>
      </c>
      <c r="L7192">
        <v>12</v>
      </c>
      <c r="M7192">
        <v>0.57399999999999995</v>
      </c>
    </row>
    <row r="7193" spans="1:13" ht="15" customHeight="1">
      <c r="A7193" t="s">
        <v>74</v>
      </c>
      <c r="B7193">
        <f t="shared" si="446"/>
        <v>33.695875000000001</v>
      </c>
      <c r="C7193">
        <f t="shared" si="447"/>
        <v>-117.85823600000001</v>
      </c>
      <c r="D7193">
        <f t="shared" si="448"/>
        <v>38</v>
      </c>
      <c r="E7193">
        <v>12.5</v>
      </c>
      <c r="F7193">
        <f t="shared" si="449"/>
        <v>25.5</v>
      </c>
      <c r="G7193">
        <v>7.95</v>
      </c>
      <c r="H7193">
        <v>0.30499999999999999</v>
      </c>
      <c r="I7193">
        <v>3.7890000000000001</v>
      </c>
      <c r="J7193">
        <v>3</v>
      </c>
      <c r="K7193">
        <v>8</v>
      </c>
      <c r="L7193">
        <v>10</v>
      </c>
      <c r="M7193">
        <v>0.48599999999999999</v>
      </c>
    </row>
    <row r="7194" spans="1:13" ht="15" customHeight="1">
      <c r="A7194" t="s">
        <v>74</v>
      </c>
      <c r="B7194">
        <f t="shared" si="446"/>
        <v>33.695875000000001</v>
      </c>
      <c r="C7194">
        <f t="shared" si="447"/>
        <v>-117.85823600000001</v>
      </c>
      <c r="D7194">
        <f t="shared" si="448"/>
        <v>38</v>
      </c>
      <c r="E7194">
        <v>13.5</v>
      </c>
      <c r="F7194">
        <f t="shared" si="449"/>
        <v>24.5</v>
      </c>
      <c r="G7194">
        <v>9.65</v>
      </c>
      <c r="H7194">
        <v>0.32500000000000001</v>
      </c>
      <c r="I7194">
        <v>3.3220000000000001</v>
      </c>
      <c r="J7194">
        <v>4</v>
      </c>
      <c r="K7194">
        <v>6</v>
      </c>
      <c r="L7194">
        <v>7</v>
      </c>
      <c r="M7194">
        <v>0.59699999999999998</v>
      </c>
    </row>
    <row r="7195" spans="1:13" ht="15" customHeight="1">
      <c r="A7195" t="s">
        <v>74</v>
      </c>
      <c r="B7195">
        <f t="shared" si="446"/>
        <v>33.695875000000001</v>
      </c>
      <c r="C7195">
        <f t="shared" si="447"/>
        <v>-117.85823600000001</v>
      </c>
      <c r="D7195">
        <f t="shared" si="448"/>
        <v>38</v>
      </c>
      <c r="E7195">
        <v>14.5</v>
      </c>
      <c r="F7195">
        <f t="shared" si="449"/>
        <v>23.5</v>
      </c>
      <c r="G7195">
        <v>12.667</v>
      </c>
      <c r="H7195">
        <v>0.56000000000000005</v>
      </c>
      <c r="I7195">
        <v>4.3810000000000002</v>
      </c>
      <c r="J7195">
        <v>3</v>
      </c>
      <c r="K7195">
        <v>12</v>
      </c>
      <c r="L7195">
        <v>13</v>
      </c>
      <c r="M7195">
        <v>0.79300000000000004</v>
      </c>
    </row>
    <row r="7196" spans="1:13" ht="15" customHeight="1">
      <c r="A7196" t="s">
        <v>74</v>
      </c>
      <c r="B7196">
        <f t="shared" si="446"/>
        <v>33.695875000000001</v>
      </c>
      <c r="C7196">
        <f t="shared" si="447"/>
        <v>-117.85823600000001</v>
      </c>
      <c r="D7196">
        <f t="shared" si="448"/>
        <v>38</v>
      </c>
      <c r="E7196">
        <v>15.5</v>
      </c>
      <c r="F7196">
        <f t="shared" si="449"/>
        <v>22.5</v>
      </c>
      <c r="G7196">
        <v>9.9499999999999993</v>
      </c>
      <c r="H7196">
        <v>0.44800000000000001</v>
      </c>
      <c r="I7196">
        <v>4.4610000000000003</v>
      </c>
      <c r="J7196">
        <v>3</v>
      </c>
      <c r="K7196">
        <v>10</v>
      </c>
      <c r="L7196">
        <v>10</v>
      </c>
      <c r="M7196">
        <v>0.60699999999999998</v>
      </c>
    </row>
    <row r="7197" spans="1:13" ht="15" customHeight="1">
      <c r="A7197" t="s">
        <v>74</v>
      </c>
      <c r="B7197">
        <f t="shared" si="446"/>
        <v>33.695875000000001</v>
      </c>
      <c r="C7197">
        <f t="shared" si="447"/>
        <v>-117.85823600000001</v>
      </c>
      <c r="D7197">
        <f t="shared" si="448"/>
        <v>38</v>
      </c>
      <c r="E7197">
        <v>16.5</v>
      </c>
      <c r="F7197">
        <f t="shared" si="449"/>
        <v>21.5</v>
      </c>
      <c r="G7197">
        <v>14.117000000000001</v>
      </c>
      <c r="H7197">
        <v>0.57199999999999995</v>
      </c>
      <c r="I7197">
        <v>4.0259999999999998</v>
      </c>
      <c r="J7197">
        <v>3</v>
      </c>
      <c r="K7197">
        <v>14</v>
      </c>
      <c r="L7197">
        <v>14</v>
      </c>
      <c r="M7197">
        <v>0.879</v>
      </c>
    </row>
    <row r="7198" spans="1:13" ht="15" customHeight="1">
      <c r="A7198" t="s">
        <v>74</v>
      </c>
      <c r="B7198">
        <f t="shared" si="446"/>
        <v>33.695875000000001</v>
      </c>
      <c r="C7198">
        <f t="shared" si="447"/>
        <v>-117.85823600000001</v>
      </c>
      <c r="D7198">
        <f t="shared" si="448"/>
        <v>38</v>
      </c>
      <c r="E7198">
        <v>17.5</v>
      </c>
      <c r="F7198">
        <f t="shared" si="449"/>
        <v>20.5</v>
      </c>
      <c r="G7198">
        <v>19.582999999999998</v>
      </c>
      <c r="H7198">
        <v>0.91800000000000004</v>
      </c>
      <c r="I7198">
        <v>4.6660000000000004</v>
      </c>
      <c r="J7198">
        <v>3</v>
      </c>
      <c r="K7198">
        <v>19</v>
      </c>
      <c r="L7198">
        <v>18</v>
      </c>
      <c r="M7198">
        <v>1.2410000000000001</v>
      </c>
    </row>
    <row r="7199" spans="1:13" ht="15" customHeight="1">
      <c r="A7199" t="s">
        <v>74</v>
      </c>
      <c r="B7199">
        <f t="shared" si="446"/>
        <v>33.695875000000001</v>
      </c>
      <c r="C7199">
        <f t="shared" si="447"/>
        <v>-117.85823600000001</v>
      </c>
      <c r="D7199">
        <f t="shared" si="448"/>
        <v>38</v>
      </c>
      <c r="E7199">
        <v>18.5</v>
      </c>
      <c r="F7199">
        <f t="shared" si="449"/>
        <v>19.5</v>
      </c>
      <c r="G7199">
        <v>16.55</v>
      </c>
      <c r="H7199">
        <v>0.52200000000000002</v>
      </c>
      <c r="I7199">
        <v>3.1429999999999998</v>
      </c>
      <c r="J7199">
        <v>5</v>
      </c>
      <c r="K7199">
        <v>8</v>
      </c>
      <c r="L7199">
        <v>7</v>
      </c>
      <c r="M7199">
        <v>1.0309999999999999</v>
      </c>
    </row>
    <row r="7200" spans="1:13" ht="15" customHeight="1">
      <c r="A7200" t="s">
        <v>74</v>
      </c>
      <c r="B7200">
        <f t="shared" si="446"/>
        <v>33.695875000000001</v>
      </c>
      <c r="C7200">
        <f t="shared" si="447"/>
        <v>-117.85823600000001</v>
      </c>
      <c r="D7200">
        <f t="shared" si="448"/>
        <v>38</v>
      </c>
      <c r="E7200">
        <v>19.5</v>
      </c>
      <c r="F7200">
        <f t="shared" si="449"/>
        <v>18.5</v>
      </c>
      <c r="G7200">
        <v>36.216999999999999</v>
      </c>
      <c r="H7200">
        <v>0.78800000000000003</v>
      </c>
      <c r="I7200">
        <v>2.1680000000000001</v>
      </c>
      <c r="J7200">
        <v>6</v>
      </c>
      <c r="K7200">
        <v>14</v>
      </c>
      <c r="L7200">
        <v>12</v>
      </c>
      <c r="M7200">
        <v>2.3450000000000002</v>
      </c>
    </row>
    <row r="7201" spans="1:13" ht="15" customHeight="1">
      <c r="A7201" t="s">
        <v>74</v>
      </c>
      <c r="B7201">
        <f t="shared" si="446"/>
        <v>33.695875000000001</v>
      </c>
      <c r="C7201">
        <f t="shared" si="447"/>
        <v>-117.85823600000001</v>
      </c>
      <c r="D7201">
        <f t="shared" si="448"/>
        <v>38</v>
      </c>
      <c r="E7201">
        <v>20.5</v>
      </c>
      <c r="F7201">
        <f t="shared" si="449"/>
        <v>17.5</v>
      </c>
      <c r="G7201">
        <v>43.843000000000004</v>
      </c>
      <c r="H7201">
        <v>1.591</v>
      </c>
      <c r="I7201">
        <v>3.6240000000000001</v>
      </c>
      <c r="J7201">
        <v>5</v>
      </c>
      <c r="K7201">
        <v>21</v>
      </c>
      <c r="L7201">
        <v>18</v>
      </c>
      <c r="M7201">
        <v>2.8439999999999999</v>
      </c>
    </row>
    <row r="7202" spans="1:13" ht="15" customHeight="1">
      <c r="A7202" t="s">
        <v>74</v>
      </c>
      <c r="B7202">
        <f t="shared" si="446"/>
        <v>33.695875000000001</v>
      </c>
      <c r="C7202">
        <f t="shared" si="447"/>
        <v>-117.85823600000001</v>
      </c>
      <c r="D7202">
        <f t="shared" si="448"/>
        <v>38</v>
      </c>
      <c r="E7202">
        <v>21.5</v>
      </c>
      <c r="F7202">
        <f t="shared" si="449"/>
        <v>16.5</v>
      </c>
      <c r="G7202">
        <v>37.433</v>
      </c>
      <c r="H7202">
        <v>1.337</v>
      </c>
      <c r="I7202">
        <v>3.56</v>
      </c>
      <c r="J7202">
        <v>5</v>
      </c>
      <c r="K7202">
        <v>18</v>
      </c>
      <c r="L7202">
        <v>15</v>
      </c>
      <c r="M7202">
        <v>2.415</v>
      </c>
    </row>
    <row r="7203" spans="1:13" ht="15" customHeight="1">
      <c r="A7203" t="s">
        <v>74</v>
      </c>
      <c r="B7203">
        <f t="shared" si="446"/>
        <v>33.695875000000001</v>
      </c>
      <c r="C7203">
        <f t="shared" si="447"/>
        <v>-117.85823600000001</v>
      </c>
      <c r="D7203">
        <f t="shared" si="448"/>
        <v>38</v>
      </c>
      <c r="E7203">
        <v>22.5</v>
      </c>
      <c r="F7203">
        <f t="shared" si="449"/>
        <v>15.5</v>
      </c>
      <c r="G7203">
        <v>26.367000000000001</v>
      </c>
      <c r="H7203">
        <v>1.38</v>
      </c>
      <c r="I7203">
        <v>5.2110000000000003</v>
      </c>
      <c r="J7203">
        <v>3</v>
      </c>
      <c r="K7203">
        <v>25</v>
      </c>
      <c r="L7203">
        <v>19</v>
      </c>
      <c r="M7203">
        <v>1.673</v>
      </c>
    </row>
    <row r="7204" spans="1:13" ht="15" customHeight="1">
      <c r="A7204" t="s">
        <v>74</v>
      </c>
      <c r="B7204">
        <f t="shared" si="446"/>
        <v>33.695875000000001</v>
      </c>
      <c r="C7204">
        <f t="shared" si="447"/>
        <v>-117.85823600000001</v>
      </c>
      <c r="D7204">
        <f t="shared" si="448"/>
        <v>38</v>
      </c>
      <c r="E7204">
        <v>23.5</v>
      </c>
      <c r="F7204">
        <f t="shared" si="449"/>
        <v>14.5</v>
      </c>
      <c r="G7204">
        <v>21.483000000000001</v>
      </c>
      <c r="H7204">
        <v>1.05</v>
      </c>
      <c r="I7204">
        <v>4.8650000000000002</v>
      </c>
      <c r="J7204">
        <v>3</v>
      </c>
      <c r="K7204">
        <v>21</v>
      </c>
      <c r="L7204">
        <v>16</v>
      </c>
      <c r="M7204">
        <v>1.343</v>
      </c>
    </row>
    <row r="7205" spans="1:13" ht="15" customHeight="1">
      <c r="A7205" t="s">
        <v>74</v>
      </c>
      <c r="B7205">
        <f t="shared" si="446"/>
        <v>33.695875000000001</v>
      </c>
      <c r="C7205">
        <f t="shared" si="447"/>
        <v>-117.85823600000001</v>
      </c>
      <c r="D7205">
        <f t="shared" si="448"/>
        <v>38</v>
      </c>
      <c r="E7205">
        <v>24.5</v>
      </c>
      <c r="F7205">
        <f t="shared" si="449"/>
        <v>13.5</v>
      </c>
      <c r="G7205">
        <v>39.567</v>
      </c>
      <c r="H7205">
        <v>1.2849999999999999</v>
      </c>
      <c r="I7205">
        <v>3.2450000000000001</v>
      </c>
      <c r="J7205">
        <v>5</v>
      </c>
      <c r="K7205">
        <v>19</v>
      </c>
      <c r="L7205">
        <v>14</v>
      </c>
      <c r="M7205">
        <v>2.54</v>
      </c>
    </row>
    <row r="7206" spans="1:13" ht="15" customHeight="1">
      <c r="A7206" t="s">
        <v>74</v>
      </c>
      <c r="B7206">
        <f t="shared" si="446"/>
        <v>33.695875000000001</v>
      </c>
      <c r="C7206">
        <f t="shared" si="447"/>
        <v>-117.85823600000001</v>
      </c>
      <c r="D7206">
        <f t="shared" si="448"/>
        <v>38</v>
      </c>
      <c r="E7206">
        <v>25.5</v>
      </c>
      <c r="F7206">
        <f t="shared" si="449"/>
        <v>12.5</v>
      </c>
      <c r="G7206">
        <v>30.983000000000001</v>
      </c>
      <c r="H7206">
        <v>0.77</v>
      </c>
      <c r="I7206">
        <v>2.4950000000000001</v>
      </c>
      <c r="J7206">
        <v>6</v>
      </c>
      <c r="K7206">
        <v>12</v>
      </c>
      <c r="L7206">
        <v>9</v>
      </c>
      <c r="M7206">
        <v>1.9530000000000001</v>
      </c>
    </row>
    <row r="7207" spans="1:13" ht="15" customHeight="1">
      <c r="A7207" t="s">
        <v>74</v>
      </c>
      <c r="B7207">
        <f t="shared" si="446"/>
        <v>33.695875000000001</v>
      </c>
      <c r="C7207">
        <f t="shared" si="447"/>
        <v>-117.85823600000001</v>
      </c>
      <c r="D7207">
        <f t="shared" si="448"/>
        <v>38</v>
      </c>
      <c r="E7207">
        <v>26.5</v>
      </c>
      <c r="F7207">
        <f t="shared" si="449"/>
        <v>11.5</v>
      </c>
      <c r="G7207">
        <v>88.132999999999996</v>
      </c>
      <c r="H7207">
        <v>2.8330000000000002</v>
      </c>
      <c r="I7207">
        <v>3.22</v>
      </c>
      <c r="J7207">
        <v>6</v>
      </c>
      <c r="K7207">
        <v>34</v>
      </c>
      <c r="L7207">
        <v>24</v>
      </c>
      <c r="M7207">
        <v>5.758</v>
      </c>
    </row>
    <row r="7208" spans="1:13" ht="15" customHeight="1">
      <c r="A7208" t="s">
        <v>74</v>
      </c>
      <c r="B7208">
        <f t="shared" si="446"/>
        <v>33.695875000000001</v>
      </c>
      <c r="C7208">
        <f t="shared" si="447"/>
        <v>-117.85823600000001</v>
      </c>
      <c r="D7208">
        <f t="shared" si="448"/>
        <v>38</v>
      </c>
      <c r="E7208">
        <v>27.5</v>
      </c>
      <c r="F7208">
        <f t="shared" si="449"/>
        <v>10.5</v>
      </c>
      <c r="G7208">
        <v>52.5</v>
      </c>
      <c r="H7208">
        <v>2.0019999999999998</v>
      </c>
      <c r="I7208">
        <v>3.8239999999999998</v>
      </c>
      <c r="J7208">
        <v>5</v>
      </c>
      <c r="K7208">
        <v>25</v>
      </c>
      <c r="L7208">
        <v>17</v>
      </c>
      <c r="M7208">
        <v>3.3769999999999998</v>
      </c>
    </row>
    <row r="7209" spans="1:13" ht="15" customHeight="1">
      <c r="A7209" t="s">
        <v>74</v>
      </c>
      <c r="B7209">
        <f t="shared" si="446"/>
        <v>33.695875000000001</v>
      </c>
      <c r="C7209">
        <f t="shared" si="447"/>
        <v>-117.85823600000001</v>
      </c>
      <c r="D7209">
        <f t="shared" si="448"/>
        <v>38</v>
      </c>
      <c r="E7209">
        <v>28.5</v>
      </c>
      <c r="F7209">
        <f t="shared" si="449"/>
        <v>9.5</v>
      </c>
      <c r="G7209">
        <v>61.917000000000002</v>
      </c>
      <c r="H7209">
        <v>2.2149999999999999</v>
      </c>
      <c r="I7209">
        <v>3.5859999999999999</v>
      </c>
      <c r="J7209">
        <v>5</v>
      </c>
      <c r="K7209">
        <v>30</v>
      </c>
      <c r="L7209">
        <v>20</v>
      </c>
      <c r="M7209">
        <v>4.0010000000000003</v>
      </c>
    </row>
    <row r="7210" spans="1:13" ht="15" customHeight="1">
      <c r="A7210" t="s">
        <v>74</v>
      </c>
      <c r="B7210">
        <f t="shared" si="446"/>
        <v>33.695875000000001</v>
      </c>
      <c r="C7210">
        <f t="shared" si="447"/>
        <v>-117.85823600000001</v>
      </c>
      <c r="D7210">
        <f t="shared" si="448"/>
        <v>38</v>
      </c>
      <c r="E7210">
        <v>29.5</v>
      </c>
      <c r="F7210">
        <f t="shared" si="449"/>
        <v>8.5</v>
      </c>
      <c r="G7210">
        <v>166.88300000000001</v>
      </c>
      <c r="H7210">
        <v>3.1280000000000001</v>
      </c>
      <c r="I7210">
        <v>1.8759999999999999</v>
      </c>
      <c r="J7210">
        <v>7</v>
      </c>
      <c r="K7210">
        <v>53</v>
      </c>
      <c r="L7210">
        <v>36</v>
      </c>
      <c r="M7210" s="1">
        <v>9000000000</v>
      </c>
    </row>
    <row r="7211" spans="1:13" ht="15" customHeight="1">
      <c r="A7211" t="s">
        <v>74</v>
      </c>
      <c r="B7211">
        <f t="shared" si="446"/>
        <v>33.695875000000001</v>
      </c>
      <c r="C7211">
        <f t="shared" si="447"/>
        <v>-117.85823600000001</v>
      </c>
      <c r="D7211">
        <f t="shared" si="448"/>
        <v>38</v>
      </c>
      <c r="E7211">
        <v>30.5</v>
      </c>
      <c r="F7211">
        <f t="shared" si="449"/>
        <v>7.5</v>
      </c>
      <c r="G7211">
        <v>84.382999999999996</v>
      </c>
      <c r="H7211">
        <v>4.32</v>
      </c>
      <c r="I7211">
        <v>5.1260000000000003</v>
      </c>
      <c r="J7211">
        <v>11</v>
      </c>
      <c r="K7211">
        <v>81</v>
      </c>
      <c r="L7211">
        <v>54</v>
      </c>
      <c r="M7211" s="1">
        <v>9000000000</v>
      </c>
    </row>
    <row r="7212" spans="1:13" ht="15" customHeight="1">
      <c r="A7212" t="s">
        <v>74</v>
      </c>
      <c r="B7212">
        <f t="shared" si="446"/>
        <v>33.695875000000001</v>
      </c>
      <c r="C7212">
        <f t="shared" si="447"/>
        <v>-117.85823600000001</v>
      </c>
      <c r="D7212">
        <f t="shared" si="448"/>
        <v>38</v>
      </c>
      <c r="E7212">
        <v>31.5</v>
      </c>
      <c r="F7212">
        <f t="shared" si="449"/>
        <v>6.5</v>
      </c>
      <c r="G7212">
        <v>128.55699999999999</v>
      </c>
      <c r="H7212">
        <v>2.581</v>
      </c>
      <c r="I7212">
        <v>2.0099999999999998</v>
      </c>
      <c r="J7212">
        <v>7</v>
      </c>
      <c r="K7212">
        <v>41</v>
      </c>
      <c r="L7212">
        <v>27</v>
      </c>
      <c r="M7212" s="1">
        <v>9000000000</v>
      </c>
    </row>
    <row r="7213" spans="1:13" ht="15" customHeight="1">
      <c r="A7213" t="s">
        <v>74</v>
      </c>
      <c r="B7213">
        <f t="shared" si="446"/>
        <v>33.695875000000001</v>
      </c>
      <c r="C7213">
        <f t="shared" si="447"/>
        <v>-117.85823600000001</v>
      </c>
      <c r="D7213">
        <f t="shared" si="448"/>
        <v>38</v>
      </c>
      <c r="E7213">
        <v>32.5</v>
      </c>
      <c r="F7213">
        <f t="shared" si="449"/>
        <v>5.5</v>
      </c>
      <c r="G7213">
        <v>198.05</v>
      </c>
      <c r="H7213">
        <v>2.532</v>
      </c>
      <c r="I7213">
        <v>1.278</v>
      </c>
      <c r="J7213">
        <v>8</v>
      </c>
      <c r="K7213">
        <v>47</v>
      </c>
      <c r="L7213">
        <v>30</v>
      </c>
      <c r="M7213" s="1">
        <v>9000000000</v>
      </c>
    </row>
    <row r="7214" spans="1:13" ht="15" customHeight="1">
      <c r="A7214" t="s">
        <v>74</v>
      </c>
      <c r="B7214">
        <f t="shared" si="446"/>
        <v>33.695875000000001</v>
      </c>
      <c r="C7214">
        <f t="shared" si="447"/>
        <v>-117.85823600000001</v>
      </c>
      <c r="D7214">
        <f t="shared" si="448"/>
        <v>38</v>
      </c>
      <c r="E7214">
        <v>33.5</v>
      </c>
      <c r="F7214">
        <f t="shared" si="449"/>
        <v>4.5</v>
      </c>
      <c r="G7214">
        <v>195.05</v>
      </c>
      <c r="H7214">
        <v>2.6819999999999999</v>
      </c>
      <c r="I7214">
        <v>1.3740000000000001</v>
      </c>
      <c r="J7214">
        <v>8</v>
      </c>
      <c r="K7214">
        <v>47</v>
      </c>
      <c r="L7214">
        <v>30</v>
      </c>
      <c r="M7214" s="1">
        <v>9000000000</v>
      </c>
    </row>
    <row r="7215" spans="1:13" ht="15" customHeight="1">
      <c r="A7215" t="s">
        <v>74</v>
      </c>
      <c r="B7215">
        <f t="shared" si="446"/>
        <v>33.695875000000001</v>
      </c>
      <c r="C7215">
        <f t="shared" si="447"/>
        <v>-117.85823600000001</v>
      </c>
      <c r="D7215">
        <f t="shared" si="448"/>
        <v>38</v>
      </c>
      <c r="E7215">
        <v>34.5</v>
      </c>
      <c r="F7215">
        <f t="shared" si="449"/>
        <v>3.5</v>
      </c>
      <c r="G7215">
        <v>134.44999999999999</v>
      </c>
      <c r="H7215">
        <v>2.5779999999999998</v>
      </c>
      <c r="I7215">
        <v>1.9179999999999999</v>
      </c>
      <c r="J7215">
        <v>7</v>
      </c>
      <c r="K7215">
        <v>43</v>
      </c>
      <c r="L7215">
        <v>27</v>
      </c>
      <c r="M7215" s="1">
        <v>9000000000</v>
      </c>
    </row>
    <row r="7216" spans="1:13" ht="15" customHeight="1">
      <c r="A7216" t="s">
        <v>74</v>
      </c>
      <c r="B7216">
        <f t="shared" si="446"/>
        <v>33.695875000000001</v>
      </c>
      <c r="C7216">
        <f t="shared" si="447"/>
        <v>-117.85823600000001</v>
      </c>
      <c r="D7216">
        <f t="shared" si="448"/>
        <v>38</v>
      </c>
      <c r="E7216">
        <v>35.5</v>
      </c>
      <c r="F7216">
        <f t="shared" si="449"/>
        <v>2.5</v>
      </c>
      <c r="G7216">
        <v>45.183</v>
      </c>
      <c r="H7216">
        <v>2.2250000000000001</v>
      </c>
      <c r="I7216">
        <v>4.8810000000000002</v>
      </c>
      <c r="J7216">
        <v>4</v>
      </c>
      <c r="K7216">
        <v>29</v>
      </c>
      <c r="L7216">
        <v>18</v>
      </c>
      <c r="M7216">
        <v>2.8929999999999998</v>
      </c>
    </row>
    <row r="7217" spans="1:13" ht="15" customHeight="1">
      <c r="A7217" t="s">
        <v>74</v>
      </c>
      <c r="B7217">
        <f t="shared" si="446"/>
        <v>33.695875000000001</v>
      </c>
      <c r="C7217">
        <f t="shared" si="447"/>
        <v>-117.85823600000001</v>
      </c>
      <c r="D7217">
        <f t="shared" si="448"/>
        <v>38</v>
      </c>
      <c r="E7217">
        <v>36.5</v>
      </c>
      <c r="F7217">
        <f t="shared" si="449"/>
        <v>1.5</v>
      </c>
      <c r="G7217">
        <v>19.783000000000001</v>
      </c>
      <c r="H7217">
        <v>0.92</v>
      </c>
      <c r="I7217">
        <v>4.6740000000000004</v>
      </c>
      <c r="J7217">
        <v>3</v>
      </c>
      <c r="K7217">
        <v>19</v>
      </c>
      <c r="L7217">
        <v>12</v>
      </c>
      <c r="M7217">
        <v>1.1619999999999999</v>
      </c>
    </row>
    <row r="7218" spans="1:13" ht="15" customHeight="1">
      <c r="A7218" t="s">
        <v>74</v>
      </c>
      <c r="B7218">
        <f t="shared" si="446"/>
        <v>33.695875000000001</v>
      </c>
      <c r="C7218">
        <f t="shared" si="447"/>
        <v>-117.85823600000001</v>
      </c>
      <c r="D7218">
        <f t="shared" si="448"/>
        <v>38</v>
      </c>
      <c r="E7218">
        <v>37.5</v>
      </c>
      <c r="F7218">
        <f t="shared" si="449"/>
        <v>0.5</v>
      </c>
      <c r="G7218">
        <v>35.917000000000002</v>
      </c>
      <c r="H7218">
        <v>1.702</v>
      </c>
      <c r="I7218">
        <v>4.7489999999999997</v>
      </c>
      <c r="J7218">
        <v>4</v>
      </c>
      <c r="K7218">
        <v>23</v>
      </c>
      <c r="L7218">
        <v>14</v>
      </c>
      <c r="M7218">
        <v>2.234</v>
      </c>
    </row>
    <row r="7219" spans="1:13" ht="15" customHeight="1">
      <c r="A7219" t="s">
        <v>74</v>
      </c>
      <c r="B7219">
        <f t="shared" si="446"/>
        <v>33.695875000000001</v>
      </c>
      <c r="C7219">
        <f t="shared" si="447"/>
        <v>-117.85823600000001</v>
      </c>
      <c r="D7219">
        <f t="shared" si="448"/>
        <v>38</v>
      </c>
      <c r="E7219">
        <v>38.5</v>
      </c>
      <c r="F7219">
        <f t="shared" si="449"/>
        <v>-0.5</v>
      </c>
      <c r="G7219">
        <v>31.483000000000001</v>
      </c>
      <c r="H7219">
        <v>1.6779999999999999</v>
      </c>
      <c r="I7219">
        <v>5.3479999999999999</v>
      </c>
      <c r="J7219">
        <v>3</v>
      </c>
      <c r="K7219">
        <v>30</v>
      </c>
      <c r="L7219">
        <v>18</v>
      </c>
      <c r="M7219">
        <v>1.9339999999999999</v>
      </c>
    </row>
    <row r="7220" spans="1:13" ht="15" customHeight="1">
      <c r="A7220" t="s">
        <v>74</v>
      </c>
      <c r="B7220">
        <f t="shared" si="446"/>
        <v>33.695875000000001</v>
      </c>
      <c r="C7220">
        <f t="shared" si="447"/>
        <v>-117.85823600000001</v>
      </c>
      <c r="D7220">
        <f t="shared" si="448"/>
        <v>38</v>
      </c>
      <c r="E7220">
        <v>39.5</v>
      </c>
      <c r="F7220">
        <f t="shared" si="449"/>
        <v>-1.5</v>
      </c>
      <c r="G7220">
        <v>30.55</v>
      </c>
      <c r="H7220">
        <v>1.4019999999999999</v>
      </c>
      <c r="I7220">
        <v>4.5979999999999999</v>
      </c>
      <c r="J7220">
        <v>4</v>
      </c>
      <c r="K7220">
        <v>19</v>
      </c>
      <c r="L7220">
        <v>11</v>
      </c>
      <c r="M7220">
        <v>1.869</v>
      </c>
    </row>
    <row r="7221" spans="1:13" ht="15" customHeight="1">
      <c r="A7221" t="s">
        <v>74</v>
      </c>
      <c r="B7221">
        <f t="shared" si="446"/>
        <v>33.695875000000001</v>
      </c>
      <c r="C7221">
        <f t="shared" si="447"/>
        <v>-117.85823600000001</v>
      </c>
      <c r="D7221">
        <f t="shared" si="448"/>
        <v>38</v>
      </c>
      <c r="E7221">
        <v>40.5</v>
      </c>
      <c r="F7221">
        <f t="shared" si="449"/>
        <v>-2.5</v>
      </c>
      <c r="G7221">
        <v>43.283000000000001</v>
      </c>
      <c r="H7221">
        <v>1.8420000000000001</v>
      </c>
      <c r="I7221">
        <v>4.2629999999999999</v>
      </c>
      <c r="J7221">
        <v>4</v>
      </c>
      <c r="K7221">
        <v>28</v>
      </c>
      <c r="L7221">
        <v>16</v>
      </c>
      <c r="M7221">
        <v>2.7130000000000001</v>
      </c>
    </row>
    <row r="7222" spans="1:13" ht="15" customHeight="1">
      <c r="A7222" t="s">
        <v>74</v>
      </c>
      <c r="B7222">
        <f t="shared" si="446"/>
        <v>33.695875000000001</v>
      </c>
      <c r="C7222">
        <f t="shared" si="447"/>
        <v>-117.85823600000001</v>
      </c>
      <c r="D7222">
        <f t="shared" si="448"/>
        <v>38</v>
      </c>
      <c r="E7222">
        <v>41.499000000000002</v>
      </c>
      <c r="F7222">
        <f t="shared" si="449"/>
        <v>-3.4990000000000023</v>
      </c>
      <c r="G7222">
        <v>35.386000000000003</v>
      </c>
      <c r="H7222">
        <v>1.3959999999999999</v>
      </c>
      <c r="I7222">
        <v>3.9409999999999998</v>
      </c>
      <c r="J7222">
        <v>5</v>
      </c>
      <c r="K7222">
        <v>17</v>
      </c>
      <c r="L7222">
        <v>10</v>
      </c>
      <c r="M7222">
        <v>2.19</v>
      </c>
    </row>
    <row r="7223" spans="1:13" ht="15" customHeight="1">
      <c r="A7223" t="s">
        <v>74</v>
      </c>
      <c r="B7223">
        <f t="shared" si="446"/>
        <v>33.695875000000001</v>
      </c>
      <c r="C7223">
        <f t="shared" si="447"/>
        <v>-117.85823600000001</v>
      </c>
      <c r="D7223">
        <f t="shared" si="448"/>
        <v>38</v>
      </c>
      <c r="E7223">
        <v>42.499000000000002</v>
      </c>
      <c r="F7223">
        <f t="shared" si="449"/>
        <v>-4.4990000000000023</v>
      </c>
      <c r="G7223">
        <v>83.95</v>
      </c>
      <c r="H7223">
        <v>2.593</v>
      </c>
      <c r="I7223">
        <v>3.09</v>
      </c>
      <c r="J7223">
        <v>6</v>
      </c>
      <c r="K7223">
        <v>32</v>
      </c>
      <c r="L7223">
        <v>18</v>
      </c>
      <c r="M7223">
        <v>5.42</v>
      </c>
    </row>
    <row r="7224" spans="1:13" ht="15" customHeight="1">
      <c r="A7224" t="s">
        <v>74</v>
      </c>
      <c r="B7224">
        <f t="shared" si="446"/>
        <v>33.695875000000001</v>
      </c>
      <c r="C7224">
        <f t="shared" si="447"/>
        <v>-117.85823600000001</v>
      </c>
      <c r="D7224">
        <f t="shared" si="448"/>
        <v>38</v>
      </c>
      <c r="E7224">
        <v>43.499000000000002</v>
      </c>
      <c r="F7224">
        <f t="shared" si="449"/>
        <v>-5.4990000000000023</v>
      </c>
      <c r="G7224">
        <v>19.367000000000001</v>
      </c>
      <c r="H7224">
        <v>0.83499999999999996</v>
      </c>
      <c r="I7224">
        <v>4.2969999999999997</v>
      </c>
      <c r="J7224">
        <v>3</v>
      </c>
      <c r="K7224">
        <v>19</v>
      </c>
      <c r="L7224">
        <v>11</v>
      </c>
      <c r="M7224">
        <v>1.1160000000000001</v>
      </c>
    </row>
    <row r="7225" spans="1:13" ht="15" customHeight="1">
      <c r="A7225" t="s">
        <v>74</v>
      </c>
      <c r="B7225">
        <f t="shared" si="446"/>
        <v>33.695875000000001</v>
      </c>
      <c r="C7225">
        <f t="shared" si="447"/>
        <v>-117.85823600000001</v>
      </c>
      <c r="D7225">
        <f t="shared" si="448"/>
        <v>38</v>
      </c>
      <c r="E7225">
        <v>44.499000000000002</v>
      </c>
      <c r="F7225">
        <f t="shared" si="449"/>
        <v>-6.4990000000000023</v>
      </c>
      <c r="G7225">
        <v>20.117000000000001</v>
      </c>
      <c r="H7225">
        <v>1.042</v>
      </c>
      <c r="I7225">
        <v>5.1189999999999998</v>
      </c>
      <c r="J7225">
        <v>3</v>
      </c>
      <c r="K7225">
        <v>19</v>
      </c>
      <c r="L7225">
        <v>11</v>
      </c>
      <c r="M7225">
        <v>1.173</v>
      </c>
    </row>
    <row r="7226" spans="1:13" ht="15" customHeight="1">
      <c r="A7226" t="s">
        <v>74</v>
      </c>
      <c r="B7226">
        <f t="shared" si="446"/>
        <v>33.695875000000001</v>
      </c>
      <c r="C7226">
        <f t="shared" si="447"/>
        <v>-117.85823600000001</v>
      </c>
      <c r="D7226">
        <f t="shared" si="448"/>
        <v>38</v>
      </c>
      <c r="E7226">
        <v>45.499000000000002</v>
      </c>
      <c r="F7226">
        <f t="shared" si="449"/>
        <v>-7.4990000000000023</v>
      </c>
      <c r="G7226">
        <v>44.817</v>
      </c>
      <c r="H7226">
        <v>1.538</v>
      </c>
      <c r="I7226">
        <v>3.415</v>
      </c>
      <c r="J7226">
        <v>5</v>
      </c>
      <c r="K7226">
        <v>22</v>
      </c>
      <c r="L7226">
        <v>12</v>
      </c>
      <c r="M7226">
        <v>2.8159999999999998</v>
      </c>
    </row>
    <row r="7227" spans="1:13" ht="15" customHeight="1">
      <c r="A7227" t="s">
        <v>74</v>
      </c>
      <c r="B7227">
        <f t="shared" si="446"/>
        <v>33.695875000000001</v>
      </c>
      <c r="C7227">
        <f t="shared" si="447"/>
        <v>-117.85823600000001</v>
      </c>
      <c r="D7227">
        <f t="shared" si="448"/>
        <v>38</v>
      </c>
      <c r="E7227">
        <v>46.499000000000002</v>
      </c>
      <c r="F7227">
        <f t="shared" si="449"/>
        <v>-8.4990000000000023</v>
      </c>
      <c r="G7227">
        <v>34.433</v>
      </c>
      <c r="H7227">
        <v>1.7430000000000001</v>
      </c>
      <c r="I7227">
        <v>5.0510000000000002</v>
      </c>
      <c r="J7227">
        <v>3</v>
      </c>
      <c r="K7227">
        <v>33</v>
      </c>
      <c r="L7227">
        <v>18</v>
      </c>
      <c r="M7227">
        <v>2.109</v>
      </c>
    </row>
    <row r="7228" spans="1:13" ht="15" customHeight="1">
      <c r="A7228" t="s">
        <v>74</v>
      </c>
      <c r="B7228">
        <f t="shared" si="446"/>
        <v>33.695875000000001</v>
      </c>
      <c r="C7228">
        <f t="shared" si="447"/>
        <v>-117.85823600000001</v>
      </c>
      <c r="D7228">
        <f t="shared" si="448"/>
        <v>38</v>
      </c>
      <c r="E7228">
        <v>47.499000000000002</v>
      </c>
      <c r="F7228">
        <f t="shared" si="449"/>
        <v>-9.4990000000000023</v>
      </c>
      <c r="G7228">
        <v>198.517</v>
      </c>
      <c r="H7228">
        <v>3.323</v>
      </c>
      <c r="I7228">
        <v>1.673</v>
      </c>
      <c r="J7228">
        <v>8</v>
      </c>
      <c r="K7228">
        <v>48</v>
      </c>
      <c r="L7228">
        <v>26</v>
      </c>
      <c r="M7228" s="1">
        <v>9000000000</v>
      </c>
    </row>
    <row r="7229" spans="1:13" ht="15" customHeight="1">
      <c r="A7229" t="s">
        <v>74</v>
      </c>
      <c r="B7229">
        <f t="shared" si="446"/>
        <v>33.695875000000001</v>
      </c>
      <c r="C7229">
        <f t="shared" si="447"/>
        <v>-117.85823600000001</v>
      </c>
      <c r="D7229">
        <f t="shared" si="448"/>
        <v>38</v>
      </c>
      <c r="E7229">
        <v>48.499000000000002</v>
      </c>
      <c r="F7229">
        <f t="shared" si="449"/>
        <v>-10.499000000000002</v>
      </c>
      <c r="G7229">
        <v>260.39999999999998</v>
      </c>
      <c r="H7229">
        <v>2.82</v>
      </c>
      <c r="I7229">
        <v>1.0820000000000001</v>
      </c>
      <c r="J7229">
        <v>9</v>
      </c>
      <c r="K7229">
        <v>50</v>
      </c>
      <c r="L7229">
        <v>27</v>
      </c>
      <c r="M7229" s="1">
        <v>9000000000</v>
      </c>
    </row>
    <row r="7230" spans="1:13" ht="15" customHeight="1">
      <c r="A7230" t="s">
        <v>74</v>
      </c>
      <c r="B7230">
        <f t="shared" si="446"/>
        <v>33.695875000000001</v>
      </c>
      <c r="C7230">
        <f t="shared" si="447"/>
        <v>-117.85823600000001</v>
      </c>
      <c r="D7230">
        <f t="shared" si="448"/>
        <v>38</v>
      </c>
      <c r="E7230">
        <v>49.499000000000002</v>
      </c>
      <c r="F7230">
        <f t="shared" si="449"/>
        <v>-11.499000000000002</v>
      </c>
      <c r="G7230">
        <v>215.2</v>
      </c>
      <c r="H7230">
        <v>2.2919999999999998</v>
      </c>
      <c r="I7230">
        <v>1.0640000000000001</v>
      </c>
      <c r="J7230">
        <v>9</v>
      </c>
      <c r="K7230">
        <v>41</v>
      </c>
      <c r="L7230">
        <v>22</v>
      </c>
      <c r="M7230" s="1">
        <v>9000000000</v>
      </c>
    </row>
    <row r="7231" spans="1:13" ht="15" customHeight="1">
      <c r="A7231" t="s">
        <v>74</v>
      </c>
      <c r="B7231">
        <f t="shared" si="446"/>
        <v>33.695875000000001</v>
      </c>
      <c r="C7231">
        <f t="shared" si="447"/>
        <v>-117.85823600000001</v>
      </c>
      <c r="D7231">
        <f t="shared" si="448"/>
        <v>38</v>
      </c>
      <c r="E7231">
        <v>50.499000000000002</v>
      </c>
      <c r="F7231">
        <f t="shared" si="449"/>
        <v>-12.499000000000002</v>
      </c>
      <c r="G7231">
        <v>31.132999999999999</v>
      </c>
      <c r="H7231">
        <v>0.80200000000000005</v>
      </c>
      <c r="I7231">
        <v>2.508</v>
      </c>
      <c r="J7231">
        <v>6</v>
      </c>
      <c r="K7231">
        <v>12</v>
      </c>
      <c r="L7231">
        <v>6</v>
      </c>
      <c r="M7231">
        <v>1.9219999999999999</v>
      </c>
    </row>
    <row r="7232" spans="1:13" ht="15" customHeight="1">
      <c r="A7232" t="s">
        <v>74</v>
      </c>
      <c r="B7232">
        <f t="shared" si="446"/>
        <v>33.695875000000001</v>
      </c>
      <c r="C7232">
        <f t="shared" si="447"/>
        <v>-117.85823600000001</v>
      </c>
      <c r="D7232">
        <f t="shared" si="448"/>
        <v>38</v>
      </c>
      <c r="E7232">
        <v>51.499000000000002</v>
      </c>
      <c r="F7232">
        <f t="shared" si="449"/>
        <v>-13.499000000000002</v>
      </c>
      <c r="G7232">
        <v>29.766999999999999</v>
      </c>
      <c r="H7232">
        <v>0.872</v>
      </c>
      <c r="I7232">
        <v>2.8180000000000001</v>
      </c>
      <c r="J7232">
        <v>6</v>
      </c>
      <c r="K7232">
        <v>12</v>
      </c>
      <c r="L7232">
        <v>6</v>
      </c>
      <c r="M7232">
        <v>1.849</v>
      </c>
    </row>
    <row r="7233" spans="1:13" ht="15" customHeight="1">
      <c r="A7233" t="s">
        <v>74</v>
      </c>
      <c r="B7233">
        <f t="shared" si="446"/>
        <v>33.695875000000001</v>
      </c>
      <c r="C7233">
        <f t="shared" si="447"/>
        <v>-117.85823600000001</v>
      </c>
      <c r="D7233">
        <f t="shared" si="448"/>
        <v>38</v>
      </c>
      <c r="E7233">
        <v>52.499000000000002</v>
      </c>
      <c r="F7233">
        <f t="shared" si="449"/>
        <v>-14.499000000000002</v>
      </c>
      <c r="G7233">
        <v>72.971000000000004</v>
      </c>
      <c r="H7233">
        <v>2.9729999999999999</v>
      </c>
      <c r="I7233">
        <v>4.0540000000000003</v>
      </c>
      <c r="J7233">
        <v>5</v>
      </c>
      <c r="K7233">
        <v>35</v>
      </c>
      <c r="L7233">
        <v>18</v>
      </c>
      <c r="M7233">
        <v>4.6719999999999997</v>
      </c>
    </row>
    <row r="7234" spans="1:13" ht="15" customHeight="1">
      <c r="A7234" t="s">
        <v>74</v>
      </c>
      <c r="B7234">
        <f t="shared" ref="B7234:B7297" si="450">VLOOKUP(A7234,XYdata,3,FALSE)</f>
        <v>33.695875000000001</v>
      </c>
      <c r="C7234">
        <f t="shared" ref="C7234:C7297" si="451">VLOOKUP(A7234,XYdata,2,FALSE)</f>
        <v>-117.85823600000001</v>
      </c>
      <c r="D7234">
        <f t="shared" ref="D7234:D7297" si="452">VLOOKUP(A7234,Elevation,2,FALSE)</f>
        <v>38</v>
      </c>
      <c r="E7234">
        <v>53.499000000000002</v>
      </c>
      <c r="F7234">
        <f t="shared" si="449"/>
        <v>-15.499000000000002</v>
      </c>
      <c r="G7234">
        <v>29.382999999999999</v>
      </c>
      <c r="H7234">
        <v>1.29</v>
      </c>
      <c r="I7234">
        <v>4.4080000000000004</v>
      </c>
      <c r="J7234">
        <v>4</v>
      </c>
      <c r="K7234">
        <v>19</v>
      </c>
      <c r="L7234">
        <v>10</v>
      </c>
      <c r="M7234">
        <v>1.73</v>
      </c>
    </row>
    <row r="7235" spans="1:13" ht="15" customHeight="1">
      <c r="A7235" t="s">
        <v>74</v>
      </c>
      <c r="B7235">
        <f t="shared" si="450"/>
        <v>33.695875000000001</v>
      </c>
      <c r="C7235">
        <f t="shared" si="451"/>
        <v>-117.85823600000001</v>
      </c>
      <c r="D7235">
        <f t="shared" si="452"/>
        <v>38</v>
      </c>
      <c r="E7235">
        <v>54.499000000000002</v>
      </c>
      <c r="F7235">
        <f t="shared" ref="F7235:F7298" si="453">D7235-E7235</f>
        <v>-16.499000000000002</v>
      </c>
      <c r="G7235">
        <v>18.966999999999999</v>
      </c>
      <c r="H7235">
        <v>0.53</v>
      </c>
      <c r="I7235">
        <v>2.7970000000000002</v>
      </c>
      <c r="J7235">
        <v>5</v>
      </c>
      <c r="K7235">
        <v>9</v>
      </c>
      <c r="L7235">
        <v>5</v>
      </c>
      <c r="M7235">
        <v>1.038</v>
      </c>
    </row>
    <row r="7236" spans="1:13" ht="15" customHeight="1">
      <c r="A7236" t="s">
        <v>74</v>
      </c>
      <c r="B7236">
        <f t="shared" si="450"/>
        <v>33.695875000000001</v>
      </c>
      <c r="C7236">
        <f t="shared" si="451"/>
        <v>-117.85823600000001</v>
      </c>
      <c r="D7236">
        <f t="shared" si="452"/>
        <v>38</v>
      </c>
      <c r="E7236">
        <v>55.499000000000002</v>
      </c>
      <c r="F7236">
        <f t="shared" si="453"/>
        <v>-17.499000000000002</v>
      </c>
      <c r="G7236">
        <v>20.350000000000001</v>
      </c>
      <c r="H7236">
        <v>0.63300000000000001</v>
      </c>
      <c r="I7236">
        <v>3.1</v>
      </c>
      <c r="J7236">
        <v>5</v>
      </c>
      <c r="K7236">
        <v>10</v>
      </c>
      <c r="L7236">
        <v>5</v>
      </c>
      <c r="M7236">
        <v>1.133</v>
      </c>
    </row>
    <row r="7237" spans="1:13" ht="15" customHeight="1">
      <c r="A7237" t="s">
        <v>74</v>
      </c>
      <c r="B7237">
        <f t="shared" si="450"/>
        <v>33.695875000000001</v>
      </c>
      <c r="C7237">
        <f t="shared" si="451"/>
        <v>-117.85823600000001</v>
      </c>
      <c r="D7237">
        <f t="shared" si="452"/>
        <v>38</v>
      </c>
      <c r="E7237">
        <v>56.499000000000002</v>
      </c>
      <c r="F7237">
        <f t="shared" si="453"/>
        <v>-18.499000000000002</v>
      </c>
      <c r="G7237">
        <v>22.867000000000001</v>
      </c>
      <c r="H7237">
        <v>0.66</v>
      </c>
      <c r="I7237">
        <v>2.867</v>
      </c>
      <c r="J7237">
        <v>5</v>
      </c>
      <c r="K7237">
        <v>11</v>
      </c>
      <c r="L7237">
        <v>6</v>
      </c>
      <c r="M7237">
        <v>1.3009999999999999</v>
      </c>
    </row>
    <row r="7238" spans="1:13" ht="15" customHeight="1">
      <c r="A7238" t="s">
        <v>74</v>
      </c>
      <c r="B7238">
        <f t="shared" si="450"/>
        <v>33.695875000000001</v>
      </c>
      <c r="C7238">
        <f t="shared" si="451"/>
        <v>-117.85823600000001</v>
      </c>
      <c r="D7238">
        <f t="shared" si="452"/>
        <v>38</v>
      </c>
      <c r="E7238">
        <v>57.499000000000002</v>
      </c>
      <c r="F7238">
        <f t="shared" si="453"/>
        <v>-19.499000000000002</v>
      </c>
      <c r="G7238">
        <v>27.483000000000001</v>
      </c>
      <c r="H7238">
        <v>1.1850000000000001</v>
      </c>
      <c r="I7238">
        <v>4.173</v>
      </c>
      <c r="J7238">
        <v>4</v>
      </c>
      <c r="K7238">
        <v>18</v>
      </c>
      <c r="L7238">
        <v>9</v>
      </c>
      <c r="M7238">
        <v>1.6559999999999999</v>
      </c>
    </row>
    <row r="7239" spans="1:13" ht="15" customHeight="1">
      <c r="A7239" t="s">
        <v>74</v>
      </c>
      <c r="B7239">
        <f t="shared" si="450"/>
        <v>33.695875000000001</v>
      </c>
      <c r="C7239">
        <f t="shared" si="451"/>
        <v>-117.85823600000001</v>
      </c>
      <c r="D7239">
        <f t="shared" si="452"/>
        <v>38</v>
      </c>
      <c r="E7239">
        <v>58.499000000000002</v>
      </c>
      <c r="F7239">
        <f t="shared" si="453"/>
        <v>-20.499000000000002</v>
      </c>
      <c r="G7239">
        <v>92.716999999999999</v>
      </c>
      <c r="H7239">
        <v>2.585</v>
      </c>
      <c r="I7239">
        <v>2.782</v>
      </c>
      <c r="J7239">
        <v>6</v>
      </c>
      <c r="K7239">
        <v>36</v>
      </c>
      <c r="L7239">
        <v>18</v>
      </c>
      <c r="M7239">
        <v>5.9539999999999997</v>
      </c>
    </row>
    <row r="7240" spans="1:13" ht="15" customHeight="1">
      <c r="A7240" t="s">
        <v>74</v>
      </c>
      <c r="B7240">
        <f t="shared" si="450"/>
        <v>33.695875000000001</v>
      </c>
      <c r="C7240">
        <f t="shared" si="451"/>
        <v>-117.85823600000001</v>
      </c>
      <c r="D7240">
        <f t="shared" si="452"/>
        <v>38</v>
      </c>
      <c r="E7240">
        <v>59.499000000000002</v>
      </c>
      <c r="F7240">
        <f t="shared" si="453"/>
        <v>-21.499000000000002</v>
      </c>
      <c r="G7240">
        <v>55.3</v>
      </c>
      <c r="H7240">
        <v>1.6819999999999999</v>
      </c>
      <c r="I7240">
        <v>3.0459999999999998</v>
      </c>
      <c r="J7240">
        <v>6</v>
      </c>
      <c r="K7240">
        <v>21</v>
      </c>
      <c r="L7240">
        <v>11</v>
      </c>
      <c r="M7240">
        <v>3.4340000000000002</v>
      </c>
    </row>
    <row r="7241" spans="1:13" ht="15" customHeight="1">
      <c r="A7241" t="s">
        <v>74</v>
      </c>
      <c r="B7241">
        <f t="shared" si="450"/>
        <v>33.695875000000001</v>
      </c>
      <c r="C7241">
        <f t="shared" si="451"/>
        <v>-117.85823600000001</v>
      </c>
      <c r="D7241">
        <f t="shared" si="452"/>
        <v>38</v>
      </c>
      <c r="E7241">
        <v>60.499000000000002</v>
      </c>
      <c r="F7241">
        <f t="shared" si="453"/>
        <v>-22.499000000000002</v>
      </c>
      <c r="G7241">
        <v>39.299999999999997</v>
      </c>
      <c r="H7241">
        <v>1.5580000000000001</v>
      </c>
      <c r="I7241">
        <v>3.9670000000000001</v>
      </c>
      <c r="J7241">
        <v>5</v>
      </c>
      <c r="K7241">
        <v>19</v>
      </c>
      <c r="L7241">
        <v>10</v>
      </c>
      <c r="M7241">
        <v>2.3690000000000002</v>
      </c>
    </row>
    <row r="7242" spans="1:13" ht="15" customHeight="1">
      <c r="A7242" t="s">
        <v>74</v>
      </c>
      <c r="B7242">
        <f t="shared" si="450"/>
        <v>33.695875000000001</v>
      </c>
      <c r="C7242">
        <f t="shared" si="451"/>
        <v>-117.85823600000001</v>
      </c>
      <c r="D7242">
        <f t="shared" si="452"/>
        <v>38</v>
      </c>
      <c r="E7242">
        <v>61.499000000000002</v>
      </c>
      <c r="F7242">
        <f t="shared" si="453"/>
        <v>-23.499000000000002</v>
      </c>
      <c r="G7242">
        <v>25.332999999999998</v>
      </c>
      <c r="H7242">
        <v>0.83499999999999996</v>
      </c>
      <c r="I7242">
        <v>3.2810000000000001</v>
      </c>
      <c r="J7242">
        <v>5</v>
      </c>
      <c r="K7242">
        <v>12</v>
      </c>
      <c r="L7242">
        <v>6</v>
      </c>
      <c r="M7242">
        <v>1.4419999999999999</v>
      </c>
    </row>
    <row r="7243" spans="1:13" ht="15" customHeight="1">
      <c r="A7243" t="s">
        <v>74</v>
      </c>
      <c r="B7243">
        <f t="shared" si="450"/>
        <v>33.695875000000001</v>
      </c>
      <c r="C7243">
        <f t="shared" si="451"/>
        <v>-117.85823600000001</v>
      </c>
      <c r="D7243">
        <f t="shared" si="452"/>
        <v>38</v>
      </c>
      <c r="E7243">
        <v>62.499000000000002</v>
      </c>
      <c r="F7243">
        <f t="shared" si="453"/>
        <v>-24.499000000000002</v>
      </c>
      <c r="G7243">
        <v>24.742999999999999</v>
      </c>
      <c r="H7243">
        <v>0.61599999999999999</v>
      </c>
      <c r="I7243">
        <v>2.4460000000000002</v>
      </c>
      <c r="J7243">
        <v>6</v>
      </c>
      <c r="K7243">
        <v>10</v>
      </c>
      <c r="L7243">
        <v>5</v>
      </c>
      <c r="M7243">
        <v>1.42</v>
      </c>
    </row>
    <row r="7244" spans="1:13" ht="15" customHeight="1">
      <c r="A7244" t="s">
        <v>74</v>
      </c>
      <c r="B7244">
        <f t="shared" si="450"/>
        <v>33.695875000000001</v>
      </c>
      <c r="C7244">
        <f t="shared" si="451"/>
        <v>-117.85823600000001</v>
      </c>
      <c r="D7244">
        <f t="shared" si="452"/>
        <v>38</v>
      </c>
      <c r="E7244">
        <v>63.499000000000002</v>
      </c>
      <c r="F7244">
        <f t="shared" si="453"/>
        <v>-25.499000000000002</v>
      </c>
      <c r="G7244">
        <v>23.117000000000001</v>
      </c>
      <c r="H7244">
        <v>0.755</v>
      </c>
      <c r="I7244">
        <v>3.12</v>
      </c>
      <c r="J7244">
        <v>5</v>
      </c>
      <c r="K7244">
        <v>12</v>
      </c>
      <c r="L7244">
        <v>6</v>
      </c>
      <c r="M7244">
        <v>1.351</v>
      </c>
    </row>
    <row r="7245" spans="1:13" ht="15" customHeight="1">
      <c r="A7245" t="s">
        <v>74</v>
      </c>
      <c r="B7245">
        <f t="shared" si="450"/>
        <v>33.695875000000001</v>
      </c>
      <c r="C7245">
        <f t="shared" si="451"/>
        <v>-117.85823600000001</v>
      </c>
      <c r="D7245">
        <f t="shared" si="452"/>
        <v>38</v>
      </c>
      <c r="E7245">
        <v>64.498999999999995</v>
      </c>
      <c r="F7245">
        <f t="shared" si="453"/>
        <v>-26.498999999999995</v>
      </c>
      <c r="G7245">
        <v>22.6</v>
      </c>
      <c r="H7245">
        <v>0.77200000000000002</v>
      </c>
      <c r="I7245">
        <v>3.2610000000000001</v>
      </c>
      <c r="J7245">
        <v>5</v>
      </c>
      <c r="K7245">
        <v>11</v>
      </c>
      <c r="L7245">
        <v>6</v>
      </c>
      <c r="M7245">
        <v>1.3109999999999999</v>
      </c>
    </row>
    <row r="7246" spans="1:13" ht="15" customHeight="1">
      <c r="A7246" t="s">
        <v>74</v>
      </c>
      <c r="B7246">
        <f t="shared" si="450"/>
        <v>33.695875000000001</v>
      </c>
      <c r="C7246">
        <f t="shared" si="451"/>
        <v>-117.85823600000001</v>
      </c>
      <c r="D7246">
        <f t="shared" si="452"/>
        <v>38</v>
      </c>
      <c r="E7246">
        <v>65.498999999999995</v>
      </c>
      <c r="F7246">
        <f t="shared" si="453"/>
        <v>-27.498999999999995</v>
      </c>
      <c r="G7246">
        <v>27.4</v>
      </c>
      <c r="H7246">
        <v>0.70299999999999996</v>
      </c>
      <c r="I7246">
        <v>2.468</v>
      </c>
      <c r="J7246">
        <v>6</v>
      </c>
      <c r="K7246">
        <v>11</v>
      </c>
      <c r="L7246">
        <v>6</v>
      </c>
      <c r="M7246">
        <v>1.629</v>
      </c>
    </row>
    <row r="7247" spans="1:13" ht="15" customHeight="1">
      <c r="A7247" t="s">
        <v>74</v>
      </c>
      <c r="B7247">
        <f t="shared" si="450"/>
        <v>33.695875000000001</v>
      </c>
      <c r="C7247">
        <f t="shared" si="451"/>
        <v>-117.85823600000001</v>
      </c>
      <c r="D7247">
        <f t="shared" si="452"/>
        <v>38</v>
      </c>
      <c r="E7247">
        <v>66.498999999999995</v>
      </c>
      <c r="F7247">
        <f t="shared" si="453"/>
        <v>-28.498999999999995</v>
      </c>
      <c r="G7247">
        <v>25.716999999999999</v>
      </c>
      <c r="H7247">
        <v>0.82499999999999996</v>
      </c>
      <c r="I7247">
        <v>3.004</v>
      </c>
      <c r="J7247">
        <v>5</v>
      </c>
      <c r="K7247">
        <v>13</v>
      </c>
      <c r="L7247">
        <v>7</v>
      </c>
      <c r="M7247">
        <v>1.556</v>
      </c>
    </row>
    <row r="7248" spans="1:13" ht="15" customHeight="1">
      <c r="A7248" t="s">
        <v>74</v>
      </c>
      <c r="B7248">
        <f t="shared" si="450"/>
        <v>33.695875000000001</v>
      </c>
      <c r="C7248">
        <f t="shared" si="451"/>
        <v>-117.85823600000001</v>
      </c>
      <c r="D7248">
        <f t="shared" si="452"/>
        <v>38</v>
      </c>
      <c r="E7248">
        <v>67.498999999999995</v>
      </c>
      <c r="F7248">
        <f t="shared" si="453"/>
        <v>-29.498999999999995</v>
      </c>
      <c r="G7248">
        <v>58.05</v>
      </c>
      <c r="H7248">
        <v>1.907</v>
      </c>
      <c r="I7248">
        <v>3.24</v>
      </c>
      <c r="J7248">
        <v>6</v>
      </c>
      <c r="K7248">
        <v>23</v>
      </c>
      <c r="L7248">
        <v>12</v>
      </c>
      <c r="M7248">
        <v>3.6440000000000001</v>
      </c>
    </row>
    <row r="7249" spans="1:13" ht="15" customHeight="1">
      <c r="A7249" t="s">
        <v>74</v>
      </c>
      <c r="B7249">
        <f t="shared" si="450"/>
        <v>33.695875000000001</v>
      </c>
      <c r="C7249">
        <f t="shared" si="451"/>
        <v>-117.85823600000001</v>
      </c>
      <c r="D7249">
        <f t="shared" si="452"/>
        <v>38</v>
      </c>
      <c r="E7249">
        <v>68.498999999999995</v>
      </c>
      <c r="F7249">
        <f t="shared" si="453"/>
        <v>-30.498999999999995</v>
      </c>
      <c r="G7249">
        <v>218.35</v>
      </c>
      <c r="H7249">
        <v>2.4350000000000001</v>
      </c>
      <c r="I7249">
        <v>1.1160000000000001</v>
      </c>
      <c r="J7249">
        <v>9</v>
      </c>
      <c r="K7249">
        <v>42</v>
      </c>
      <c r="L7249">
        <v>21</v>
      </c>
      <c r="M7249" s="1">
        <v>9000000000</v>
      </c>
    </row>
    <row r="7250" spans="1:13" ht="15" customHeight="1">
      <c r="A7250" t="s">
        <v>74</v>
      </c>
      <c r="B7250">
        <f t="shared" si="450"/>
        <v>33.695875000000001</v>
      </c>
      <c r="C7250">
        <f t="shared" si="451"/>
        <v>-117.85823600000001</v>
      </c>
      <c r="D7250">
        <f t="shared" si="452"/>
        <v>38</v>
      </c>
      <c r="E7250">
        <v>69.498999999999995</v>
      </c>
      <c r="F7250">
        <f t="shared" si="453"/>
        <v>-31.498999999999995</v>
      </c>
      <c r="G7250">
        <v>64.716999999999999</v>
      </c>
      <c r="H7250">
        <v>1.968</v>
      </c>
      <c r="I7250">
        <v>3.0459999999999998</v>
      </c>
      <c r="J7250">
        <v>6</v>
      </c>
      <c r="K7250">
        <v>25</v>
      </c>
      <c r="L7250">
        <v>13</v>
      </c>
      <c r="M7250">
        <v>4.0199999999999996</v>
      </c>
    </row>
    <row r="7251" spans="1:13" ht="15" customHeight="1">
      <c r="A7251" t="s">
        <v>74</v>
      </c>
      <c r="B7251">
        <f t="shared" si="450"/>
        <v>33.695875000000001</v>
      </c>
      <c r="C7251">
        <f t="shared" si="451"/>
        <v>-117.85823600000001</v>
      </c>
      <c r="D7251">
        <f t="shared" si="452"/>
        <v>38</v>
      </c>
      <c r="E7251">
        <v>70.498999999999995</v>
      </c>
      <c r="F7251">
        <f t="shared" si="453"/>
        <v>-32.498999999999995</v>
      </c>
      <c r="G7251">
        <v>172.233</v>
      </c>
      <c r="H7251">
        <v>5.1630000000000003</v>
      </c>
      <c r="I7251">
        <v>3</v>
      </c>
      <c r="J7251">
        <v>7</v>
      </c>
      <c r="K7251">
        <v>55</v>
      </c>
      <c r="L7251">
        <v>28</v>
      </c>
      <c r="M7251" s="1">
        <v>9000000000</v>
      </c>
    </row>
    <row r="7252" spans="1:13" ht="15" customHeight="1">
      <c r="A7252" t="s">
        <v>74</v>
      </c>
      <c r="B7252">
        <f t="shared" si="450"/>
        <v>33.695875000000001</v>
      </c>
      <c r="C7252">
        <f t="shared" si="451"/>
        <v>-117.85823600000001</v>
      </c>
      <c r="D7252">
        <f t="shared" si="452"/>
        <v>38</v>
      </c>
      <c r="E7252">
        <v>71.498999999999995</v>
      </c>
      <c r="F7252">
        <f t="shared" si="453"/>
        <v>-33.498999999999995</v>
      </c>
      <c r="G7252">
        <v>124.717</v>
      </c>
      <c r="H7252">
        <v>3.3919999999999999</v>
      </c>
      <c r="I7252">
        <v>2.7240000000000002</v>
      </c>
      <c r="J7252">
        <v>7</v>
      </c>
      <c r="K7252">
        <v>40</v>
      </c>
      <c r="L7252">
        <v>20</v>
      </c>
      <c r="M7252" s="1">
        <v>9000000000</v>
      </c>
    </row>
    <row r="7253" spans="1:13" ht="15" customHeight="1">
      <c r="A7253" t="s">
        <v>74</v>
      </c>
      <c r="B7253">
        <f t="shared" si="450"/>
        <v>33.695875000000001</v>
      </c>
      <c r="C7253">
        <f t="shared" si="451"/>
        <v>-117.85823600000001</v>
      </c>
      <c r="D7253">
        <f t="shared" si="452"/>
        <v>38</v>
      </c>
      <c r="E7253">
        <v>72.498999999999995</v>
      </c>
      <c r="F7253">
        <f t="shared" si="453"/>
        <v>-34.498999999999995</v>
      </c>
      <c r="G7253">
        <v>48.756999999999998</v>
      </c>
      <c r="H7253">
        <v>2.1190000000000002</v>
      </c>
      <c r="I7253">
        <v>4.3579999999999997</v>
      </c>
      <c r="J7253">
        <v>4</v>
      </c>
      <c r="K7253">
        <v>31</v>
      </c>
      <c r="L7253">
        <v>16</v>
      </c>
      <c r="M7253">
        <v>2.9409999999999998</v>
      </c>
    </row>
    <row r="7254" spans="1:13" ht="15" customHeight="1">
      <c r="A7254" t="s">
        <v>74</v>
      </c>
      <c r="B7254">
        <f t="shared" si="450"/>
        <v>33.695875000000001</v>
      </c>
      <c r="C7254">
        <f t="shared" si="451"/>
        <v>-117.85823600000001</v>
      </c>
      <c r="D7254">
        <f t="shared" si="452"/>
        <v>38</v>
      </c>
      <c r="E7254">
        <v>73.498999999999995</v>
      </c>
      <c r="F7254">
        <f t="shared" si="453"/>
        <v>-35.498999999999995</v>
      </c>
      <c r="G7254">
        <v>47.317</v>
      </c>
      <c r="H7254">
        <v>2.242</v>
      </c>
      <c r="I7254">
        <v>4.7430000000000003</v>
      </c>
      <c r="J7254">
        <v>4</v>
      </c>
      <c r="K7254">
        <v>30</v>
      </c>
      <c r="L7254">
        <v>15</v>
      </c>
      <c r="M7254">
        <v>2.847</v>
      </c>
    </row>
    <row r="7255" spans="1:13" ht="15" customHeight="1">
      <c r="A7255" t="s">
        <v>74</v>
      </c>
      <c r="B7255">
        <f t="shared" si="450"/>
        <v>33.695875000000001</v>
      </c>
      <c r="C7255">
        <f t="shared" si="451"/>
        <v>-117.85823600000001</v>
      </c>
      <c r="D7255">
        <f t="shared" si="452"/>
        <v>38</v>
      </c>
      <c r="E7255">
        <v>74.498999999999995</v>
      </c>
      <c r="F7255">
        <f t="shared" si="453"/>
        <v>-36.498999999999995</v>
      </c>
      <c r="G7255">
        <v>173.15</v>
      </c>
      <c r="H7255">
        <v>1.6879999999999999</v>
      </c>
      <c r="I7255">
        <v>0.97499999999999998</v>
      </c>
      <c r="J7255">
        <v>9</v>
      </c>
      <c r="K7255">
        <v>33</v>
      </c>
      <c r="L7255">
        <v>17</v>
      </c>
      <c r="M7255" s="1">
        <v>9000000000</v>
      </c>
    </row>
    <row r="7256" spans="1:13" ht="15" customHeight="1">
      <c r="A7256" t="s">
        <v>74</v>
      </c>
      <c r="B7256">
        <f t="shared" si="450"/>
        <v>33.695875000000001</v>
      </c>
      <c r="C7256">
        <f t="shared" si="451"/>
        <v>-117.85823600000001</v>
      </c>
      <c r="D7256">
        <f t="shared" si="452"/>
        <v>38</v>
      </c>
      <c r="E7256">
        <v>75.498999999999995</v>
      </c>
      <c r="F7256">
        <f t="shared" si="453"/>
        <v>-37.498999999999995</v>
      </c>
      <c r="G7256">
        <v>277.95</v>
      </c>
      <c r="H7256">
        <v>4.8330000000000002</v>
      </c>
      <c r="I7256">
        <v>1.7390000000000001</v>
      </c>
      <c r="J7256">
        <v>8</v>
      </c>
      <c r="K7256">
        <v>67</v>
      </c>
      <c r="L7256">
        <v>34</v>
      </c>
      <c r="M7256" s="1">
        <v>9000000000</v>
      </c>
    </row>
    <row r="7257" spans="1:13" ht="15" customHeight="1">
      <c r="A7257" t="s">
        <v>74</v>
      </c>
      <c r="B7257">
        <f t="shared" si="450"/>
        <v>33.695875000000001</v>
      </c>
      <c r="C7257">
        <f t="shared" si="451"/>
        <v>-117.85823600000001</v>
      </c>
      <c r="D7257">
        <f t="shared" si="452"/>
        <v>38</v>
      </c>
      <c r="E7257">
        <v>76.498999999999995</v>
      </c>
      <c r="F7257">
        <f t="shared" si="453"/>
        <v>-38.498999999999995</v>
      </c>
      <c r="G7257">
        <v>127.883</v>
      </c>
      <c r="H7257">
        <v>2.472</v>
      </c>
      <c r="I7257">
        <v>1.929</v>
      </c>
      <c r="J7257">
        <v>7</v>
      </c>
      <c r="K7257">
        <v>41</v>
      </c>
      <c r="L7257">
        <v>21</v>
      </c>
      <c r="M7257" s="1">
        <v>9000000000</v>
      </c>
    </row>
    <row r="7258" spans="1:13" ht="15" customHeight="1">
      <c r="A7258" t="s">
        <v>74</v>
      </c>
      <c r="B7258">
        <f t="shared" si="450"/>
        <v>33.695875000000001</v>
      </c>
      <c r="C7258">
        <f t="shared" si="451"/>
        <v>-117.85823600000001</v>
      </c>
      <c r="D7258">
        <f t="shared" si="452"/>
        <v>38</v>
      </c>
      <c r="E7258">
        <v>77.498999999999995</v>
      </c>
      <c r="F7258">
        <f t="shared" si="453"/>
        <v>-39.498999999999995</v>
      </c>
      <c r="G7258">
        <v>73.766999999999996</v>
      </c>
      <c r="H7258">
        <v>3.2669999999999999</v>
      </c>
      <c r="I7258">
        <v>4.4119999999999999</v>
      </c>
      <c r="J7258">
        <v>5</v>
      </c>
      <c r="K7258">
        <v>35</v>
      </c>
      <c r="L7258">
        <v>18</v>
      </c>
      <c r="M7258">
        <v>4.6150000000000002</v>
      </c>
    </row>
    <row r="7259" spans="1:13" ht="15" customHeight="1">
      <c r="A7259" t="s">
        <v>74</v>
      </c>
      <c r="B7259">
        <f t="shared" si="450"/>
        <v>33.695875000000001</v>
      </c>
      <c r="C7259">
        <f t="shared" si="451"/>
        <v>-117.85823600000001</v>
      </c>
      <c r="D7259">
        <f t="shared" si="452"/>
        <v>38</v>
      </c>
      <c r="E7259">
        <v>78.498999999999995</v>
      </c>
      <c r="F7259">
        <f t="shared" si="453"/>
        <v>-40.498999999999995</v>
      </c>
      <c r="G7259">
        <v>115.95</v>
      </c>
      <c r="H7259">
        <v>3.762</v>
      </c>
      <c r="I7259">
        <v>3.24</v>
      </c>
      <c r="J7259">
        <v>6</v>
      </c>
      <c r="K7259">
        <v>44</v>
      </c>
      <c r="L7259">
        <v>22</v>
      </c>
      <c r="M7259">
        <v>7.415</v>
      </c>
    </row>
    <row r="7260" spans="1:13" ht="15" customHeight="1">
      <c r="A7260" t="s">
        <v>74</v>
      </c>
      <c r="B7260">
        <f t="shared" si="450"/>
        <v>33.695875000000001</v>
      </c>
      <c r="C7260">
        <f t="shared" si="451"/>
        <v>-117.85823600000001</v>
      </c>
      <c r="D7260">
        <f t="shared" si="452"/>
        <v>38</v>
      </c>
      <c r="E7260">
        <v>79.498999999999995</v>
      </c>
      <c r="F7260">
        <f t="shared" si="453"/>
        <v>-41.498999999999995</v>
      </c>
      <c r="G7260">
        <v>266.66699999999997</v>
      </c>
      <c r="H7260">
        <v>3.823</v>
      </c>
      <c r="I7260">
        <v>1.4339999999999999</v>
      </c>
      <c r="J7260">
        <v>8</v>
      </c>
      <c r="K7260">
        <v>64</v>
      </c>
      <c r="L7260">
        <v>32</v>
      </c>
      <c r="M7260" s="1">
        <v>9000000000</v>
      </c>
    </row>
    <row r="7261" spans="1:13" ht="15" customHeight="1">
      <c r="A7261" t="s">
        <v>74</v>
      </c>
      <c r="B7261">
        <f t="shared" si="450"/>
        <v>33.695875000000001</v>
      </c>
      <c r="C7261">
        <f t="shared" si="451"/>
        <v>-117.85823600000001</v>
      </c>
      <c r="D7261">
        <f t="shared" si="452"/>
        <v>38</v>
      </c>
      <c r="E7261">
        <v>80.498999999999995</v>
      </c>
      <c r="F7261">
        <f t="shared" si="453"/>
        <v>-42.498999999999995</v>
      </c>
      <c r="G7261">
        <v>56.216999999999999</v>
      </c>
      <c r="H7261">
        <v>2.125</v>
      </c>
      <c r="I7261">
        <v>3.726</v>
      </c>
      <c r="J7261">
        <v>5</v>
      </c>
      <c r="K7261">
        <v>27</v>
      </c>
      <c r="L7261">
        <v>14</v>
      </c>
      <c r="M7261">
        <v>3.4689999999999999</v>
      </c>
    </row>
    <row r="7262" spans="1:13" ht="15" customHeight="1">
      <c r="A7262" t="s">
        <v>74</v>
      </c>
      <c r="B7262">
        <f t="shared" si="450"/>
        <v>33.695875000000001</v>
      </c>
      <c r="C7262">
        <f t="shared" si="451"/>
        <v>-117.85823600000001</v>
      </c>
      <c r="D7262">
        <f t="shared" si="452"/>
        <v>38</v>
      </c>
      <c r="E7262">
        <v>81.498999999999995</v>
      </c>
      <c r="F7262">
        <f t="shared" si="453"/>
        <v>-43.498999999999995</v>
      </c>
      <c r="G7262">
        <v>77.132999999999996</v>
      </c>
      <c r="H7262">
        <v>2.63</v>
      </c>
      <c r="I7262">
        <v>3.3540000000000001</v>
      </c>
      <c r="J7262">
        <v>6</v>
      </c>
      <c r="K7262">
        <v>30</v>
      </c>
      <c r="L7262">
        <v>15</v>
      </c>
      <c r="M7262">
        <v>4.891</v>
      </c>
    </row>
    <row r="7263" spans="1:13" ht="15" customHeight="1">
      <c r="A7263" t="s">
        <v>74</v>
      </c>
      <c r="B7263">
        <f t="shared" si="450"/>
        <v>33.695875000000001</v>
      </c>
      <c r="C7263">
        <f t="shared" si="451"/>
        <v>-117.85823600000001</v>
      </c>
      <c r="D7263">
        <f t="shared" si="452"/>
        <v>38</v>
      </c>
      <c r="E7263">
        <v>82.498999999999995</v>
      </c>
      <c r="F7263">
        <f t="shared" si="453"/>
        <v>-44.498999999999995</v>
      </c>
      <c r="G7263">
        <v>68.216999999999999</v>
      </c>
      <c r="H7263">
        <v>2.605</v>
      </c>
      <c r="I7263">
        <v>3.7959999999999998</v>
      </c>
      <c r="J7263">
        <v>5</v>
      </c>
      <c r="K7263">
        <v>33</v>
      </c>
      <c r="L7263">
        <v>17</v>
      </c>
      <c r="M7263">
        <v>4.234</v>
      </c>
    </row>
    <row r="7264" spans="1:13" ht="15" customHeight="1">
      <c r="A7264" t="s">
        <v>74</v>
      </c>
      <c r="B7264">
        <f t="shared" si="450"/>
        <v>33.695875000000001</v>
      </c>
      <c r="C7264">
        <f t="shared" si="451"/>
        <v>-117.85823600000001</v>
      </c>
      <c r="D7264">
        <f t="shared" si="452"/>
        <v>38</v>
      </c>
      <c r="E7264">
        <v>83.498999999999995</v>
      </c>
      <c r="F7264">
        <f t="shared" si="453"/>
        <v>-45.498999999999995</v>
      </c>
      <c r="G7264">
        <v>75.686000000000007</v>
      </c>
      <c r="H7264">
        <v>2.9460000000000002</v>
      </c>
      <c r="I7264">
        <v>3.8290000000000002</v>
      </c>
      <c r="J7264">
        <v>5</v>
      </c>
      <c r="K7264">
        <v>37</v>
      </c>
      <c r="L7264">
        <v>19</v>
      </c>
      <c r="M7264">
        <v>4.7830000000000004</v>
      </c>
    </row>
    <row r="7265" spans="1:13" ht="15" customHeight="1">
      <c r="A7265" t="s">
        <v>74</v>
      </c>
      <c r="B7265">
        <f t="shared" si="450"/>
        <v>33.695875000000001</v>
      </c>
      <c r="C7265">
        <f t="shared" si="451"/>
        <v>-117.85823600000001</v>
      </c>
      <c r="D7265">
        <f t="shared" si="452"/>
        <v>38</v>
      </c>
      <c r="E7265">
        <v>84.498999999999995</v>
      </c>
      <c r="F7265">
        <f t="shared" si="453"/>
        <v>-46.498999999999995</v>
      </c>
      <c r="G7265">
        <v>61.582999999999998</v>
      </c>
      <c r="H7265">
        <v>3.4380000000000002</v>
      </c>
      <c r="I7265">
        <v>5.585</v>
      </c>
      <c r="J7265">
        <v>11</v>
      </c>
      <c r="K7265">
        <v>59</v>
      </c>
      <c r="L7265">
        <v>30</v>
      </c>
      <c r="M7265" s="1">
        <v>9000000000</v>
      </c>
    </row>
    <row r="7266" spans="1:13" ht="15" customHeight="1">
      <c r="A7266" t="s">
        <v>74</v>
      </c>
      <c r="B7266">
        <f t="shared" si="450"/>
        <v>33.695875000000001</v>
      </c>
      <c r="C7266">
        <f t="shared" si="451"/>
        <v>-117.85823600000001</v>
      </c>
      <c r="D7266">
        <f t="shared" si="452"/>
        <v>38</v>
      </c>
      <c r="E7266">
        <v>85.498999999999995</v>
      </c>
      <c r="F7266">
        <f t="shared" si="453"/>
        <v>-47.498999999999995</v>
      </c>
      <c r="G7266">
        <v>55.633000000000003</v>
      </c>
      <c r="H7266">
        <v>2.8450000000000002</v>
      </c>
      <c r="I7266">
        <v>5.1120000000000001</v>
      </c>
      <c r="J7266">
        <v>4</v>
      </c>
      <c r="K7266">
        <v>36</v>
      </c>
      <c r="L7266">
        <v>18</v>
      </c>
      <c r="M7266">
        <v>3.3559999999999999</v>
      </c>
    </row>
    <row r="7267" spans="1:13" ht="15" customHeight="1">
      <c r="A7267" t="s">
        <v>74</v>
      </c>
      <c r="B7267">
        <f t="shared" si="450"/>
        <v>33.695875000000001</v>
      </c>
      <c r="C7267">
        <f t="shared" si="451"/>
        <v>-117.85823600000001</v>
      </c>
      <c r="D7267">
        <f t="shared" si="452"/>
        <v>38</v>
      </c>
      <c r="E7267">
        <v>86.498999999999995</v>
      </c>
      <c r="F7267">
        <f t="shared" si="453"/>
        <v>-48.498999999999995</v>
      </c>
      <c r="G7267">
        <v>168.78299999999999</v>
      </c>
      <c r="H7267">
        <v>6.5279999999999996</v>
      </c>
      <c r="I7267">
        <v>3.867</v>
      </c>
      <c r="J7267">
        <v>12</v>
      </c>
      <c r="K7267">
        <v>81</v>
      </c>
      <c r="L7267">
        <v>41</v>
      </c>
      <c r="M7267" s="1">
        <v>9000000000</v>
      </c>
    </row>
    <row r="7268" spans="1:13" ht="15" customHeight="1">
      <c r="A7268" t="s">
        <v>74</v>
      </c>
      <c r="B7268">
        <f t="shared" si="450"/>
        <v>33.695875000000001</v>
      </c>
      <c r="C7268">
        <f t="shared" si="451"/>
        <v>-117.85823600000001</v>
      </c>
      <c r="D7268">
        <f t="shared" si="452"/>
        <v>38</v>
      </c>
      <c r="E7268">
        <v>87.498999999999995</v>
      </c>
      <c r="F7268">
        <f t="shared" si="453"/>
        <v>-49.498999999999995</v>
      </c>
      <c r="G7268">
        <v>380.4</v>
      </c>
      <c r="H7268">
        <v>10.74</v>
      </c>
      <c r="I7268">
        <v>2.8239999999999998</v>
      </c>
      <c r="J7268">
        <v>12</v>
      </c>
      <c r="K7268">
        <v>182</v>
      </c>
      <c r="L7268">
        <v>91</v>
      </c>
      <c r="M7268" s="1">
        <v>9000000000</v>
      </c>
    </row>
    <row r="7269" spans="1:13" ht="15" customHeight="1">
      <c r="A7269" t="s">
        <v>75</v>
      </c>
      <c r="B7269">
        <f t="shared" si="450"/>
        <v>33.720722000000002</v>
      </c>
      <c r="C7269">
        <f t="shared" si="451"/>
        <v>-117.84142900000001</v>
      </c>
      <c r="D7269">
        <f t="shared" si="452"/>
        <v>80</v>
      </c>
      <c r="E7269">
        <v>0.5</v>
      </c>
      <c r="F7269">
        <f t="shared" si="453"/>
        <v>79.5</v>
      </c>
      <c r="G7269">
        <v>3.4</v>
      </c>
      <c r="H7269">
        <v>0.26500000000000001</v>
      </c>
      <c r="I7269">
        <v>7.681</v>
      </c>
      <c r="J7269">
        <v>2</v>
      </c>
      <c r="K7269">
        <v>3</v>
      </c>
      <c r="L7269">
        <v>5</v>
      </c>
      <c r="M7269">
        <v>0.22900000000000001</v>
      </c>
    </row>
    <row r="7270" spans="1:13" ht="15" customHeight="1">
      <c r="A7270" t="s">
        <v>75</v>
      </c>
      <c r="B7270">
        <f t="shared" si="450"/>
        <v>33.720722000000002</v>
      </c>
      <c r="C7270">
        <f t="shared" si="451"/>
        <v>-117.84142900000001</v>
      </c>
      <c r="D7270">
        <f t="shared" si="452"/>
        <v>80</v>
      </c>
      <c r="E7270">
        <v>1.5</v>
      </c>
      <c r="F7270">
        <f t="shared" si="453"/>
        <v>78.5</v>
      </c>
      <c r="G7270">
        <v>38.082999999999998</v>
      </c>
      <c r="H7270">
        <v>1.208</v>
      </c>
      <c r="I7270">
        <v>3.1429999999999998</v>
      </c>
      <c r="J7270">
        <v>5</v>
      </c>
      <c r="K7270">
        <v>18</v>
      </c>
      <c r="L7270">
        <v>27</v>
      </c>
      <c r="M7270">
        <v>2.5590000000000002</v>
      </c>
    </row>
    <row r="7271" spans="1:13" ht="15" customHeight="1">
      <c r="A7271" t="s">
        <v>75</v>
      </c>
      <c r="B7271">
        <f t="shared" si="450"/>
        <v>33.720722000000002</v>
      </c>
      <c r="C7271">
        <f t="shared" si="451"/>
        <v>-117.84142900000001</v>
      </c>
      <c r="D7271">
        <f t="shared" si="452"/>
        <v>80</v>
      </c>
      <c r="E7271">
        <v>2.5</v>
      </c>
      <c r="F7271">
        <f t="shared" si="453"/>
        <v>77.5</v>
      </c>
      <c r="G7271">
        <v>17.649999999999999</v>
      </c>
      <c r="H7271">
        <v>0.67300000000000004</v>
      </c>
      <c r="I7271">
        <v>3.8010000000000002</v>
      </c>
      <c r="J7271">
        <v>4</v>
      </c>
      <c r="K7271">
        <v>11</v>
      </c>
      <c r="L7271">
        <v>17</v>
      </c>
      <c r="M7271">
        <v>1.1719999999999999</v>
      </c>
    </row>
    <row r="7272" spans="1:13" ht="15" customHeight="1">
      <c r="A7272" t="s">
        <v>75</v>
      </c>
      <c r="B7272">
        <f t="shared" si="450"/>
        <v>33.720722000000002</v>
      </c>
      <c r="C7272">
        <f t="shared" si="451"/>
        <v>-117.84142900000001</v>
      </c>
      <c r="D7272">
        <f t="shared" si="452"/>
        <v>80</v>
      </c>
      <c r="E7272">
        <v>3.5</v>
      </c>
      <c r="F7272">
        <f t="shared" si="453"/>
        <v>76.5</v>
      </c>
      <c r="G7272">
        <v>4.8170000000000002</v>
      </c>
      <c r="H7272">
        <v>0.27700000000000002</v>
      </c>
      <c r="I7272">
        <v>5.6079999999999997</v>
      </c>
      <c r="J7272">
        <v>3</v>
      </c>
      <c r="K7272">
        <v>5</v>
      </c>
      <c r="L7272">
        <v>8</v>
      </c>
      <c r="M7272">
        <v>0.316</v>
      </c>
    </row>
    <row r="7273" spans="1:13" ht="15" customHeight="1">
      <c r="A7273" t="s">
        <v>75</v>
      </c>
      <c r="B7273">
        <f t="shared" si="450"/>
        <v>33.720722000000002</v>
      </c>
      <c r="C7273">
        <f t="shared" si="451"/>
        <v>-117.84142900000001</v>
      </c>
      <c r="D7273">
        <f t="shared" si="452"/>
        <v>80</v>
      </c>
      <c r="E7273">
        <v>4.5</v>
      </c>
      <c r="F7273">
        <f t="shared" si="453"/>
        <v>75.5</v>
      </c>
      <c r="G7273">
        <v>8.5830000000000002</v>
      </c>
      <c r="H7273">
        <v>0.41299999999999998</v>
      </c>
      <c r="I7273">
        <v>4.7060000000000004</v>
      </c>
      <c r="J7273">
        <v>3</v>
      </c>
      <c r="K7273">
        <v>8</v>
      </c>
      <c r="L7273">
        <v>12</v>
      </c>
      <c r="M7273">
        <v>0.56899999999999995</v>
      </c>
    </row>
    <row r="7274" spans="1:13" ht="15" customHeight="1">
      <c r="A7274" t="s">
        <v>75</v>
      </c>
      <c r="B7274">
        <f t="shared" si="450"/>
        <v>33.720722000000002</v>
      </c>
      <c r="C7274">
        <f t="shared" si="451"/>
        <v>-117.84142900000001</v>
      </c>
      <c r="D7274">
        <f t="shared" si="452"/>
        <v>80</v>
      </c>
      <c r="E7274">
        <v>5.5</v>
      </c>
      <c r="F7274">
        <f t="shared" si="453"/>
        <v>74.5</v>
      </c>
      <c r="G7274">
        <v>9.6669999999999998</v>
      </c>
      <c r="H7274">
        <v>0.45700000000000002</v>
      </c>
      <c r="I7274">
        <v>4.59</v>
      </c>
      <c r="J7274">
        <v>3</v>
      </c>
      <c r="K7274">
        <v>10</v>
      </c>
      <c r="L7274">
        <v>15</v>
      </c>
      <c r="M7274">
        <v>0.64300000000000002</v>
      </c>
    </row>
    <row r="7275" spans="1:13" ht="15" customHeight="1">
      <c r="A7275" t="s">
        <v>75</v>
      </c>
      <c r="B7275">
        <f t="shared" si="450"/>
        <v>33.720722000000002</v>
      </c>
      <c r="C7275">
        <f t="shared" si="451"/>
        <v>-117.84142900000001</v>
      </c>
      <c r="D7275">
        <f t="shared" si="452"/>
        <v>80</v>
      </c>
      <c r="E7275">
        <v>6.5</v>
      </c>
      <c r="F7275">
        <f t="shared" si="453"/>
        <v>73.5</v>
      </c>
      <c r="G7275">
        <v>7.2329999999999997</v>
      </c>
      <c r="H7275">
        <v>0.40200000000000002</v>
      </c>
      <c r="I7275">
        <v>5.4039999999999999</v>
      </c>
      <c r="J7275">
        <v>3</v>
      </c>
      <c r="K7275">
        <v>7</v>
      </c>
      <c r="L7275">
        <v>11</v>
      </c>
      <c r="M7275">
        <v>0.47099999999999997</v>
      </c>
    </row>
    <row r="7276" spans="1:13" ht="15" customHeight="1">
      <c r="A7276" t="s">
        <v>75</v>
      </c>
      <c r="B7276">
        <f t="shared" si="450"/>
        <v>33.720722000000002</v>
      </c>
      <c r="C7276">
        <f t="shared" si="451"/>
        <v>-117.84142900000001</v>
      </c>
      <c r="D7276">
        <f t="shared" si="452"/>
        <v>80</v>
      </c>
      <c r="E7276">
        <v>7.5</v>
      </c>
      <c r="F7276">
        <f t="shared" si="453"/>
        <v>72.5</v>
      </c>
      <c r="G7276">
        <v>19.617000000000001</v>
      </c>
      <c r="H7276">
        <v>0.92300000000000004</v>
      </c>
      <c r="I7276">
        <v>4.6749999999999998</v>
      </c>
      <c r="J7276">
        <v>3</v>
      </c>
      <c r="K7276">
        <v>19</v>
      </c>
      <c r="L7276">
        <v>29</v>
      </c>
      <c r="M7276">
        <v>1.288</v>
      </c>
    </row>
    <row r="7277" spans="1:13" ht="15" customHeight="1">
      <c r="A7277" t="s">
        <v>75</v>
      </c>
      <c r="B7277">
        <f t="shared" si="450"/>
        <v>33.720722000000002</v>
      </c>
      <c r="C7277">
        <f t="shared" si="451"/>
        <v>-117.84142900000001</v>
      </c>
      <c r="D7277">
        <f t="shared" si="452"/>
        <v>80</v>
      </c>
      <c r="E7277">
        <v>8.5</v>
      </c>
      <c r="F7277">
        <f t="shared" si="453"/>
        <v>71.5</v>
      </c>
      <c r="G7277">
        <v>25.367000000000001</v>
      </c>
      <c r="H7277">
        <v>1.3420000000000001</v>
      </c>
      <c r="I7277">
        <v>5.282</v>
      </c>
      <c r="J7277">
        <v>3</v>
      </c>
      <c r="K7277">
        <v>24</v>
      </c>
      <c r="L7277">
        <v>36</v>
      </c>
      <c r="M7277">
        <v>1.66</v>
      </c>
    </row>
    <row r="7278" spans="1:13" ht="15" customHeight="1">
      <c r="A7278" t="s">
        <v>75</v>
      </c>
      <c r="B7278">
        <f t="shared" si="450"/>
        <v>33.720722000000002</v>
      </c>
      <c r="C7278">
        <f t="shared" si="451"/>
        <v>-117.84142900000001</v>
      </c>
      <c r="D7278">
        <f t="shared" si="452"/>
        <v>80</v>
      </c>
      <c r="E7278">
        <v>9.5</v>
      </c>
      <c r="F7278">
        <f t="shared" si="453"/>
        <v>70.5</v>
      </c>
      <c r="G7278">
        <v>20.167000000000002</v>
      </c>
      <c r="H7278">
        <v>1.087</v>
      </c>
      <c r="I7278">
        <v>5.3929999999999998</v>
      </c>
      <c r="J7278">
        <v>3</v>
      </c>
      <c r="K7278">
        <v>19</v>
      </c>
      <c r="L7278">
        <v>29</v>
      </c>
      <c r="M7278">
        <v>1.306</v>
      </c>
    </row>
    <row r="7279" spans="1:13" ht="15" customHeight="1">
      <c r="A7279" t="s">
        <v>75</v>
      </c>
      <c r="B7279">
        <f t="shared" si="450"/>
        <v>33.720722000000002</v>
      </c>
      <c r="C7279">
        <f t="shared" si="451"/>
        <v>-117.84142900000001</v>
      </c>
      <c r="D7279">
        <f t="shared" si="452"/>
        <v>80</v>
      </c>
      <c r="E7279">
        <v>10.5</v>
      </c>
      <c r="F7279">
        <f t="shared" si="453"/>
        <v>69.5</v>
      </c>
      <c r="G7279">
        <v>17.085999999999999</v>
      </c>
      <c r="H7279">
        <v>0.95</v>
      </c>
      <c r="I7279">
        <v>5.57</v>
      </c>
      <c r="J7279">
        <v>3</v>
      </c>
      <c r="K7279">
        <v>16</v>
      </c>
      <c r="L7279">
        <v>23</v>
      </c>
      <c r="M7279">
        <v>1.0960000000000001</v>
      </c>
    </row>
    <row r="7280" spans="1:13" ht="15" customHeight="1">
      <c r="A7280" t="s">
        <v>75</v>
      </c>
      <c r="B7280">
        <f t="shared" si="450"/>
        <v>33.720722000000002</v>
      </c>
      <c r="C7280">
        <f t="shared" si="451"/>
        <v>-117.84142900000001</v>
      </c>
      <c r="D7280">
        <f t="shared" si="452"/>
        <v>80</v>
      </c>
      <c r="E7280">
        <v>11.5</v>
      </c>
      <c r="F7280">
        <f t="shared" si="453"/>
        <v>68.5</v>
      </c>
      <c r="G7280">
        <v>65.95</v>
      </c>
      <c r="H7280">
        <v>1.377</v>
      </c>
      <c r="I7280">
        <v>2.0880000000000001</v>
      </c>
      <c r="J7280">
        <v>7</v>
      </c>
      <c r="K7280">
        <v>21</v>
      </c>
      <c r="L7280">
        <v>28</v>
      </c>
      <c r="M7280" s="1">
        <v>9000000000</v>
      </c>
    </row>
    <row r="7281" spans="1:13" ht="15" customHeight="1">
      <c r="A7281" t="s">
        <v>75</v>
      </c>
      <c r="B7281">
        <f t="shared" si="450"/>
        <v>33.720722000000002</v>
      </c>
      <c r="C7281">
        <f t="shared" si="451"/>
        <v>-117.84142900000001</v>
      </c>
      <c r="D7281">
        <f t="shared" si="452"/>
        <v>80</v>
      </c>
      <c r="E7281">
        <v>12.5</v>
      </c>
      <c r="F7281">
        <f t="shared" si="453"/>
        <v>67.5</v>
      </c>
      <c r="G7281">
        <v>106.083</v>
      </c>
      <c r="H7281">
        <v>1.2270000000000001</v>
      </c>
      <c r="I7281">
        <v>1.1559999999999999</v>
      </c>
      <c r="J7281">
        <v>8</v>
      </c>
      <c r="K7281">
        <v>25</v>
      </c>
      <c r="L7281">
        <v>31</v>
      </c>
      <c r="M7281" s="1">
        <v>9000000000</v>
      </c>
    </row>
    <row r="7282" spans="1:13" ht="15" customHeight="1">
      <c r="A7282" t="s">
        <v>75</v>
      </c>
      <c r="B7282">
        <f t="shared" si="450"/>
        <v>33.720722000000002</v>
      </c>
      <c r="C7282">
        <f t="shared" si="451"/>
        <v>-117.84142900000001</v>
      </c>
      <c r="D7282">
        <f t="shared" si="452"/>
        <v>80</v>
      </c>
      <c r="E7282">
        <v>13.5</v>
      </c>
      <c r="F7282">
        <f t="shared" si="453"/>
        <v>66.5</v>
      </c>
      <c r="G7282">
        <v>22.433</v>
      </c>
      <c r="H7282">
        <v>0.71299999999999997</v>
      </c>
      <c r="I7282">
        <v>3.1869999999999998</v>
      </c>
      <c r="J7282">
        <v>5</v>
      </c>
      <c r="K7282">
        <v>11</v>
      </c>
      <c r="L7282">
        <v>13</v>
      </c>
      <c r="M7282">
        <v>1.4390000000000001</v>
      </c>
    </row>
    <row r="7283" spans="1:13" ht="15" customHeight="1">
      <c r="A7283" t="s">
        <v>75</v>
      </c>
      <c r="B7283">
        <f t="shared" si="450"/>
        <v>33.720722000000002</v>
      </c>
      <c r="C7283">
        <f t="shared" si="451"/>
        <v>-117.84142900000001</v>
      </c>
      <c r="D7283">
        <f t="shared" si="452"/>
        <v>80</v>
      </c>
      <c r="E7283">
        <v>14.5</v>
      </c>
      <c r="F7283">
        <f t="shared" si="453"/>
        <v>65.5</v>
      </c>
      <c r="G7283">
        <v>12.233000000000001</v>
      </c>
      <c r="H7283">
        <v>0.59799999999999998</v>
      </c>
      <c r="I7283">
        <v>4.9109999999999996</v>
      </c>
      <c r="J7283">
        <v>3</v>
      </c>
      <c r="K7283">
        <v>12</v>
      </c>
      <c r="L7283">
        <v>13</v>
      </c>
      <c r="M7283">
        <v>0.754</v>
      </c>
    </row>
    <row r="7284" spans="1:13" ht="15" customHeight="1">
      <c r="A7284" t="s">
        <v>75</v>
      </c>
      <c r="B7284">
        <f t="shared" si="450"/>
        <v>33.720722000000002</v>
      </c>
      <c r="C7284">
        <f t="shared" si="451"/>
        <v>-117.84142900000001</v>
      </c>
      <c r="D7284">
        <f t="shared" si="452"/>
        <v>80</v>
      </c>
      <c r="E7284">
        <v>15.5</v>
      </c>
      <c r="F7284">
        <f t="shared" si="453"/>
        <v>64.5</v>
      </c>
      <c r="G7284">
        <v>16.5</v>
      </c>
      <c r="H7284">
        <v>0.69</v>
      </c>
      <c r="I7284">
        <v>4.2069999999999999</v>
      </c>
      <c r="J7284">
        <v>3</v>
      </c>
      <c r="K7284">
        <v>16</v>
      </c>
      <c r="L7284">
        <v>17</v>
      </c>
      <c r="M7284">
        <v>1.0309999999999999</v>
      </c>
    </row>
    <row r="7285" spans="1:13" ht="15" customHeight="1">
      <c r="A7285" t="s">
        <v>75</v>
      </c>
      <c r="B7285">
        <f t="shared" si="450"/>
        <v>33.720722000000002</v>
      </c>
      <c r="C7285">
        <f t="shared" si="451"/>
        <v>-117.84142900000001</v>
      </c>
      <c r="D7285">
        <f t="shared" si="452"/>
        <v>80</v>
      </c>
      <c r="E7285">
        <v>16.5</v>
      </c>
      <c r="F7285">
        <f t="shared" si="453"/>
        <v>63.5</v>
      </c>
      <c r="G7285">
        <v>8.9169999999999998</v>
      </c>
      <c r="H7285">
        <v>0.318</v>
      </c>
      <c r="I7285">
        <v>3.617</v>
      </c>
      <c r="J7285">
        <v>3</v>
      </c>
      <c r="K7285">
        <v>8</v>
      </c>
      <c r="L7285">
        <v>8</v>
      </c>
      <c r="M7285">
        <v>0.52100000000000002</v>
      </c>
    </row>
    <row r="7286" spans="1:13" ht="15" customHeight="1">
      <c r="A7286" t="s">
        <v>75</v>
      </c>
      <c r="B7286">
        <f t="shared" si="450"/>
        <v>33.720722000000002</v>
      </c>
      <c r="C7286">
        <f t="shared" si="451"/>
        <v>-117.84142900000001</v>
      </c>
      <c r="D7286">
        <f t="shared" si="452"/>
        <v>80</v>
      </c>
      <c r="E7286">
        <v>17.5</v>
      </c>
      <c r="F7286">
        <f t="shared" si="453"/>
        <v>62.5</v>
      </c>
      <c r="G7286">
        <v>8.85</v>
      </c>
      <c r="H7286">
        <v>0.36499999999999999</v>
      </c>
      <c r="I7286">
        <v>4.1710000000000003</v>
      </c>
      <c r="J7286">
        <v>3</v>
      </c>
      <c r="K7286">
        <v>8</v>
      </c>
      <c r="L7286">
        <v>8</v>
      </c>
      <c r="M7286">
        <v>0.51300000000000001</v>
      </c>
    </row>
    <row r="7287" spans="1:13" ht="15" customHeight="1">
      <c r="A7287" t="s">
        <v>75</v>
      </c>
      <c r="B7287">
        <f t="shared" si="450"/>
        <v>33.720722000000002</v>
      </c>
      <c r="C7287">
        <f t="shared" si="451"/>
        <v>-117.84142900000001</v>
      </c>
      <c r="D7287">
        <f t="shared" si="452"/>
        <v>80</v>
      </c>
      <c r="E7287">
        <v>18.5</v>
      </c>
      <c r="F7287">
        <f t="shared" si="453"/>
        <v>61.5</v>
      </c>
      <c r="G7287">
        <v>8.8330000000000002</v>
      </c>
      <c r="H7287">
        <v>0.33800000000000002</v>
      </c>
      <c r="I7287">
        <v>3.867</v>
      </c>
      <c r="J7287">
        <v>3</v>
      </c>
      <c r="K7287">
        <v>8</v>
      </c>
      <c r="L7287">
        <v>7</v>
      </c>
      <c r="M7287">
        <v>0.50900000000000001</v>
      </c>
    </row>
    <row r="7288" spans="1:13" ht="15" customHeight="1">
      <c r="A7288" t="s">
        <v>75</v>
      </c>
      <c r="B7288">
        <f t="shared" si="450"/>
        <v>33.720722000000002</v>
      </c>
      <c r="C7288">
        <f t="shared" si="451"/>
        <v>-117.84142900000001</v>
      </c>
      <c r="D7288">
        <f t="shared" si="452"/>
        <v>80</v>
      </c>
      <c r="E7288">
        <v>19.5</v>
      </c>
      <c r="F7288">
        <f t="shared" si="453"/>
        <v>60.5</v>
      </c>
      <c r="G7288">
        <v>10.1</v>
      </c>
      <c r="H7288">
        <v>0.50800000000000001</v>
      </c>
      <c r="I7288">
        <v>5.05</v>
      </c>
      <c r="J7288">
        <v>3</v>
      </c>
      <c r="K7288">
        <v>10</v>
      </c>
      <c r="L7288">
        <v>9</v>
      </c>
      <c r="M7288">
        <v>0.59299999999999997</v>
      </c>
    </row>
    <row r="7289" spans="1:13" ht="15" customHeight="1">
      <c r="A7289" t="s">
        <v>75</v>
      </c>
      <c r="B7289">
        <f t="shared" si="450"/>
        <v>33.720722000000002</v>
      </c>
      <c r="C7289">
        <f t="shared" si="451"/>
        <v>-117.84142900000001</v>
      </c>
      <c r="D7289">
        <f t="shared" si="452"/>
        <v>80</v>
      </c>
      <c r="E7289">
        <v>20.5</v>
      </c>
      <c r="F7289">
        <f t="shared" si="453"/>
        <v>59.5</v>
      </c>
      <c r="G7289">
        <v>8.7859999999999996</v>
      </c>
      <c r="H7289">
        <v>0.35399999999999998</v>
      </c>
      <c r="I7289">
        <v>4.0389999999999997</v>
      </c>
      <c r="J7289">
        <v>3</v>
      </c>
      <c r="K7289">
        <v>8</v>
      </c>
      <c r="L7289">
        <v>7</v>
      </c>
      <c r="M7289">
        <v>0.503</v>
      </c>
    </row>
    <row r="7290" spans="1:13" ht="15" customHeight="1">
      <c r="A7290" t="s">
        <v>75</v>
      </c>
      <c r="B7290">
        <f t="shared" si="450"/>
        <v>33.720722000000002</v>
      </c>
      <c r="C7290">
        <f t="shared" si="451"/>
        <v>-117.84142900000001</v>
      </c>
      <c r="D7290">
        <f t="shared" si="452"/>
        <v>80</v>
      </c>
      <c r="E7290">
        <v>21.5</v>
      </c>
      <c r="F7290">
        <f t="shared" si="453"/>
        <v>58.5</v>
      </c>
      <c r="G7290">
        <v>14.833</v>
      </c>
      <c r="H7290">
        <v>0.68700000000000006</v>
      </c>
      <c r="I7290">
        <v>4.6239999999999997</v>
      </c>
      <c r="J7290">
        <v>3</v>
      </c>
      <c r="K7290">
        <v>14</v>
      </c>
      <c r="L7290">
        <v>11</v>
      </c>
      <c r="M7290">
        <v>0.90400000000000003</v>
      </c>
    </row>
    <row r="7291" spans="1:13" ht="15" customHeight="1">
      <c r="A7291" t="s">
        <v>75</v>
      </c>
      <c r="B7291">
        <f t="shared" si="450"/>
        <v>33.720722000000002</v>
      </c>
      <c r="C7291">
        <f t="shared" si="451"/>
        <v>-117.84142900000001</v>
      </c>
      <c r="D7291">
        <f t="shared" si="452"/>
        <v>80</v>
      </c>
      <c r="E7291">
        <v>22.5</v>
      </c>
      <c r="F7291">
        <f t="shared" si="453"/>
        <v>57.5</v>
      </c>
      <c r="G7291">
        <v>12.667</v>
      </c>
      <c r="H7291">
        <v>0.60499999999999998</v>
      </c>
      <c r="I7291">
        <v>4.758</v>
      </c>
      <c r="J7291">
        <v>3</v>
      </c>
      <c r="K7291">
        <v>12</v>
      </c>
      <c r="L7291">
        <v>10</v>
      </c>
      <c r="M7291">
        <v>0.75700000000000001</v>
      </c>
    </row>
    <row r="7292" spans="1:13" ht="15" customHeight="1">
      <c r="A7292" t="s">
        <v>75</v>
      </c>
      <c r="B7292">
        <f t="shared" si="450"/>
        <v>33.720722000000002</v>
      </c>
      <c r="C7292">
        <f t="shared" si="451"/>
        <v>-117.84142900000001</v>
      </c>
      <c r="D7292">
        <f t="shared" si="452"/>
        <v>80</v>
      </c>
      <c r="E7292">
        <v>23.5</v>
      </c>
      <c r="F7292">
        <f t="shared" si="453"/>
        <v>56.5</v>
      </c>
      <c r="G7292">
        <v>11.367000000000001</v>
      </c>
      <c r="H7292">
        <v>0.495</v>
      </c>
      <c r="I7292">
        <v>4.3360000000000003</v>
      </c>
      <c r="J7292">
        <v>3</v>
      </c>
      <c r="K7292">
        <v>11</v>
      </c>
      <c r="L7292">
        <v>8</v>
      </c>
      <c r="M7292">
        <v>0.66700000000000004</v>
      </c>
    </row>
    <row r="7293" spans="1:13" ht="15" customHeight="1">
      <c r="A7293" t="s">
        <v>75</v>
      </c>
      <c r="B7293">
        <f t="shared" si="450"/>
        <v>33.720722000000002</v>
      </c>
      <c r="C7293">
        <f t="shared" si="451"/>
        <v>-117.84142900000001</v>
      </c>
      <c r="D7293">
        <f t="shared" si="452"/>
        <v>80</v>
      </c>
      <c r="E7293">
        <v>24.5</v>
      </c>
      <c r="F7293">
        <f t="shared" si="453"/>
        <v>55.5</v>
      </c>
      <c r="G7293">
        <v>10.3</v>
      </c>
      <c r="H7293">
        <v>0.435</v>
      </c>
      <c r="I7293">
        <v>4.1890000000000001</v>
      </c>
      <c r="J7293">
        <v>3</v>
      </c>
      <c r="K7293">
        <v>10</v>
      </c>
      <c r="L7293">
        <v>7</v>
      </c>
      <c r="M7293">
        <v>0.59399999999999997</v>
      </c>
    </row>
    <row r="7294" spans="1:13" ht="15" customHeight="1">
      <c r="A7294" t="s">
        <v>75</v>
      </c>
      <c r="B7294">
        <f t="shared" si="450"/>
        <v>33.720722000000002</v>
      </c>
      <c r="C7294">
        <f t="shared" si="451"/>
        <v>-117.84142900000001</v>
      </c>
      <c r="D7294">
        <f t="shared" si="452"/>
        <v>80</v>
      </c>
      <c r="E7294">
        <v>25.5</v>
      </c>
      <c r="F7294">
        <f t="shared" si="453"/>
        <v>54.5</v>
      </c>
      <c r="G7294">
        <v>8.6329999999999991</v>
      </c>
      <c r="H7294">
        <v>0.32300000000000001</v>
      </c>
      <c r="I7294">
        <v>3.6669999999999998</v>
      </c>
      <c r="J7294">
        <v>3</v>
      </c>
      <c r="K7294">
        <v>8</v>
      </c>
      <c r="L7294">
        <v>6</v>
      </c>
      <c r="M7294">
        <v>0.48499999999999999</v>
      </c>
    </row>
    <row r="7295" spans="1:13" ht="15" customHeight="1">
      <c r="A7295" t="s">
        <v>75</v>
      </c>
      <c r="B7295">
        <f t="shared" si="450"/>
        <v>33.720722000000002</v>
      </c>
      <c r="C7295">
        <f t="shared" si="451"/>
        <v>-117.84142900000001</v>
      </c>
      <c r="D7295">
        <f t="shared" si="452"/>
        <v>80</v>
      </c>
      <c r="E7295">
        <v>26.5</v>
      </c>
      <c r="F7295">
        <f t="shared" si="453"/>
        <v>53.5</v>
      </c>
      <c r="G7295">
        <v>15.683</v>
      </c>
      <c r="H7295">
        <v>0.56200000000000006</v>
      </c>
      <c r="I7295">
        <v>3.5470000000000002</v>
      </c>
      <c r="J7295">
        <v>4</v>
      </c>
      <c r="K7295">
        <v>10</v>
      </c>
      <c r="L7295">
        <v>7</v>
      </c>
      <c r="M7295">
        <v>0.94899999999999995</v>
      </c>
    </row>
    <row r="7296" spans="1:13" ht="15" customHeight="1">
      <c r="A7296" t="s">
        <v>75</v>
      </c>
      <c r="B7296">
        <f t="shared" si="450"/>
        <v>33.720722000000002</v>
      </c>
      <c r="C7296">
        <f t="shared" si="451"/>
        <v>-117.84142900000001</v>
      </c>
      <c r="D7296">
        <f t="shared" si="452"/>
        <v>80</v>
      </c>
      <c r="E7296">
        <v>27.5</v>
      </c>
      <c r="F7296">
        <f t="shared" si="453"/>
        <v>52.5</v>
      </c>
      <c r="G7296">
        <v>8.4670000000000005</v>
      </c>
      <c r="H7296">
        <v>0.33500000000000002</v>
      </c>
      <c r="I7296">
        <v>3.895</v>
      </c>
      <c r="J7296">
        <v>3</v>
      </c>
      <c r="K7296">
        <v>8</v>
      </c>
      <c r="L7296">
        <v>6</v>
      </c>
      <c r="M7296">
        <v>0.46300000000000002</v>
      </c>
    </row>
    <row r="7297" spans="1:13" ht="15" customHeight="1">
      <c r="A7297" t="s">
        <v>75</v>
      </c>
      <c r="B7297">
        <f t="shared" si="450"/>
        <v>33.720722000000002</v>
      </c>
      <c r="C7297">
        <f t="shared" si="451"/>
        <v>-117.84142900000001</v>
      </c>
      <c r="D7297">
        <f t="shared" si="452"/>
        <v>80</v>
      </c>
      <c r="E7297">
        <v>28.5</v>
      </c>
      <c r="F7297">
        <f t="shared" si="453"/>
        <v>51.5</v>
      </c>
      <c r="G7297">
        <v>11.167</v>
      </c>
      <c r="H7297">
        <v>0.47299999999999998</v>
      </c>
      <c r="I7297">
        <v>4.1639999999999997</v>
      </c>
      <c r="J7297">
        <v>3</v>
      </c>
      <c r="K7297">
        <v>11</v>
      </c>
      <c r="L7297">
        <v>8</v>
      </c>
      <c r="M7297">
        <v>0.64300000000000002</v>
      </c>
    </row>
    <row r="7298" spans="1:13" ht="15" customHeight="1">
      <c r="A7298" t="s">
        <v>75</v>
      </c>
      <c r="B7298">
        <f t="shared" ref="B7298:B7361" si="454">VLOOKUP(A7298,XYdata,3,FALSE)</f>
        <v>33.720722000000002</v>
      </c>
      <c r="C7298">
        <f t="shared" ref="C7298:C7361" si="455">VLOOKUP(A7298,XYdata,2,FALSE)</f>
        <v>-117.84142900000001</v>
      </c>
      <c r="D7298">
        <f t="shared" ref="D7298:D7361" si="456">VLOOKUP(A7298,Elevation,2,FALSE)</f>
        <v>80</v>
      </c>
      <c r="E7298">
        <v>29.5</v>
      </c>
      <c r="F7298">
        <f t="shared" si="453"/>
        <v>50.5</v>
      </c>
      <c r="G7298">
        <v>37.667000000000002</v>
      </c>
      <c r="H7298">
        <v>1.103</v>
      </c>
      <c r="I7298">
        <v>2.9159999999999999</v>
      </c>
      <c r="J7298">
        <v>6</v>
      </c>
      <c r="K7298">
        <v>14</v>
      </c>
      <c r="L7298">
        <v>10</v>
      </c>
      <c r="M7298">
        <v>2.403</v>
      </c>
    </row>
    <row r="7299" spans="1:13" ht="15" customHeight="1">
      <c r="A7299" t="s">
        <v>75</v>
      </c>
      <c r="B7299">
        <f t="shared" si="454"/>
        <v>33.720722000000002</v>
      </c>
      <c r="C7299">
        <f t="shared" si="455"/>
        <v>-117.84142900000001</v>
      </c>
      <c r="D7299">
        <f t="shared" si="456"/>
        <v>80</v>
      </c>
      <c r="E7299">
        <v>30.5</v>
      </c>
      <c r="F7299">
        <f t="shared" ref="F7299:F7362" si="457">D7299-E7299</f>
        <v>49.5</v>
      </c>
      <c r="G7299">
        <v>116.967</v>
      </c>
      <c r="H7299">
        <v>1.282</v>
      </c>
      <c r="I7299">
        <v>1.097</v>
      </c>
      <c r="J7299">
        <v>8</v>
      </c>
      <c r="K7299">
        <v>28</v>
      </c>
      <c r="L7299">
        <v>19</v>
      </c>
      <c r="M7299" s="1">
        <v>9000000000</v>
      </c>
    </row>
    <row r="7300" spans="1:13" ht="15" customHeight="1">
      <c r="A7300" t="s">
        <v>75</v>
      </c>
      <c r="B7300">
        <f t="shared" si="454"/>
        <v>33.720722000000002</v>
      </c>
      <c r="C7300">
        <f t="shared" si="455"/>
        <v>-117.84142900000001</v>
      </c>
      <c r="D7300">
        <f t="shared" si="456"/>
        <v>80</v>
      </c>
      <c r="E7300">
        <v>31.5</v>
      </c>
      <c r="F7300">
        <f t="shared" si="457"/>
        <v>48.5</v>
      </c>
      <c r="G7300">
        <v>10.943</v>
      </c>
      <c r="H7300">
        <v>0.35299999999999998</v>
      </c>
      <c r="I7300">
        <v>3.1349999999999998</v>
      </c>
      <c r="J7300">
        <v>4</v>
      </c>
      <c r="K7300">
        <v>7</v>
      </c>
      <c r="L7300">
        <v>5</v>
      </c>
      <c r="M7300">
        <v>0.623</v>
      </c>
    </row>
    <row r="7301" spans="1:13" ht="15" customHeight="1">
      <c r="A7301" t="s">
        <v>75</v>
      </c>
      <c r="B7301">
        <f t="shared" si="454"/>
        <v>33.720722000000002</v>
      </c>
      <c r="C7301">
        <f t="shared" si="455"/>
        <v>-117.84142900000001</v>
      </c>
      <c r="D7301">
        <f t="shared" si="456"/>
        <v>80</v>
      </c>
      <c r="E7301">
        <v>32.5</v>
      </c>
      <c r="F7301">
        <f t="shared" si="457"/>
        <v>47.5</v>
      </c>
      <c r="G7301">
        <v>16.233000000000001</v>
      </c>
      <c r="H7301">
        <v>0.45300000000000001</v>
      </c>
      <c r="I7301">
        <v>2.7170000000000001</v>
      </c>
      <c r="J7301">
        <v>5</v>
      </c>
      <c r="K7301">
        <v>8</v>
      </c>
      <c r="L7301">
        <v>5</v>
      </c>
      <c r="M7301">
        <v>0.98099999999999998</v>
      </c>
    </row>
    <row r="7302" spans="1:13" ht="15" customHeight="1">
      <c r="A7302" t="s">
        <v>75</v>
      </c>
      <c r="B7302">
        <f t="shared" si="454"/>
        <v>33.720722000000002</v>
      </c>
      <c r="C7302">
        <f t="shared" si="455"/>
        <v>-117.84142900000001</v>
      </c>
      <c r="D7302">
        <f t="shared" si="456"/>
        <v>80</v>
      </c>
      <c r="E7302">
        <v>33.5</v>
      </c>
      <c r="F7302">
        <f t="shared" si="457"/>
        <v>46.5</v>
      </c>
      <c r="G7302">
        <v>13.333</v>
      </c>
      <c r="H7302">
        <v>0.48499999999999999</v>
      </c>
      <c r="I7302">
        <v>3.5790000000000002</v>
      </c>
      <c r="J7302">
        <v>4</v>
      </c>
      <c r="K7302">
        <v>9</v>
      </c>
      <c r="L7302">
        <v>6</v>
      </c>
      <c r="M7302">
        <v>0.76800000000000002</v>
      </c>
    </row>
    <row r="7303" spans="1:13" ht="15" customHeight="1">
      <c r="A7303" t="s">
        <v>75</v>
      </c>
      <c r="B7303">
        <f t="shared" si="454"/>
        <v>33.720722000000002</v>
      </c>
      <c r="C7303">
        <f t="shared" si="455"/>
        <v>-117.84142900000001</v>
      </c>
      <c r="D7303">
        <f t="shared" si="456"/>
        <v>80</v>
      </c>
      <c r="E7303">
        <v>34.5</v>
      </c>
      <c r="F7303">
        <f t="shared" si="457"/>
        <v>45.5</v>
      </c>
      <c r="G7303">
        <v>11.333</v>
      </c>
      <c r="H7303">
        <v>0.41299999999999998</v>
      </c>
      <c r="I7303">
        <v>3.548</v>
      </c>
      <c r="J7303">
        <v>4</v>
      </c>
      <c r="K7303">
        <v>7</v>
      </c>
      <c r="L7303">
        <v>4</v>
      </c>
      <c r="M7303">
        <v>0.63800000000000001</v>
      </c>
    </row>
    <row r="7304" spans="1:13" ht="15" customHeight="1">
      <c r="A7304" t="s">
        <v>75</v>
      </c>
      <c r="B7304">
        <f t="shared" si="454"/>
        <v>33.720722000000002</v>
      </c>
      <c r="C7304">
        <f t="shared" si="455"/>
        <v>-117.84142900000001</v>
      </c>
      <c r="D7304">
        <f t="shared" si="456"/>
        <v>80</v>
      </c>
      <c r="E7304">
        <v>35.5</v>
      </c>
      <c r="F7304">
        <f t="shared" si="457"/>
        <v>44.5</v>
      </c>
      <c r="G7304">
        <v>12.8</v>
      </c>
      <c r="H7304">
        <v>0.372</v>
      </c>
      <c r="I7304">
        <v>2.7770000000000001</v>
      </c>
      <c r="J7304">
        <v>5</v>
      </c>
      <c r="K7304">
        <v>6</v>
      </c>
      <c r="L7304">
        <v>4</v>
      </c>
      <c r="M7304">
        <v>0.749</v>
      </c>
    </row>
    <row r="7305" spans="1:13" ht="15" customHeight="1">
      <c r="A7305" t="s">
        <v>75</v>
      </c>
      <c r="B7305">
        <f t="shared" si="454"/>
        <v>33.720722000000002</v>
      </c>
      <c r="C7305">
        <f t="shared" si="455"/>
        <v>-117.84142900000001</v>
      </c>
      <c r="D7305">
        <f t="shared" si="456"/>
        <v>80</v>
      </c>
      <c r="E7305">
        <v>36.5</v>
      </c>
      <c r="F7305">
        <f t="shared" si="457"/>
        <v>43.5</v>
      </c>
      <c r="G7305">
        <v>13.217000000000001</v>
      </c>
      <c r="H7305">
        <v>0.50800000000000001</v>
      </c>
      <c r="I7305">
        <v>3.7650000000000001</v>
      </c>
      <c r="J7305">
        <v>4</v>
      </c>
      <c r="K7305">
        <v>9</v>
      </c>
      <c r="L7305">
        <v>6</v>
      </c>
      <c r="M7305">
        <v>0.753</v>
      </c>
    </row>
    <row r="7306" spans="1:13" ht="15" customHeight="1">
      <c r="A7306" t="s">
        <v>75</v>
      </c>
      <c r="B7306">
        <f t="shared" si="454"/>
        <v>33.720722000000002</v>
      </c>
      <c r="C7306">
        <f t="shared" si="455"/>
        <v>-117.84142900000001</v>
      </c>
      <c r="D7306">
        <f t="shared" si="456"/>
        <v>80</v>
      </c>
      <c r="E7306">
        <v>37.5</v>
      </c>
      <c r="F7306">
        <f t="shared" si="457"/>
        <v>42.5</v>
      </c>
      <c r="G7306">
        <v>11.516999999999999</v>
      </c>
      <c r="H7306">
        <v>0.34799999999999998</v>
      </c>
      <c r="I7306">
        <v>2.931</v>
      </c>
      <c r="J7306">
        <v>4</v>
      </c>
      <c r="K7306">
        <v>8</v>
      </c>
      <c r="L7306">
        <v>5</v>
      </c>
      <c r="M7306">
        <v>0.64100000000000001</v>
      </c>
    </row>
    <row r="7307" spans="1:13" ht="15" customHeight="1">
      <c r="A7307" t="s">
        <v>75</v>
      </c>
      <c r="B7307">
        <f t="shared" si="454"/>
        <v>33.720722000000002</v>
      </c>
      <c r="C7307">
        <f t="shared" si="455"/>
        <v>-117.84142900000001</v>
      </c>
      <c r="D7307">
        <f t="shared" si="456"/>
        <v>80</v>
      </c>
      <c r="E7307">
        <v>38.5</v>
      </c>
      <c r="F7307">
        <f t="shared" si="457"/>
        <v>41.5</v>
      </c>
      <c r="G7307">
        <v>13.766999999999999</v>
      </c>
      <c r="H7307">
        <v>0.23799999999999999</v>
      </c>
      <c r="I7307">
        <v>1.6120000000000001</v>
      </c>
      <c r="J7307">
        <v>5</v>
      </c>
      <c r="K7307">
        <v>7</v>
      </c>
      <c r="L7307">
        <v>4</v>
      </c>
      <c r="M7307">
        <v>0.83099999999999996</v>
      </c>
    </row>
    <row r="7308" spans="1:13" ht="15" customHeight="1">
      <c r="A7308" t="s">
        <v>75</v>
      </c>
      <c r="B7308">
        <f t="shared" si="454"/>
        <v>33.720722000000002</v>
      </c>
      <c r="C7308">
        <f t="shared" si="455"/>
        <v>-117.84142900000001</v>
      </c>
      <c r="D7308">
        <f t="shared" si="456"/>
        <v>80</v>
      </c>
      <c r="E7308">
        <v>39.5</v>
      </c>
      <c r="F7308">
        <f t="shared" si="457"/>
        <v>40.5</v>
      </c>
      <c r="G7308">
        <v>22.9</v>
      </c>
      <c r="H7308">
        <v>0.51200000000000001</v>
      </c>
      <c r="I7308">
        <v>2.1469999999999998</v>
      </c>
      <c r="J7308">
        <v>6</v>
      </c>
      <c r="K7308">
        <v>9</v>
      </c>
      <c r="L7308">
        <v>5</v>
      </c>
      <c r="M7308">
        <v>1.43</v>
      </c>
    </row>
    <row r="7309" spans="1:13" ht="15" customHeight="1">
      <c r="A7309" t="s">
        <v>75</v>
      </c>
      <c r="B7309">
        <f t="shared" si="454"/>
        <v>33.720722000000002</v>
      </c>
      <c r="C7309">
        <f t="shared" si="455"/>
        <v>-117.84142900000001</v>
      </c>
      <c r="D7309">
        <f t="shared" si="456"/>
        <v>80</v>
      </c>
      <c r="E7309">
        <v>40.5</v>
      </c>
      <c r="F7309">
        <f t="shared" si="457"/>
        <v>39.5</v>
      </c>
      <c r="G7309">
        <v>29.082999999999998</v>
      </c>
      <c r="H7309">
        <v>0.74199999999999999</v>
      </c>
      <c r="I7309">
        <v>2.5059999999999998</v>
      </c>
      <c r="J7309">
        <v>6</v>
      </c>
      <c r="K7309">
        <v>11</v>
      </c>
      <c r="L7309">
        <v>7</v>
      </c>
      <c r="M7309">
        <v>1.81</v>
      </c>
    </row>
    <row r="7310" spans="1:13" ht="15" customHeight="1">
      <c r="A7310" t="s">
        <v>75</v>
      </c>
      <c r="B7310">
        <f t="shared" si="454"/>
        <v>33.720722000000002</v>
      </c>
      <c r="C7310">
        <f t="shared" si="455"/>
        <v>-117.84142900000001</v>
      </c>
      <c r="D7310">
        <f t="shared" si="456"/>
        <v>80</v>
      </c>
      <c r="E7310">
        <v>41.499000000000002</v>
      </c>
      <c r="F7310">
        <f t="shared" si="457"/>
        <v>38.500999999999998</v>
      </c>
      <c r="G7310">
        <v>53.3</v>
      </c>
      <c r="H7310">
        <v>2.4929999999999999</v>
      </c>
      <c r="I7310">
        <v>4.6680000000000001</v>
      </c>
      <c r="J7310">
        <v>4</v>
      </c>
      <c r="K7310">
        <v>34</v>
      </c>
      <c r="L7310">
        <v>20</v>
      </c>
      <c r="M7310">
        <v>3.3929999999999998</v>
      </c>
    </row>
    <row r="7311" spans="1:13" ht="15" customHeight="1">
      <c r="A7311" t="s">
        <v>75</v>
      </c>
      <c r="B7311">
        <f t="shared" si="454"/>
        <v>33.720722000000002</v>
      </c>
      <c r="C7311">
        <f t="shared" si="455"/>
        <v>-117.84142900000001</v>
      </c>
      <c r="D7311">
        <f t="shared" si="456"/>
        <v>80</v>
      </c>
      <c r="E7311">
        <v>42.499000000000002</v>
      </c>
      <c r="F7311">
        <f t="shared" si="457"/>
        <v>37.500999999999998</v>
      </c>
      <c r="G7311">
        <v>43</v>
      </c>
      <c r="H7311">
        <v>2.13</v>
      </c>
      <c r="I7311">
        <v>4.9589999999999996</v>
      </c>
      <c r="J7311">
        <v>3</v>
      </c>
      <c r="K7311">
        <v>41</v>
      </c>
      <c r="L7311">
        <v>24</v>
      </c>
      <c r="M7311">
        <v>2.6920000000000002</v>
      </c>
    </row>
    <row r="7312" spans="1:13" ht="15" customHeight="1">
      <c r="A7312" t="s">
        <v>75</v>
      </c>
      <c r="B7312">
        <f t="shared" si="454"/>
        <v>33.720722000000002</v>
      </c>
      <c r="C7312">
        <f t="shared" si="455"/>
        <v>-117.84142900000001</v>
      </c>
      <c r="D7312">
        <f t="shared" si="456"/>
        <v>80</v>
      </c>
      <c r="E7312">
        <v>43.499000000000002</v>
      </c>
      <c r="F7312">
        <f t="shared" si="457"/>
        <v>36.500999999999998</v>
      </c>
      <c r="G7312">
        <v>51.05</v>
      </c>
      <c r="H7312">
        <v>2.323</v>
      </c>
      <c r="I7312">
        <v>4.5590000000000002</v>
      </c>
      <c r="J7312">
        <v>4</v>
      </c>
      <c r="K7312">
        <v>33</v>
      </c>
      <c r="L7312">
        <v>19</v>
      </c>
      <c r="M7312">
        <v>3.222</v>
      </c>
    </row>
    <row r="7313" spans="1:13" ht="15" customHeight="1">
      <c r="A7313" t="s">
        <v>75</v>
      </c>
      <c r="B7313">
        <f t="shared" si="454"/>
        <v>33.720722000000002</v>
      </c>
      <c r="C7313">
        <f t="shared" si="455"/>
        <v>-117.84142900000001</v>
      </c>
      <c r="D7313">
        <f t="shared" si="456"/>
        <v>80</v>
      </c>
      <c r="E7313">
        <v>44.499000000000002</v>
      </c>
      <c r="F7313">
        <f t="shared" si="457"/>
        <v>35.500999999999998</v>
      </c>
      <c r="G7313">
        <v>29.367000000000001</v>
      </c>
      <c r="H7313">
        <v>1.0149999999999999</v>
      </c>
      <c r="I7313">
        <v>3.464</v>
      </c>
      <c r="J7313">
        <v>5</v>
      </c>
      <c r="K7313">
        <v>14</v>
      </c>
      <c r="L7313">
        <v>8</v>
      </c>
      <c r="M7313">
        <v>1.7729999999999999</v>
      </c>
    </row>
    <row r="7314" spans="1:13" ht="15" customHeight="1">
      <c r="A7314" t="s">
        <v>75</v>
      </c>
      <c r="B7314">
        <f t="shared" si="454"/>
        <v>33.720722000000002</v>
      </c>
      <c r="C7314">
        <f t="shared" si="455"/>
        <v>-117.84142900000001</v>
      </c>
      <c r="D7314">
        <f t="shared" si="456"/>
        <v>80</v>
      </c>
      <c r="E7314">
        <v>45.499000000000002</v>
      </c>
      <c r="F7314">
        <f t="shared" si="457"/>
        <v>34.500999999999998</v>
      </c>
      <c r="G7314">
        <v>69.066999999999993</v>
      </c>
      <c r="H7314">
        <v>3.2869999999999999</v>
      </c>
      <c r="I7314">
        <v>4.7629999999999999</v>
      </c>
      <c r="J7314">
        <v>4</v>
      </c>
      <c r="K7314">
        <v>44</v>
      </c>
      <c r="L7314">
        <v>25</v>
      </c>
      <c r="M7314">
        <v>4.4160000000000004</v>
      </c>
    </row>
    <row r="7315" spans="1:13" ht="15" customHeight="1">
      <c r="A7315" t="s">
        <v>75</v>
      </c>
      <c r="B7315">
        <f t="shared" si="454"/>
        <v>33.720722000000002</v>
      </c>
      <c r="C7315">
        <f t="shared" si="455"/>
        <v>-117.84142900000001</v>
      </c>
      <c r="D7315">
        <f t="shared" si="456"/>
        <v>80</v>
      </c>
      <c r="E7315">
        <v>46.499000000000002</v>
      </c>
      <c r="F7315">
        <f t="shared" si="457"/>
        <v>33.500999999999998</v>
      </c>
      <c r="G7315">
        <v>42.85</v>
      </c>
      <c r="H7315">
        <v>1.9279999999999999</v>
      </c>
      <c r="I7315">
        <v>4.5090000000000003</v>
      </c>
      <c r="J7315">
        <v>4</v>
      </c>
      <c r="K7315">
        <v>27</v>
      </c>
      <c r="L7315">
        <v>15</v>
      </c>
      <c r="M7315">
        <v>2.6629999999999998</v>
      </c>
    </row>
    <row r="7316" spans="1:13" ht="15" customHeight="1">
      <c r="A7316" t="s">
        <v>75</v>
      </c>
      <c r="B7316">
        <f t="shared" si="454"/>
        <v>33.720722000000002</v>
      </c>
      <c r="C7316">
        <f t="shared" si="455"/>
        <v>-117.84142900000001</v>
      </c>
      <c r="D7316">
        <f t="shared" si="456"/>
        <v>80</v>
      </c>
      <c r="E7316">
        <v>47.499000000000002</v>
      </c>
      <c r="F7316">
        <f t="shared" si="457"/>
        <v>32.500999999999998</v>
      </c>
      <c r="G7316">
        <v>35.783000000000001</v>
      </c>
      <c r="H7316">
        <v>1.8169999999999999</v>
      </c>
      <c r="I7316">
        <v>5.0890000000000004</v>
      </c>
      <c r="J7316">
        <v>3</v>
      </c>
      <c r="K7316">
        <v>34</v>
      </c>
      <c r="L7316">
        <v>19</v>
      </c>
      <c r="M7316">
        <v>2.1880000000000002</v>
      </c>
    </row>
    <row r="7317" spans="1:13" ht="15" customHeight="1">
      <c r="A7317" t="s">
        <v>75</v>
      </c>
      <c r="B7317">
        <f t="shared" si="454"/>
        <v>33.720722000000002</v>
      </c>
      <c r="C7317">
        <f t="shared" si="455"/>
        <v>-117.84142900000001</v>
      </c>
      <c r="D7317">
        <f t="shared" si="456"/>
        <v>80</v>
      </c>
      <c r="E7317">
        <v>48.499000000000002</v>
      </c>
      <c r="F7317">
        <f t="shared" si="457"/>
        <v>31.500999999999998</v>
      </c>
      <c r="G7317">
        <v>33.017000000000003</v>
      </c>
      <c r="H7317">
        <v>1.728</v>
      </c>
      <c r="I7317">
        <v>5.2480000000000002</v>
      </c>
      <c r="J7317">
        <v>3</v>
      </c>
      <c r="K7317">
        <v>32</v>
      </c>
      <c r="L7317">
        <v>17</v>
      </c>
      <c r="M7317">
        <v>1.9990000000000001</v>
      </c>
    </row>
    <row r="7318" spans="1:13" ht="15" customHeight="1">
      <c r="A7318" t="s">
        <v>75</v>
      </c>
      <c r="B7318">
        <f t="shared" si="454"/>
        <v>33.720722000000002</v>
      </c>
      <c r="C7318">
        <f t="shared" si="455"/>
        <v>-117.84142900000001</v>
      </c>
      <c r="D7318">
        <f t="shared" si="456"/>
        <v>80</v>
      </c>
      <c r="E7318">
        <v>49.499000000000002</v>
      </c>
      <c r="F7318">
        <f t="shared" si="457"/>
        <v>30.500999999999998</v>
      </c>
      <c r="G7318">
        <v>60.25</v>
      </c>
      <c r="H7318">
        <v>2.2269999999999999</v>
      </c>
      <c r="I7318">
        <v>3.7029999999999998</v>
      </c>
      <c r="J7318">
        <v>5</v>
      </c>
      <c r="K7318">
        <v>29</v>
      </c>
      <c r="L7318">
        <v>16</v>
      </c>
      <c r="M7318">
        <v>3.8079999999999998</v>
      </c>
    </row>
    <row r="7319" spans="1:13" ht="15" customHeight="1">
      <c r="A7319" t="s">
        <v>75</v>
      </c>
      <c r="B7319">
        <f t="shared" si="454"/>
        <v>33.720722000000002</v>
      </c>
      <c r="C7319">
        <f t="shared" si="455"/>
        <v>-117.84142900000001</v>
      </c>
      <c r="D7319">
        <f t="shared" si="456"/>
        <v>80</v>
      </c>
      <c r="E7319">
        <v>50.499000000000002</v>
      </c>
      <c r="F7319">
        <f t="shared" si="457"/>
        <v>29.500999999999998</v>
      </c>
      <c r="G7319">
        <v>26.167000000000002</v>
      </c>
      <c r="H7319">
        <v>1.4079999999999999</v>
      </c>
      <c r="I7319">
        <v>5.4059999999999997</v>
      </c>
      <c r="J7319">
        <v>3</v>
      </c>
      <c r="K7319">
        <v>25</v>
      </c>
      <c r="L7319">
        <v>13</v>
      </c>
      <c r="M7319">
        <v>1.532</v>
      </c>
    </row>
    <row r="7320" spans="1:13" ht="15" customHeight="1">
      <c r="A7320" t="s">
        <v>75</v>
      </c>
      <c r="B7320">
        <f t="shared" si="454"/>
        <v>33.720722000000002</v>
      </c>
      <c r="C7320">
        <f t="shared" si="455"/>
        <v>-117.84142900000001</v>
      </c>
      <c r="D7320">
        <f t="shared" si="456"/>
        <v>80</v>
      </c>
      <c r="E7320">
        <v>51.499000000000002</v>
      </c>
      <c r="F7320">
        <f t="shared" si="457"/>
        <v>28.500999999999998</v>
      </c>
      <c r="G7320">
        <v>22.933</v>
      </c>
      <c r="H7320">
        <v>1.1479999999999999</v>
      </c>
      <c r="I7320">
        <v>5.0330000000000004</v>
      </c>
      <c r="J7320">
        <v>3</v>
      </c>
      <c r="K7320">
        <v>22</v>
      </c>
      <c r="L7320">
        <v>12</v>
      </c>
      <c r="M7320">
        <v>1.3120000000000001</v>
      </c>
    </row>
    <row r="7321" spans="1:13" ht="15" customHeight="1">
      <c r="A7321" t="s">
        <v>75</v>
      </c>
      <c r="B7321">
        <f t="shared" si="454"/>
        <v>33.720722000000002</v>
      </c>
      <c r="C7321">
        <f t="shared" si="455"/>
        <v>-117.84142900000001</v>
      </c>
      <c r="D7321">
        <f t="shared" si="456"/>
        <v>80</v>
      </c>
      <c r="E7321">
        <v>52.499000000000002</v>
      </c>
      <c r="F7321">
        <f t="shared" si="457"/>
        <v>27.500999999999998</v>
      </c>
      <c r="G7321">
        <v>19.957000000000001</v>
      </c>
      <c r="H7321">
        <v>0.82299999999999995</v>
      </c>
      <c r="I7321">
        <v>4.1440000000000001</v>
      </c>
      <c r="J7321">
        <v>4</v>
      </c>
      <c r="K7321">
        <v>13</v>
      </c>
      <c r="L7321">
        <v>7</v>
      </c>
      <c r="M7321">
        <v>1.111</v>
      </c>
    </row>
    <row r="7322" spans="1:13" ht="15" customHeight="1">
      <c r="A7322" t="s">
        <v>75</v>
      </c>
      <c r="B7322">
        <f t="shared" si="454"/>
        <v>33.720722000000002</v>
      </c>
      <c r="C7322">
        <f t="shared" si="455"/>
        <v>-117.84142900000001</v>
      </c>
      <c r="D7322">
        <f t="shared" si="456"/>
        <v>80</v>
      </c>
      <c r="E7322">
        <v>53.499000000000002</v>
      </c>
      <c r="F7322">
        <f t="shared" si="457"/>
        <v>26.500999999999998</v>
      </c>
      <c r="G7322">
        <v>28.983000000000001</v>
      </c>
      <c r="H7322">
        <v>1.0880000000000001</v>
      </c>
      <c r="I7322">
        <v>3.7679999999999998</v>
      </c>
      <c r="J7322">
        <v>5</v>
      </c>
      <c r="K7322">
        <v>14</v>
      </c>
      <c r="L7322">
        <v>7</v>
      </c>
      <c r="M7322">
        <v>1.708</v>
      </c>
    </row>
    <row r="7323" spans="1:13" ht="15" customHeight="1">
      <c r="A7323" t="s">
        <v>75</v>
      </c>
      <c r="B7323">
        <f t="shared" si="454"/>
        <v>33.720722000000002</v>
      </c>
      <c r="C7323">
        <f t="shared" si="455"/>
        <v>-117.84142900000001</v>
      </c>
      <c r="D7323">
        <f t="shared" si="456"/>
        <v>80</v>
      </c>
      <c r="E7323">
        <v>54.499000000000002</v>
      </c>
      <c r="F7323">
        <f t="shared" si="457"/>
        <v>25.500999999999998</v>
      </c>
      <c r="G7323">
        <v>102.6</v>
      </c>
      <c r="H7323">
        <v>4.5919999999999996</v>
      </c>
      <c r="I7323">
        <v>4.4790000000000001</v>
      </c>
      <c r="J7323">
        <v>11</v>
      </c>
      <c r="K7323">
        <v>98</v>
      </c>
      <c r="L7323">
        <v>50</v>
      </c>
      <c r="M7323" s="1">
        <v>9000000000</v>
      </c>
    </row>
    <row r="7324" spans="1:13" ht="15" customHeight="1">
      <c r="A7324" t="s">
        <v>75</v>
      </c>
      <c r="B7324">
        <f t="shared" si="454"/>
        <v>33.720722000000002</v>
      </c>
      <c r="C7324">
        <f t="shared" si="455"/>
        <v>-117.84142900000001</v>
      </c>
      <c r="D7324">
        <f t="shared" si="456"/>
        <v>80</v>
      </c>
      <c r="E7324">
        <v>55.499000000000002</v>
      </c>
      <c r="F7324">
        <f t="shared" si="457"/>
        <v>24.500999999999998</v>
      </c>
      <c r="G7324">
        <v>119.983</v>
      </c>
      <c r="H7324">
        <v>4.827</v>
      </c>
      <c r="I7324">
        <v>4.0279999999999996</v>
      </c>
      <c r="J7324">
        <v>11</v>
      </c>
      <c r="K7324">
        <v>115</v>
      </c>
      <c r="L7324">
        <v>58</v>
      </c>
      <c r="M7324" s="1">
        <v>9000000000</v>
      </c>
    </row>
    <row r="7325" spans="1:13" ht="15" customHeight="1">
      <c r="A7325" t="s">
        <v>75</v>
      </c>
      <c r="B7325">
        <f t="shared" si="454"/>
        <v>33.720722000000002</v>
      </c>
      <c r="C7325">
        <f t="shared" si="455"/>
        <v>-117.84142900000001</v>
      </c>
      <c r="D7325">
        <f t="shared" si="456"/>
        <v>80</v>
      </c>
      <c r="E7325">
        <v>56.499000000000002</v>
      </c>
      <c r="F7325">
        <f t="shared" si="457"/>
        <v>23.500999999999998</v>
      </c>
      <c r="G7325">
        <v>24.5</v>
      </c>
      <c r="H7325">
        <v>0.84799999999999998</v>
      </c>
      <c r="I7325">
        <v>3.484</v>
      </c>
      <c r="J7325">
        <v>5</v>
      </c>
      <c r="K7325">
        <v>12</v>
      </c>
      <c r="L7325">
        <v>6</v>
      </c>
      <c r="M7325">
        <v>1.393</v>
      </c>
    </row>
    <row r="7326" spans="1:13" ht="15" customHeight="1">
      <c r="A7326" t="s">
        <v>75</v>
      </c>
      <c r="B7326">
        <f t="shared" si="454"/>
        <v>33.720722000000002</v>
      </c>
      <c r="C7326">
        <f t="shared" si="455"/>
        <v>-117.84142900000001</v>
      </c>
      <c r="D7326">
        <f t="shared" si="456"/>
        <v>80</v>
      </c>
      <c r="E7326">
        <v>57.499000000000002</v>
      </c>
      <c r="F7326">
        <f t="shared" si="457"/>
        <v>22.500999999999998</v>
      </c>
      <c r="G7326">
        <v>27.382999999999999</v>
      </c>
      <c r="H7326">
        <v>1.0129999999999999</v>
      </c>
      <c r="I7326">
        <v>3.7229999999999999</v>
      </c>
      <c r="J7326">
        <v>5</v>
      </c>
      <c r="K7326">
        <v>13</v>
      </c>
      <c r="L7326">
        <v>7</v>
      </c>
      <c r="M7326">
        <v>1.58</v>
      </c>
    </row>
    <row r="7327" spans="1:13" ht="15" customHeight="1">
      <c r="A7327" t="s">
        <v>75</v>
      </c>
      <c r="B7327">
        <f t="shared" si="454"/>
        <v>33.720722000000002</v>
      </c>
      <c r="C7327">
        <f t="shared" si="455"/>
        <v>-117.84142900000001</v>
      </c>
      <c r="D7327">
        <f t="shared" si="456"/>
        <v>80</v>
      </c>
      <c r="E7327">
        <v>58.499000000000002</v>
      </c>
      <c r="F7327">
        <f t="shared" si="457"/>
        <v>21.500999999999998</v>
      </c>
      <c r="G7327">
        <v>75.132999999999996</v>
      </c>
      <c r="H7327">
        <v>3.585</v>
      </c>
      <c r="I7327">
        <v>4.7809999999999997</v>
      </c>
      <c r="J7327">
        <v>11</v>
      </c>
      <c r="K7327">
        <v>72</v>
      </c>
      <c r="L7327">
        <v>36</v>
      </c>
      <c r="M7327" s="1">
        <v>9000000000</v>
      </c>
    </row>
    <row r="7328" spans="1:13" ht="15" customHeight="1">
      <c r="A7328" t="s">
        <v>75</v>
      </c>
      <c r="B7328">
        <f t="shared" si="454"/>
        <v>33.720722000000002</v>
      </c>
      <c r="C7328">
        <f t="shared" si="455"/>
        <v>-117.84142900000001</v>
      </c>
      <c r="D7328">
        <f t="shared" si="456"/>
        <v>80</v>
      </c>
      <c r="E7328">
        <v>59.499000000000002</v>
      </c>
      <c r="F7328">
        <f t="shared" si="457"/>
        <v>20.500999999999998</v>
      </c>
      <c r="G7328">
        <v>147.31700000000001</v>
      </c>
      <c r="H7328">
        <v>9.1199999999999992</v>
      </c>
      <c r="I7328">
        <v>6.1989999999999998</v>
      </c>
      <c r="J7328">
        <v>11</v>
      </c>
      <c r="K7328">
        <v>141</v>
      </c>
      <c r="L7328">
        <v>71</v>
      </c>
      <c r="M7328" s="1">
        <v>9000000000</v>
      </c>
    </row>
    <row r="7329" spans="1:13" ht="15" customHeight="1">
      <c r="A7329" t="s">
        <v>75</v>
      </c>
      <c r="B7329">
        <f t="shared" si="454"/>
        <v>33.720722000000002</v>
      </c>
      <c r="C7329">
        <f t="shared" si="455"/>
        <v>-117.84142900000001</v>
      </c>
      <c r="D7329">
        <f t="shared" si="456"/>
        <v>80</v>
      </c>
      <c r="E7329">
        <v>60.499000000000002</v>
      </c>
      <c r="F7329">
        <f t="shared" si="457"/>
        <v>19.500999999999998</v>
      </c>
      <c r="G7329">
        <v>76.900000000000006</v>
      </c>
      <c r="H7329">
        <v>4.4550000000000001</v>
      </c>
      <c r="I7329">
        <v>5.8049999999999997</v>
      </c>
      <c r="J7329">
        <v>11</v>
      </c>
      <c r="K7329">
        <v>74</v>
      </c>
      <c r="L7329">
        <v>37</v>
      </c>
      <c r="M7329" s="1">
        <v>9000000000</v>
      </c>
    </row>
    <row r="7330" spans="1:13" ht="15" customHeight="1">
      <c r="A7330" t="s">
        <v>75</v>
      </c>
      <c r="B7330">
        <f t="shared" si="454"/>
        <v>33.720722000000002</v>
      </c>
      <c r="C7330">
        <f t="shared" si="455"/>
        <v>-117.84142900000001</v>
      </c>
      <c r="D7330">
        <f t="shared" si="456"/>
        <v>80</v>
      </c>
      <c r="E7330">
        <v>61.499000000000002</v>
      </c>
      <c r="F7330">
        <f t="shared" si="457"/>
        <v>18.500999999999998</v>
      </c>
      <c r="G7330">
        <v>87.3</v>
      </c>
      <c r="H7330">
        <v>2.9</v>
      </c>
      <c r="I7330">
        <v>3.33</v>
      </c>
      <c r="J7330">
        <v>6</v>
      </c>
      <c r="K7330">
        <v>33</v>
      </c>
      <c r="L7330">
        <v>17</v>
      </c>
      <c r="M7330">
        <v>5.5540000000000003</v>
      </c>
    </row>
    <row r="7331" spans="1:13" ht="15" customHeight="1">
      <c r="A7331" t="s">
        <v>75</v>
      </c>
      <c r="B7331">
        <f t="shared" si="454"/>
        <v>33.720722000000002</v>
      </c>
      <c r="C7331">
        <f t="shared" si="455"/>
        <v>-117.84142900000001</v>
      </c>
      <c r="D7331">
        <f t="shared" si="456"/>
        <v>80</v>
      </c>
      <c r="E7331">
        <v>62.499000000000002</v>
      </c>
      <c r="F7331">
        <f t="shared" si="457"/>
        <v>17.500999999999998</v>
      </c>
      <c r="G7331">
        <v>263.64299999999997</v>
      </c>
      <c r="H7331">
        <v>4.1390000000000002</v>
      </c>
      <c r="I7331">
        <v>1.571</v>
      </c>
      <c r="J7331">
        <v>8</v>
      </c>
      <c r="K7331">
        <v>63</v>
      </c>
      <c r="L7331">
        <v>32</v>
      </c>
      <c r="M7331" s="1">
        <v>9000000000</v>
      </c>
    </row>
    <row r="7332" spans="1:13" ht="15" customHeight="1">
      <c r="A7332" t="s">
        <v>75</v>
      </c>
      <c r="B7332">
        <f t="shared" si="454"/>
        <v>33.720722000000002</v>
      </c>
      <c r="C7332">
        <f t="shared" si="455"/>
        <v>-117.84142900000001</v>
      </c>
      <c r="D7332">
        <f t="shared" si="456"/>
        <v>80</v>
      </c>
      <c r="E7332">
        <v>63.499000000000002</v>
      </c>
      <c r="F7332">
        <f t="shared" si="457"/>
        <v>16.500999999999998</v>
      </c>
      <c r="G7332">
        <v>385.91699999999997</v>
      </c>
      <c r="H7332">
        <v>4.2149999999999999</v>
      </c>
      <c r="I7332">
        <v>1.093</v>
      </c>
      <c r="J7332">
        <v>9</v>
      </c>
      <c r="K7332">
        <v>74</v>
      </c>
      <c r="L7332">
        <v>37</v>
      </c>
      <c r="M7332" s="1">
        <v>9000000000</v>
      </c>
    </row>
    <row r="7333" spans="1:13" ht="15" customHeight="1">
      <c r="A7333" t="s">
        <v>75</v>
      </c>
      <c r="B7333">
        <f t="shared" si="454"/>
        <v>33.720722000000002</v>
      </c>
      <c r="C7333">
        <f t="shared" si="455"/>
        <v>-117.84142900000001</v>
      </c>
      <c r="D7333">
        <f t="shared" si="456"/>
        <v>80</v>
      </c>
      <c r="E7333">
        <v>64.498999999999995</v>
      </c>
      <c r="F7333">
        <f t="shared" si="457"/>
        <v>15.501000000000005</v>
      </c>
      <c r="G7333">
        <v>127.68300000000001</v>
      </c>
      <c r="H7333">
        <v>3.26</v>
      </c>
      <c r="I7333">
        <v>2.556</v>
      </c>
      <c r="J7333">
        <v>7</v>
      </c>
      <c r="K7333">
        <v>41</v>
      </c>
      <c r="L7333">
        <v>21</v>
      </c>
      <c r="M7333" s="1">
        <v>9000000000</v>
      </c>
    </row>
    <row r="7334" spans="1:13" ht="15" customHeight="1">
      <c r="A7334" t="s">
        <v>75</v>
      </c>
      <c r="B7334">
        <f t="shared" si="454"/>
        <v>33.720722000000002</v>
      </c>
      <c r="C7334">
        <f t="shared" si="455"/>
        <v>-117.84142900000001</v>
      </c>
      <c r="D7334">
        <f t="shared" si="456"/>
        <v>80</v>
      </c>
      <c r="E7334">
        <v>65.498999999999995</v>
      </c>
      <c r="F7334">
        <f t="shared" si="457"/>
        <v>14.501000000000005</v>
      </c>
      <c r="G7334">
        <v>100.3</v>
      </c>
      <c r="H7334">
        <v>4.7729999999999997</v>
      </c>
      <c r="I7334">
        <v>4.7649999999999997</v>
      </c>
      <c r="J7334">
        <v>11</v>
      </c>
      <c r="K7334">
        <v>96</v>
      </c>
      <c r="L7334">
        <v>48</v>
      </c>
      <c r="M7334" s="1">
        <v>9000000000</v>
      </c>
    </row>
    <row r="7335" spans="1:13" ht="15" customHeight="1">
      <c r="A7335" t="s">
        <v>75</v>
      </c>
      <c r="B7335">
        <f t="shared" si="454"/>
        <v>33.720722000000002</v>
      </c>
      <c r="C7335">
        <f t="shared" si="455"/>
        <v>-117.84142900000001</v>
      </c>
      <c r="D7335">
        <f t="shared" si="456"/>
        <v>80</v>
      </c>
      <c r="E7335">
        <v>66.498999999999995</v>
      </c>
      <c r="F7335">
        <f t="shared" si="457"/>
        <v>13.501000000000005</v>
      </c>
      <c r="G7335">
        <v>58.75</v>
      </c>
      <c r="H7335">
        <v>2.8050000000000002</v>
      </c>
      <c r="I7335">
        <v>4.7869999999999999</v>
      </c>
      <c r="J7335">
        <v>4</v>
      </c>
      <c r="K7335">
        <v>37</v>
      </c>
      <c r="L7335">
        <v>19</v>
      </c>
      <c r="M7335">
        <v>3.633</v>
      </c>
    </row>
    <row r="7336" spans="1:13" ht="15" customHeight="1">
      <c r="A7336" t="s">
        <v>75</v>
      </c>
      <c r="B7336">
        <f t="shared" si="454"/>
        <v>33.720722000000002</v>
      </c>
      <c r="C7336">
        <f t="shared" si="455"/>
        <v>-117.84142900000001</v>
      </c>
      <c r="D7336">
        <f t="shared" si="456"/>
        <v>80</v>
      </c>
      <c r="E7336">
        <v>67.498999999999995</v>
      </c>
      <c r="F7336">
        <f t="shared" si="457"/>
        <v>12.501000000000005</v>
      </c>
      <c r="G7336">
        <v>23.933</v>
      </c>
      <c r="H7336">
        <v>1.0349999999999999</v>
      </c>
      <c r="I7336">
        <v>4.3550000000000004</v>
      </c>
      <c r="J7336">
        <v>4</v>
      </c>
      <c r="K7336">
        <v>15</v>
      </c>
      <c r="L7336">
        <v>8</v>
      </c>
      <c r="M7336">
        <v>1.3069999999999999</v>
      </c>
    </row>
    <row r="7337" spans="1:13" ht="15" customHeight="1">
      <c r="A7337" t="s">
        <v>75</v>
      </c>
      <c r="B7337">
        <f t="shared" si="454"/>
        <v>33.720722000000002</v>
      </c>
      <c r="C7337">
        <f t="shared" si="455"/>
        <v>-117.84142900000001</v>
      </c>
      <c r="D7337">
        <f t="shared" si="456"/>
        <v>80</v>
      </c>
      <c r="E7337">
        <v>68.498999999999995</v>
      </c>
      <c r="F7337">
        <f t="shared" si="457"/>
        <v>11.501000000000005</v>
      </c>
      <c r="G7337">
        <v>22.35</v>
      </c>
      <c r="H7337">
        <v>0.85699999999999998</v>
      </c>
      <c r="I7337">
        <v>3.85</v>
      </c>
      <c r="J7337">
        <v>4</v>
      </c>
      <c r="K7337">
        <v>14</v>
      </c>
      <c r="L7337">
        <v>7</v>
      </c>
      <c r="M7337">
        <v>1.202</v>
      </c>
    </row>
    <row r="7338" spans="1:13" ht="15" customHeight="1">
      <c r="A7338" t="s">
        <v>75</v>
      </c>
      <c r="B7338">
        <f t="shared" si="454"/>
        <v>33.720722000000002</v>
      </c>
      <c r="C7338">
        <f t="shared" si="455"/>
        <v>-117.84142900000001</v>
      </c>
      <c r="D7338">
        <f t="shared" si="456"/>
        <v>80</v>
      </c>
      <c r="E7338">
        <v>69.498999999999995</v>
      </c>
      <c r="F7338">
        <f t="shared" si="457"/>
        <v>10.501000000000005</v>
      </c>
      <c r="G7338">
        <v>20.332999999999998</v>
      </c>
      <c r="H7338">
        <v>0.753</v>
      </c>
      <c r="I7338">
        <v>3.7320000000000002</v>
      </c>
      <c r="J7338">
        <v>4</v>
      </c>
      <c r="K7338">
        <v>13</v>
      </c>
      <c r="L7338">
        <v>7</v>
      </c>
      <c r="M7338">
        <v>1.06</v>
      </c>
    </row>
    <row r="7339" spans="1:13" ht="15" customHeight="1">
      <c r="A7339" t="s">
        <v>75</v>
      </c>
      <c r="B7339">
        <f t="shared" si="454"/>
        <v>33.720722000000002</v>
      </c>
      <c r="C7339">
        <f t="shared" si="455"/>
        <v>-117.84142900000001</v>
      </c>
      <c r="D7339">
        <f t="shared" si="456"/>
        <v>80</v>
      </c>
      <c r="E7339">
        <v>70.498999999999995</v>
      </c>
      <c r="F7339">
        <f t="shared" si="457"/>
        <v>9.5010000000000048</v>
      </c>
      <c r="G7339">
        <v>45.267000000000003</v>
      </c>
      <c r="H7339">
        <v>1.667</v>
      </c>
      <c r="I7339">
        <v>3.69</v>
      </c>
      <c r="J7339">
        <v>5</v>
      </c>
      <c r="K7339">
        <v>22</v>
      </c>
      <c r="L7339">
        <v>11</v>
      </c>
      <c r="M7339">
        <v>2.7210000000000001</v>
      </c>
    </row>
    <row r="7340" spans="1:13" ht="15" customHeight="1">
      <c r="A7340" t="s">
        <v>75</v>
      </c>
      <c r="B7340">
        <f t="shared" si="454"/>
        <v>33.720722000000002</v>
      </c>
      <c r="C7340">
        <f t="shared" si="455"/>
        <v>-117.84142900000001</v>
      </c>
      <c r="D7340">
        <f t="shared" si="456"/>
        <v>80</v>
      </c>
      <c r="E7340">
        <v>71.498999999999995</v>
      </c>
      <c r="F7340">
        <f t="shared" si="457"/>
        <v>8.5010000000000048</v>
      </c>
      <c r="G7340">
        <v>64.433000000000007</v>
      </c>
      <c r="H7340">
        <v>3.0670000000000002</v>
      </c>
      <c r="I7340">
        <v>4.7690000000000001</v>
      </c>
      <c r="J7340">
        <v>4</v>
      </c>
      <c r="K7340">
        <v>41</v>
      </c>
      <c r="L7340">
        <v>21</v>
      </c>
      <c r="M7340">
        <v>3.9929999999999999</v>
      </c>
    </row>
    <row r="7341" spans="1:13" ht="15" customHeight="1">
      <c r="A7341" t="s">
        <v>75</v>
      </c>
      <c r="B7341">
        <f t="shared" si="454"/>
        <v>33.720722000000002</v>
      </c>
      <c r="C7341">
        <f t="shared" si="455"/>
        <v>-117.84142900000001</v>
      </c>
      <c r="D7341">
        <f t="shared" si="456"/>
        <v>80</v>
      </c>
      <c r="E7341">
        <v>72.498999999999995</v>
      </c>
      <c r="F7341">
        <f t="shared" si="457"/>
        <v>7.5010000000000048</v>
      </c>
      <c r="G7341">
        <v>91.885999999999996</v>
      </c>
      <c r="H7341">
        <v>3.2509999999999999</v>
      </c>
      <c r="I7341">
        <v>3.544</v>
      </c>
      <c r="J7341">
        <v>6</v>
      </c>
      <c r="K7341">
        <v>35</v>
      </c>
      <c r="L7341">
        <v>18</v>
      </c>
      <c r="M7341">
        <v>5.8179999999999996</v>
      </c>
    </row>
    <row r="7342" spans="1:13" ht="15" customHeight="1">
      <c r="A7342" t="s">
        <v>75</v>
      </c>
      <c r="B7342">
        <f t="shared" si="454"/>
        <v>33.720722000000002</v>
      </c>
      <c r="C7342">
        <f t="shared" si="455"/>
        <v>-117.84142900000001</v>
      </c>
      <c r="D7342">
        <f t="shared" si="456"/>
        <v>80</v>
      </c>
      <c r="E7342">
        <v>73.498999999999995</v>
      </c>
      <c r="F7342">
        <f t="shared" si="457"/>
        <v>6.5010000000000048</v>
      </c>
      <c r="G7342">
        <v>27.65</v>
      </c>
      <c r="H7342">
        <v>1.5</v>
      </c>
      <c r="I7342">
        <v>5.4450000000000003</v>
      </c>
      <c r="J7342">
        <v>3</v>
      </c>
      <c r="K7342">
        <v>26</v>
      </c>
      <c r="L7342">
        <v>13</v>
      </c>
      <c r="M7342">
        <v>1.534</v>
      </c>
    </row>
    <row r="7343" spans="1:13" ht="15" customHeight="1">
      <c r="A7343" t="s">
        <v>75</v>
      </c>
      <c r="B7343">
        <f t="shared" si="454"/>
        <v>33.720722000000002</v>
      </c>
      <c r="C7343">
        <f t="shared" si="455"/>
        <v>-117.84142900000001</v>
      </c>
      <c r="D7343">
        <f t="shared" si="456"/>
        <v>80</v>
      </c>
      <c r="E7343">
        <v>74.498999999999995</v>
      </c>
      <c r="F7343">
        <f t="shared" si="457"/>
        <v>5.5010000000000048</v>
      </c>
      <c r="G7343">
        <v>28.417000000000002</v>
      </c>
      <c r="H7343">
        <v>1.19</v>
      </c>
      <c r="I7343">
        <v>4.202</v>
      </c>
      <c r="J7343">
        <v>4</v>
      </c>
      <c r="K7343">
        <v>18</v>
      </c>
      <c r="L7343">
        <v>9</v>
      </c>
      <c r="M7343">
        <v>1.581</v>
      </c>
    </row>
    <row r="7344" spans="1:13" ht="15" customHeight="1">
      <c r="A7344" t="s">
        <v>75</v>
      </c>
      <c r="B7344">
        <f t="shared" si="454"/>
        <v>33.720722000000002</v>
      </c>
      <c r="C7344">
        <f t="shared" si="455"/>
        <v>-117.84142900000001</v>
      </c>
      <c r="D7344">
        <f t="shared" si="456"/>
        <v>80</v>
      </c>
      <c r="E7344">
        <v>75.498999999999995</v>
      </c>
      <c r="F7344">
        <f t="shared" si="457"/>
        <v>4.5010000000000048</v>
      </c>
      <c r="G7344">
        <v>26.632999999999999</v>
      </c>
      <c r="H7344">
        <v>1.1379999999999999</v>
      </c>
      <c r="I7344">
        <v>4.29</v>
      </c>
      <c r="J7344">
        <v>4</v>
      </c>
      <c r="K7344">
        <v>17</v>
      </c>
      <c r="L7344">
        <v>9</v>
      </c>
      <c r="M7344">
        <v>1.458</v>
      </c>
    </row>
    <row r="7345" spans="1:13" ht="15" customHeight="1">
      <c r="A7345" t="s">
        <v>75</v>
      </c>
      <c r="B7345">
        <f t="shared" si="454"/>
        <v>33.720722000000002</v>
      </c>
      <c r="C7345">
        <f t="shared" si="455"/>
        <v>-117.84142900000001</v>
      </c>
      <c r="D7345">
        <f t="shared" si="456"/>
        <v>80</v>
      </c>
      <c r="E7345">
        <v>76.498999999999995</v>
      </c>
      <c r="F7345">
        <f t="shared" si="457"/>
        <v>3.5010000000000048</v>
      </c>
      <c r="G7345">
        <v>46.082999999999998</v>
      </c>
      <c r="H7345">
        <v>2.6579999999999999</v>
      </c>
      <c r="I7345">
        <v>5.7789999999999999</v>
      </c>
      <c r="J7345">
        <v>3</v>
      </c>
      <c r="K7345">
        <v>44</v>
      </c>
      <c r="L7345">
        <v>22</v>
      </c>
      <c r="M7345">
        <v>2.7519999999999998</v>
      </c>
    </row>
    <row r="7346" spans="1:13" ht="15" customHeight="1">
      <c r="A7346" t="s">
        <v>75</v>
      </c>
      <c r="B7346">
        <f t="shared" si="454"/>
        <v>33.720722000000002</v>
      </c>
      <c r="C7346">
        <f t="shared" si="455"/>
        <v>-117.84142900000001</v>
      </c>
      <c r="D7346">
        <f t="shared" si="456"/>
        <v>80</v>
      </c>
      <c r="E7346">
        <v>77.498999999999995</v>
      </c>
      <c r="F7346">
        <f t="shared" si="457"/>
        <v>2.5010000000000048</v>
      </c>
      <c r="G7346">
        <v>42.55</v>
      </c>
      <c r="H7346">
        <v>2.5870000000000002</v>
      </c>
      <c r="I7346">
        <v>6.093</v>
      </c>
      <c r="J7346">
        <v>3</v>
      </c>
      <c r="K7346">
        <v>41</v>
      </c>
      <c r="L7346">
        <v>21</v>
      </c>
      <c r="M7346">
        <v>2.5110000000000001</v>
      </c>
    </row>
    <row r="7347" spans="1:13" ht="15" customHeight="1">
      <c r="A7347" t="s">
        <v>75</v>
      </c>
      <c r="B7347">
        <f t="shared" si="454"/>
        <v>33.720722000000002</v>
      </c>
      <c r="C7347">
        <f t="shared" si="455"/>
        <v>-117.84142900000001</v>
      </c>
      <c r="D7347">
        <f t="shared" si="456"/>
        <v>80</v>
      </c>
      <c r="E7347">
        <v>78.498999999999995</v>
      </c>
      <c r="F7347">
        <f t="shared" si="457"/>
        <v>1.5010000000000048</v>
      </c>
      <c r="G7347">
        <v>20.917000000000002</v>
      </c>
      <c r="H7347">
        <v>0.54</v>
      </c>
      <c r="I7347">
        <v>2.5920000000000001</v>
      </c>
      <c r="J7347">
        <v>5</v>
      </c>
      <c r="K7347">
        <v>10</v>
      </c>
      <c r="L7347">
        <v>5</v>
      </c>
      <c r="M7347">
        <v>1.0660000000000001</v>
      </c>
    </row>
    <row r="7348" spans="1:13" ht="15" customHeight="1">
      <c r="A7348" t="s">
        <v>75</v>
      </c>
      <c r="B7348">
        <f t="shared" si="454"/>
        <v>33.720722000000002</v>
      </c>
      <c r="C7348">
        <f t="shared" si="455"/>
        <v>-117.84142900000001</v>
      </c>
      <c r="D7348">
        <f t="shared" si="456"/>
        <v>80</v>
      </c>
      <c r="E7348">
        <v>79.498999999999995</v>
      </c>
      <c r="F7348">
        <f t="shared" si="457"/>
        <v>0.50100000000000477</v>
      </c>
      <c r="G7348">
        <v>26.5</v>
      </c>
      <c r="H7348">
        <v>1.0329999999999999</v>
      </c>
      <c r="I7348">
        <v>3.9039999999999999</v>
      </c>
      <c r="J7348">
        <v>4</v>
      </c>
      <c r="K7348">
        <v>17</v>
      </c>
      <c r="L7348">
        <v>9</v>
      </c>
      <c r="M7348">
        <v>1.4370000000000001</v>
      </c>
    </row>
    <row r="7349" spans="1:13" ht="15" customHeight="1">
      <c r="A7349" t="s">
        <v>75</v>
      </c>
      <c r="B7349">
        <f t="shared" si="454"/>
        <v>33.720722000000002</v>
      </c>
      <c r="C7349">
        <f t="shared" si="455"/>
        <v>-117.84142900000001</v>
      </c>
      <c r="D7349">
        <f t="shared" si="456"/>
        <v>80</v>
      </c>
      <c r="E7349">
        <v>80.498999999999995</v>
      </c>
      <c r="F7349">
        <f t="shared" si="457"/>
        <v>-0.49899999999999523</v>
      </c>
      <c r="G7349">
        <v>26.933</v>
      </c>
      <c r="H7349">
        <v>1.0249999999999999</v>
      </c>
      <c r="I7349">
        <v>3.8010000000000002</v>
      </c>
      <c r="J7349">
        <v>4</v>
      </c>
      <c r="K7349">
        <v>17</v>
      </c>
      <c r="L7349">
        <v>9</v>
      </c>
      <c r="M7349">
        <v>1.466</v>
      </c>
    </row>
    <row r="7350" spans="1:13" ht="15" customHeight="1">
      <c r="A7350" t="s">
        <v>75</v>
      </c>
      <c r="B7350">
        <f t="shared" si="454"/>
        <v>33.720722000000002</v>
      </c>
      <c r="C7350">
        <f t="shared" si="455"/>
        <v>-117.84142900000001</v>
      </c>
      <c r="D7350">
        <f t="shared" si="456"/>
        <v>80</v>
      </c>
      <c r="E7350">
        <v>81.498999999999995</v>
      </c>
      <c r="F7350">
        <f t="shared" si="457"/>
        <v>-1.4989999999999952</v>
      </c>
      <c r="G7350">
        <v>36.183</v>
      </c>
      <c r="H7350">
        <v>1.5169999999999999</v>
      </c>
      <c r="I7350">
        <v>4.1879999999999997</v>
      </c>
      <c r="J7350">
        <v>4</v>
      </c>
      <c r="K7350">
        <v>23</v>
      </c>
      <c r="L7350">
        <v>12</v>
      </c>
      <c r="M7350">
        <v>2.0790000000000002</v>
      </c>
    </row>
    <row r="7351" spans="1:13" ht="15" customHeight="1">
      <c r="A7351" t="s">
        <v>75</v>
      </c>
      <c r="B7351">
        <f t="shared" si="454"/>
        <v>33.720722000000002</v>
      </c>
      <c r="C7351">
        <f t="shared" si="455"/>
        <v>-117.84142900000001</v>
      </c>
      <c r="D7351">
        <f t="shared" si="456"/>
        <v>80</v>
      </c>
      <c r="E7351">
        <v>82.498999999999995</v>
      </c>
      <c r="F7351">
        <f t="shared" si="457"/>
        <v>-2.4989999999999952</v>
      </c>
      <c r="G7351">
        <v>51.383000000000003</v>
      </c>
      <c r="H7351">
        <v>2.61</v>
      </c>
      <c r="I7351">
        <v>5.0860000000000003</v>
      </c>
      <c r="J7351">
        <v>3</v>
      </c>
      <c r="K7351">
        <v>49</v>
      </c>
      <c r="L7351">
        <v>25</v>
      </c>
      <c r="M7351">
        <v>3.081</v>
      </c>
    </row>
    <row r="7352" spans="1:13" ht="15" customHeight="1">
      <c r="A7352" t="s">
        <v>75</v>
      </c>
      <c r="B7352">
        <f t="shared" si="454"/>
        <v>33.720722000000002</v>
      </c>
      <c r="C7352">
        <f t="shared" si="455"/>
        <v>-117.84142900000001</v>
      </c>
      <c r="D7352">
        <f t="shared" si="456"/>
        <v>80</v>
      </c>
      <c r="E7352">
        <v>83.498999999999995</v>
      </c>
      <c r="F7352">
        <f t="shared" si="457"/>
        <v>-3.4989999999999952</v>
      </c>
      <c r="G7352">
        <v>31.056999999999999</v>
      </c>
      <c r="H7352">
        <v>1.4530000000000001</v>
      </c>
      <c r="I7352">
        <v>4.6820000000000004</v>
      </c>
      <c r="J7352">
        <v>3</v>
      </c>
      <c r="K7352">
        <v>30</v>
      </c>
      <c r="L7352">
        <v>15</v>
      </c>
      <c r="M7352">
        <v>1.7250000000000001</v>
      </c>
    </row>
    <row r="7353" spans="1:13" ht="15" customHeight="1">
      <c r="A7353" t="s">
        <v>75</v>
      </c>
      <c r="B7353">
        <f t="shared" si="454"/>
        <v>33.720722000000002</v>
      </c>
      <c r="C7353">
        <f t="shared" si="455"/>
        <v>-117.84142900000001</v>
      </c>
      <c r="D7353">
        <f t="shared" si="456"/>
        <v>80</v>
      </c>
      <c r="E7353">
        <v>84.498999999999995</v>
      </c>
      <c r="F7353">
        <f t="shared" si="457"/>
        <v>-4.4989999999999952</v>
      </c>
      <c r="G7353">
        <v>22.6</v>
      </c>
      <c r="H7353">
        <v>0.86</v>
      </c>
      <c r="I7353">
        <v>3.8140000000000001</v>
      </c>
      <c r="J7353">
        <v>4</v>
      </c>
      <c r="K7353">
        <v>14</v>
      </c>
      <c r="L7353">
        <v>7</v>
      </c>
      <c r="M7353">
        <v>1.155</v>
      </c>
    </row>
    <row r="7354" spans="1:13" ht="15" customHeight="1">
      <c r="A7354" t="s">
        <v>75</v>
      </c>
      <c r="B7354">
        <f t="shared" si="454"/>
        <v>33.720722000000002</v>
      </c>
      <c r="C7354">
        <f t="shared" si="455"/>
        <v>-117.84142900000001</v>
      </c>
      <c r="D7354">
        <f t="shared" si="456"/>
        <v>80</v>
      </c>
      <c r="E7354">
        <v>85.498999999999995</v>
      </c>
      <c r="F7354">
        <f t="shared" si="457"/>
        <v>-5.4989999999999952</v>
      </c>
      <c r="G7354">
        <v>22.917000000000002</v>
      </c>
      <c r="H7354">
        <v>0.88</v>
      </c>
      <c r="I7354">
        <v>3.8340000000000001</v>
      </c>
      <c r="J7354">
        <v>4</v>
      </c>
      <c r="K7354">
        <v>15</v>
      </c>
      <c r="L7354">
        <v>8</v>
      </c>
      <c r="M7354">
        <v>1.1779999999999999</v>
      </c>
    </row>
    <row r="7355" spans="1:13" ht="15" customHeight="1">
      <c r="A7355" t="s">
        <v>75</v>
      </c>
      <c r="B7355">
        <f t="shared" si="454"/>
        <v>33.720722000000002</v>
      </c>
      <c r="C7355">
        <f t="shared" si="455"/>
        <v>-117.84142900000001</v>
      </c>
      <c r="D7355">
        <f t="shared" si="456"/>
        <v>80</v>
      </c>
      <c r="E7355">
        <v>86.498999999999995</v>
      </c>
      <c r="F7355">
        <f t="shared" si="457"/>
        <v>-6.4989999999999952</v>
      </c>
      <c r="G7355">
        <v>20.733000000000001</v>
      </c>
      <c r="H7355">
        <v>0.63800000000000001</v>
      </c>
      <c r="I7355">
        <v>3.0659999999999998</v>
      </c>
      <c r="J7355">
        <v>5</v>
      </c>
      <c r="K7355">
        <v>10</v>
      </c>
      <c r="L7355">
        <v>5</v>
      </c>
      <c r="M7355">
        <v>1.0309999999999999</v>
      </c>
    </row>
    <row r="7356" spans="1:13" ht="15" customHeight="1">
      <c r="A7356" t="s">
        <v>75</v>
      </c>
      <c r="B7356">
        <f t="shared" si="454"/>
        <v>33.720722000000002</v>
      </c>
      <c r="C7356">
        <f t="shared" si="455"/>
        <v>-117.84142900000001</v>
      </c>
      <c r="D7356">
        <f t="shared" si="456"/>
        <v>80</v>
      </c>
      <c r="E7356">
        <v>87.498999999999995</v>
      </c>
      <c r="F7356">
        <f t="shared" si="457"/>
        <v>-7.4989999999999952</v>
      </c>
      <c r="G7356">
        <v>20.882999999999999</v>
      </c>
      <c r="H7356">
        <v>0.52</v>
      </c>
      <c r="I7356">
        <v>2.468</v>
      </c>
      <c r="J7356">
        <v>5</v>
      </c>
      <c r="K7356">
        <v>10</v>
      </c>
      <c r="L7356">
        <v>5</v>
      </c>
      <c r="M7356">
        <v>1.044</v>
      </c>
    </row>
    <row r="7357" spans="1:13" ht="15" customHeight="1">
      <c r="A7357" t="s">
        <v>75</v>
      </c>
      <c r="B7357">
        <f t="shared" si="454"/>
        <v>33.720722000000002</v>
      </c>
      <c r="C7357">
        <f t="shared" si="455"/>
        <v>-117.84142900000001</v>
      </c>
      <c r="D7357">
        <f t="shared" si="456"/>
        <v>80</v>
      </c>
      <c r="E7357">
        <v>88.498999999999995</v>
      </c>
      <c r="F7357">
        <f t="shared" si="457"/>
        <v>-8.4989999999999952</v>
      </c>
      <c r="G7357">
        <v>24.033000000000001</v>
      </c>
      <c r="H7357">
        <v>0.51700000000000002</v>
      </c>
      <c r="I7357">
        <v>2.117</v>
      </c>
      <c r="J7357">
        <v>6</v>
      </c>
      <c r="K7357">
        <v>9</v>
      </c>
      <c r="L7357">
        <v>5</v>
      </c>
      <c r="M7357">
        <v>1.262</v>
      </c>
    </row>
    <row r="7358" spans="1:13" ht="15" customHeight="1">
      <c r="A7358" t="s">
        <v>75</v>
      </c>
      <c r="B7358">
        <f t="shared" si="454"/>
        <v>33.720722000000002</v>
      </c>
      <c r="C7358">
        <f t="shared" si="455"/>
        <v>-117.84142900000001</v>
      </c>
      <c r="D7358">
        <f t="shared" si="456"/>
        <v>80</v>
      </c>
      <c r="E7358">
        <v>89.498999999999995</v>
      </c>
      <c r="F7358">
        <f t="shared" si="457"/>
        <v>-9.4989999999999952</v>
      </c>
      <c r="G7358">
        <v>36.732999999999997</v>
      </c>
      <c r="H7358">
        <v>0.80800000000000005</v>
      </c>
      <c r="I7358">
        <v>2.1629999999999998</v>
      </c>
      <c r="J7358">
        <v>6</v>
      </c>
      <c r="K7358">
        <v>14</v>
      </c>
      <c r="L7358">
        <v>7</v>
      </c>
      <c r="M7358">
        <v>2.1219999999999999</v>
      </c>
    </row>
    <row r="7359" spans="1:13" ht="15" customHeight="1">
      <c r="A7359" t="s">
        <v>75</v>
      </c>
      <c r="B7359">
        <f t="shared" si="454"/>
        <v>33.720722000000002</v>
      </c>
      <c r="C7359">
        <f t="shared" si="455"/>
        <v>-117.84142900000001</v>
      </c>
      <c r="D7359">
        <f t="shared" si="456"/>
        <v>80</v>
      </c>
      <c r="E7359">
        <v>90.498999999999995</v>
      </c>
      <c r="F7359">
        <f t="shared" si="457"/>
        <v>-10.498999999999995</v>
      </c>
      <c r="G7359">
        <v>31.567</v>
      </c>
      <c r="H7359">
        <v>0.97</v>
      </c>
      <c r="I7359">
        <v>3.052</v>
      </c>
      <c r="J7359">
        <v>5</v>
      </c>
      <c r="K7359">
        <v>15</v>
      </c>
      <c r="L7359">
        <v>8</v>
      </c>
      <c r="M7359">
        <v>1.746</v>
      </c>
    </row>
    <row r="7360" spans="1:13" ht="15" customHeight="1">
      <c r="A7360" t="s">
        <v>75</v>
      </c>
      <c r="B7360">
        <f t="shared" si="454"/>
        <v>33.720722000000002</v>
      </c>
      <c r="C7360">
        <f t="shared" si="455"/>
        <v>-117.84142900000001</v>
      </c>
      <c r="D7360">
        <f t="shared" si="456"/>
        <v>80</v>
      </c>
      <c r="E7360">
        <v>91.498999999999995</v>
      </c>
      <c r="F7360">
        <f t="shared" si="457"/>
        <v>-11.498999999999995</v>
      </c>
      <c r="G7360">
        <v>52.517000000000003</v>
      </c>
      <c r="H7360">
        <v>1.863</v>
      </c>
      <c r="I7360">
        <v>3.55</v>
      </c>
      <c r="J7360">
        <v>5</v>
      </c>
      <c r="K7360">
        <v>25</v>
      </c>
      <c r="L7360">
        <v>13</v>
      </c>
      <c r="M7360">
        <v>3.1219999999999999</v>
      </c>
    </row>
    <row r="7361" spans="1:13" ht="15" customHeight="1">
      <c r="A7361" t="s">
        <v>75</v>
      </c>
      <c r="B7361">
        <f t="shared" si="454"/>
        <v>33.720722000000002</v>
      </c>
      <c r="C7361">
        <f t="shared" si="455"/>
        <v>-117.84142900000001</v>
      </c>
      <c r="D7361">
        <f t="shared" si="456"/>
        <v>80</v>
      </c>
      <c r="E7361">
        <v>92.498999999999995</v>
      </c>
      <c r="F7361">
        <f t="shared" si="457"/>
        <v>-12.498999999999995</v>
      </c>
      <c r="G7361">
        <v>55.4</v>
      </c>
      <c r="H7361">
        <v>2.2330000000000001</v>
      </c>
      <c r="I7361">
        <v>4.0350000000000001</v>
      </c>
      <c r="J7361">
        <v>5</v>
      </c>
      <c r="K7361">
        <v>27</v>
      </c>
      <c r="L7361">
        <v>14</v>
      </c>
      <c r="M7361">
        <v>3.3090000000000002</v>
      </c>
    </row>
    <row r="7362" spans="1:13" ht="15" customHeight="1">
      <c r="A7362" t="s">
        <v>75</v>
      </c>
      <c r="B7362">
        <f t="shared" ref="B7362:B7425" si="458">VLOOKUP(A7362,XYdata,3,FALSE)</f>
        <v>33.720722000000002</v>
      </c>
      <c r="C7362">
        <f t="shared" ref="C7362:C7425" si="459">VLOOKUP(A7362,XYdata,2,FALSE)</f>
        <v>-117.84142900000001</v>
      </c>
      <c r="D7362">
        <f t="shared" ref="D7362:D7425" si="460">VLOOKUP(A7362,Elevation,2,FALSE)</f>
        <v>80</v>
      </c>
      <c r="E7362">
        <v>93.498999999999995</v>
      </c>
      <c r="F7362">
        <f t="shared" si="457"/>
        <v>-13.498999999999995</v>
      </c>
      <c r="G7362">
        <v>400.529</v>
      </c>
      <c r="H7362">
        <v>3.1509999999999998</v>
      </c>
      <c r="I7362">
        <v>0.78700000000000003</v>
      </c>
      <c r="J7362">
        <v>10</v>
      </c>
      <c r="K7362">
        <v>64</v>
      </c>
      <c r="L7362">
        <v>32</v>
      </c>
      <c r="M7362" s="1">
        <v>9000000000</v>
      </c>
    </row>
    <row r="7363" spans="1:13" ht="15" customHeight="1">
      <c r="A7363" t="s">
        <v>75</v>
      </c>
      <c r="B7363">
        <f t="shared" si="458"/>
        <v>33.720722000000002</v>
      </c>
      <c r="C7363">
        <f t="shared" si="459"/>
        <v>-117.84142900000001</v>
      </c>
      <c r="D7363">
        <f t="shared" si="460"/>
        <v>80</v>
      </c>
      <c r="E7363">
        <v>94.498999999999995</v>
      </c>
      <c r="F7363">
        <f t="shared" ref="F7363:F7426" si="461">D7363-E7363</f>
        <v>-14.498999999999995</v>
      </c>
      <c r="G7363">
        <v>480.85</v>
      </c>
      <c r="H7363">
        <v>3.2269999999999999</v>
      </c>
      <c r="I7363">
        <v>0.67100000000000004</v>
      </c>
      <c r="J7363">
        <v>10</v>
      </c>
      <c r="K7363">
        <v>77</v>
      </c>
      <c r="L7363">
        <v>39</v>
      </c>
      <c r="M7363" s="1">
        <v>9000000000</v>
      </c>
    </row>
    <row r="7364" spans="1:13" ht="15" customHeight="1">
      <c r="A7364" t="s">
        <v>75</v>
      </c>
      <c r="B7364">
        <f t="shared" si="458"/>
        <v>33.720722000000002</v>
      </c>
      <c r="C7364">
        <f t="shared" si="459"/>
        <v>-117.84142900000001</v>
      </c>
      <c r="D7364">
        <f t="shared" si="460"/>
        <v>80</v>
      </c>
      <c r="E7364">
        <v>95.498999999999995</v>
      </c>
      <c r="F7364">
        <f t="shared" si="461"/>
        <v>-15.498999999999995</v>
      </c>
      <c r="G7364">
        <v>380.85</v>
      </c>
      <c r="H7364">
        <v>4.0670000000000002</v>
      </c>
      <c r="I7364">
        <v>1.0680000000000001</v>
      </c>
      <c r="J7364">
        <v>9</v>
      </c>
      <c r="K7364">
        <v>73</v>
      </c>
      <c r="L7364">
        <v>37</v>
      </c>
      <c r="M7364" s="1">
        <v>9000000000</v>
      </c>
    </row>
    <row r="7365" spans="1:13" ht="15" customHeight="1">
      <c r="A7365" t="s">
        <v>75</v>
      </c>
      <c r="B7365">
        <f t="shared" si="458"/>
        <v>33.720722000000002</v>
      </c>
      <c r="C7365">
        <f t="shared" si="459"/>
        <v>-117.84142900000001</v>
      </c>
      <c r="D7365">
        <f t="shared" si="460"/>
        <v>80</v>
      </c>
      <c r="E7365">
        <v>96.498999999999995</v>
      </c>
      <c r="F7365">
        <f t="shared" si="461"/>
        <v>-16.498999999999995</v>
      </c>
      <c r="G7365">
        <v>390.45</v>
      </c>
      <c r="H7365">
        <v>4.3499999999999996</v>
      </c>
      <c r="I7365">
        <v>1.115</v>
      </c>
      <c r="J7365">
        <v>9</v>
      </c>
      <c r="K7365">
        <v>75</v>
      </c>
      <c r="L7365">
        <v>38</v>
      </c>
      <c r="M7365" s="1">
        <v>9000000000</v>
      </c>
    </row>
    <row r="7366" spans="1:13" ht="15" customHeight="1">
      <c r="A7366" t="s">
        <v>75</v>
      </c>
      <c r="B7366">
        <f t="shared" si="458"/>
        <v>33.720722000000002</v>
      </c>
      <c r="C7366">
        <f t="shared" si="459"/>
        <v>-117.84142900000001</v>
      </c>
      <c r="D7366">
        <f t="shared" si="460"/>
        <v>80</v>
      </c>
      <c r="E7366">
        <v>97.498999999999995</v>
      </c>
      <c r="F7366">
        <f t="shared" si="461"/>
        <v>-17.498999999999995</v>
      </c>
      <c r="G7366">
        <v>303.5</v>
      </c>
      <c r="H7366">
        <v>4.76</v>
      </c>
      <c r="I7366">
        <v>1.569</v>
      </c>
      <c r="J7366">
        <v>8</v>
      </c>
      <c r="K7366">
        <v>73</v>
      </c>
      <c r="L7366">
        <v>37</v>
      </c>
      <c r="M7366" s="1">
        <v>9000000000</v>
      </c>
    </row>
    <row r="7367" spans="1:13" ht="15" customHeight="1">
      <c r="A7367" t="s">
        <v>75</v>
      </c>
      <c r="B7367">
        <f t="shared" si="458"/>
        <v>33.720722000000002</v>
      </c>
      <c r="C7367">
        <f t="shared" si="459"/>
        <v>-117.84142900000001</v>
      </c>
      <c r="D7367">
        <f t="shared" si="460"/>
        <v>80</v>
      </c>
      <c r="E7367">
        <v>98.498999999999995</v>
      </c>
      <c r="F7367">
        <f t="shared" si="461"/>
        <v>-18.498999999999995</v>
      </c>
      <c r="G7367">
        <v>388.81700000000001</v>
      </c>
      <c r="H7367">
        <v>3.4670000000000001</v>
      </c>
      <c r="I7367">
        <v>0.89200000000000002</v>
      </c>
      <c r="J7367">
        <v>9</v>
      </c>
      <c r="K7367">
        <v>74</v>
      </c>
      <c r="L7367">
        <v>37</v>
      </c>
      <c r="M7367" s="1">
        <v>9000000000</v>
      </c>
    </row>
    <row r="7368" spans="1:13" ht="15" customHeight="1">
      <c r="A7368" t="s">
        <v>75</v>
      </c>
      <c r="B7368">
        <f t="shared" si="458"/>
        <v>33.720722000000002</v>
      </c>
      <c r="C7368">
        <f t="shared" si="459"/>
        <v>-117.84142900000001</v>
      </c>
      <c r="D7368">
        <f t="shared" si="460"/>
        <v>80</v>
      </c>
      <c r="E7368">
        <v>99.498999999999995</v>
      </c>
      <c r="F7368">
        <f t="shared" si="461"/>
        <v>-19.498999999999995</v>
      </c>
      <c r="G7368">
        <v>479.21699999999998</v>
      </c>
      <c r="H7368">
        <v>2.3519999999999999</v>
      </c>
      <c r="I7368">
        <v>0.49099999999999999</v>
      </c>
      <c r="J7368">
        <v>10</v>
      </c>
      <c r="K7368">
        <v>76</v>
      </c>
      <c r="L7368">
        <v>38</v>
      </c>
      <c r="M7368" s="1">
        <v>9000000000</v>
      </c>
    </row>
    <row r="7369" spans="1:13" ht="15" customHeight="1">
      <c r="A7369" t="s">
        <v>76</v>
      </c>
      <c r="B7369">
        <f t="shared" si="458"/>
        <v>33.720314999999999</v>
      </c>
      <c r="C7369">
        <f t="shared" si="459"/>
        <v>-117.845797</v>
      </c>
      <c r="D7369">
        <f t="shared" si="460"/>
        <v>76</v>
      </c>
      <c r="E7369">
        <v>0.5</v>
      </c>
      <c r="F7369">
        <f t="shared" si="461"/>
        <v>75.5</v>
      </c>
      <c r="G7369">
        <v>0.93300000000000005</v>
      </c>
      <c r="H7369">
        <v>7.0000000000000001E-3</v>
      </c>
      <c r="I7369">
        <v>0.71399999999999997</v>
      </c>
      <c r="J7369">
        <v>1</v>
      </c>
      <c r="K7369">
        <v>0</v>
      </c>
      <c r="L7369">
        <v>0</v>
      </c>
      <c r="M7369">
        <v>6.0999999999999999E-2</v>
      </c>
    </row>
    <row r="7370" spans="1:13" ht="15" customHeight="1">
      <c r="A7370" t="s">
        <v>76</v>
      </c>
      <c r="B7370">
        <f t="shared" si="458"/>
        <v>33.720314999999999</v>
      </c>
      <c r="C7370">
        <f t="shared" si="459"/>
        <v>-117.845797</v>
      </c>
      <c r="D7370">
        <f t="shared" si="460"/>
        <v>76</v>
      </c>
      <c r="E7370">
        <v>1.5</v>
      </c>
      <c r="F7370">
        <f t="shared" si="461"/>
        <v>74.5</v>
      </c>
      <c r="G7370">
        <v>16.649999999999999</v>
      </c>
      <c r="H7370">
        <v>0.58199999999999996</v>
      </c>
      <c r="I7370">
        <v>3.4830000000000001</v>
      </c>
      <c r="J7370">
        <v>4</v>
      </c>
      <c r="K7370">
        <v>11</v>
      </c>
      <c r="L7370">
        <v>17</v>
      </c>
      <c r="M7370">
        <v>1.1080000000000001</v>
      </c>
    </row>
    <row r="7371" spans="1:13" ht="15" customHeight="1">
      <c r="A7371" t="s">
        <v>76</v>
      </c>
      <c r="B7371">
        <f t="shared" si="458"/>
        <v>33.720314999999999</v>
      </c>
      <c r="C7371">
        <f t="shared" si="459"/>
        <v>-117.845797</v>
      </c>
      <c r="D7371">
        <f t="shared" si="460"/>
        <v>76</v>
      </c>
      <c r="E7371">
        <v>2.5</v>
      </c>
      <c r="F7371">
        <f t="shared" si="461"/>
        <v>73.5</v>
      </c>
      <c r="G7371">
        <v>5.633</v>
      </c>
      <c r="H7371">
        <v>0.28999999999999998</v>
      </c>
      <c r="I7371">
        <v>5.194</v>
      </c>
      <c r="J7371">
        <v>3</v>
      </c>
      <c r="K7371">
        <v>5</v>
      </c>
      <c r="L7371">
        <v>8</v>
      </c>
      <c r="M7371">
        <v>0.36299999999999999</v>
      </c>
    </row>
    <row r="7372" spans="1:13" ht="15" customHeight="1">
      <c r="A7372" t="s">
        <v>76</v>
      </c>
      <c r="B7372">
        <f t="shared" si="458"/>
        <v>33.720314999999999</v>
      </c>
      <c r="C7372">
        <f t="shared" si="459"/>
        <v>-117.845797</v>
      </c>
      <c r="D7372">
        <f t="shared" si="460"/>
        <v>76</v>
      </c>
      <c r="E7372">
        <v>3.5</v>
      </c>
      <c r="F7372">
        <f t="shared" si="461"/>
        <v>72.5</v>
      </c>
      <c r="G7372">
        <v>9.6</v>
      </c>
      <c r="H7372">
        <v>0.33200000000000002</v>
      </c>
      <c r="I7372">
        <v>3.4489999999999998</v>
      </c>
      <c r="J7372">
        <v>3</v>
      </c>
      <c r="K7372">
        <v>9</v>
      </c>
      <c r="L7372">
        <v>14</v>
      </c>
      <c r="M7372">
        <v>0.628</v>
      </c>
    </row>
    <row r="7373" spans="1:13" ht="15" customHeight="1">
      <c r="A7373" t="s">
        <v>76</v>
      </c>
      <c r="B7373">
        <f t="shared" si="458"/>
        <v>33.720314999999999</v>
      </c>
      <c r="C7373">
        <f t="shared" si="459"/>
        <v>-117.845797</v>
      </c>
      <c r="D7373">
        <f t="shared" si="460"/>
        <v>76</v>
      </c>
      <c r="E7373">
        <v>4.5</v>
      </c>
      <c r="F7373">
        <f t="shared" si="461"/>
        <v>71.5</v>
      </c>
      <c r="G7373">
        <v>11.95</v>
      </c>
      <c r="H7373">
        <v>0.46200000000000002</v>
      </c>
      <c r="I7373">
        <v>3.863</v>
      </c>
      <c r="J7373">
        <v>3</v>
      </c>
      <c r="K7373">
        <v>11</v>
      </c>
      <c r="L7373">
        <v>17</v>
      </c>
      <c r="M7373">
        <v>0.77900000000000003</v>
      </c>
    </row>
    <row r="7374" spans="1:13" ht="15" customHeight="1">
      <c r="A7374" t="s">
        <v>76</v>
      </c>
      <c r="B7374">
        <f t="shared" si="458"/>
        <v>33.720314999999999</v>
      </c>
      <c r="C7374">
        <f t="shared" si="459"/>
        <v>-117.845797</v>
      </c>
      <c r="D7374">
        <f t="shared" si="460"/>
        <v>76</v>
      </c>
      <c r="E7374">
        <v>5.5</v>
      </c>
      <c r="F7374">
        <f t="shared" si="461"/>
        <v>70.5</v>
      </c>
      <c r="G7374">
        <v>5.8</v>
      </c>
      <c r="H7374">
        <v>0.17</v>
      </c>
      <c r="I7374">
        <v>2.9390000000000001</v>
      </c>
      <c r="J7374">
        <v>3</v>
      </c>
      <c r="K7374">
        <v>6</v>
      </c>
      <c r="L7374">
        <v>9</v>
      </c>
      <c r="M7374">
        <v>0.36399999999999999</v>
      </c>
    </row>
    <row r="7375" spans="1:13" ht="15" customHeight="1">
      <c r="A7375" t="s">
        <v>76</v>
      </c>
      <c r="B7375">
        <f t="shared" si="458"/>
        <v>33.720314999999999</v>
      </c>
      <c r="C7375">
        <f t="shared" si="459"/>
        <v>-117.845797</v>
      </c>
      <c r="D7375">
        <f t="shared" si="460"/>
        <v>76</v>
      </c>
      <c r="E7375">
        <v>6.5</v>
      </c>
      <c r="F7375">
        <f t="shared" si="461"/>
        <v>69.5</v>
      </c>
      <c r="G7375">
        <v>6.9829999999999997</v>
      </c>
      <c r="H7375">
        <v>0.32700000000000001</v>
      </c>
      <c r="I7375">
        <v>4.6669999999999998</v>
      </c>
      <c r="J7375">
        <v>3</v>
      </c>
      <c r="K7375">
        <v>7</v>
      </c>
      <c r="L7375">
        <v>11</v>
      </c>
      <c r="M7375">
        <v>0.441</v>
      </c>
    </row>
    <row r="7376" spans="1:13" ht="15" customHeight="1">
      <c r="A7376" t="s">
        <v>76</v>
      </c>
      <c r="B7376">
        <f t="shared" si="458"/>
        <v>33.720314999999999</v>
      </c>
      <c r="C7376">
        <f t="shared" si="459"/>
        <v>-117.845797</v>
      </c>
      <c r="D7376">
        <f t="shared" si="460"/>
        <v>76</v>
      </c>
      <c r="E7376">
        <v>7.5</v>
      </c>
      <c r="F7376">
        <f t="shared" si="461"/>
        <v>68.5</v>
      </c>
      <c r="G7376">
        <v>13.05</v>
      </c>
      <c r="H7376">
        <v>0.59699999999999998</v>
      </c>
      <c r="I7376">
        <v>4.5430000000000001</v>
      </c>
      <c r="J7376">
        <v>3</v>
      </c>
      <c r="K7376">
        <v>13</v>
      </c>
      <c r="L7376">
        <v>20</v>
      </c>
      <c r="M7376">
        <v>0.84599999999999997</v>
      </c>
    </row>
    <row r="7377" spans="1:13" ht="15" customHeight="1">
      <c r="A7377" t="s">
        <v>76</v>
      </c>
      <c r="B7377">
        <f t="shared" si="458"/>
        <v>33.720314999999999</v>
      </c>
      <c r="C7377">
        <f t="shared" si="459"/>
        <v>-117.845797</v>
      </c>
      <c r="D7377">
        <f t="shared" si="460"/>
        <v>76</v>
      </c>
      <c r="E7377">
        <v>8.5</v>
      </c>
      <c r="F7377">
        <f t="shared" si="461"/>
        <v>67.5</v>
      </c>
      <c r="G7377">
        <v>16.3</v>
      </c>
      <c r="H7377">
        <v>0.77200000000000002</v>
      </c>
      <c r="I7377">
        <v>4.734</v>
      </c>
      <c r="J7377">
        <v>3</v>
      </c>
      <c r="K7377">
        <v>16</v>
      </c>
      <c r="L7377">
        <v>24</v>
      </c>
      <c r="M7377">
        <v>1.0529999999999999</v>
      </c>
    </row>
    <row r="7378" spans="1:13" ht="15" customHeight="1">
      <c r="A7378" t="s">
        <v>76</v>
      </c>
      <c r="B7378">
        <f t="shared" si="458"/>
        <v>33.720314999999999</v>
      </c>
      <c r="C7378">
        <f t="shared" si="459"/>
        <v>-117.845797</v>
      </c>
      <c r="D7378">
        <f t="shared" si="460"/>
        <v>76</v>
      </c>
      <c r="E7378">
        <v>9.5</v>
      </c>
      <c r="F7378">
        <f t="shared" si="461"/>
        <v>66.5</v>
      </c>
      <c r="G7378">
        <v>15.417</v>
      </c>
      <c r="H7378">
        <v>0.65800000000000003</v>
      </c>
      <c r="I7378">
        <v>4.2839999999999998</v>
      </c>
      <c r="J7378">
        <v>3</v>
      </c>
      <c r="K7378">
        <v>15</v>
      </c>
      <c r="L7378">
        <v>23</v>
      </c>
      <c r="M7378">
        <v>0.98699999999999999</v>
      </c>
    </row>
    <row r="7379" spans="1:13" ht="15" customHeight="1">
      <c r="A7379" t="s">
        <v>76</v>
      </c>
      <c r="B7379">
        <f t="shared" si="458"/>
        <v>33.720314999999999</v>
      </c>
      <c r="C7379">
        <f t="shared" si="459"/>
        <v>-117.845797</v>
      </c>
      <c r="D7379">
        <f t="shared" si="460"/>
        <v>76</v>
      </c>
      <c r="E7379">
        <v>10.5</v>
      </c>
      <c r="F7379">
        <f t="shared" si="461"/>
        <v>65.5</v>
      </c>
      <c r="G7379">
        <v>10.371</v>
      </c>
      <c r="H7379">
        <v>0.45600000000000002</v>
      </c>
      <c r="I7379">
        <v>4.4119999999999999</v>
      </c>
      <c r="J7379">
        <v>3</v>
      </c>
      <c r="K7379">
        <v>10</v>
      </c>
      <c r="L7379">
        <v>14</v>
      </c>
      <c r="M7379">
        <v>0.64700000000000002</v>
      </c>
    </row>
    <row r="7380" spans="1:13" ht="15" customHeight="1">
      <c r="A7380" t="s">
        <v>76</v>
      </c>
      <c r="B7380">
        <f t="shared" si="458"/>
        <v>33.720314999999999</v>
      </c>
      <c r="C7380">
        <f t="shared" si="459"/>
        <v>-117.845797</v>
      </c>
      <c r="D7380">
        <f t="shared" si="460"/>
        <v>76</v>
      </c>
      <c r="E7380">
        <v>11.5</v>
      </c>
      <c r="F7380">
        <f t="shared" si="461"/>
        <v>64.5</v>
      </c>
      <c r="G7380">
        <v>6.383</v>
      </c>
      <c r="H7380">
        <v>0.27800000000000002</v>
      </c>
      <c r="I7380">
        <v>4.3380000000000001</v>
      </c>
      <c r="J7380">
        <v>3</v>
      </c>
      <c r="K7380">
        <v>6</v>
      </c>
      <c r="L7380">
        <v>8</v>
      </c>
      <c r="M7380">
        <v>0.38200000000000001</v>
      </c>
    </row>
    <row r="7381" spans="1:13" ht="15" customHeight="1">
      <c r="A7381" t="s">
        <v>76</v>
      </c>
      <c r="B7381">
        <f t="shared" si="458"/>
        <v>33.720314999999999</v>
      </c>
      <c r="C7381">
        <f t="shared" si="459"/>
        <v>-117.845797</v>
      </c>
      <c r="D7381">
        <f t="shared" si="460"/>
        <v>76</v>
      </c>
      <c r="E7381">
        <v>12.5</v>
      </c>
      <c r="F7381">
        <f t="shared" si="461"/>
        <v>63.5</v>
      </c>
      <c r="G7381">
        <v>6.7670000000000003</v>
      </c>
      <c r="H7381">
        <v>0.32800000000000001</v>
      </c>
      <c r="I7381">
        <v>4.8520000000000003</v>
      </c>
      <c r="J7381">
        <v>3</v>
      </c>
      <c r="K7381">
        <v>6</v>
      </c>
      <c r="L7381">
        <v>7</v>
      </c>
      <c r="M7381">
        <v>0.40100000000000002</v>
      </c>
    </row>
    <row r="7382" spans="1:13" ht="15" customHeight="1">
      <c r="A7382" t="s">
        <v>76</v>
      </c>
      <c r="B7382">
        <f t="shared" si="458"/>
        <v>33.720314999999999</v>
      </c>
      <c r="C7382">
        <f t="shared" si="459"/>
        <v>-117.845797</v>
      </c>
      <c r="D7382">
        <f t="shared" si="460"/>
        <v>76</v>
      </c>
      <c r="E7382">
        <v>13.5</v>
      </c>
      <c r="F7382">
        <f t="shared" si="461"/>
        <v>62.5</v>
      </c>
      <c r="G7382">
        <v>6.75</v>
      </c>
      <c r="H7382">
        <v>0.32700000000000001</v>
      </c>
      <c r="I7382">
        <v>4.8040000000000003</v>
      </c>
      <c r="J7382">
        <v>3</v>
      </c>
      <c r="K7382">
        <v>7</v>
      </c>
      <c r="L7382">
        <v>8</v>
      </c>
      <c r="M7382">
        <v>0.39900000000000002</v>
      </c>
    </row>
    <row r="7383" spans="1:13" ht="15" customHeight="1">
      <c r="A7383" t="s">
        <v>76</v>
      </c>
      <c r="B7383">
        <f t="shared" si="458"/>
        <v>33.720314999999999</v>
      </c>
      <c r="C7383">
        <f t="shared" si="459"/>
        <v>-117.845797</v>
      </c>
      <c r="D7383">
        <f t="shared" si="460"/>
        <v>76</v>
      </c>
      <c r="E7383">
        <v>14.5</v>
      </c>
      <c r="F7383">
        <f t="shared" si="461"/>
        <v>61.5</v>
      </c>
      <c r="G7383">
        <v>7.633</v>
      </c>
      <c r="H7383">
        <v>0.318</v>
      </c>
      <c r="I7383">
        <v>4.1159999999999997</v>
      </c>
      <c r="J7383">
        <v>3</v>
      </c>
      <c r="K7383">
        <v>7</v>
      </c>
      <c r="L7383">
        <v>8</v>
      </c>
      <c r="M7383">
        <v>0.45800000000000002</v>
      </c>
    </row>
    <row r="7384" spans="1:13" ht="15" customHeight="1">
      <c r="A7384" t="s">
        <v>76</v>
      </c>
      <c r="B7384">
        <f t="shared" si="458"/>
        <v>33.720314999999999</v>
      </c>
      <c r="C7384">
        <f t="shared" si="459"/>
        <v>-117.845797</v>
      </c>
      <c r="D7384">
        <f t="shared" si="460"/>
        <v>76</v>
      </c>
      <c r="E7384">
        <v>15.5</v>
      </c>
      <c r="F7384">
        <f t="shared" si="461"/>
        <v>60.5</v>
      </c>
      <c r="G7384">
        <v>6.9829999999999997</v>
      </c>
      <c r="H7384">
        <v>0.27300000000000002</v>
      </c>
      <c r="I7384">
        <v>3.8860000000000001</v>
      </c>
      <c r="J7384">
        <v>3</v>
      </c>
      <c r="K7384">
        <v>7</v>
      </c>
      <c r="L7384">
        <v>7</v>
      </c>
      <c r="M7384">
        <v>0.40699999999999997</v>
      </c>
    </row>
    <row r="7385" spans="1:13" ht="15" customHeight="1">
      <c r="A7385" t="s">
        <v>76</v>
      </c>
      <c r="B7385">
        <f t="shared" si="458"/>
        <v>33.720314999999999</v>
      </c>
      <c r="C7385">
        <f t="shared" si="459"/>
        <v>-117.845797</v>
      </c>
      <c r="D7385">
        <f t="shared" si="460"/>
        <v>76</v>
      </c>
      <c r="E7385">
        <v>16.5</v>
      </c>
      <c r="F7385">
        <f t="shared" si="461"/>
        <v>59.5</v>
      </c>
      <c r="G7385">
        <v>8.0329999999999995</v>
      </c>
      <c r="H7385">
        <v>0.308</v>
      </c>
      <c r="I7385">
        <v>3.8220000000000001</v>
      </c>
      <c r="J7385">
        <v>3</v>
      </c>
      <c r="K7385">
        <v>8</v>
      </c>
      <c r="L7385">
        <v>8</v>
      </c>
      <c r="M7385">
        <v>0.47199999999999998</v>
      </c>
    </row>
    <row r="7386" spans="1:13" ht="15" customHeight="1">
      <c r="A7386" t="s">
        <v>76</v>
      </c>
      <c r="B7386">
        <f t="shared" si="458"/>
        <v>33.720314999999999</v>
      </c>
      <c r="C7386">
        <f t="shared" si="459"/>
        <v>-117.845797</v>
      </c>
      <c r="D7386">
        <f t="shared" si="460"/>
        <v>76</v>
      </c>
      <c r="E7386">
        <v>17.5</v>
      </c>
      <c r="F7386">
        <f t="shared" si="461"/>
        <v>58.5</v>
      </c>
      <c r="G7386">
        <v>11.35</v>
      </c>
      <c r="H7386">
        <v>0.39700000000000002</v>
      </c>
      <c r="I7386">
        <v>3.4740000000000002</v>
      </c>
      <c r="J7386">
        <v>4</v>
      </c>
      <c r="K7386">
        <v>7</v>
      </c>
      <c r="L7386">
        <v>7</v>
      </c>
      <c r="M7386">
        <v>0.69099999999999995</v>
      </c>
    </row>
    <row r="7387" spans="1:13" ht="15" customHeight="1">
      <c r="A7387" t="s">
        <v>76</v>
      </c>
      <c r="B7387">
        <f t="shared" si="458"/>
        <v>33.720314999999999</v>
      </c>
      <c r="C7387">
        <f t="shared" si="459"/>
        <v>-117.845797</v>
      </c>
      <c r="D7387">
        <f t="shared" si="460"/>
        <v>76</v>
      </c>
      <c r="E7387">
        <v>18.5</v>
      </c>
      <c r="F7387">
        <f t="shared" si="461"/>
        <v>57.5</v>
      </c>
      <c r="G7387">
        <v>11.4</v>
      </c>
      <c r="H7387">
        <v>0.43</v>
      </c>
      <c r="I7387">
        <v>3.7450000000000001</v>
      </c>
      <c r="J7387">
        <v>3</v>
      </c>
      <c r="K7387">
        <v>11</v>
      </c>
      <c r="L7387">
        <v>10</v>
      </c>
      <c r="M7387">
        <v>0.69099999999999995</v>
      </c>
    </row>
    <row r="7388" spans="1:13" ht="15" customHeight="1">
      <c r="A7388" t="s">
        <v>76</v>
      </c>
      <c r="B7388">
        <f t="shared" si="458"/>
        <v>33.720314999999999</v>
      </c>
      <c r="C7388">
        <f t="shared" si="459"/>
        <v>-117.845797</v>
      </c>
      <c r="D7388">
        <f t="shared" si="460"/>
        <v>76</v>
      </c>
      <c r="E7388">
        <v>19.5</v>
      </c>
      <c r="F7388">
        <f t="shared" si="461"/>
        <v>56.5</v>
      </c>
      <c r="G7388">
        <v>8.5830000000000002</v>
      </c>
      <c r="H7388">
        <v>0.30299999999999999</v>
      </c>
      <c r="I7388">
        <v>3.52</v>
      </c>
      <c r="J7388">
        <v>3</v>
      </c>
      <c r="K7388">
        <v>8</v>
      </c>
      <c r="L7388">
        <v>7</v>
      </c>
      <c r="M7388">
        <v>0.496</v>
      </c>
    </row>
    <row r="7389" spans="1:13" ht="15" customHeight="1">
      <c r="A7389" t="s">
        <v>76</v>
      </c>
      <c r="B7389">
        <f t="shared" si="458"/>
        <v>33.720314999999999</v>
      </c>
      <c r="C7389">
        <f t="shared" si="459"/>
        <v>-117.845797</v>
      </c>
      <c r="D7389">
        <f t="shared" si="460"/>
        <v>76</v>
      </c>
      <c r="E7389">
        <v>20.5</v>
      </c>
      <c r="F7389">
        <f t="shared" si="461"/>
        <v>55.5</v>
      </c>
      <c r="G7389">
        <v>14.243</v>
      </c>
      <c r="H7389">
        <v>0.379</v>
      </c>
      <c r="I7389">
        <v>2.653</v>
      </c>
      <c r="J7389">
        <v>5</v>
      </c>
      <c r="K7389">
        <v>7</v>
      </c>
      <c r="L7389">
        <v>6</v>
      </c>
      <c r="M7389">
        <v>0.86899999999999999</v>
      </c>
    </row>
    <row r="7390" spans="1:13" ht="15" customHeight="1">
      <c r="A7390" t="s">
        <v>76</v>
      </c>
      <c r="B7390">
        <f t="shared" si="458"/>
        <v>33.720314999999999</v>
      </c>
      <c r="C7390">
        <f t="shared" si="459"/>
        <v>-117.845797</v>
      </c>
      <c r="D7390">
        <f t="shared" si="460"/>
        <v>76</v>
      </c>
      <c r="E7390">
        <v>21.5</v>
      </c>
      <c r="F7390">
        <f t="shared" si="461"/>
        <v>54.5</v>
      </c>
      <c r="G7390">
        <v>145.21700000000001</v>
      </c>
      <c r="H7390">
        <v>1.9870000000000001</v>
      </c>
      <c r="I7390">
        <v>1.369</v>
      </c>
      <c r="J7390">
        <v>8</v>
      </c>
      <c r="K7390">
        <v>35</v>
      </c>
      <c r="L7390">
        <v>29</v>
      </c>
      <c r="M7390" s="1">
        <v>9000000000</v>
      </c>
    </row>
    <row r="7391" spans="1:13" ht="15" customHeight="1">
      <c r="A7391" t="s">
        <v>76</v>
      </c>
      <c r="B7391">
        <f t="shared" si="458"/>
        <v>33.720314999999999</v>
      </c>
      <c r="C7391">
        <f t="shared" si="459"/>
        <v>-117.845797</v>
      </c>
      <c r="D7391">
        <f t="shared" si="460"/>
        <v>76</v>
      </c>
      <c r="E7391">
        <v>22.5</v>
      </c>
      <c r="F7391">
        <f t="shared" si="461"/>
        <v>53.5</v>
      </c>
      <c r="G7391">
        <v>200.06700000000001</v>
      </c>
      <c r="H7391">
        <v>2.65</v>
      </c>
      <c r="I7391">
        <v>1.3260000000000001</v>
      </c>
      <c r="J7391">
        <v>8</v>
      </c>
      <c r="K7391">
        <v>48</v>
      </c>
      <c r="L7391">
        <v>38</v>
      </c>
      <c r="M7391" s="1">
        <v>9000000000</v>
      </c>
    </row>
    <row r="7392" spans="1:13" ht="15" customHeight="1">
      <c r="A7392" t="s">
        <v>76</v>
      </c>
      <c r="B7392">
        <f t="shared" si="458"/>
        <v>33.720314999999999</v>
      </c>
      <c r="C7392">
        <f t="shared" si="459"/>
        <v>-117.845797</v>
      </c>
      <c r="D7392">
        <f t="shared" si="460"/>
        <v>76</v>
      </c>
      <c r="E7392">
        <v>23.5</v>
      </c>
      <c r="F7392">
        <f t="shared" si="461"/>
        <v>52.5</v>
      </c>
      <c r="G7392">
        <v>156.44999999999999</v>
      </c>
      <c r="H7392">
        <v>1.958</v>
      </c>
      <c r="I7392">
        <v>1.2529999999999999</v>
      </c>
      <c r="J7392">
        <v>8</v>
      </c>
      <c r="K7392">
        <v>37</v>
      </c>
      <c r="L7392">
        <v>28</v>
      </c>
      <c r="M7392" s="1">
        <v>9000000000</v>
      </c>
    </row>
    <row r="7393" spans="1:13" ht="15" customHeight="1">
      <c r="A7393" t="s">
        <v>76</v>
      </c>
      <c r="B7393">
        <f t="shared" si="458"/>
        <v>33.720314999999999</v>
      </c>
      <c r="C7393">
        <f t="shared" si="459"/>
        <v>-117.845797</v>
      </c>
      <c r="D7393">
        <f t="shared" si="460"/>
        <v>76</v>
      </c>
      <c r="E7393">
        <v>24.5</v>
      </c>
      <c r="F7393">
        <f t="shared" si="461"/>
        <v>51.5</v>
      </c>
      <c r="G7393">
        <v>63.75</v>
      </c>
      <c r="H7393">
        <v>2.073</v>
      </c>
      <c r="I7393">
        <v>3.2629999999999999</v>
      </c>
      <c r="J7393">
        <v>6</v>
      </c>
      <c r="K7393">
        <v>24</v>
      </c>
      <c r="L7393">
        <v>18</v>
      </c>
      <c r="M7393">
        <v>4.1379999999999999</v>
      </c>
    </row>
    <row r="7394" spans="1:13" ht="15" customHeight="1">
      <c r="A7394" t="s">
        <v>76</v>
      </c>
      <c r="B7394">
        <f t="shared" si="458"/>
        <v>33.720314999999999</v>
      </c>
      <c r="C7394">
        <f t="shared" si="459"/>
        <v>-117.845797</v>
      </c>
      <c r="D7394">
        <f t="shared" si="460"/>
        <v>76</v>
      </c>
      <c r="E7394">
        <v>25.5</v>
      </c>
      <c r="F7394">
        <f t="shared" si="461"/>
        <v>50.5</v>
      </c>
      <c r="G7394">
        <v>80.233000000000004</v>
      </c>
      <c r="H7394">
        <v>3.3180000000000001</v>
      </c>
      <c r="I7394">
        <v>4.1459999999999999</v>
      </c>
      <c r="J7394">
        <v>5</v>
      </c>
      <c r="K7394">
        <v>38</v>
      </c>
      <c r="L7394">
        <v>27</v>
      </c>
      <c r="M7394">
        <v>5.2329999999999997</v>
      </c>
    </row>
    <row r="7395" spans="1:13" ht="15" customHeight="1">
      <c r="A7395" t="s">
        <v>76</v>
      </c>
      <c r="B7395">
        <f t="shared" si="458"/>
        <v>33.720314999999999</v>
      </c>
      <c r="C7395">
        <f t="shared" si="459"/>
        <v>-117.845797</v>
      </c>
      <c r="D7395">
        <f t="shared" si="460"/>
        <v>76</v>
      </c>
      <c r="E7395">
        <v>26.5</v>
      </c>
      <c r="F7395">
        <f t="shared" si="461"/>
        <v>49.5</v>
      </c>
      <c r="G7395">
        <v>93.5</v>
      </c>
      <c r="H7395">
        <v>2.72</v>
      </c>
      <c r="I7395">
        <v>2.915</v>
      </c>
      <c r="J7395">
        <v>6</v>
      </c>
      <c r="K7395">
        <v>36</v>
      </c>
      <c r="L7395">
        <v>26</v>
      </c>
      <c r="M7395">
        <v>6.1130000000000004</v>
      </c>
    </row>
    <row r="7396" spans="1:13" ht="15" customHeight="1">
      <c r="A7396" t="s">
        <v>76</v>
      </c>
      <c r="B7396">
        <f t="shared" si="458"/>
        <v>33.720314999999999</v>
      </c>
      <c r="C7396">
        <f t="shared" si="459"/>
        <v>-117.845797</v>
      </c>
      <c r="D7396">
        <f t="shared" si="460"/>
        <v>76</v>
      </c>
      <c r="E7396">
        <v>27.5</v>
      </c>
      <c r="F7396">
        <f t="shared" si="461"/>
        <v>48.5</v>
      </c>
      <c r="G7396">
        <v>45.082999999999998</v>
      </c>
      <c r="H7396">
        <v>1.5349999999999999</v>
      </c>
      <c r="I7396">
        <v>3.42</v>
      </c>
      <c r="J7396">
        <v>5</v>
      </c>
      <c r="K7396">
        <v>21</v>
      </c>
      <c r="L7396">
        <v>15</v>
      </c>
      <c r="M7396">
        <v>2.8809999999999998</v>
      </c>
    </row>
    <row r="7397" spans="1:13" ht="15" customHeight="1">
      <c r="A7397" t="s">
        <v>76</v>
      </c>
      <c r="B7397">
        <f t="shared" si="458"/>
        <v>33.720314999999999</v>
      </c>
      <c r="C7397">
        <f t="shared" si="459"/>
        <v>-117.845797</v>
      </c>
      <c r="D7397">
        <f t="shared" si="460"/>
        <v>76</v>
      </c>
      <c r="E7397">
        <v>28.5</v>
      </c>
      <c r="F7397">
        <f t="shared" si="461"/>
        <v>47.5</v>
      </c>
      <c r="G7397">
        <v>34.116999999999997</v>
      </c>
      <c r="H7397">
        <v>1.1819999999999999</v>
      </c>
      <c r="I7397">
        <v>3.484</v>
      </c>
      <c r="J7397">
        <v>5</v>
      </c>
      <c r="K7397">
        <v>16</v>
      </c>
      <c r="L7397">
        <v>11</v>
      </c>
      <c r="M7397">
        <v>2.1459999999999999</v>
      </c>
    </row>
    <row r="7398" spans="1:13" ht="15" customHeight="1">
      <c r="A7398" t="s">
        <v>76</v>
      </c>
      <c r="B7398">
        <f t="shared" si="458"/>
        <v>33.720314999999999</v>
      </c>
      <c r="C7398">
        <f t="shared" si="459"/>
        <v>-117.845797</v>
      </c>
      <c r="D7398">
        <f t="shared" si="460"/>
        <v>76</v>
      </c>
      <c r="E7398">
        <v>29.5</v>
      </c>
      <c r="F7398">
        <f t="shared" si="461"/>
        <v>46.5</v>
      </c>
      <c r="G7398">
        <v>14.233000000000001</v>
      </c>
      <c r="H7398">
        <v>0.5</v>
      </c>
      <c r="I7398">
        <v>3.55</v>
      </c>
      <c r="J7398">
        <v>4</v>
      </c>
      <c r="K7398">
        <v>9</v>
      </c>
      <c r="L7398">
        <v>6</v>
      </c>
      <c r="M7398">
        <v>0.81899999999999995</v>
      </c>
    </row>
    <row r="7399" spans="1:13" ht="15" customHeight="1">
      <c r="A7399" t="s">
        <v>76</v>
      </c>
      <c r="B7399">
        <f t="shared" si="458"/>
        <v>33.720314999999999</v>
      </c>
      <c r="C7399">
        <f t="shared" si="459"/>
        <v>-117.845797</v>
      </c>
      <c r="D7399">
        <f t="shared" si="460"/>
        <v>76</v>
      </c>
      <c r="E7399">
        <v>30.5</v>
      </c>
      <c r="F7399">
        <f t="shared" si="461"/>
        <v>45.5</v>
      </c>
      <c r="G7399">
        <v>14.833</v>
      </c>
      <c r="H7399">
        <v>0.52500000000000002</v>
      </c>
      <c r="I7399">
        <v>3.5880000000000001</v>
      </c>
      <c r="J7399">
        <v>4</v>
      </c>
      <c r="K7399">
        <v>9</v>
      </c>
      <c r="L7399">
        <v>6</v>
      </c>
      <c r="M7399">
        <v>0.85199999999999998</v>
      </c>
    </row>
    <row r="7400" spans="1:13" ht="15" customHeight="1">
      <c r="A7400" t="s">
        <v>76</v>
      </c>
      <c r="B7400">
        <f t="shared" si="458"/>
        <v>33.720314999999999</v>
      </c>
      <c r="C7400">
        <f t="shared" si="459"/>
        <v>-117.845797</v>
      </c>
      <c r="D7400">
        <f t="shared" si="460"/>
        <v>76</v>
      </c>
      <c r="E7400">
        <v>31.5</v>
      </c>
      <c r="F7400">
        <f t="shared" si="461"/>
        <v>44.5</v>
      </c>
      <c r="G7400">
        <v>14.170999999999999</v>
      </c>
      <c r="H7400">
        <v>0.54900000000000004</v>
      </c>
      <c r="I7400">
        <v>3.9220000000000002</v>
      </c>
      <c r="J7400">
        <v>3</v>
      </c>
      <c r="K7400">
        <v>13</v>
      </c>
      <c r="L7400">
        <v>9</v>
      </c>
      <c r="M7400">
        <v>0.80500000000000005</v>
      </c>
    </row>
    <row r="7401" spans="1:13" ht="15" customHeight="1">
      <c r="A7401" t="s">
        <v>76</v>
      </c>
      <c r="B7401">
        <f t="shared" si="458"/>
        <v>33.720314999999999</v>
      </c>
      <c r="C7401">
        <f t="shared" si="459"/>
        <v>-117.845797</v>
      </c>
      <c r="D7401">
        <f t="shared" si="460"/>
        <v>76</v>
      </c>
      <c r="E7401">
        <v>32.5</v>
      </c>
      <c r="F7401">
        <f t="shared" si="461"/>
        <v>43.5</v>
      </c>
      <c r="G7401">
        <v>12.067</v>
      </c>
      <c r="H7401">
        <v>0.38</v>
      </c>
      <c r="I7401">
        <v>3.202</v>
      </c>
      <c r="J7401">
        <v>4</v>
      </c>
      <c r="K7401">
        <v>8</v>
      </c>
      <c r="L7401">
        <v>5</v>
      </c>
      <c r="M7401">
        <v>0.65900000000000003</v>
      </c>
    </row>
    <row r="7402" spans="1:13" ht="15" customHeight="1">
      <c r="A7402" t="s">
        <v>76</v>
      </c>
      <c r="B7402">
        <f t="shared" si="458"/>
        <v>33.720314999999999</v>
      </c>
      <c r="C7402">
        <f t="shared" si="459"/>
        <v>-117.845797</v>
      </c>
      <c r="D7402">
        <f t="shared" si="460"/>
        <v>76</v>
      </c>
      <c r="E7402">
        <v>33.5</v>
      </c>
      <c r="F7402">
        <f t="shared" si="461"/>
        <v>42.5</v>
      </c>
      <c r="G7402">
        <v>19</v>
      </c>
      <c r="H7402">
        <v>0.84699999999999998</v>
      </c>
      <c r="I7402">
        <v>4.5</v>
      </c>
      <c r="J7402">
        <v>3</v>
      </c>
      <c r="K7402">
        <v>18</v>
      </c>
      <c r="L7402">
        <v>12</v>
      </c>
      <c r="M7402">
        <v>1.119</v>
      </c>
    </row>
    <row r="7403" spans="1:13" ht="15" customHeight="1">
      <c r="A7403" t="s">
        <v>76</v>
      </c>
      <c r="B7403">
        <f t="shared" si="458"/>
        <v>33.720314999999999</v>
      </c>
      <c r="C7403">
        <f t="shared" si="459"/>
        <v>-117.845797</v>
      </c>
      <c r="D7403">
        <f t="shared" si="460"/>
        <v>76</v>
      </c>
      <c r="E7403">
        <v>34.5</v>
      </c>
      <c r="F7403">
        <f t="shared" si="461"/>
        <v>41.5</v>
      </c>
      <c r="G7403">
        <v>33.049999999999997</v>
      </c>
      <c r="H7403">
        <v>1.478</v>
      </c>
      <c r="I7403">
        <v>4.4909999999999997</v>
      </c>
      <c r="J7403">
        <v>4</v>
      </c>
      <c r="K7403">
        <v>21</v>
      </c>
      <c r="L7403">
        <v>13</v>
      </c>
      <c r="M7403">
        <v>2.0539999999999998</v>
      </c>
    </row>
    <row r="7404" spans="1:13" ht="15" customHeight="1">
      <c r="A7404" t="s">
        <v>76</v>
      </c>
      <c r="B7404">
        <f t="shared" si="458"/>
        <v>33.720314999999999</v>
      </c>
      <c r="C7404">
        <f t="shared" si="459"/>
        <v>-117.845797</v>
      </c>
      <c r="D7404">
        <f t="shared" si="460"/>
        <v>76</v>
      </c>
      <c r="E7404">
        <v>35.5</v>
      </c>
      <c r="F7404">
        <f t="shared" si="461"/>
        <v>40.5</v>
      </c>
      <c r="G7404">
        <v>26.3</v>
      </c>
      <c r="H7404">
        <v>0.90300000000000002</v>
      </c>
      <c r="I7404">
        <v>3.4540000000000002</v>
      </c>
      <c r="J7404">
        <v>5</v>
      </c>
      <c r="K7404">
        <v>13</v>
      </c>
      <c r="L7404">
        <v>8</v>
      </c>
      <c r="M7404">
        <v>1.599</v>
      </c>
    </row>
    <row r="7405" spans="1:13" ht="15" customHeight="1">
      <c r="A7405" t="s">
        <v>76</v>
      </c>
      <c r="B7405">
        <f t="shared" si="458"/>
        <v>33.720314999999999</v>
      </c>
      <c r="C7405">
        <f t="shared" si="459"/>
        <v>-117.845797</v>
      </c>
      <c r="D7405">
        <f t="shared" si="460"/>
        <v>76</v>
      </c>
      <c r="E7405">
        <v>36.5</v>
      </c>
      <c r="F7405">
        <f t="shared" si="461"/>
        <v>39.5</v>
      </c>
      <c r="G7405">
        <v>15.733000000000001</v>
      </c>
      <c r="H7405">
        <v>0.622</v>
      </c>
      <c r="I7405">
        <v>3.9809999999999999</v>
      </c>
      <c r="J7405">
        <v>4</v>
      </c>
      <c r="K7405">
        <v>10</v>
      </c>
      <c r="L7405">
        <v>6</v>
      </c>
      <c r="M7405">
        <v>0.89300000000000002</v>
      </c>
    </row>
    <row r="7406" spans="1:13" ht="15" customHeight="1">
      <c r="A7406" t="s">
        <v>76</v>
      </c>
      <c r="B7406">
        <f t="shared" si="458"/>
        <v>33.720314999999999</v>
      </c>
      <c r="C7406">
        <f t="shared" si="459"/>
        <v>-117.845797</v>
      </c>
      <c r="D7406">
        <f t="shared" si="460"/>
        <v>76</v>
      </c>
      <c r="E7406">
        <v>37.5</v>
      </c>
      <c r="F7406">
        <f t="shared" si="461"/>
        <v>38.5</v>
      </c>
      <c r="G7406">
        <v>25.6</v>
      </c>
      <c r="H7406">
        <v>1.1499999999999999</v>
      </c>
      <c r="I7406">
        <v>4.5250000000000004</v>
      </c>
      <c r="J7406">
        <v>3</v>
      </c>
      <c r="K7406">
        <v>24</v>
      </c>
      <c r="L7406">
        <v>15</v>
      </c>
      <c r="M7406">
        <v>1.542</v>
      </c>
    </row>
    <row r="7407" spans="1:13" ht="15" customHeight="1">
      <c r="A7407" t="s">
        <v>76</v>
      </c>
      <c r="B7407">
        <f t="shared" si="458"/>
        <v>33.720314999999999</v>
      </c>
      <c r="C7407">
        <f t="shared" si="459"/>
        <v>-117.845797</v>
      </c>
      <c r="D7407">
        <f t="shared" si="460"/>
        <v>76</v>
      </c>
      <c r="E7407">
        <v>38.5</v>
      </c>
      <c r="F7407">
        <f t="shared" si="461"/>
        <v>37.5</v>
      </c>
      <c r="G7407">
        <v>31.167000000000002</v>
      </c>
      <c r="H7407">
        <v>1.335</v>
      </c>
      <c r="I7407">
        <v>4.3040000000000003</v>
      </c>
      <c r="J7407">
        <v>4</v>
      </c>
      <c r="K7407">
        <v>20</v>
      </c>
      <c r="L7407">
        <v>12</v>
      </c>
      <c r="M7407">
        <v>1.911</v>
      </c>
    </row>
    <row r="7408" spans="1:13" ht="15" customHeight="1">
      <c r="A7408" t="s">
        <v>76</v>
      </c>
      <c r="B7408">
        <f t="shared" si="458"/>
        <v>33.720314999999999</v>
      </c>
      <c r="C7408">
        <f t="shared" si="459"/>
        <v>-117.845797</v>
      </c>
      <c r="D7408">
        <f t="shared" si="460"/>
        <v>76</v>
      </c>
      <c r="E7408">
        <v>39.5</v>
      </c>
      <c r="F7408">
        <f t="shared" si="461"/>
        <v>36.5</v>
      </c>
      <c r="G7408">
        <v>38.049999999999997</v>
      </c>
      <c r="H7408">
        <v>1.7869999999999999</v>
      </c>
      <c r="I7408">
        <v>4.71</v>
      </c>
      <c r="J7408">
        <v>4</v>
      </c>
      <c r="K7408">
        <v>24</v>
      </c>
      <c r="L7408">
        <v>14</v>
      </c>
      <c r="M7408">
        <v>2.3679999999999999</v>
      </c>
    </row>
    <row r="7409" spans="1:13" ht="15" customHeight="1">
      <c r="A7409" t="s">
        <v>76</v>
      </c>
      <c r="B7409">
        <f t="shared" si="458"/>
        <v>33.720314999999999</v>
      </c>
      <c r="C7409">
        <f t="shared" si="459"/>
        <v>-117.845797</v>
      </c>
      <c r="D7409">
        <f t="shared" si="460"/>
        <v>76</v>
      </c>
      <c r="E7409">
        <v>40.5</v>
      </c>
      <c r="F7409">
        <f t="shared" si="461"/>
        <v>35.5</v>
      </c>
      <c r="G7409">
        <v>50.85</v>
      </c>
      <c r="H7409">
        <v>1.863</v>
      </c>
      <c r="I7409">
        <v>3.673</v>
      </c>
      <c r="J7409">
        <v>5</v>
      </c>
      <c r="K7409">
        <v>24</v>
      </c>
      <c r="L7409">
        <v>14</v>
      </c>
      <c r="M7409">
        <v>3.2170000000000001</v>
      </c>
    </row>
    <row r="7410" spans="1:13" ht="15" customHeight="1">
      <c r="A7410" t="s">
        <v>76</v>
      </c>
      <c r="B7410">
        <f t="shared" si="458"/>
        <v>33.720314999999999</v>
      </c>
      <c r="C7410">
        <f t="shared" si="459"/>
        <v>-117.845797</v>
      </c>
      <c r="D7410">
        <f t="shared" si="460"/>
        <v>76</v>
      </c>
      <c r="E7410">
        <v>41.499000000000002</v>
      </c>
      <c r="F7410">
        <f t="shared" si="461"/>
        <v>34.500999999999998</v>
      </c>
      <c r="G7410">
        <v>42.9</v>
      </c>
      <c r="H7410">
        <v>1.01</v>
      </c>
      <c r="I7410">
        <v>2.3580000000000001</v>
      </c>
      <c r="J7410">
        <v>6</v>
      </c>
      <c r="K7410">
        <v>16</v>
      </c>
      <c r="L7410">
        <v>9</v>
      </c>
      <c r="M7410">
        <v>2.6859999999999999</v>
      </c>
    </row>
    <row r="7411" spans="1:13" ht="15" customHeight="1">
      <c r="A7411" t="s">
        <v>76</v>
      </c>
      <c r="B7411">
        <f t="shared" si="458"/>
        <v>33.720314999999999</v>
      </c>
      <c r="C7411">
        <f t="shared" si="459"/>
        <v>-117.845797</v>
      </c>
      <c r="D7411">
        <f t="shared" si="460"/>
        <v>76</v>
      </c>
      <c r="E7411">
        <v>42.499000000000002</v>
      </c>
      <c r="F7411">
        <f t="shared" si="461"/>
        <v>33.500999999999998</v>
      </c>
      <c r="G7411">
        <v>33.35</v>
      </c>
      <c r="H7411">
        <v>1.387</v>
      </c>
      <c r="I7411">
        <v>4.1639999999999997</v>
      </c>
      <c r="J7411">
        <v>4</v>
      </c>
      <c r="K7411">
        <v>21</v>
      </c>
      <c r="L7411">
        <v>12</v>
      </c>
      <c r="M7411">
        <v>2.0470000000000002</v>
      </c>
    </row>
    <row r="7412" spans="1:13" ht="15" customHeight="1">
      <c r="A7412" t="s">
        <v>76</v>
      </c>
      <c r="B7412">
        <f t="shared" si="458"/>
        <v>33.720314999999999</v>
      </c>
      <c r="C7412">
        <f t="shared" si="459"/>
        <v>-117.845797</v>
      </c>
      <c r="D7412">
        <f t="shared" si="460"/>
        <v>76</v>
      </c>
      <c r="E7412">
        <v>43.499000000000002</v>
      </c>
      <c r="F7412">
        <f t="shared" si="461"/>
        <v>32.500999999999998</v>
      </c>
      <c r="G7412">
        <v>24.7</v>
      </c>
      <c r="H7412">
        <v>0.89500000000000002</v>
      </c>
      <c r="I7412">
        <v>3.6280000000000001</v>
      </c>
      <c r="J7412">
        <v>5</v>
      </c>
      <c r="K7412">
        <v>12</v>
      </c>
      <c r="L7412">
        <v>7</v>
      </c>
      <c r="M7412">
        <v>1.4670000000000001</v>
      </c>
    </row>
    <row r="7413" spans="1:13" ht="15" customHeight="1">
      <c r="A7413" t="s">
        <v>76</v>
      </c>
      <c r="B7413">
        <f t="shared" si="458"/>
        <v>33.720314999999999</v>
      </c>
      <c r="C7413">
        <f t="shared" si="459"/>
        <v>-117.845797</v>
      </c>
      <c r="D7413">
        <f t="shared" si="460"/>
        <v>76</v>
      </c>
      <c r="E7413">
        <v>44.499000000000002</v>
      </c>
      <c r="F7413">
        <f t="shared" si="461"/>
        <v>31.500999999999998</v>
      </c>
      <c r="G7413">
        <v>26.45</v>
      </c>
      <c r="H7413">
        <v>0.90700000000000003</v>
      </c>
      <c r="I7413">
        <v>3.4340000000000002</v>
      </c>
      <c r="J7413">
        <v>5</v>
      </c>
      <c r="K7413">
        <v>13</v>
      </c>
      <c r="L7413">
        <v>7</v>
      </c>
      <c r="M7413">
        <v>1.579</v>
      </c>
    </row>
    <row r="7414" spans="1:13" ht="15" customHeight="1">
      <c r="A7414" t="s">
        <v>76</v>
      </c>
      <c r="B7414">
        <f t="shared" si="458"/>
        <v>33.720314999999999</v>
      </c>
      <c r="C7414">
        <f t="shared" si="459"/>
        <v>-117.845797</v>
      </c>
      <c r="D7414">
        <f t="shared" si="460"/>
        <v>76</v>
      </c>
      <c r="E7414">
        <v>45.499000000000002</v>
      </c>
      <c r="F7414">
        <f t="shared" si="461"/>
        <v>30.500999999999998</v>
      </c>
      <c r="G7414">
        <v>46.232999999999997</v>
      </c>
      <c r="H7414">
        <v>2.0169999999999999</v>
      </c>
      <c r="I7414">
        <v>4.3639999999999999</v>
      </c>
      <c r="J7414">
        <v>4</v>
      </c>
      <c r="K7414">
        <v>30</v>
      </c>
      <c r="L7414">
        <v>17</v>
      </c>
      <c r="M7414">
        <v>2.895</v>
      </c>
    </row>
    <row r="7415" spans="1:13" ht="15" customHeight="1">
      <c r="A7415" t="s">
        <v>76</v>
      </c>
      <c r="B7415">
        <f t="shared" si="458"/>
        <v>33.720314999999999</v>
      </c>
      <c r="C7415">
        <f t="shared" si="459"/>
        <v>-117.845797</v>
      </c>
      <c r="D7415">
        <f t="shared" si="460"/>
        <v>76</v>
      </c>
      <c r="E7415">
        <v>46.499000000000002</v>
      </c>
      <c r="F7415">
        <f t="shared" si="461"/>
        <v>29.500999999999998</v>
      </c>
      <c r="G7415">
        <v>46.633000000000003</v>
      </c>
      <c r="H7415">
        <v>1.8720000000000001</v>
      </c>
      <c r="I7415">
        <v>4.0149999999999997</v>
      </c>
      <c r="J7415">
        <v>5</v>
      </c>
      <c r="K7415">
        <v>22</v>
      </c>
      <c r="L7415">
        <v>12</v>
      </c>
      <c r="M7415">
        <v>2.9180000000000001</v>
      </c>
    </row>
    <row r="7416" spans="1:13" ht="15" customHeight="1">
      <c r="A7416" t="s">
        <v>76</v>
      </c>
      <c r="B7416">
        <f t="shared" si="458"/>
        <v>33.720314999999999</v>
      </c>
      <c r="C7416">
        <f t="shared" si="459"/>
        <v>-117.845797</v>
      </c>
      <c r="D7416">
        <f t="shared" si="460"/>
        <v>76</v>
      </c>
      <c r="E7416">
        <v>47.499000000000002</v>
      </c>
      <c r="F7416">
        <f t="shared" si="461"/>
        <v>28.500999999999998</v>
      </c>
      <c r="G7416">
        <v>48.866999999999997</v>
      </c>
      <c r="H7416">
        <v>2.1429999999999998</v>
      </c>
      <c r="I7416">
        <v>4.391</v>
      </c>
      <c r="J7416">
        <v>4</v>
      </c>
      <c r="K7416">
        <v>31</v>
      </c>
      <c r="L7416">
        <v>17</v>
      </c>
      <c r="M7416">
        <v>3.06</v>
      </c>
    </row>
    <row r="7417" spans="1:13" ht="15" customHeight="1">
      <c r="A7417" t="s">
        <v>76</v>
      </c>
      <c r="B7417">
        <f t="shared" si="458"/>
        <v>33.720314999999999</v>
      </c>
      <c r="C7417">
        <f t="shared" si="459"/>
        <v>-117.845797</v>
      </c>
      <c r="D7417">
        <f t="shared" si="460"/>
        <v>76</v>
      </c>
      <c r="E7417">
        <v>48.499000000000002</v>
      </c>
      <c r="F7417">
        <f t="shared" si="461"/>
        <v>27.500999999999998</v>
      </c>
      <c r="G7417">
        <v>47.05</v>
      </c>
      <c r="H7417">
        <v>2.0379999999999998</v>
      </c>
      <c r="I7417">
        <v>4.3410000000000002</v>
      </c>
      <c r="J7417">
        <v>4</v>
      </c>
      <c r="K7417">
        <v>30</v>
      </c>
      <c r="L7417">
        <v>16</v>
      </c>
      <c r="M7417">
        <v>2.9319999999999999</v>
      </c>
    </row>
    <row r="7418" spans="1:13" ht="15" customHeight="1">
      <c r="A7418" t="s">
        <v>76</v>
      </c>
      <c r="B7418">
        <f t="shared" si="458"/>
        <v>33.720314999999999</v>
      </c>
      <c r="C7418">
        <f t="shared" si="459"/>
        <v>-117.845797</v>
      </c>
      <c r="D7418">
        <f t="shared" si="460"/>
        <v>76</v>
      </c>
      <c r="E7418">
        <v>49.499000000000002</v>
      </c>
      <c r="F7418">
        <f t="shared" si="461"/>
        <v>26.500999999999998</v>
      </c>
      <c r="G7418">
        <v>65.783000000000001</v>
      </c>
      <c r="H7418">
        <v>2.972</v>
      </c>
      <c r="I7418">
        <v>4.524</v>
      </c>
      <c r="J7418">
        <v>4</v>
      </c>
      <c r="K7418">
        <v>42</v>
      </c>
      <c r="L7418">
        <v>22</v>
      </c>
      <c r="M7418">
        <v>4.1769999999999996</v>
      </c>
    </row>
    <row r="7419" spans="1:13" ht="15" customHeight="1">
      <c r="A7419" t="s">
        <v>76</v>
      </c>
      <c r="B7419">
        <f t="shared" si="458"/>
        <v>33.720314999999999</v>
      </c>
      <c r="C7419">
        <f t="shared" si="459"/>
        <v>-117.845797</v>
      </c>
      <c r="D7419">
        <f t="shared" si="460"/>
        <v>76</v>
      </c>
      <c r="E7419">
        <v>50.499000000000002</v>
      </c>
      <c r="F7419">
        <f t="shared" si="461"/>
        <v>25.500999999999998</v>
      </c>
      <c r="G7419">
        <v>57.8</v>
      </c>
      <c r="H7419">
        <v>2.2599999999999998</v>
      </c>
      <c r="I7419">
        <v>3.9159999999999999</v>
      </c>
      <c r="J7419">
        <v>5</v>
      </c>
      <c r="K7419">
        <v>28</v>
      </c>
      <c r="L7419">
        <v>15</v>
      </c>
      <c r="M7419">
        <v>3.641</v>
      </c>
    </row>
    <row r="7420" spans="1:13" ht="15" customHeight="1">
      <c r="A7420" t="s">
        <v>76</v>
      </c>
      <c r="B7420">
        <f t="shared" si="458"/>
        <v>33.720314999999999</v>
      </c>
      <c r="C7420">
        <f t="shared" si="459"/>
        <v>-117.845797</v>
      </c>
      <c r="D7420">
        <f t="shared" si="460"/>
        <v>76</v>
      </c>
      <c r="E7420">
        <v>51.499000000000002</v>
      </c>
      <c r="F7420">
        <f t="shared" si="461"/>
        <v>24.500999999999998</v>
      </c>
      <c r="G7420">
        <v>177.75</v>
      </c>
      <c r="H7420">
        <v>5.0469999999999997</v>
      </c>
      <c r="I7420">
        <v>2.8420000000000001</v>
      </c>
      <c r="J7420">
        <v>7</v>
      </c>
      <c r="K7420">
        <v>57</v>
      </c>
      <c r="L7420">
        <v>30</v>
      </c>
      <c r="M7420" s="1">
        <v>9000000000</v>
      </c>
    </row>
    <row r="7421" spans="1:13" ht="15" customHeight="1">
      <c r="A7421" t="s">
        <v>76</v>
      </c>
      <c r="B7421">
        <f t="shared" si="458"/>
        <v>33.720314999999999</v>
      </c>
      <c r="C7421">
        <f t="shared" si="459"/>
        <v>-117.845797</v>
      </c>
      <c r="D7421">
        <f t="shared" si="460"/>
        <v>76</v>
      </c>
      <c r="E7421">
        <v>52.499000000000002</v>
      </c>
      <c r="F7421">
        <f t="shared" si="461"/>
        <v>23.500999999999998</v>
      </c>
      <c r="G7421">
        <v>196.54300000000001</v>
      </c>
      <c r="H7421">
        <v>6.4130000000000003</v>
      </c>
      <c r="I7421">
        <v>3.2650000000000001</v>
      </c>
      <c r="J7421">
        <v>6</v>
      </c>
      <c r="K7421">
        <v>75</v>
      </c>
      <c r="L7421">
        <v>39</v>
      </c>
      <c r="M7421">
        <v>12.88</v>
      </c>
    </row>
    <row r="7422" spans="1:13" ht="15" customHeight="1">
      <c r="A7422" t="s">
        <v>76</v>
      </c>
      <c r="B7422">
        <f t="shared" si="458"/>
        <v>33.720314999999999</v>
      </c>
      <c r="C7422">
        <f t="shared" si="459"/>
        <v>-117.845797</v>
      </c>
      <c r="D7422">
        <f t="shared" si="460"/>
        <v>76</v>
      </c>
      <c r="E7422">
        <v>53.499000000000002</v>
      </c>
      <c r="F7422">
        <f t="shared" si="461"/>
        <v>22.500999999999998</v>
      </c>
      <c r="G7422">
        <v>173.18299999999999</v>
      </c>
      <c r="H7422">
        <v>4.8079999999999998</v>
      </c>
      <c r="I7422">
        <v>2.7789999999999999</v>
      </c>
      <c r="J7422">
        <v>7</v>
      </c>
      <c r="K7422">
        <v>55</v>
      </c>
      <c r="L7422">
        <v>28</v>
      </c>
      <c r="M7422" s="1">
        <v>9000000000</v>
      </c>
    </row>
    <row r="7423" spans="1:13" ht="15" customHeight="1">
      <c r="A7423" t="s">
        <v>76</v>
      </c>
      <c r="B7423">
        <f t="shared" si="458"/>
        <v>33.720314999999999</v>
      </c>
      <c r="C7423">
        <f t="shared" si="459"/>
        <v>-117.845797</v>
      </c>
      <c r="D7423">
        <f t="shared" si="460"/>
        <v>76</v>
      </c>
      <c r="E7423">
        <v>54.499000000000002</v>
      </c>
      <c r="F7423">
        <f t="shared" si="461"/>
        <v>21.500999999999998</v>
      </c>
      <c r="G7423">
        <v>216.3</v>
      </c>
      <c r="H7423">
        <v>5.5830000000000002</v>
      </c>
      <c r="I7423">
        <v>2.5840000000000001</v>
      </c>
      <c r="J7423">
        <v>7</v>
      </c>
      <c r="K7423">
        <v>69</v>
      </c>
      <c r="L7423">
        <v>35</v>
      </c>
      <c r="M7423" s="1">
        <v>9000000000</v>
      </c>
    </row>
    <row r="7424" spans="1:13" ht="15" customHeight="1">
      <c r="A7424" t="s">
        <v>76</v>
      </c>
      <c r="B7424">
        <f t="shared" si="458"/>
        <v>33.720314999999999</v>
      </c>
      <c r="C7424">
        <f t="shared" si="459"/>
        <v>-117.845797</v>
      </c>
      <c r="D7424">
        <f t="shared" si="460"/>
        <v>76</v>
      </c>
      <c r="E7424">
        <v>55.499000000000002</v>
      </c>
      <c r="F7424">
        <f t="shared" si="461"/>
        <v>20.500999999999998</v>
      </c>
      <c r="G7424">
        <v>292.91699999999997</v>
      </c>
      <c r="H7424">
        <v>6.0369999999999999</v>
      </c>
      <c r="I7424">
        <v>2.0619999999999998</v>
      </c>
      <c r="J7424">
        <v>8</v>
      </c>
      <c r="K7424">
        <v>70</v>
      </c>
      <c r="L7424">
        <v>35</v>
      </c>
      <c r="M7424" s="1">
        <v>9000000000</v>
      </c>
    </row>
    <row r="7425" spans="1:13" ht="15" customHeight="1">
      <c r="A7425" t="s">
        <v>76</v>
      </c>
      <c r="B7425">
        <f t="shared" si="458"/>
        <v>33.720314999999999</v>
      </c>
      <c r="C7425">
        <f t="shared" si="459"/>
        <v>-117.845797</v>
      </c>
      <c r="D7425">
        <f t="shared" si="460"/>
        <v>76</v>
      </c>
      <c r="E7425">
        <v>56.499000000000002</v>
      </c>
      <c r="F7425">
        <f t="shared" si="461"/>
        <v>19.500999999999998</v>
      </c>
      <c r="G7425">
        <v>212.86699999999999</v>
      </c>
      <c r="H7425">
        <v>6.32</v>
      </c>
      <c r="I7425">
        <v>2.9710000000000001</v>
      </c>
      <c r="J7425">
        <v>7</v>
      </c>
      <c r="K7425">
        <v>68</v>
      </c>
      <c r="L7425">
        <v>34</v>
      </c>
      <c r="M7425" s="1">
        <v>9000000000</v>
      </c>
    </row>
    <row r="7426" spans="1:13" ht="15" customHeight="1">
      <c r="A7426" t="s">
        <v>76</v>
      </c>
      <c r="B7426">
        <f t="shared" ref="B7426:B7489" si="462">VLOOKUP(A7426,XYdata,3,FALSE)</f>
        <v>33.720314999999999</v>
      </c>
      <c r="C7426">
        <f t="shared" ref="C7426:C7489" si="463">VLOOKUP(A7426,XYdata,2,FALSE)</f>
        <v>-117.845797</v>
      </c>
      <c r="D7426">
        <f t="shared" ref="D7426:D7489" si="464">VLOOKUP(A7426,Elevation,2,FALSE)</f>
        <v>76</v>
      </c>
      <c r="E7426">
        <v>57.499000000000002</v>
      </c>
      <c r="F7426">
        <f t="shared" si="461"/>
        <v>18.500999999999998</v>
      </c>
      <c r="G7426">
        <v>122.767</v>
      </c>
      <c r="H7426">
        <v>5.0250000000000004</v>
      </c>
      <c r="I7426">
        <v>4.0999999999999996</v>
      </c>
      <c r="J7426">
        <v>11</v>
      </c>
      <c r="K7426">
        <v>117</v>
      </c>
      <c r="L7426">
        <v>59</v>
      </c>
      <c r="M7426" s="1">
        <v>9000000000</v>
      </c>
    </row>
    <row r="7427" spans="1:13" ht="15" customHeight="1">
      <c r="A7427" t="s">
        <v>76</v>
      </c>
      <c r="B7427">
        <f t="shared" si="462"/>
        <v>33.720314999999999</v>
      </c>
      <c r="C7427">
        <f t="shared" si="463"/>
        <v>-117.845797</v>
      </c>
      <c r="D7427">
        <f t="shared" si="464"/>
        <v>76</v>
      </c>
      <c r="E7427">
        <v>58.499000000000002</v>
      </c>
      <c r="F7427">
        <f t="shared" ref="F7427:F7490" si="465">D7427-E7427</f>
        <v>17.500999999999998</v>
      </c>
      <c r="G7427">
        <v>43.033000000000001</v>
      </c>
      <c r="H7427">
        <v>1.46</v>
      </c>
      <c r="I7427">
        <v>3.407</v>
      </c>
      <c r="J7427">
        <v>5</v>
      </c>
      <c r="K7427">
        <v>21</v>
      </c>
      <c r="L7427">
        <v>11</v>
      </c>
      <c r="M7427">
        <v>2.617</v>
      </c>
    </row>
    <row r="7428" spans="1:13" ht="15" customHeight="1">
      <c r="A7428" t="s">
        <v>76</v>
      </c>
      <c r="B7428">
        <f t="shared" si="462"/>
        <v>33.720314999999999</v>
      </c>
      <c r="C7428">
        <f t="shared" si="463"/>
        <v>-117.845797</v>
      </c>
      <c r="D7428">
        <f t="shared" si="464"/>
        <v>76</v>
      </c>
      <c r="E7428">
        <v>59.499000000000002</v>
      </c>
      <c r="F7428">
        <f t="shared" si="465"/>
        <v>16.500999999999998</v>
      </c>
      <c r="G7428">
        <v>20.783000000000001</v>
      </c>
      <c r="H7428">
        <v>0.83299999999999996</v>
      </c>
      <c r="I7428">
        <v>4.0490000000000004</v>
      </c>
      <c r="J7428">
        <v>4</v>
      </c>
      <c r="K7428">
        <v>13</v>
      </c>
      <c r="L7428">
        <v>7</v>
      </c>
      <c r="M7428">
        <v>1.129</v>
      </c>
    </row>
    <row r="7429" spans="1:13" ht="15" customHeight="1">
      <c r="A7429" t="s">
        <v>76</v>
      </c>
      <c r="B7429">
        <f t="shared" si="462"/>
        <v>33.720314999999999</v>
      </c>
      <c r="C7429">
        <f t="shared" si="463"/>
        <v>-117.845797</v>
      </c>
      <c r="D7429">
        <f t="shared" si="464"/>
        <v>76</v>
      </c>
      <c r="E7429">
        <v>60.499000000000002</v>
      </c>
      <c r="F7429">
        <f t="shared" si="465"/>
        <v>15.500999999999998</v>
      </c>
      <c r="G7429">
        <v>16.466999999999999</v>
      </c>
      <c r="H7429">
        <v>0.375</v>
      </c>
      <c r="I7429">
        <v>2.3029999999999999</v>
      </c>
      <c r="J7429">
        <v>5</v>
      </c>
      <c r="K7429">
        <v>8</v>
      </c>
      <c r="L7429">
        <v>4</v>
      </c>
      <c r="M7429">
        <v>0.83799999999999997</v>
      </c>
    </row>
    <row r="7430" spans="1:13" ht="15" customHeight="1">
      <c r="A7430" t="s">
        <v>76</v>
      </c>
      <c r="B7430">
        <f t="shared" si="462"/>
        <v>33.720314999999999</v>
      </c>
      <c r="C7430">
        <f t="shared" si="463"/>
        <v>-117.845797</v>
      </c>
      <c r="D7430">
        <f t="shared" si="464"/>
        <v>76</v>
      </c>
      <c r="E7430">
        <v>61.499000000000002</v>
      </c>
      <c r="F7430">
        <f t="shared" si="465"/>
        <v>14.500999999999998</v>
      </c>
      <c r="G7430">
        <v>19.850000000000001</v>
      </c>
      <c r="H7430">
        <v>0.57799999999999996</v>
      </c>
      <c r="I7430">
        <v>2.9359999999999999</v>
      </c>
      <c r="J7430">
        <v>5</v>
      </c>
      <c r="K7430">
        <v>9</v>
      </c>
      <c r="L7430">
        <v>5</v>
      </c>
      <c r="M7430">
        <v>1.0620000000000001</v>
      </c>
    </row>
    <row r="7431" spans="1:13" ht="15" customHeight="1">
      <c r="A7431" t="s">
        <v>76</v>
      </c>
      <c r="B7431">
        <f t="shared" si="462"/>
        <v>33.720314999999999</v>
      </c>
      <c r="C7431">
        <f t="shared" si="463"/>
        <v>-117.845797</v>
      </c>
      <c r="D7431">
        <f t="shared" si="464"/>
        <v>76</v>
      </c>
      <c r="E7431">
        <v>62.499000000000002</v>
      </c>
      <c r="F7431">
        <f t="shared" si="465"/>
        <v>13.500999999999998</v>
      </c>
      <c r="G7431">
        <v>21.228999999999999</v>
      </c>
      <c r="H7431">
        <v>0.72399999999999998</v>
      </c>
      <c r="I7431">
        <v>3.4329999999999998</v>
      </c>
      <c r="J7431">
        <v>5</v>
      </c>
      <c r="K7431">
        <v>10</v>
      </c>
      <c r="L7431">
        <v>5</v>
      </c>
      <c r="M7431">
        <v>1.151</v>
      </c>
    </row>
    <row r="7432" spans="1:13" ht="15" customHeight="1">
      <c r="A7432" t="s">
        <v>76</v>
      </c>
      <c r="B7432">
        <f t="shared" si="462"/>
        <v>33.720314999999999</v>
      </c>
      <c r="C7432">
        <f t="shared" si="463"/>
        <v>-117.845797</v>
      </c>
      <c r="D7432">
        <f t="shared" si="464"/>
        <v>76</v>
      </c>
      <c r="E7432">
        <v>63.499000000000002</v>
      </c>
      <c r="F7432">
        <f t="shared" si="465"/>
        <v>12.500999999999998</v>
      </c>
      <c r="G7432">
        <v>22.917000000000002</v>
      </c>
      <c r="H7432">
        <v>0.75</v>
      </c>
      <c r="I7432">
        <v>3.2890000000000001</v>
      </c>
      <c r="J7432">
        <v>5</v>
      </c>
      <c r="K7432">
        <v>11</v>
      </c>
      <c r="L7432">
        <v>6</v>
      </c>
      <c r="M7432">
        <v>1.26</v>
      </c>
    </row>
    <row r="7433" spans="1:13" ht="15" customHeight="1">
      <c r="A7433" t="s">
        <v>76</v>
      </c>
      <c r="B7433">
        <f t="shared" si="462"/>
        <v>33.720314999999999</v>
      </c>
      <c r="C7433">
        <f t="shared" si="463"/>
        <v>-117.845797</v>
      </c>
      <c r="D7433">
        <f t="shared" si="464"/>
        <v>76</v>
      </c>
      <c r="E7433">
        <v>64.498999999999995</v>
      </c>
      <c r="F7433">
        <f t="shared" si="465"/>
        <v>11.501000000000005</v>
      </c>
      <c r="G7433">
        <v>22.483000000000001</v>
      </c>
      <c r="H7433">
        <v>0.91300000000000003</v>
      </c>
      <c r="I7433">
        <v>4.056</v>
      </c>
      <c r="J7433">
        <v>4</v>
      </c>
      <c r="K7433">
        <v>14</v>
      </c>
      <c r="L7433">
        <v>7</v>
      </c>
      <c r="M7433">
        <v>1.2370000000000001</v>
      </c>
    </row>
    <row r="7434" spans="1:13" ht="15" customHeight="1">
      <c r="A7434" t="s">
        <v>76</v>
      </c>
      <c r="B7434">
        <f t="shared" si="462"/>
        <v>33.720314999999999</v>
      </c>
      <c r="C7434">
        <f t="shared" si="463"/>
        <v>-117.845797</v>
      </c>
      <c r="D7434">
        <f t="shared" si="464"/>
        <v>76</v>
      </c>
      <c r="E7434">
        <v>65.498999999999995</v>
      </c>
      <c r="F7434">
        <f t="shared" si="465"/>
        <v>10.501000000000005</v>
      </c>
      <c r="G7434">
        <v>22.266999999999999</v>
      </c>
      <c r="H7434">
        <v>0.79</v>
      </c>
      <c r="I7434">
        <v>3.524</v>
      </c>
      <c r="J7434">
        <v>5</v>
      </c>
      <c r="K7434">
        <v>11</v>
      </c>
      <c r="L7434">
        <v>6</v>
      </c>
      <c r="M7434">
        <v>1.226</v>
      </c>
    </row>
    <row r="7435" spans="1:13" ht="15" customHeight="1">
      <c r="A7435" t="s">
        <v>76</v>
      </c>
      <c r="B7435">
        <f t="shared" si="462"/>
        <v>33.720314999999999</v>
      </c>
      <c r="C7435">
        <f t="shared" si="463"/>
        <v>-117.845797</v>
      </c>
      <c r="D7435">
        <f t="shared" si="464"/>
        <v>76</v>
      </c>
      <c r="E7435">
        <v>66.498999999999995</v>
      </c>
      <c r="F7435">
        <f t="shared" si="465"/>
        <v>9.5010000000000048</v>
      </c>
      <c r="G7435">
        <v>19.832999999999998</v>
      </c>
      <c r="H7435">
        <v>0.54</v>
      </c>
      <c r="I7435">
        <v>2.645</v>
      </c>
      <c r="J7435">
        <v>5</v>
      </c>
      <c r="K7435">
        <v>10</v>
      </c>
      <c r="L7435">
        <v>5</v>
      </c>
      <c r="M7435">
        <v>1.089</v>
      </c>
    </row>
    <row r="7436" spans="1:13" ht="15" customHeight="1">
      <c r="A7436" t="s">
        <v>76</v>
      </c>
      <c r="B7436">
        <f t="shared" si="462"/>
        <v>33.720314999999999</v>
      </c>
      <c r="C7436">
        <f t="shared" si="463"/>
        <v>-117.845797</v>
      </c>
      <c r="D7436">
        <f t="shared" si="464"/>
        <v>76</v>
      </c>
      <c r="E7436">
        <v>67.498999999999995</v>
      </c>
      <c r="F7436">
        <f t="shared" si="465"/>
        <v>8.5010000000000048</v>
      </c>
      <c r="G7436">
        <v>30.283000000000001</v>
      </c>
      <c r="H7436">
        <v>1.5620000000000001</v>
      </c>
      <c r="I7436">
        <v>5.0679999999999996</v>
      </c>
      <c r="J7436">
        <v>3</v>
      </c>
      <c r="K7436">
        <v>30</v>
      </c>
      <c r="L7436">
        <v>15</v>
      </c>
      <c r="M7436">
        <v>1.778</v>
      </c>
    </row>
    <row r="7437" spans="1:13" ht="15" customHeight="1">
      <c r="A7437" t="s">
        <v>76</v>
      </c>
      <c r="B7437">
        <f t="shared" si="462"/>
        <v>33.720314999999999</v>
      </c>
      <c r="C7437">
        <f t="shared" si="463"/>
        <v>-117.845797</v>
      </c>
      <c r="D7437">
        <f t="shared" si="464"/>
        <v>76</v>
      </c>
      <c r="E7437">
        <v>68.498999999999995</v>
      </c>
      <c r="F7437">
        <f t="shared" si="465"/>
        <v>7.5010000000000048</v>
      </c>
      <c r="G7437">
        <v>29.7</v>
      </c>
      <c r="H7437">
        <v>1.2</v>
      </c>
      <c r="I7437">
        <v>3.9780000000000002</v>
      </c>
      <c r="J7437">
        <v>4</v>
      </c>
      <c r="K7437">
        <v>19</v>
      </c>
      <c r="L7437">
        <v>10</v>
      </c>
      <c r="M7437">
        <v>1.7310000000000001</v>
      </c>
    </row>
    <row r="7438" spans="1:13" ht="15" customHeight="1">
      <c r="A7438" t="s">
        <v>76</v>
      </c>
      <c r="B7438">
        <f t="shared" si="462"/>
        <v>33.720314999999999</v>
      </c>
      <c r="C7438">
        <f t="shared" si="463"/>
        <v>-117.845797</v>
      </c>
      <c r="D7438">
        <f t="shared" si="464"/>
        <v>76</v>
      </c>
      <c r="E7438">
        <v>69.498999999999995</v>
      </c>
      <c r="F7438">
        <f t="shared" si="465"/>
        <v>6.5010000000000048</v>
      </c>
      <c r="G7438">
        <v>20.25</v>
      </c>
      <c r="H7438">
        <v>0.57799999999999996</v>
      </c>
      <c r="I7438">
        <v>2.8610000000000002</v>
      </c>
      <c r="J7438">
        <v>5</v>
      </c>
      <c r="K7438">
        <v>10</v>
      </c>
      <c r="L7438">
        <v>5</v>
      </c>
      <c r="M7438">
        <v>1.0629999999999999</v>
      </c>
    </row>
    <row r="7439" spans="1:13" ht="15" customHeight="1">
      <c r="A7439" t="s">
        <v>76</v>
      </c>
      <c r="B7439">
        <f t="shared" si="462"/>
        <v>33.720314999999999</v>
      </c>
      <c r="C7439">
        <f t="shared" si="463"/>
        <v>-117.845797</v>
      </c>
      <c r="D7439">
        <f t="shared" si="464"/>
        <v>76</v>
      </c>
      <c r="E7439">
        <v>70.498999999999995</v>
      </c>
      <c r="F7439">
        <f t="shared" si="465"/>
        <v>5.5010000000000048</v>
      </c>
      <c r="G7439">
        <v>26.033000000000001</v>
      </c>
      <c r="H7439">
        <v>1.1679999999999999</v>
      </c>
      <c r="I7439">
        <v>4.4139999999999997</v>
      </c>
      <c r="J7439">
        <v>4</v>
      </c>
      <c r="K7439">
        <v>17</v>
      </c>
      <c r="L7439">
        <v>9</v>
      </c>
      <c r="M7439">
        <v>1.476</v>
      </c>
    </row>
    <row r="7440" spans="1:13" ht="15" customHeight="1">
      <c r="A7440" t="s">
        <v>76</v>
      </c>
      <c r="B7440">
        <f t="shared" si="462"/>
        <v>33.720314999999999</v>
      </c>
      <c r="C7440">
        <f t="shared" si="463"/>
        <v>-117.845797</v>
      </c>
      <c r="D7440">
        <f t="shared" si="464"/>
        <v>76</v>
      </c>
      <c r="E7440">
        <v>71.498999999999995</v>
      </c>
      <c r="F7440">
        <f t="shared" si="465"/>
        <v>4.5010000000000048</v>
      </c>
      <c r="G7440">
        <v>39.033000000000001</v>
      </c>
      <c r="H7440">
        <v>1.9530000000000001</v>
      </c>
      <c r="I7440">
        <v>4.891</v>
      </c>
      <c r="J7440">
        <v>3</v>
      </c>
      <c r="K7440">
        <v>38</v>
      </c>
      <c r="L7440">
        <v>19</v>
      </c>
      <c r="M7440">
        <v>2.3690000000000002</v>
      </c>
    </row>
    <row r="7441" spans="1:13" ht="15" customHeight="1">
      <c r="A7441" t="s">
        <v>76</v>
      </c>
      <c r="B7441">
        <f t="shared" si="462"/>
        <v>33.720314999999999</v>
      </c>
      <c r="C7441">
        <f t="shared" si="463"/>
        <v>-117.845797</v>
      </c>
      <c r="D7441">
        <f t="shared" si="464"/>
        <v>76</v>
      </c>
      <c r="E7441">
        <v>72.498999999999995</v>
      </c>
      <c r="F7441">
        <f t="shared" si="465"/>
        <v>3.5010000000000048</v>
      </c>
      <c r="G7441">
        <v>25.885999999999999</v>
      </c>
      <c r="H7441">
        <v>0.88900000000000001</v>
      </c>
      <c r="I7441">
        <v>3.4380000000000002</v>
      </c>
      <c r="J7441">
        <v>5</v>
      </c>
      <c r="K7441">
        <v>12</v>
      </c>
      <c r="L7441">
        <v>6</v>
      </c>
      <c r="M7441">
        <v>1.4259999999999999</v>
      </c>
    </row>
    <row r="7442" spans="1:13" ht="15" customHeight="1">
      <c r="A7442" t="s">
        <v>76</v>
      </c>
      <c r="B7442">
        <f t="shared" si="462"/>
        <v>33.720314999999999</v>
      </c>
      <c r="C7442">
        <f t="shared" si="463"/>
        <v>-117.845797</v>
      </c>
      <c r="D7442">
        <f t="shared" si="464"/>
        <v>76</v>
      </c>
      <c r="E7442">
        <v>73.498999999999995</v>
      </c>
      <c r="F7442">
        <f t="shared" si="465"/>
        <v>2.5010000000000048</v>
      </c>
      <c r="G7442">
        <v>27.332999999999998</v>
      </c>
      <c r="H7442">
        <v>1.133</v>
      </c>
      <c r="I7442">
        <v>4.1139999999999999</v>
      </c>
      <c r="J7442">
        <v>4</v>
      </c>
      <c r="K7442">
        <v>18</v>
      </c>
      <c r="L7442">
        <v>9</v>
      </c>
      <c r="M7442">
        <v>1.5349999999999999</v>
      </c>
    </row>
    <row r="7443" spans="1:13" ht="15" customHeight="1">
      <c r="A7443" t="s">
        <v>76</v>
      </c>
      <c r="B7443">
        <f t="shared" si="462"/>
        <v>33.720314999999999</v>
      </c>
      <c r="C7443">
        <f t="shared" si="463"/>
        <v>-117.845797</v>
      </c>
      <c r="D7443">
        <f t="shared" si="464"/>
        <v>76</v>
      </c>
      <c r="E7443">
        <v>74.498999999999995</v>
      </c>
      <c r="F7443">
        <f t="shared" si="465"/>
        <v>1.5010000000000048</v>
      </c>
      <c r="G7443">
        <v>23.367000000000001</v>
      </c>
      <c r="H7443">
        <v>0.64800000000000002</v>
      </c>
      <c r="I7443">
        <v>2.6720000000000002</v>
      </c>
      <c r="J7443">
        <v>5</v>
      </c>
      <c r="K7443">
        <v>12</v>
      </c>
      <c r="L7443">
        <v>6</v>
      </c>
      <c r="M7443">
        <v>1.3120000000000001</v>
      </c>
    </row>
    <row r="7444" spans="1:13" ht="15" customHeight="1">
      <c r="A7444" t="s">
        <v>76</v>
      </c>
      <c r="B7444">
        <f t="shared" si="462"/>
        <v>33.720314999999999</v>
      </c>
      <c r="C7444">
        <f t="shared" si="463"/>
        <v>-117.845797</v>
      </c>
      <c r="D7444">
        <f t="shared" si="464"/>
        <v>76</v>
      </c>
      <c r="E7444">
        <v>75.498999999999995</v>
      </c>
      <c r="F7444">
        <f t="shared" si="465"/>
        <v>0.50100000000000477</v>
      </c>
      <c r="G7444">
        <v>25.7</v>
      </c>
      <c r="H7444">
        <v>0.81699999999999995</v>
      </c>
      <c r="I7444">
        <v>3.032</v>
      </c>
      <c r="J7444">
        <v>5</v>
      </c>
      <c r="K7444">
        <v>13</v>
      </c>
      <c r="L7444">
        <v>7</v>
      </c>
      <c r="M7444">
        <v>1.486</v>
      </c>
    </row>
    <row r="7445" spans="1:13" ht="15" customHeight="1">
      <c r="A7445" t="s">
        <v>76</v>
      </c>
      <c r="B7445">
        <f t="shared" si="462"/>
        <v>33.720314999999999</v>
      </c>
      <c r="C7445">
        <f t="shared" si="463"/>
        <v>-117.845797</v>
      </c>
      <c r="D7445">
        <f t="shared" si="464"/>
        <v>76</v>
      </c>
      <c r="E7445">
        <v>76.498999999999995</v>
      </c>
      <c r="F7445">
        <f t="shared" si="465"/>
        <v>-0.49899999999999523</v>
      </c>
      <c r="G7445">
        <v>61.567</v>
      </c>
      <c r="H7445">
        <v>1.8480000000000001</v>
      </c>
      <c r="I7445">
        <v>2.972</v>
      </c>
      <c r="J7445">
        <v>6</v>
      </c>
      <c r="K7445">
        <v>24</v>
      </c>
      <c r="L7445">
        <v>12</v>
      </c>
      <c r="M7445">
        <v>3.8330000000000002</v>
      </c>
    </row>
    <row r="7446" spans="1:13" ht="15" customHeight="1">
      <c r="A7446" t="s">
        <v>76</v>
      </c>
      <c r="B7446">
        <f t="shared" si="462"/>
        <v>33.720314999999999</v>
      </c>
      <c r="C7446">
        <f t="shared" si="463"/>
        <v>-117.845797</v>
      </c>
      <c r="D7446">
        <f t="shared" si="464"/>
        <v>76</v>
      </c>
      <c r="E7446">
        <v>77.498999999999995</v>
      </c>
      <c r="F7446">
        <f t="shared" si="465"/>
        <v>-1.4989999999999952</v>
      </c>
      <c r="G7446">
        <v>31.167000000000002</v>
      </c>
      <c r="H7446">
        <v>1.01</v>
      </c>
      <c r="I7446">
        <v>3.2530000000000001</v>
      </c>
      <c r="J7446">
        <v>5</v>
      </c>
      <c r="K7446">
        <v>15</v>
      </c>
      <c r="L7446">
        <v>8</v>
      </c>
      <c r="M7446">
        <v>1.752</v>
      </c>
    </row>
    <row r="7447" spans="1:13" ht="15" customHeight="1">
      <c r="A7447" t="s">
        <v>76</v>
      </c>
      <c r="B7447">
        <f t="shared" si="462"/>
        <v>33.720314999999999</v>
      </c>
      <c r="C7447">
        <f t="shared" si="463"/>
        <v>-117.845797</v>
      </c>
      <c r="D7447">
        <f t="shared" si="464"/>
        <v>76</v>
      </c>
      <c r="E7447">
        <v>78.498999999999995</v>
      </c>
      <c r="F7447">
        <f t="shared" si="465"/>
        <v>-2.4989999999999952</v>
      </c>
      <c r="G7447">
        <v>158.36699999999999</v>
      </c>
      <c r="H7447">
        <v>5.0880000000000001</v>
      </c>
      <c r="I7447">
        <v>3.2160000000000002</v>
      </c>
      <c r="J7447">
        <v>6</v>
      </c>
      <c r="K7447">
        <v>61</v>
      </c>
      <c r="L7447">
        <v>31</v>
      </c>
      <c r="M7447">
        <v>10.225</v>
      </c>
    </row>
    <row r="7448" spans="1:13" ht="15" customHeight="1">
      <c r="A7448" t="s">
        <v>76</v>
      </c>
      <c r="B7448">
        <f t="shared" si="462"/>
        <v>33.720314999999999</v>
      </c>
      <c r="C7448">
        <f t="shared" si="463"/>
        <v>-117.845797</v>
      </c>
      <c r="D7448">
        <f t="shared" si="464"/>
        <v>76</v>
      </c>
      <c r="E7448">
        <v>79.498999999999995</v>
      </c>
      <c r="F7448">
        <f t="shared" si="465"/>
        <v>-3.4989999999999952</v>
      </c>
      <c r="G7448">
        <v>158.55000000000001</v>
      </c>
      <c r="H7448">
        <v>6.05</v>
      </c>
      <c r="I7448">
        <v>3.819</v>
      </c>
      <c r="J7448">
        <v>12</v>
      </c>
      <c r="K7448">
        <v>76</v>
      </c>
      <c r="L7448">
        <v>38</v>
      </c>
      <c r="M7448" s="1">
        <v>9000000000</v>
      </c>
    </row>
    <row r="7449" spans="1:13" ht="15" customHeight="1">
      <c r="A7449" t="s">
        <v>76</v>
      </c>
      <c r="B7449">
        <f t="shared" si="462"/>
        <v>33.720314999999999</v>
      </c>
      <c r="C7449">
        <f t="shared" si="463"/>
        <v>-117.845797</v>
      </c>
      <c r="D7449">
        <f t="shared" si="464"/>
        <v>76</v>
      </c>
      <c r="E7449">
        <v>80.498999999999995</v>
      </c>
      <c r="F7449">
        <f t="shared" si="465"/>
        <v>-4.4989999999999952</v>
      </c>
      <c r="G7449">
        <v>259.733</v>
      </c>
      <c r="H7449">
        <v>5.7270000000000003</v>
      </c>
      <c r="I7449">
        <v>2.206</v>
      </c>
      <c r="J7449">
        <v>7</v>
      </c>
      <c r="K7449">
        <v>83</v>
      </c>
      <c r="L7449">
        <v>42</v>
      </c>
      <c r="M7449" s="1">
        <v>9000000000</v>
      </c>
    </row>
    <row r="7450" spans="1:13" ht="15" customHeight="1">
      <c r="A7450" t="s">
        <v>76</v>
      </c>
      <c r="B7450">
        <f t="shared" si="462"/>
        <v>33.720314999999999</v>
      </c>
      <c r="C7450">
        <f t="shared" si="463"/>
        <v>-117.845797</v>
      </c>
      <c r="D7450">
        <f t="shared" si="464"/>
        <v>76</v>
      </c>
      <c r="E7450">
        <v>81.498999999999995</v>
      </c>
      <c r="F7450">
        <f t="shared" si="465"/>
        <v>-5.4989999999999952</v>
      </c>
      <c r="G7450">
        <v>247.333</v>
      </c>
      <c r="H7450">
        <v>5.835</v>
      </c>
      <c r="I7450">
        <v>2.3610000000000002</v>
      </c>
      <c r="J7450">
        <v>7</v>
      </c>
      <c r="K7450">
        <v>79</v>
      </c>
      <c r="L7450">
        <v>40</v>
      </c>
      <c r="M7450" s="1">
        <v>9000000000</v>
      </c>
    </row>
    <row r="7451" spans="1:13" ht="15" customHeight="1">
      <c r="A7451" t="s">
        <v>76</v>
      </c>
      <c r="B7451">
        <f t="shared" si="462"/>
        <v>33.720314999999999</v>
      </c>
      <c r="C7451">
        <f t="shared" si="463"/>
        <v>-117.845797</v>
      </c>
      <c r="D7451">
        <f t="shared" si="464"/>
        <v>76</v>
      </c>
      <c r="E7451">
        <v>82.498999999999995</v>
      </c>
      <c r="F7451">
        <f t="shared" si="465"/>
        <v>-6.4989999999999952</v>
      </c>
      <c r="G7451">
        <v>316.25</v>
      </c>
      <c r="H7451">
        <v>4.2329999999999997</v>
      </c>
      <c r="I7451">
        <v>1.339</v>
      </c>
      <c r="J7451">
        <v>9</v>
      </c>
      <c r="K7451">
        <v>61</v>
      </c>
      <c r="L7451">
        <v>31</v>
      </c>
      <c r="M7451" s="1">
        <v>9000000000</v>
      </c>
    </row>
    <row r="7452" spans="1:13" ht="15" customHeight="1">
      <c r="A7452" t="s">
        <v>76</v>
      </c>
      <c r="B7452">
        <f t="shared" si="462"/>
        <v>33.720314999999999</v>
      </c>
      <c r="C7452">
        <f t="shared" si="463"/>
        <v>-117.845797</v>
      </c>
      <c r="D7452">
        <f t="shared" si="464"/>
        <v>76</v>
      </c>
      <c r="E7452">
        <v>83.498999999999995</v>
      </c>
      <c r="F7452">
        <f t="shared" si="465"/>
        <v>-7.4989999999999952</v>
      </c>
      <c r="G7452">
        <v>203.98599999999999</v>
      </c>
      <c r="H7452">
        <v>5.3259999999999996</v>
      </c>
      <c r="I7452">
        <v>2.613</v>
      </c>
      <c r="J7452">
        <v>7</v>
      </c>
      <c r="K7452">
        <v>65</v>
      </c>
      <c r="L7452">
        <v>33</v>
      </c>
      <c r="M7452" s="1">
        <v>9000000000</v>
      </c>
    </row>
    <row r="7453" spans="1:13" ht="15" customHeight="1">
      <c r="A7453" t="s">
        <v>76</v>
      </c>
      <c r="B7453">
        <f t="shared" si="462"/>
        <v>33.720314999999999</v>
      </c>
      <c r="C7453">
        <f t="shared" si="463"/>
        <v>-117.845797</v>
      </c>
      <c r="D7453">
        <f t="shared" si="464"/>
        <v>76</v>
      </c>
      <c r="E7453">
        <v>84.498999999999995</v>
      </c>
      <c r="F7453">
        <f t="shared" si="465"/>
        <v>-8.4989999999999952</v>
      </c>
      <c r="G7453">
        <v>77.033000000000001</v>
      </c>
      <c r="H7453">
        <v>2.8220000000000001</v>
      </c>
      <c r="I7453">
        <v>3.6720000000000002</v>
      </c>
      <c r="J7453">
        <v>5</v>
      </c>
      <c r="K7453">
        <v>37</v>
      </c>
      <c r="L7453">
        <v>19</v>
      </c>
      <c r="M7453">
        <v>4.7750000000000004</v>
      </c>
    </row>
    <row r="7454" spans="1:13" ht="15" customHeight="1">
      <c r="A7454" t="s">
        <v>76</v>
      </c>
      <c r="B7454">
        <f t="shared" si="462"/>
        <v>33.720314999999999</v>
      </c>
      <c r="C7454">
        <f t="shared" si="463"/>
        <v>-117.845797</v>
      </c>
      <c r="D7454">
        <f t="shared" si="464"/>
        <v>76</v>
      </c>
      <c r="E7454">
        <v>85.498999999999995</v>
      </c>
      <c r="F7454">
        <f t="shared" si="465"/>
        <v>-9.4989999999999952</v>
      </c>
      <c r="G7454">
        <v>39.433</v>
      </c>
      <c r="H7454">
        <v>1.5329999999999999</v>
      </c>
      <c r="I7454">
        <v>3.9079999999999999</v>
      </c>
      <c r="J7454">
        <v>5</v>
      </c>
      <c r="K7454">
        <v>19</v>
      </c>
      <c r="L7454">
        <v>10</v>
      </c>
      <c r="M7454">
        <v>2.2650000000000001</v>
      </c>
    </row>
    <row r="7455" spans="1:13" ht="15" customHeight="1">
      <c r="A7455" t="s">
        <v>76</v>
      </c>
      <c r="B7455">
        <f t="shared" si="462"/>
        <v>33.720314999999999</v>
      </c>
      <c r="C7455">
        <f t="shared" si="463"/>
        <v>-117.845797</v>
      </c>
      <c r="D7455">
        <f t="shared" si="464"/>
        <v>76</v>
      </c>
      <c r="E7455">
        <v>86.498999999999995</v>
      </c>
      <c r="F7455">
        <f t="shared" si="465"/>
        <v>-10.498999999999995</v>
      </c>
      <c r="G7455">
        <v>32.966999999999999</v>
      </c>
      <c r="H7455">
        <v>1.0149999999999999</v>
      </c>
      <c r="I7455">
        <v>3.0979999999999999</v>
      </c>
      <c r="J7455">
        <v>5</v>
      </c>
      <c r="K7455">
        <v>16</v>
      </c>
      <c r="L7455">
        <v>8</v>
      </c>
      <c r="M7455">
        <v>1.829</v>
      </c>
    </row>
    <row r="7456" spans="1:13" ht="15" customHeight="1">
      <c r="A7456" t="s">
        <v>76</v>
      </c>
      <c r="B7456">
        <f t="shared" si="462"/>
        <v>33.720314999999999</v>
      </c>
      <c r="C7456">
        <f t="shared" si="463"/>
        <v>-117.845797</v>
      </c>
      <c r="D7456">
        <f t="shared" si="464"/>
        <v>76</v>
      </c>
      <c r="E7456">
        <v>87.498999999999995</v>
      </c>
      <c r="F7456">
        <f t="shared" si="465"/>
        <v>-11.498999999999995</v>
      </c>
      <c r="G7456">
        <v>28.5</v>
      </c>
      <c r="H7456">
        <v>1.03</v>
      </c>
      <c r="I7456">
        <v>3.637</v>
      </c>
      <c r="J7456">
        <v>5</v>
      </c>
      <c r="K7456">
        <v>14</v>
      </c>
      <c r="L7456">
        <v>7</v>
      </c>
      <c r="M7456">
        <v>1.528</v>
      </c>
    </row>
    <row r="7457" spans="1:13" ht="15" customHeight="1">
      <c r="A7457" t="s">
        <v>76</v>
      </c>
      <c r="B7457">
        <f t="shared" si="462"/>
        <v>33.720314999999999</v>
      </c>
      <c r="C7457">
        <f t="shared" si="463"/>
        <v>-117.845797</v>
      </c>
      <c r="D7457">
        <f t="shared" si="464"/>
        <v>76</v>
      </c>
      <c r="E7457">
        <v>88.498999999999995</v>
      </c>
      <c r="F7457">
        <f t="shared" si="465"/>
        <v>-12.498999999999995</v>
      </c>
      <c r="G7457">
        <v>27.6</v>
      </c>
      <c r="H7457">
        <v>0.76700000000000002</v>
      </c>
      <c r="I7457">
        <v>2.798</v>
      </c>
      <c r="J7457">
        <v>5</v>
      </c>
      <c r="K7457">
        <v>13</v>
      </c>
      <c r="L7457">
        <v>7</v>
      </c>
      <c r="M7457">
        <v>1.4630000000000001</v>
      </c>
    </row>
    <row r="7458" spans="1:13" ht="15" customHeight="1">
      <c r="A7458" t="s">
        <v>76</v>
      </c>
      <c r="B7458">
        <f t="shared" si="462"/>
        <v>33.720314999999999</v>
      </c>
      <c r="C7458">
        <f t="shared" si="463"/>
        <v>-117.845797</v>
      </c>
      <c r="D7458">
        <f t="shared" si="464"/>
        <v>76</v>
      </c>
      <c r="E7458">
        <v>89.498999999999995</v>
      </c>
      <c r="F7458">
        <f t="shared" si="465"/>
        <v>-13.498999999999995</v>
      </c>
      <c r="G7458">
        <v>65.066999999999993</v>
      </c>
      <c r="H7458">
        <v>2.883</v>
      </c>
      <c r="I7458">
        <v>4.444</v>
      </c>
      <c r="J7458">
        <v>5</v>
      </c>
      <c r="K7458">
        <v>31</v>
      </c>
      <c r="L7458">
        <v>16</v>
      </c>
      <c r="M7458">
        <v>3.9580000000000002</v>
      </c>
    </row>
    <row r="7459" spans="1:13" ht="15" customHeight="1">
      <c r="A7459" t="s">
        <v>76</v>
      </c>
      <c r="B7459">
        <f t="shared" si="462"/>
        <v>33.720314999999999</v>
      </c>
      <c r="C7459">
        <f t="shared" si="463"/>
        <v>-117.845797</v>
      </c>
      <c r="D7459">
        <f t="shared" si="464"/>
        <v>76</v>
      </c>
      <c r="E7459">
        <v>90.498999999999995</v>
      </c>
      <c r="F7459">
        <f t="shared" si="465"/>
        <v>-14.498999999999995</v>
      </c>
      <c r="G7459">
        <v>69.783000000000001</v>
      </c>
      <c r="H7459">
        <v>3.0569999999999999</v>
      </c>
      <c r="I7459">
        <v>4.3890000000000002</v>
      </c>
      <c r="J7459">
        <v>5</v>
      </c>
      <c r="K7459">
        <v>33</v>
      </c>
      <c r="L7459">
        <v>17</v>
      </c>
      <c r="M7459">
        <v>4.2709999999999999</v>
      </c>
    </row>
    <row r="7460" spans="1:13" ht="15" customHeight="1">
      <c r="A7460" t="s">
        <v>76</v>
      </c>
      <c r="B7460">
        <f t="shared" si="462"/>
        <v>33.720314999999999</v>
      </c>
      <c r="C7460">
        <f t="shared" si="463"/>
        <v>-117.845797</v>
      </c>
      <c r="D7460">
        <f t="shared" si="464"/>
        <v>76</v>
      </c>
      <c r="E7460">
        <v>91.498999999999995</v>
      </c>
      <c r="F7460">
        <f t="shared" si="465"/>
        <v>-15.498999999999995</v>
      </c>
      <c r="G7460">
        <v>39.767000000000003</v>
      </c>
      <c r="H7460">
        <v>1.8919999999999999</v>
      </c>
      <c r="I7460">
        <v>4.7789999999999999</v>
      </c>
      <c r="J7460">
        <v>4</v>
      </c>
      <c r="K7460">
        <v>25</v>
      </c>
      <c r="L7460">
        <v>13</v>
      </c>
      <c r="M7460">
        <v>2.2629999999999999</v>
      </c>
    </row>
    <row r="7461" spans="1:13" ht="15" customHeight="1">
      <c r="A7461" t="s">
        <v>76</v>
      </c>
      <c r="B7461">
        <f t="shared" si="462"/>
        <v>33.720314999999999</v>
      </c>
      <c r="C7461">
        <f t="shared" si="463"/>
        <v>-117.845797</v>
      </c>
      <c r="D7461">
        <f t="shared" si="464"/>
        <v>76</v>
      </c>
      <c r="E7461">
        <v>92.498999999999995</v>
      </c>
      <c r="F7461">
        <f t="shared" si="465"/>
        <v>-16.498999999999995</v>
      </c>
      <c r="G7461">
        <v>74.45</v>
      </c>
      <c r="H7461">
        <v>2.79</v>
      </c>
      <c r="I7461">
        <v>3.7570000000000001</v>
      </c>
      <c r="J7461">
        <v>5</v>
      </c>
      <c r="K7461">
        <v>36</v>
      </c>
      <c r="L7461">
        <v>18</v>
      </c>
      <c r="M7461">
        <v>4.5709999999999997</v>
      </c>
    </row>
    <row r="7462" spans="1:13" ht="15" customHeight="1">
      <c r="A7462" t="s">
        <v>76</v>
      </c>
      <c r="B7462">
        <f t="shared" si="462"/>
        <v>33.720314999999999</v>
      </c>
      <c r="C7462">
        <f t="shared" si="463"/>
        <v>-117.845797</v>
      </c>
      <c r="D7462">
        <f t="shared" si="464"/>
        <v>76</v>
      </c>
      <c r="E7462">
        <v>93.498999999999995</v>
      </c>
      <c r="F7462">
        <f t="shared" si="465"/>
        <v>-17.498999999999995</v>
      </c>
      <c r="G7462">
        <v>56.414000000000001</v>
      </c>
      <c r="H7462">
        <v>2.6760000000000002</v>
      </c>
      <c r="I7462">
        <v>4.7590000000000003</v>
      </c>
      <c r="J7462">
        <v>4</v>
      </c>
      <c r="K7462">
        <v>36</v>
      </c>
      <c r="L7462">
        <v>18</v>
      </c>
      <c r="M7462">
        <v>3.3639999999999999</v>
      </c>
    </row>
    <row r="7463" spans="1:13" ht="15" customHeight="1">
      <c r="A7463" t="s">
        <v>76</v>
      </c>
      <c r="B7463">
        <f t="shared" si="462"/>
        <v>33.720314999999999</v>
      </c>
      <c r="C7463">
        <f t="shared" si="463"/>
        <v>-117.845797</v>
      </c>
      <c r="D7463">
        <f t="shared" si="464"/>
        <v>76</v>
      </c>
      <c r="E7463">
        <v>94.498999999999995</v>
      </c>
      <c r="F7463">
        <f t="shared" si="465"/>
        <v>-18.498999999999995</v>
      </c>
      <c r="G7463">
        <v>101.617</v>
      </c>
      <c r="H7463">
        <v>4.2270000000000003</v>
      </c>
      <c r="I7463">
        <v>4.1669999999999998</v>
      </c>
      <c r="J7463">
        <v>5</v>
      </c>
      <c r="K7463">
        <v>49</v>
      </c>
      <c r="L7463">
        <v>25</v>
      </c>
      <c r="M7463">
        <v>6.3739999999999997</v>
      </c>
    </row>
    <row r="7464" spans="1:13" ht="15" customHeight="1">
      <c r="A7464" t="s">
        <v>76</v>
      </c>
      <c r="B7464">
        <f t="shared" si="462"/>
        <v>33.720314999999999</v>
      </c>
      <c r="C7464">
        <f t="shared" si="463"/>
        <v>-117.845797</v>
      </c>
      <c r="D7464">
        <f t="shared" si="464"/>
        <v>76</v>
      </c>
      <c r="E7464">
        <v>95.498999999999995</v>
      </c>
      <c r="F7464">
        <f t="shared" si="465"/>
        <v>-19.498999999999995</v>
      </c>
      <c r="G7464">
        <v>42.817</v>
      </c>
      <c r="H7464">
        <v>1.5349999999999999</v>
      </c>
      <c r="I7464">
        <v>3.5979999999999999</v>
      </c>
      <c r="J7464">
        <v>5</v>
      </c>
      <c r="K7464">
        <v>20</v>
      </c>
      <c r="L7464">
        <v>10</v>
      </c>
      <c r="M7464">
        <v>2.452</v>
      </c>
    </row>
    <row r="7465" spans="1:13" ht="15" customHeight="1">
      <c r="A7465" t="s">
        <v>76</v>
      </c>
      <c r="B7465">
        <f t="shared" si="462"/>
        <v>33.720314999999999</v>
      </c>
      <c r="C7465">
        <f t="shared" si="463"/>
        <v>-117.845797</v>
      </c>
      <c r="D7465">
        <f t="shared" si="464"/>
        <v>76</v>
      </c>
      <c r="E7465">
        <v>96.498999999999995</v>
      </c>
      <c r="F7465">
        <f t="shared" si="465"/>
        <v>-20.498999999999995</v>
      </c>
      <c r="G7465">
        <v>37.200000000000003</v>
      </c>
      <c r="H7465">
        <v>1.2170000000000001</v>
      </c>
      <c r="I7465">
        <v>3.2850000000000001</v>
      </c>
      <c r="J7465">
        <v>5</v>
      </c>
      <c r="K7465">
        <v>18</v>
      </c>
      <c r="L7465">
        <v>9</v>
      </c>
      <c r="M7465">
        <v>2.0720000000000001</v>
      </c>
    </row>
    <row r="7466" spans="1:13" ht="15" customHeight="1">
      <c r="A7466" t="s">
        <v>76</v>
      </c>
      <c r="B7466">
        <f t="shared" si="462"/>
        <v>33.720314999999999</v>
      </c>
      <c r="C7466">
        <f t="shared" si="463"/>
        <v>-117.845797</v>
      </c>
      <c r="D7466">
        <f t="shared" si="464"/>
        <v>76</v>
      </c>
      <c r="E7466">
        <v>97.498999999999995</v>
      </c>
      <c r="F7466">
        <f t="shared" si="465"/>
        <v>-21.498999999999995</v>
      </c>
      <c r="G7466">
        <v>25.95</v>
      </c>
      <c r="H7466">
        <v>0.81299999999999994</v>
      </c>
      <c r="I7466">
        <v>3.157</v>
      </c>
      <c r="J7466">
        <v>5</v>
      </c>
      <c r="K7466">
        <v>12</v>
      </c>
      <c r="L7466">
        <v>6</v>
      </c>
      <c r="M7466">
        <v>1.3169999999999999</v>
      </c>
    </row>
    <row r="7467" spans="1:13" ht="15" customHeight="1">
      <c r="A7467" t="s">
        <v>76</v>
      </c>
      <c r="B7467">
        <f t="shared" si="462"/>
        <v>33.720314999999999</v>
      </c>
      <c r="C7467">
        <f t="shared" si="463"/>
        <v>-117.845797</v>
      </c>
      <c r="D7467">
        <f t="shared" si="464"/>
        <v>76</v>
      </c>
      <c r="E7467">
        <v>98.498999999999995</v>
      </c>
      <c r="F7467">
        <f t="shared" si="465"/>
        <v>-22.498999999999995</v>
      </c>
      <c r="G7467">
        <v>30.483000000000001</v>
      </c>
      <c r="H7467">
        <v>0.91500000000000004</v>
      </c>
      <c r="I7467">
        <v>3.0179999999999998</v>
      </c>
      <c r="J7467">
        <v>5</v>
      </c>
      <c r="K7467">
        <v>15</v>
      </c>
      <c r="L7467">
        <v>8</v>
      </c>
      <c r="M7467">
        <v>1.6160000000000001</v>
      </c>
    </row>
    <row r="7468" spans="1:13" ht="15" customHeight="1">
      <c r="A7468" t="s">
        <v>76</v>
      </c>
      <c r="B7468">
        <f t="shared" si="462"/>
        <v>33.720314999999999</v>
      </c>
      <c r="C7468">
        <f t="shared" si="463"/>
        <v>-117.845797</v>
      </c>
      <c r="D7468">
        <f t="shared" si="464"/>
        <v>76</v>
      </c>
      <c r="E7468">
        <v>99.498999999999995</v>
      </c>
      <c r="F7468">
        <f t="shared" si="465"/>
        <v>-23.498999999999995</v>
      </c>
      <c r="G7468">
        <v>32.832999999999998</v>
      </c>
      <c r="H7468">
        <v>0.86</v>
      </c>
      <c r="I7468">
        <v>2.633</v>
      </c>
      <c r="J7468">
        <v>6</v>
      </c>
      <c r="K7468">
        <v>13</v>
      </c>
      <c r="L7468">
        <v>7</v>
      </c>
      <c r="M7468">
        <v>1.768</v>
      </c>
    </row>
    <row r="7469" spans="1:13" ht="15" customHeight="1">
      <c r="A7469" t="s">
        <v>76</v>
      </c>
      <c r="B7469">
        <f t="shared" si="462"/>
        <v>33.720314999999999</v>
      </c>
      <c r="C7469">
        <f t="shared" si="463"/>
        <v>-117.845797</v>
      </c>
      <c r="D7469">
        <f t="shared" si="464"/>
        <v>76</v>
      </c>
      <c r="E7469">
        <v>100.499</v>
      </c>
      <c r="F7469">
        <f t="shared" si="465"/>
        <v>-24.498999999999995</v>
      </c>
      <c r="G7469">
        <v>36.5</v>
      </c>
      <c r="H7469">
        <v>1.028</v>
      </c>
      <c r="I7469">
        <v>2.8319999999999999</v>
      </c>
      <c r="J7469">
        <v>6</v>
      </c>
      <c r="K7469">
        <v>14</v>
      </c>
      <c r="L7469">
        <v>7</v>
      </c>
      <c r="M7469">
        <v>2.008</v>
      </c>
    </row>
    <row r="7470" spans="1:13" ht="15" customHeight="1">
      <c r="A7470" t="s">
        <v>76</v>
      </c>
      <c r="B7470">
        <f t="shared" si="462"/>
        <v>33.720314999999999</v>
      </c>
      <c r="C7470">
        <f t="shared" si="463"/>
        <v>-117.845797</v>
      </c>
      <c r="D7470">
        <f t="shared" si="464"/>
        <v>76</v>
      </c>
      <c r="E7470">
        <v>101.499</v>
      </c>
      <c r="F7470">
        <f t="shared" si="465"/>
        <v>-25.498999999999995</v>
      </c>
      <c r="G7470">
        <v>33.167000000000002</v>
      </c>
      <c r="H7470">
        <v>1.038</v>
      </c>
      <c r="I7470">
        <v>3.1429999999999998</v>
      </c>
      <c r="J7470">
        <v>5</v>
      </c>
      <c r="K7470">
        <v>16</v>
      </c>
      <c r="L7470">
        <v>8</v>
      </c>
      <c r="M7470">
        <v>1.784</v>
      </c>
    </row>
    <row r="7471" spans="1:13" ht="15" customHeight="1">
      <c r="A7471" t="s">
        <v>76</v>
      </c>
      <c r="B7471">
        <f t="shared" si="462"/>
        <v>33.720314999999999</v>
      </c>
      <c r="C7471">
        <f t="shared" si="463"/>
        <v>-117.845797</v>
      </c>
      <c r="D7471">
        <f t="shared" si="464"/>
        <v>76</v>
      </c>
      <c r="E7471">
        <v>102.499</v>
      </c>
      <c r="F7471">
        <f t="shared" si="465"/>
        <v>-26.498999999999995</v>
      </c>
      <c r="G7471">
        <v>40.1</v>
      </c>
      <c r="H7471">
        <v>1.528</v>
      </c>
      <c r="I7471">
        <v>3.8220000000000001</v>
      </c>
      <c r="J7471">
        <v>5</v>
      </c>
      <c r="K7471">
        <v>19</v>
      </c>
      <c r="L7471">
        <v>10</v>
      </c>
      <c r="M7471">
        <v>2.2440000000000002</v>
      </c>
    </row>
    <row r="7472" spans="1:13" ht="15" customHeight="1">
      <c r="A7472" t="s">
        <v>76</v>
      </c>
      <c r="B7472">
        <f t="shared" si="462"/>
        <v>33.720314999999999</v>
      </c>
      <c r="C7472">
        <f t="shared" si="463"/>
        <v>-117.845797</v>
      </c>
      <c r="D7472">
        <f t="shared" si="464"/>
        <v>76</v>
      </c>
      <c r="E7472">
        <v>103.499</v>
      </c>
      <c r="F7472">
        <f t="shared" si="465"/>
        <v>-27.498999999999995</v>
      </c>
      <c r="G7472">
        <v>33</v>
      </c>
      <c r="H7472">
        <v>1.218</v>
      </c>
      <c r="I7472">
        <v>3.7050000000000001</v>
      </c>
      <c r="J7472">
        <v>5</v>
      </c>
      <c r="K7472">
        <v>16</v>
      </c>
      <c r="L7472">
        <v>8</v>
      </c>
      <c r="M7472">
        <v>1.766</v>
      </c>
    </row>
    <row r="7473" spans="1:13" ht="15" customHeight="1">
      <c r="A7473" t="s">
        <v>76</v>
      </c>
      <c r="B7473">
        <f t="shared" si="462"/>
        <v>33.720314999999999</v>
      </c>
      <c r="C7473">
        <f t="shared" si="463"/>
        <v>-117.845797</v>
      </c>
      <c r="D7473">
        <f t="shared" si="464"/>
        <v>76</v>
      </c>
      <c r="E7473">
        <v>104.499</v>
      </c>
      <c r="F7473">
        <f t="shared" si="465"/>
        <v>-28.498999999999995</v>
      </c>
      <c r="G7473">
        <v>38.957000000000001</v>
      </c>
      <c r="H7473">
        <v>1.1759999999999999</v>
      </c>
      <c r="I7473">
        <v>3.0259999999999998</v>
      </c>
      <c r="J7473">
        <v>5</v>
      </c>
      <c r="K7473">
        <v>19</v>
      </c>
      <c r="L7473">
        <v>10</v>
      </c>
      <c r="M7473">
        <v>2.16</v>
      </c>
    </row>
    <row r="7474" spans="1:13" ht="15" customHeight="1">
      <c r="A7474" t="s">
        <v>76</v>
      </c>
      <c r="B7474">
        <f t="shared" si="462"/>
        <v>33.720314999999999</v>
      </c>
      <c r="C7474">
        <f t="shared" si="463"/>
        <v>-117.845797</v>
      </c>
      <c r="D7474">
        <f t="shared" si="464"/>
        <v>76</v>
      </c>
      <c r="E7474">
        <v>105.499</v>
      </c>
      <c r="F7474">
        <f t="shared" si="465"/>
        <v>-29.498999999999995</v>
      </c>
      <c r="G7474">
        <v>45.267000000000003</v>
      </c>
      <c r="H7474">
        <v>2.0920000000000001</v>
      </c>
      <c r="I7474">
        <v>4.6310000000000002</v>
      </c>
      <c r="J7474">
        <v>4</v>
      </c>
      <c r="K7474">
        <v>29</v>
      </c>
      <c r="L7474">
        <v>15</v>
      </c>
      <c r="M7474">
        <v>2.577</v>
      </c>
    </row>
    <row r="7475" spans="1:13" ht="15" customHeight="1">
      <c r="A7475" t="s">
        <v>76</v>
      </c>
      <c r="B7475">
        <f t="shared" si="462"/>
        <v>33.720314999999999</v>
      </c>
      <c r="C7475">
        <f t="shared" si="463"/>
        <v>-117.845797</v>
      </c>
      <c r="D7475">
        <f t="shared" si="464"/>
        <v>76</v>
      </c>
      <c r="E7475">
        <v>106.499</v>
      </c>
      <c r="F7475">
        <f t="shared" si="465"/>
        <v>-30.498999999999995</v>
      </c>
      <c r="G7475">
        <v>35.366999999999997</v>
      </c>
      <c r="H7475">
        <v>1.357</v>
      </c>
      <c r="I7475">
        <v>3.8410000000000002</v>
      </c>
      <c r="J7475">
        <v>5</v>
      </c>
      <c r="K7475">
        <v>17</v>
      </c>
      <c r="L7475">
        <v>9</v>
      </c>
      <c r="M7475">
        <v>1.9159999999999999</v>
      </c>
    </row>
    <row r="7476" spans="1:13" ht="15" customHeight="1">
      <c r="A7476" t="s">
        <v>76</v>
      </c>
      <c r="B7476">
        <f t="shared" si="462"/>
        <v>33.720314999999999</v>
      </c>
      <c r="C7476">
        <f t="shared" si="463"/>
        <v>-117.845797</v>
      </c>
      <c r="D7476">
        <f t="shared" si="464"/>
        <v>76</v>
      </c>
      <c r="E7476">
        <v>107.499</v>
      </c>
      <c r="F7476">
        <f t="shared" si="465"/>
        <v>-31.498999999999995</v>
      </c>
      <c r="G7476">
        <v>29.9</v>
      </c>
      <c r="H7476">
        <v>0.96499999999999997</v>
      </c>
      <c r="I7476">
        <v>3.2349999999999999</v>
      </c>
      <c r="J7476">
        <v>5</v>
      </c>
      <c r="K7476">
        <v>14</v>
      </c>
      <c r="L7476">
        <v>7</v>
      </c>
      <c r="M7476">
        <v>1.546</v>
      </c>
    </row>
    <row r="7477" spans="1:13" ht="15" customHeight="1">
      <c r="A7477" t="s">
        <v>76</v>
      </c>
      <c r="B7477">
        <f t="shared" si="462"/>
        <v>33.720314999999999</v>
      </c>
      <c r="C7477">
        <f t="shared" si="463"/>
        <v>-117.845797</v>
      </c>
      <c r="D7477">
        <f t="shared" si="464"/>
        <v>76</v>
      </c>
      <c r="E7477">
        <v>108.499</v>
      </c>
      <c r="F7477">
        <f t="shared" si="465"/>
        <v>-32.498999999999995</v>
      </c>
      <c r="G7477">
        <v>28.567</v>
      </c>
      <c r="H7477">
        <v>0.84199999999999997</v>
      </c>
      <c r="I7477">
        <v>2.948</v>
      </c>
      <c r="J7477">
        <v>5</v>
      </c>
      <c r="K7477">
        <v>14</v>
      </c>
      <c r="L7477">
        <v>7</v>
      </c>
      <c r="M7477">
        <v>1.456</v>
      </c>
    </row>
    <row r="7478" spans="1:13" ht="15" customHeight="1">
      <c r="A7478" t="s">
        <v>76</v>
      </c>
      <c r="B7478">
        <f t="shared" si="462"/>
        <v>33.720314999999999</v>
      </c>
      <c r="C7478">
        <f t="shared" si="463"/>
        <v>-117.845797</v>
      </c>
      <c r="D7478">
        <f t="shared" si="464"/>
        <v>76</v>
      </c>
      <c r="E7478">
        <v>109.499</v>
      </c>
      <c r="F7478">
        <f t="shared" si="465"/>
        <v>-33.498999999999995</v>
      </c>
      <c r="G7478">
        <v>30.332999999999998</v>
      </c>
      <c r="H7478">
        <v>0.92200000000000004</v>
      </c>
      <c r="I7478">
        <v>3.0350000000000001</v>
      </c>
      <c r="J7478">
        <v>5</v>
      </c>
      <c r="K7478">
        <v>15</v>
      </c>
      <c r="L7478">
        <v>8</v>
      </c>
      <c r="M7478">
        <v>1.573</v>
      </c>
    </row>
    <row r="7479" spans="1:13" ht="15" customHeight="1">
      <c r="A7479" t="s">
        <v>76</v>
      </c>
      <c r="B7479">
        <f t="shared" si="462"/>
        <v>33.720314999999999</v>
      </c>
      <c r="C7479">
        <f t="shared" si="463"/>
        <v>-117.845797</v>
      </c>
      <c r="D7479">
        <f t="shared" si="464"/>
        <v>76</v>
      </c>
      <c r="E7479">
        <v>110.499</v>
      </c>
      <c r="F7479">
        <f t="shared" si="465"/>
        <v>-34.498999999999995</v>
      </c>
      <c r="G7479">
        <v>33.317</v>
      </c>
      <c r="H7479">
        <v>1.08</v>
      </c>
      <c r="I7479">
        <v>3.2349999999999999</v>
      </c>
      <c r="J7479">
        <v>5</v>
      </c>
      <c r="K7479">
        <v>16</v>
      </c>
      <c r="L7479">
        <v>8</v>
      </c>
      <c r="M7479">
        <v>1.77</v>
      </c>
    </row>
    <row r="7480" spans="1:13" ht="15" customHeight="1">
      <c r="A7480" t="s">
        <v>76</v>
      </c>
      <c r="B7480">
        <f t="shared" si="462"/>
        <v>33.720314999999999</v>
      </c>
      <c r="C7480">
        <f t="shared" si="463"/>
        <v>-117.845797</v>
      </c>
      <c r="D7480">
        <f t="shared" si="464"/>
        <v>76</v>
      </c>
      <c r="E7480">
        <v>111.499</v>
      </c>
      <c r="F7480">
        <f t="shared" si="465"/>
        <v>-35.498999999999995</v>
      </c>
      <c r="G7480">
        <v>30.05</v>
      </c>
      <c r="H7480">
        <v>1.0620000000000001</v>
      </c>
      <c r="I7480">
        <v>3.5190000000000001</v>
      </c>
      <c r="J7480">
        <v>5</v>
      </c>
      <c r="K7480">
        <v>14</v>
      </c>
      <c r="L7480">
        <v>7</v>
      </c>
      <c r="M7480">
        <v>1.552</v>
      </c>
    </row>
    <row r="7481" spans="1:13" ht="15" customHeight="1">
      <c r="A7481" t="s">
        <v>76</v>
      </c>
      <c r="B7481">
        <f t="shared" si="462"/>
        <v>33.720314999999999</v>
      </c>
      <c r="C7481">
        <f t="shared" si="463"/>
        <v>-117.845797</v>
      </c>
      <c r="D7481">
        <f t="shared" si="464"/>
        <v>76</v>
      </c>
      <c r="E7481">
        <v>112.499</v>
      </c>
      <c r="F7481">
        <f t="shared" si="465"/>
        <v>-36.498999999999995</v>
      </c>
      <c r="G7481">
        <v>28.25</v>
      </c>
      <c r="H7481">
        <v>0.998</v>
      </c>
      <c r="I7481">
        <v>3.5110000000000001</v>
      </c>
      <c r="J7481">
        <v>5</v>
      </c>
      <c r="K7481">
        <v>14</v>
      </c>
      <c r="L7481">
        <v>7</v>
      </c>
      <c r="M7481">
        <v>1.4319999999999999</v>
      </c>
    </row>
    <row r="7482" spans="1:13" ht="15" customHeight="1">
      <c r="A7482" t="s">
        <v>76</v>
      </c>
      <c r="B7482">
        <f t="shared" si="462"/>
        <v>33.720314999999999</v>
      </c>
      <c r="C7482">
        <f t="shared" si="463"/>
        <v>-117.845797</v>
      </c>
      <c r="D7482">
        <f t="shared" si="464"/>
        <v>76</v>
      </c>
      <c r="E7482">
        <v>113.499</v>
      </c>
      <c r="F7482">
        <f t="shared" si="465"/>
        <v>-37.498999999999995</v>
      </c>
      <c r="G7482">
        <v>25.832999999999998</v>
      </c>
      <c r="H7482">
        <v>0.82199999999999995</v>
      </c>
      <c r="I7482">
        <v>3.15</v>
      </c>
      <c r="J7482">
        <v>5</v>
      </c>
      <c r="K7482">
        <v>12</v>
      </c>
      <c r="L7482">
        <v>6</v>
      </c>
      <c r="M7482">
        <v>1.2709999999999999</v>
      </c>
    </row>
    <row r="7483" spans="1:13" ht="15" customHeight="1">
      <c r="A7483" t="s">
        <v>76</v>
      </c>
      <c r="B7483">
        <f t="shared" si="462"/>
        <v>33.720314999999999</v>
      </c>
      <c r="C7483">
        <f t="shared" si="463"/>
        <v>-117.845797</v>
      </c>
      <c r="D7483">
        <f t="shared" si="464"/>
        <v>76</v>
      </c>
      <c r="E7483">
        <v>114.499</v>
      </c>
      <c r="F7483">
        <f t="shared" si="465"/>
        <v>-38.498999999999995</v>
      </c>
      <c r="G7483">
        <v>27.157</v>
      </c>
      <c r="H7483">
        <v>0.88400000000000001</v>
      </c>
      <c r="I7483">
        <v>3.2189999999999999</v>
      </c>
      <c r="J7483">
        <v>5</v>
      </c>
      <c r="K7483">
        <v>13</v>
      </c>
      <c r="L7483">
        <v>7</v>
      </c>
      <c r="M7483">
        <v>1.359</v>
      </c>
    </row>
    <row r="7484" spans="1:13" ht="15" customHeight="1">
      <c r="A7484" t="s">
        <v>76</v>
      </c>
      <c r="B7484">
        <f t="shared" si="462"/>
        <v>33.720314999999999</v>
      </c>
      <c r="C7484">
        <f t="shared" si="463"/>
        <v>-117.845797</v>
      </c>
      <c r="D7484">
        <f t="shared" si="464"/>
        <v>76</v>
      </c>
      <c r="E7484">
        <v>115.499</v>
      </c>
      <c r="F7484">
        <f t="shared" si="465"/>
        <v>-39.498999999999995</v>
      </c>
      <c r="G7484">
        <v>27.033000000000001</v>
      </c>
      <c r="H7484">
        <v>0.94</v>
      </c>
      <c r="I7484">
        <v>3.42</v>
      </c>
      <c r="J7484">
        <v>5</v>
      </c>
      <c r="K7484">
        <v>13</v>
      </c>
      <c r="L7484">
        <v>7</v>
      </c>
      <c r="M7484">
        <v>1.3560000000000001</v>
      </c>
    </row>
    <row r="7485" spans="1:13" ht="15" customHeight="1">
      <c r="A7485" t="s">
        <v>76</v>
      </c>
      <c r="B7485">
        <f t="shared" si="462"/>
        <v>33.720314999999999</v>
      </c>
      <c r="C7485">
        <f t="shared" si="463"/>
        <v>-117.845797</v>
      </c>
      <c r="D7485">
        <f t="shared" si="464"/>
        <v>76</v>
      </c>
      <c r="E7485">
        <v>116.499</v>
      </c>
      <c r="F7485">
        <f t="shared" si="465"/>
        <v>-40.498999999999995</v>
      </c>
      <c r="G7485">
        <v>28.433</v>
      </c>
      <c r="H7485">
        <v>1.002</v>
      </c>
      <c r="I7485">
        <v>3.43</v>
      </c>
      <c r="J7485">
        <v>5</v>
      </c>
      <c r="K7485">
        <v>14</v>
      </c>
      <c r="L7485">
        <v>7</v>
      </c>
      <c r="M7485">
        <v>1.466</v>
      </c>
    </row>
    <row r="7486" spans="1:13" ht="15" customHeight="1">
      <c r="A7486" t="s">
        <v>76</v>
      </c>
      <c r="B7486">
        <f t="shared" si="462"/>
        <v>33.720314999999999</v>
      </c>
      <c r="C7486">
        <f t="shared" si="463"/>
        <v>-117.845797</v>
      </c>
      <c r="D7486">
        <f t="shared" si="464"/>
        <v>76</v>
      </c>
      <c r="E7486">
        <v>117.498</v>
      </c>
      <c r="F7486">
        <f t="shared" si="465"/>
        <v>-41.498000000000005</v>
      </c>
      <c r="G7486">
        <v>38.517000000000003</v>
      </c>
      <c r="H7486">
        <v>1.6719999999999999</v>
      </c>
      <c r="I7486">
        <v>4.3120000000000003</v>
      </c>
      <c r="J7486">
        <v>4</v>
      </c>
      <c r="K7486">
        <v>25</v>
      </c>
      <c r="L7486">
        <v>13</v>
      </c>
      <c r="M7486">
        <v>2.1</v>
      </c>
    </row>
    <row r="7487" spans="1:13" ht="15" customHeight="1">
      <c r="A7487" t="s">
        <v>76</v>
      </c>
      <c r="B7487">
        <f t="shared" si="462"/>
        <v>33.720314999999999</v>
      </c>
      <c r="C7487">
        <f t="shared" si="463"/>
        <v>-117.845797</v>
      </c>
      <c r="D7487">
        <f t="shared" si="464"/>
        <v>76</v>
      </c>
      <c r="E7487">
        <v>118.498</v>
      </c>
      <c r="F7487">
        <f t="shared" si="465"/>
        <v>-42.498000000000005</v>
      </c>
      <c r="G7487">
        <v>31.683</v>
      </c>
      <c r="H7487">
        <v>1.133</v>
      </c>
      <c r="I7487">
        <v>3.585</v>
      </c>
      <c r="J7487">
        <v>5</v>
      </c>
      <c r="K7487">
        <v>15</v>
      </c>
      <c r="L7487">
        <v>8</v>
      </c>
      <c r="M7487">
        <v>1.619</v>
      </c>
    </row>
    <row r="7488" spans="1:13" ht="15" customHeight="1">
      <c r="A7488" t="s">
        <v>76</v>
      </c>
      <c r="B7488">
        <f t="shared" si="462"/>
        <v>33.720314999999999</v>
      </c>
      <c r="C7488">
        <f t="shared" si="463"/>
        <v>-117.845797</v>
      </c>
      <c r="D7488">
        <f t="shared" si="464"/>
        <v>76</v>
      </c>
      <c r="E7488">
        <v>119.498</v>
      </c>
      <c r="F7488">
        <f t="shared" si="465"/>
        <v>-43.498000000000005</v>
      </c>
      <c r="G7488">
        <v>30.867000000000001</v>
      </c>
      <c r="H7488">
        <v>0.92</v>
      </c>
      <c r="I7488">
        <v>2.9769999999999999</v>
      </c>
      <c r="J7488">
        <v>5</v>
      </c>
      <c r="K7488">
        <v>15</v>
      </c>
      <c r="L7488">
        <v>8</v>
      </c>
      <c r="M7488">
        <v>1.5669999999999999</v>
      </c>
    </row>
    <row r="7489" spans="1:13" ht="15" customHeight="1">
      <c r="A7489" t="s">
        <v>76</v>
      </c>
      <c r="B7489">
        <f t="shared" si="462"/>
        <v>33.720314999999999</v>
      </c>
      <c r="C7489">
        <f t="shared" si="463"/>
        <v>-117.845797</v>
      </c>
      <c r="D7489">
        <f t="shared" si="464"/>
        <v>76</v>
      </c>
      <c r="E7489">
        <v>120.498</v>
      </c>
      <c r="F7489">
        <f t="shared" si="465"/>
        <v>-44.498000000000005</v>
      </c>
      <c r="G7489">
        <v>30.667000000000002</v>
      </c>
      <c r="H7489">
        <v>0.87</v>
      </c>
      <c r="I7489">
        <v>2.823</v>
      </c>
      <c r="J7489">
        <v>6</v>
      </c>
      <c r="K7489">
        <v>12</v>
      </c>
      <c r="L7489">
        <v>6</v>
      </c>
      <c r="M7489">
        <v>1.5569999999999999</v>
      </c>
    </row>
    <row r="7490" spans="1:13" ht="15" customHeight="1">
      <c r="A7490" t="s">
        <v>76</v>
      </c>
      <c r="B7490">
        <f t="shared" ref="B7490:B7553" si="466">VLOOKUP(A7490,XYdata,3,FALSE)</f>
        <v>33.720314999999999</v>
      </c>
      <c r="C7490">
        <f t="shared" ref="C7490:C7553" si="467">VLOOKUP(A7490,XYdata,2,FALSE)</f>
        <v>-117.845797</v>
      </c>
      <c r="D7490">
        <f t="shared" ref="D7490:D7553" si="468">VLOOKUP(A7490,Elevation,2,FALSE)</f>
        <v>76</v>
      </c>
      <c r="E7490">
        <v>121.498</v>
      </c>
      <c r="F7490">
        <f t="shared" si="465"/>
        <v>-45.498000000000005</v>
      </c>
      <c r="G7490">
        <v>29.55</v>
      </c>
      <c r="H7490">
        <v>0.98699999999999999</v>
      </c>
      <c r="I7490">
        <v>3.2759999999999998</v>
      </c>
      <c r="J7490">
        <v>5</v>
      </c>
      <c r="K7490">
        <v>14</v>
      </c>
      <c r="L7490">
        <v>7</v>
      </c>
      <c r="M7490">
        <v>1.5069999999999999</v>
      </c>
    </row>
    <row r="7491" spans="1:13" ht="15" customHeight="1">
      <c r="A7491" t="s">
        <v>76</v>
      </c>
      <c r="B7491">
        <f t="shared" si="466"/>
        <v>33.720314999999999</v>
      </c>
      <c r="C7491">
        <f t="shared" si="467"/>
        <v>-117.845797</v>
      </c>
      <c r="D7491">
        <f t="shared" si="468"/>
        <v>76</v>
      </c>
      <c r="E7491">
        <v>122.498</v>
      </c>
      <c r="F7491">
        <f t="shared" ref="F7491:F7554" si="469">D7491-E7491</f>
        <v>-46.498000000000005</v>
      </c>
      <c r="G7491">
        <v>31.2</v>
      </c>
      <c r="H7491">
        <v>1.06</v>
      </c>
      <c r="I7491">
        <v>3.24</v>
      </c>
      <c r="J7491">
        <v>5</v>
      </c>
      <c r="K7491">
        <v>16</v>
      </c>
      <c r="L7491">
        <v>8</v>
      </c>
      <c r="M7491">
        <v>1.6759999999999999</v>
      </c>
    </row>
    <row r="7492" spans="1:13" ht="15" customHeight="1">
      <c r="A7492" t="s">
        <v>76</v>
      </c>
      <c r="B7492">
        <f t="shared" si="466"/>
        <v>33.720314999999999</v>
      </c>
      <c r="C7492">
        <f t="shared" si="467"/>
        <v>-117.845797</v>
      </c>
      <c r="D7492">
        <f t="shared" si="468"/>
        <v>76</v>
      </c>
      <c r="E7492">
        <v>123.498</v>
      </c>
      <c r="F7492">
        <f t="shared" si="469"/>
        <v>-47.498000000000005</v>
      </c>
      <c r="G7492">
        <v>46.95</v>
      </c>
      <c r="H7492">
        <v>2.3719999999999999</v>
      </c>
      <c r="I7492">
        <v>4.9880000000000004</v>
      </c>
      <c r="J7492">
        <v>4</v>
      </c>
      <c r="K7492">
        <v>30</v>
      </c>
      <c r="L7492">
        <v>15</v>
      </c>
      <c r="M7492">
        <v>2.661</v>
      </c>
    </row>
    <row r="7493" spans="1:13" ht="15" customHeight="1">
      <c r="A7493" t="s">
        <v>76</v>
      </c>
      <c r="B7493">
        <f t="shared" si="466"/>
        <v>33.720314999999999</v>
      </c>
      <c r="C7493">
        <f t="shared" si="467"/>
        <v>-117.845797</v>
      </c>
      <c r="D7493">
        <f t="shared" si="468"/>
        <v>76</v>
      </c>
      <c r="E7493">
        <v>124.498</v>
      </c>
      <c r="F7493">
        <f t="shared" si="469"/>
        <v>-48.498000000000005</v>
      </c>
      <c r="G7493">
        <v>35.116999999999997</v>
      </c>
      <c r="H7493">
        <v>0.99199999999999999</v>
      </c>
      <c r="I7493">
        <v>2.669</v>
      </c>
      <c r="J7493">
        <v>6</v>
      </c>
      <c r="K7493">
        <v>14</v>
      </c>
      <c r="L7493">
        <v>7</v>
      </c>
      <c r="M7493">
        <v>1.9630000000000001</v>
      </c>
    </row>
    <row r="7494" spans="1:13" ht="15" customHeight="1">
      <c r="A7494" t="s">
        <v>76</v>
      </c>
      <c r="B7494">
        <f t="shared" si="466"/>
        <v>33.720314999999999</v>
      </c>
      <c r="C7494">
        <f t="shared" si="467"/>
        <v>-117.845797</v>
      </c>
      <c r="D7494">
        <f t="shared" si="468"/>
        <v>76</v>
      </c>
      <c r="E7494">
        <v>125.498</v>
      </c>
      <c r="F7494">
        <f t="shared" si="469"/>
        <v>-49.498000000000005</v>
      </c>
      <c r="G7494">
        <v>35.429000000000002</v>
      </c>
      <c r="H7494">
        <v>1.081</v>
      </c>
      <c r="I7494">
        <v>2.9129999999999998</v>
      </c>
      <c r="J7494">
        <v>6</v>
      </c>
      <c r="K7494">
        <v>14</v>
      </c>
      <c r="L7494">
        <v>7</v>
      </c>
      <c r="M7494">
        <v>1.9570000000000001</v>
      </c>
    </row>
    <row r="7495" spans="1:13" ht="15" customHeight="1">
      <c r="A7495" t="s">
        <v>76</v>
      </c>
      <c r="B7495">
        <f t="shared" si="466"/>
        <v>33.720314999999999</v>
      </c>
      <c r="C7495">
        <f t="shared" si="467"/>
        <v>-117.845797</v>
      </c>
      <c r="D7495">
        <f t="shared" si="468"/>
        <v>76</v>
      </c>
      <c r="E7495">
        <v>126.498</v>
      </c>
      <c r="F7495">
        <f t="shared" si="469"/>
        <v>-50.498000000000005</v>
      </c>
      <c r="G7495">
        <v>88.55</v>
      </c>
      <c r="H7495">
        <v>4.327</v>
      </c>
      <c r="I7495">
        <v>4.8360000000000003</v>
      </c>
      <c r="J7495">
        <v>11</v>
      </c>
      <c r="K7495">
        <v>86</v>
      </c>
      <c r="L7495">
        <v>43</v>
      </c>
      <c r="M7495" s="1">
        <v>9000000000</v>
      </c>
    </row>
    <row r="7496" spans="1:13" ht="15" customHeight="1">
      <c r="A7496" t="s">
        <v>76</v>
      </c>
      <c r="B7496">
        <f t="shared" si="466"/>
        <v>33.720314999999999</v>
      </c>
      <c r="C7496">
        <f t="shared" si="467"/>
        <v>-117.845797</v>
      </c>
      <c r="D7496">
        <f t="shared" si="468"/>
        <v>76</v>
      </c>
      <c r="E7496">
        <v>127.498</v>
      </c>
      <c r="F7496">
        <f t="shared" si="469"/>
        <v>-51.498000000000005</v>
      </c>
      <c r="G7496">
        <v>49.75</v>
      </c>
      <c r="H7496">
        <v>2.3980000000000001</v>
      </c>
      <c r="I7496">
        <v>4.835</v>
      </c>
      <c r="J7496">
        <v>4</v>
      </c>
      <c r="K7496">
        <v>32</v>
      </c>
      <c r="L7496">
        <v>16</v>
      </c>
      <c r="M7496">
        <v>2.78</v>
      </c>
    </row>
    <row r="7497" spans="1:13" ht="15" customHeight="1">
      <c r="A7497" t="s">
        <v>76</v>
      </c>
      <c r="B7497">
        <f t="shared" si="466"/>
        <v>33.720314999999999</v>
      </c>
      <c r="C7497">
        <f t="shared" si="467"/>
        <v>-117.845797</v>
      </c>
      <c r="D7497">
        <f t="shared" si="468"/>
        <v>76</v>
      </c>
      <c r="E7497">
        <v>128.49799999999999</v>
      </c>
      <c r="F7497">
        <f t="shared" si="469"/>
        <v>-52.49799999999999</v>
      </c>
      <c r="G7497">
        <v>153.333</v>
      </c>
      <c r="H7497">
        <v>5.9580000000000002</v>
      </c>
      <c r="I7497">
        <v>3.8889999999999998</v>
      </c>
      <c r="J7497">
        <v>12</v>
      </c>
      <c r="K7497">
        <v>73</v>
      </c>
      <c r="L7497">
        <v>37</v>
      </c>
      <c r="M7497" s="1">
        <v>9000000000</v>
      </c>
    </row>
    <row r="7498" spans="1:13" ht="15" customHeight="1">
      <c r="A7498" t="s">
        <v>76</v>
      </c>
      <c r="B7498">
        <f t="shared" si="466"/>
        <v>33.720314999999999</v>
      </c>
      <c r="C7498">
        <f t="shared" si="467"/>
        <v>-117.845797</v>
      </c>
      <c r="D7498">
        <f t="shared" si="468"/>
        <v>76</v>
      </c>
      <c r="E7498">
        <v>129.49799999999999</v>
      </c>
      <c r="F7498">
        <f t="shared" si="469"/>
        <v>-53.49799999999999</v>
      </c>
      <c r="G7498">
        <v>272.56700000000001</v>
      </c>
      <c r="H7498">
        <v>10.516999999999999</v>
      </c>
      <c r="I7498">
        <v>3.8610000000000002</v>
      </c>
      <c r="J7498">
        <v>12</v>
      </c>
      <c r="K7498">
        <v>130</v>
      </c>
      <c r="L7498">
        <v>65</v>
      </c>
      <c r="M7498" s="1">
        <v>9000000000</v>
      </c>
    </row>
    <row r="7499" spans="1:13" ht="15" customHeight="1">
      <c r="A7499" t="s">
        <v>76</v>
      </c>
      <c r="B7499">
        <f t="shared" si="466"/>
        <v>33.720314999999999</v>
      </c>
      <c r="C7499">
        <f t="shared" si="467"/>
        <v>-117.845797</v>
      </c>
      <c r="D7499">
        <f t="shared" si="468"/>
        <v>76</v>
      </c>
      <c r="E7499">
        <v>130.49799999999999</v>
      </c>
      <c r="F7499">
        <f t="shared" si="469"/>
        <v>-54.49799999999999</v>
      </c>
      <c r="G7499">
        <v>205</v>
      </c>
      <c r="H7499">
        <v>7.85</v>
      </c>
      <c r="I7499">
        <v>3.831</v>
      </c>
      <c r="J7499">
        <v>12</v>
      </c>
      <c r="K7499">
        <v>98</v>
      </c>
      <c r="L7499">
        <v>49</v>
      </c>
      <c r="M7499" s="1">
        <v>9000000000</v>
      </c>
    </row>
    <row r="7500" spans="1:13" ht="15" customHeight="1">
      <c r="A7500" t="s">
        <v>77</v>
      </c>
      <c r="B7500">
        <f t="shared" si="466"/>
        <v>33.710514000000003</v>
      </c>
      <c r="C7500">
        <f t="shared" si="467"/>
        <v>-117.845444</v>
      </c>
      <c r="D7500">
        <f t="shared" si="468"/>
        <v>59</v>
      </c>
      <c r="E7500">
        <v>0.5</v>
      </c>
      <c r="F7500">
        <f t="shared" si="469"/>
        <v>58.5</v>
      </c>
      <c r="G7500">
        <v>1.133</v>
      </c>
      <c r="H7500">
        <v>-1.7999999999999999E-2</v>
      </c>
      <c r="I7500">
        <v>-1.6180000000000001</v>
      </c>
      <c r="J7500" s="1">
        <v>9000000000</v>
      </c>
      <c r="K7500" s="1">
        <v>9000000000</v>
      </c>
      <c r="L7500" s="1">
        <v>9000000000</v>
      </c>
      <c r="M7500" s="1">
        <v>9000000000</v>
      </c>
    </row>
    <row r="7501" spans="1:13" ht="15" customHeight="1">
      <c r="A7501" t="s">
        <v>77</v>
      </c>
      <c r="B7501">
        <f t="shared" si="466"/>
        <v>33.710514000000003</v>
      </c>
      <c r="C7501">
        <f t="shared" si="467"/>
        <v>-117.845444</v>
      </c>
      <c r="D7501">
        <f t="shared" si="468"/>
        <v>59</v>
      </c>
      <c r="E7501">
        <v>1.5</v>
      </c>
      <c r="F7501">
        <f t="shared" si="469"/>
        <v>57.5</v>
      </c>
      <c r="G7501">
        <v>6.5330000000000004</v>
      </c>
      <c r="H7501">
        <v>0.128</v>
      </c>
      <c r="I7501">
        <v>1.964</v>
      </c>
      <c r="J7501">
        <v>4</v>
      </c>
      <c r="K7501">
        <v>4</v>
      </c>
      <c r="L7501">
        <v>6</v>
      </c>
      <c r="M7501">
        <v>0.434</v>
      </c>
    </row>
    <row r="7502" spans="1:13" ht="15" customHeight="1">
      <c r="A7502" t="s">
        <v>77</v>
      </c>
      <c r="B7502">
        <f t="shared" si="466"/>
        <v>33.710514000000003</v>
      </c>
      <c r="C7502">
        <f t="shared" si="467"/>
        <v>-117.845444</v>
      </c>
      <c r="D7502">
        <f t="shared" si="468"/>
        <v>59</v>
      </c>
      <c r="E7502">
        <v>2.5</v>
      </c>
      <c r="F7502">
        <f t="shared" si="469"/>
        <v>56.5</v>
      </c>
      <c r="G7502">
        <v>11.967000000000001</v>
      </c>
      <c r="H7502">
        <v>0.32700000000000001</v>
      </c>
      <c r="I7502">
        <v>2.734</v>
      </c>
      <c r="J7502">
        <v>4</v>
      </c>
      <c r="K7502">
        <v>8</v>
      </c>
      <c r="L7502">
        <v>12</v>
      </c>
      <c r="M7502">
        <v>0.79100000000000004</v>
      </c>
    </row>
    <row r="7503" spans="1:13" ht="15" customHeight="1">
      <c r="A7503" t="s">
        <v>77</v>
      </c>
      <c r="B7503">
        <f t="shared" si="466"/>
        <v>33.710514000000003</v>
      </c>
      <c r="C7503">
        <f t="shared" si="467"/>
        <v>-117.845444</v>
      </c>
      <c r="D7503">
        <f t="shared" si="468"/>
        <v>59</v>
      </c>
      <c r="E7503">
        <v>3.5</v>
      </c>
      <c r="F7503">
        <f t="shared" si="469"/>
        <v>55.5</v>
      </c>
      <c r="G7503">
        <v>7.4329999999999998</v>
      </c>
      <c r="H7503">
        <v>0.252</v>
      </c>
      <c r="I7503">
        <v>3.4009999999999998</v>
      </c>
      <c r="J7503">
        <v>3</v>
      </c>
      <c r="K7503">
        <v>7</v>
      </c>
      <c r="L7503">
        <v>11</v>
      </c>
      <c r="M7503">
        <v>0.48299999999999998</v>
      </c>
    </row>
    <row r="7504" spans="1:13" ht="15" customHeight="1">
      <c r="A7504" t="s">
        <v>77</v>
      </c>
      <c r="B7504">
        <f t="shared" si="466"/>
        <v>33.710514000000003</v>
      </c>
      <c r="C7504">
        <f t="shared" si="467"/>
        <v>-117.845444</v>
      </c>
      <c r="D7504">
        <f t="shared" si="468"/>
        <v>59</v>
      </c>
      <c r="E7504">
        <v>4.5</v>
      </c>
      <c r="F7504">
        <f t="shared" si="469"/>
        <v>54.5</v>
      </c>
      <c r="G7504">
        <v>10.65</v>
      </c>
      <c r="H7504">
        <v>0.32</v>
      </c>
      <c r="I7504">
        <v>3.0139999999999998</v>
      </c>
      <c r="J7504">
        <v>4</v>
      </c>
      <c r="K7504">
        <v>7</v>
      </c>
      <c r="L7504">
        <v>11</v>
      </c>
      <c r="M7504">
        <v>0.69399999999999995</v>
      </c>
    </row>
    <row r="7505" spans="1:13" ht="15" customHeight="1">
      <c r="A7505" t="s">
        <v>77</v>
      </c>
      <c r="B7505">
        <f t="shared" si="466"/>
        <v>33.710514000000003</v>
      </c>
      <c r="C7505">
        <f t="shared" si="467"/>
        <v>-117.845444</v>
      </c>
      <c r="D7505">
        <f t="shared" si="468"/>
        <v>59</v>
      </c>
      <c r="E7505">
        <v>5.5</v>
      </c>
      <c r="F7505">
        <f t="shared" si="469"/>
        <v>53.5</v>
      </c>
      <c r="G7505">
        <v>8.7330000000000005</v>
      </c>
      <c r="H7505">
        <v>0.28499999999999998</v>
      </c>
      <c r="I7505">
        <v>3.27</v>
      </c>
      <c r="J7505">
        <v>3</v>
      </c>
      <c r="K7505">
        <v>8</v>
      </c>
      <c r="L7505">
        <v>12</v>
      </c>
      <c r="M7505">
        <v>0.56299999999999994</v>
      </c>
    </row>
    <row r="7506" spans="1:13" ht="15" customHeight="1">
      <c r="A7506" t="s">
        <v>77</v>
      </c>
      <c r="B7506">
        <f t="shared" si="466"/>
        <v>33.710514000000003</v>
      </c>
      <c r="C7506">
        <f t="shared" si="467"/>
        <v>-117.845444</v>
      </c>
      <c r="D7506">
        <f t="shared" si="468"/>
        <v>59</v>
      </c>
      <c r="E7506">
        <v>6.5</v>
      </c>
      <c r="F7506">
        <f t="shared" si="469"/>
        <v>52.5</v>
      </c>
      <c r="G7506">
        <v>14.7</v>
      </c>
      <c r="H7506">
        <v>0.65</v>
      </c>
      <c r="I7506">
        <v>4.4219999999999997</v>
      </c>
      <c r="J7506">
        <v>3</v>
      </c>
      <c r="K7506">
        <v>14</v>
      </c>
      <c r="L7506">
        <v>21</v>
      </c>
      <c r="M7506">
        <v>0.95799999999999996</v>
      </c>
    </row>
    <row r="7507" spans="1:13" ht="15" customHeight="1">
      <c r="A7507" t="s">
        <v>77</v>
      </c>
      <c r="B7507">
        <f t="shared" si="466"/>
        <v>33.710514000000003</v>
      </c>
      <c r="C7507">
        <f t="shared" si="467"/>
        <v>-117.845444</v>
      </c>
      <c r="D7507">
        <f t="shared" si="468"/>
        <v>59</v>
      </c>
      <c r="E7507">
        <v>7.5</v>
      </c>
      <c r="F7507">
        <f t="shared" si="469"/>
        <v>51.5</v>
      </c>
      <c r="G7507">
        <v>24.75</v>
      </c>
      <c r="H7507">
        <v>1.0649999999999999</v>
      </c>
      <c r="I7507">
        <v>4.306</v>
      </c>
      <c r="J7507">
        <v>4</v>
      </c>
      <c r="K7507">
        <v>16</v>
      </c>
      <c r="L7507">
        <v>24</v>
      </c>
      <c r="M7507">
        <v>1.623</v>
      </c>
    </row>
    <row r="7508" spans="1:13" ht="15" customHeight="1">
      <c r="A7508" t="s">
        <v>77</v>
      </c>
      <c r="B7508">
        <f t="shared" si="466"/>
        <v>33.710514000000003</v>
      </c>
      <c r="C7508">
        <f t="shared" si="467"/>
        <v>-117.845444</v>
      </c>
      <c r="D7508">
        <f t="shared" si="468"/>
        <v>59</v>
      </c>
      <c r="E7508">
        <v>8.5</v>
      </c>
      <c r="F7508">
        <f t="shared" si="469"/>
        <v>50.5</v>
      </c>
      <c r="G7508">
        <v>14.95</v>
      </c>
      <c r="H7508">
        <v>0.68500000000000005</v>
      </c>
      <c r="I7508">
        <v>4.5869999999999997</v>
      </c>
      <c r="J7508">
        <v>3</v>
      </c>
      <c r="K7508">
        <v>14</v>
      </c>
      <c r="L7508">
        <v>21</v>
      </c>
      <c r="M7508">
        <v>0.96499999999999997</v>
      </c>
    </row>
    <row r="7509" spans="1:13" ht="15" customHeight="1">
      <c r="A7509" t="s">
        <v>77</v>
      </c>
      <c r="B7509">
        <f t="shared" si="466"/>
        <v>33.710514000000003</v>
      </c>
      <c r="C7509">
        <f t="shared" si="467"/>
        <v>-117.845444</v>
      </c>
      <c r="D7509">
        <f t="shared" si="468"/>
        <v>59</v>
      </c>
      <c r="E7509">
        <v>9.5</v>
      </c>
      <c r="F7509">
        <f t="shared" si="469"/>
        <v>49.5</v>
      </c>
      <c r="G7509">
        <v>14.317</v>
      </c>
      <c r="H7509">
        <v>0.60699999999999998</v>
      </c>
      <c r="I7509">
        <v>4.2619999999999996</v>
      </c>
      <c r="J7509">
        <v>3</v>
      </c>
      <c r="K7509">
        <v>14</v>
      </c>
      <c r="L7509">
        <v>21</v>
      </c>
      <c r="M7509">
        <v>0.91400000000000003</v>
      </c>
    </row>
    <row r="7510" spans="1:13" ht="15" customHeight="1">
      <c r="A7510" t="s">
        <v>77</v>
      </c>
      <c r="B7510">
        <f t="shared" si="466"/>
        <v>33.710514000000003</v>
      </c>
      <c r="C7510">
        <f t="shared" si="467"/>
        <v>-117.845444</v>
      </c>
      <c r="D7510">
        <f t="shared" si="468"/>
        <v>59</v>
      </c>
      <c r="E7510">
        <v>10.5</v>
      </c>
      <c r="F7510">
        <f t="shared" si="469"/>
        <v>48.5</v>
      </c>
      <c r="G7510">
        <v>8.9710000000000001</v>
      </c>
      <c r="H7510">
        <v>0.33700000000000002</v>
      </c>
      <c r="I7510">
        <v>3.7639999999999998</v>
      </c>
      <c r="J7510">
        <v>3</v>
      </c>
      <c r="K7510">
        <v>9</v>
      </c>
      <c r="L7510">
        <v>14</v>
      </c>
      <c r="M7510">
        <v>0.55800000000000005</v>
      </c>
    </row>
    <row r="7511" spans="1:13" ht="15" customHeight="1">
      <c r="A7511" t="s">
        <v>77</v>
      </c>
      <c r="B7511">
        <f t="shared" si="466"/>
        <v>33.710514000000003</v>
      </c>
      <c r="C7511">
        <f t="shared" si="467"/>
        <v>-117.845444</v>
      </c>
      <c r="D7511">
        <f t="shared" si="468"/>
        <v>59</v>
      </c>
      <c r="E7511">
        <v>11.5</v>
      </c>
      <c r="F7511">
        <f t="shared" si="469"/>
        <v>47.5</v>
      </c>
      <c r="G7511">
        <v>8.7829999999999995</v>
      </c>
      <c r="H7511">
        <v>0.38300000000000001</v>
      </c>
      <c r="I7511">
        <v>4.3639999999999999</v>
      </c>
      <c r="J7511">
        <v>3</v>
      </c>
      <c r="K7511">
        <v>8</v>
      </c>
      <c r="L7511">
        <v>11</v>
      </c>
      <c r="M7511">
        <v>0.54300000000000004</v>
      </c>
    </row>
    <row r="7512" spans="1:13" ht="15" customHeight="1">
      <c r="A7512" t="s">
        <v>77</v>
      </c>
      <c r="B7512">
        <f t="shared" si="466"/>
        <v>33.710514000000003</v>
      </c>
      <c r="C7512">
        <f t="shared" si="467"/>
        <v>-117.845444</v>
      </c>
      <c r="D7512">
        <f t="shared" si="468"/>
        <v>59</v>
      </c>
      <c r="E7512">
        <v>12.5</v>
      </c>
      <c r="F7512">
        <f t="shared" si="469"/>
        <v>46.5</v>
      </c>
      <c r="G7512">
        <v>7.8170000000000002</v>
      </c>
      <c r="H7512">
        <v>0.35</v>
      </c>
      <c r="I7512">
        <v>4.4489999999999998</v>
      </c>
      <c r="J7512">
        <v>3</v>
      </c>
      <c r="K7512">
        <v>8</v>
      </c>
      <c r="L7512">
        <v>11</v>
      </c>
      <c r="M7512">
        <v>0.47799999999999998</v>
      </c>
    </row>
    <row r="7513" spans="1:13" ht="15" customHeight="1">
      <c r="A7513" t="s">
        <v>77</v>
      </c>
      <c r="B7513">
        <f t="shared" si="466"/>
        <v>33.710514000000003</v>
      </c>
      <c r="C7513">
        <f t="shared" si="467"/>
        <v>-117.845444</v>
      </c>
      <c r="D7513">
        <f t="shared" si="468"/>
        <v>59</v>
      </c>
      <c r="E7513">
        <v>13.5</v>
      </c>
      <c r="F7513">
        <f t="shared" si="469"/>
        <v>45.5</v>
      </c>
      <c r="G7513">
        <v>7.2329999999999997</v>
      </c>
      <c r="H7513">
        <v>0.307</v>
      </c>
      <c r="I7513">
        <v>4.2110000000000003</v>
      </c>
      <c r="J7513">
        <v>3</v>
      </c>
      <c r="K7513">
        <v>7</v>
      </c>
      <c r="L7513">
        <v>9</v>
      </c>
      <c r="M7513">
        <v>0.435</v>
      </c>
    </row>
    <row r="7514" spans="1:13" ht="15" customHeight="1">
      <c r="A7514" t="s">
        <v>77</v>
      </c>
      <c r="B7514">
        <f t="shared" si="466"/>
        <v>33.710514000000003</v>
      </c>
      <c r="C7514">
        <f t="shared" si="467"/>
        <v>-117.845444</v>
      </c>
      <c r="D7514">
        <f t="shared" si="468"/>
        <v>59</v>
      </c>
      <c r="E7514">
        <v>14.5</v>
      </c>
      <c r="F7514">
        <f t="shared" si="469"/>
        <v>44.5</v>
      </c>
      <c r="G7514">
        <v>8.5830000000000002</v>
      </c>
      <c r="H7514">
        <v>0.29499999999999998</v>
      </c>
      <c r="I7514">
        <v>3.4169999999999998</v>
      </c>
      <c r="J7514">
        <v>3</v>
      </c>
      <c r="K7514">
        <v>8</v>
      </c>
      <c r="L7514">
        <v>9</v>
      </c>
      <c r="M7514">
        <v>0.52100000000000002</v>
      </c>
    </row>
    <row r="7515" spans="1:13" ht="15" customHeight="1">
      <c r="A7515" t="s">
        <v>77</v>
      </c>
      <c r="B7515">
        <f t="shared" si="466"/>
        <v>33.710514000000003</v>
      </c>
      <c r="C7515">
        <f t="shared" si="467"/>
        <v>-117.845444</v>
      </c>
      <c r="D7515">
        <f t="shared" si="468"/>
        <v>59</v>
      </c>
      <c r="E7515">
        <v>15.5</v>
      </c>
      <c r="F7515">
        <f t="shared" si="469"/>
        <v>43.5</v>
      </c>
      <c r="G7515">
        <v>8.6170000000000009</v>
      </c>
      <c r="H7515">
        <v>0.26</v>
      </c>
      <c r="I7515">
        <v>2.9889999999999999</v>
      </c>
      <c r="J7515">
        <v>4</v>
      </c>
      <c r="K7515">
        <v>6</v>
      </c>
      <c r="L7515">
        <v>7</v>
      </c>
      <c r="M7515">
        <v>0.52100000000000002</v>
      </c>
    </row>
    <row r="7516" spans="1:13" ht="15" customHeight="1">
      <c r="A7516" t="s">
        <v>77</v>
      </c>
      <c r="B7516">
        <f t="shared" si="466"/>
        <v>33.710514000000003</v>
      </c>
      <c r="C7516">
        <f t="shared" si="467"/>
        <v>-117.845444</v>
      </c>
      <c r="D7516">
        <f t="shared" si="468"/>
        <v>59</v>
      </c>
      <c r="E7516">
        <v>16.5</v>
      </c>
      <c r="F7516">
        <f t="shared" si="469"/>
        <v>42.5</v>
      </c>
      <c r="G7516">
        <v>11.583</v>
      </c>
      <c r="H7516">
        <v>0.39500000000000002</v>
      </c>
      <c r="I7516">
        <v>3.3809999999999998</v>
      </c>
      <c r="J7516">
        <v>4</v>
      </c>
      <c r="K7516">
        <v>7</v>
      </c>
      <c r="L7516">
        <v>7</v>
      </c>
      <c r="M7516">
        <v>0.71599999999999997</v>
      </c>
    </row>
    <row r="7517" spans="1:13" ht="15" customHeight="1">
      <c r="A7517" t="s">
        <v>77</v>
      </c>
      <c r="B7517">
        <f t="shared" si="466"/>
        <v>33.710514000000003</v>
      </c>
      <c r="C7517">
        <f t="shared" si="467"/>
        <v>-117.845444</v>
      </c>
      <c r="D7517">
        <f t="shared" si="468"/>
        <v>59</v>
      </c>
      <c r="E7517">
        <v>17.5</v>
      </c>
      <c r="F7517">
        <f t="shared" si="469"/>
        <v>41.5</v>
      </c>
      <c r="G7517">
        <v>10.467000000000001</v>
      </c>
      <c r="H7517">
        <v>0.40300000000000002</v>
      </c>
      <c r="I7517">
        <v>3.8170000000000002</v>
      </c>
      <c r="J7517">
        <v>3</v>
      </c>
      <c r="K7517">
        <v>10</v>
      </c>
      <c r="L7517">
        <v>10</v>
      </c>
      <c r="M7517">
        <v>0.63800000000000001</v>
      </c>
    </row>
    <row r="7518" spans="1:13" ht="15" customHeight="1">
      <c r="A7518" t="s">
        <v>77</v>
      </c>
      <c r="B7518">
        <f t="shared" si="466"/>
        <v>33.710514000000003</v>
      </c>
      <c r="C7518">
        <f t="shared" si="467"/>
        <v>-117.845444</v>
      </c>
      <c r="D7518">
        <f t="shared" si="468"/>
        <v>59</v>
      </c>
      <c r="E7518">
        <v>18.5</v>
      </c>
      <c r="F7518">
        <f t="shared" si="469"/>
        <v>40.5</v>
      </c>
      <c r="G7518">
        <v>9.1</v>
      </c>
      <c r="H7518">
        <v>0.32300000000000001</v>
      </c>
      <c r="I7518">
        <v>3.5139999999999998</v>
      </c>
      <c r="J7518">
        <v>3</v>
      </c>
      <c r="K7518">
        <v>9</v>
      </c>
      <c r="L7518">
        <v>9</v>
      </c>
      <c r="M7518">
        <v>0.54200000000000004</v>
      </c>
    </row>
    <row r="7519" spans="1:13" ht="15" customHeight="1">
      <c r="A7519" t="s">
        <v>77</v>
      </c>
      <c r="B7519">
        <f t="shared" si="466"/>
        <v>33.710514000000003</v>
      </c>
      <c r="C7519">
        <f t="shared" si="467"/>
        <v>-117.845444</v>
      </c>
      <c r="D7519">
        <f t="shared" si="468"/>
        <v>59</v>
      </c>
      <c r="E7519">
        <v>19.5</v>
      </c>
      <c r="F7519">
        <f t="shared" si="469"/>
        <v>39.5</v>
      </c>
      <c r="G7519">
        <v>8.2170000000000005</v>
      </c>
      <c r="H7519">
        <v>0.34200000000000003</v>
      </c>
      <c r="I7519">
        <v>4.1159999999999997</v>
      </c>
      <c r="J7519">
        <v>3</v>
      </c>
      <c r="K7519">
        <v>8</v>
      </c>
      <c r="L7519">
        <v>7</v>
      </c>
      <c r="M7519">
        <v>0.47799999999999998</v>
      </c>
    </row>
    <row r="7520" spans="1:13" ht="15" customHeight="1">
      <c r="A7520" t="s">
        <v>77</v>
      </c>
      <c r="B7520">
        <f t="shared" si="466"/>
        <v>33.710514000000003</v>
      </c>
      <c r="C7520">
        <f t="shared" si="467"/>
        <v>-117.845444</v>
      </c>
      <c r="D7520">
        <f t="shared" si="468"/>
        <v>59</v>
      </c>
      <c r="E7520">
        <v>20.5</v>
      </c>
      <c r="F7520">
        <f t="shared" si="469"/>
        <v>38.5</v>
      </c>
      <c r="G7520">
        <v>8.6859999999999999</v>
      </c>
      <c r="H7520">
        <v>0.38</v>
      </c>
      <c r="I7520">
        <v>4.3390000000000004</v>
      </c>
      <c r="J7520">
        <v>3</v>
      </c>
      <c r="K7520">
        <v>8</v>
      </c>
      <c r="L7520">
        <v>7</v>
      </c>
      <c r="M7520">
        <v>0.505</v>
      </c>
    </row>
    <row r="7521" spans="1:13" ht="15" customHeight="1">
      <c r="A7521" t="s">
        <v>77</v>
      </c>
      <c r="B7521">
        <f t="shared" si="466"/>
        <v>33.710514000000003</v>
      </c>
      <c r="C7521">
        <f t="shared" si="467"/>
        <v>-117.845444</v>
      </c>
      <c r="D7521">
        <f t="shared" si="468"/>
        <v>59</v>
      </c>
      <c r="E7521">
        <v>21.5</v>
      </c>
      <c r="F7521">
        <f t="shared" si="469"/>
        <v>37.5</v>
      </c>
      <c r="G7521">
        <v>17.266999999999999</v>
      </c>
      <c r="H7521">
        <v>0.71</v>
      </c>
      <c r="I7521">
        <v>4.0960000000000001</v>
      </c>
      <c r="J7521">
        <v>4</v>
      </c>
      <c r="K7521">
        <v>11</v>
      </c>
      <c r="L7521">
        <v>9</v>
      </c>
      <c r="M7521">
        <v>1.073</v>
      </c>
    </row>
    <row r="7522" spans="1:13" ht="15" customHeight="1">
      <c r="A7522" t="s">
        <v>77</v>
      </c>
      <c r="B7522">
        <f t="shared" si="466"/>
        <v>33.710514000000003</v>
      </c>
      <c r="C7522">
        <f t="shared" si="467"/>
        <v>-117.845444</v>
      </c>
      <c r="D7522">
        <f t="shared" si="468"/>
        <v>59</v>
      </c>
      <c r="E7522">
        <v>22.5</v>
      </c>
      <c r="F7522">
        <f t="shared" si="469"/>
        <v>36.5</v>
      </c>
      <c r="G7522">
        <v>15.382999999999999</v>
      </c>
      <c r="H7522">
        <v>0.873</v>
      </c>
      <c r="I7522">
        <v>5.6769999999999996</v>
      </c>
      <c r="J7522">
        <v>3</v>
      </c>
      <c r="K7522">
        <v>15</v>
      </c>
      <c r="L7522">
        <v>12</v>
      </c>
      <c r="M7522">
        <v>0.93899999999999995</v>
      </c>
    </row>
    <row r="7523" spans="1:13" ht="15" customHeight="1">
      <c r="A7523" t="s">
        <v>77</v>
      </c>
      <c r="B7523">
        <f t="shared" si="466"/>
        <v>33.710514000000003</v>
      </c>
      <c r="C7523">
        <f t="shared" si="467"/>
        <v>-117.845444</v>
      </c>
      <c r="D7523">
        <f t="shared" si="468"/>
        <v>59</v>
      </c>
      <c r="E7523">
        <v>23.5</v>
      </c>
      <c r="F7523">
        <f t="shared" si="469"/>
        <v>35.5</v>
      </c>
      <c r="G7523">
        <v>12.2</v>
      </c>
      <c r="H7523">
        <v>0.57699999999999996</v>
      </c>
      <c r="I7523">
        <v>4.7270000000000003</v>
      </c>
      <c r="J7523">
        <v>3</v>
      </c>
      <c r="K7523">
        <v>12</v>
      </c>
      <c r="L7523">
        <v>9</v>
      </c>
      <c r="M7523">
        <v>0.72199999999999998</v>
      </c>
    </row>
    <row r="7524" spans="1:13" ht="15" customHeight="1">
      <c r="A7524" t="s">
        <v>77</v>
      </c>
      <c r="B7524">
        <f t="shared" si="466"/>
        <v>33.710514000000003</v>
      </c>
      <c r="C7524">
        <f t="shared" si="467"/>
        <v>-117.845444</v>
      </c>
      <c r="D7524">
        <f t="shared" si="468"/>
        <v>59</v>
      </c>
      <c r="E7524">
        <v>24.5</v>
      </c>
      <c r="F7524">
        <f t="shared" si="469"/>
        <v>34.5</v>
      </c>
      <c r="G7524">
        <v>10.733000000000001</v>
      </c>
      <c r="H7524">
        <v>0.41199999999999998</v>
      </c>
      <c r="I7524">
        <v>3.8290000000000002</v>
      </c>
      <c r="J7524">
        <v>3</v>
      </c>
      <c r="K7524">
        <v>10</v>
      </c>
      <c r="L7524">
        <v>8</v>
      </c>
      <c r="M7524">
        <v>0.621</v>
      </c>
    </row>
    <row r="7525" spans="1:13" ht="15" customHeight="1">
      <c r="A7525" t="s">
        <v>77</v>
      </c>
      <c r="B7525">
        <f t="shared" si="466"/>
        <v>33.710514000000003</v>
      </c>
      <c r="C7525">
        <f t="shared" si="467"/>
        <v>-117.845444</v>
      </c>
      <c r="D7525">
        <f t="shared" si="468"/>
        <v>59</v>
      </c>
      <c r="E7525">
        <v>25.5</v>
      </c>
      <c r="F7525">
        <f t="shared" si="469"/>
        <v>33.5</v>
      </c>
      <c r="G7525">
        <v>17.167000000000002</v>
      </c>
      <c r="H7525">
        <v>0.7</v>
      </c>
      <c r="I7525">
        <v>4.0780000000000003</v>
      </c>
      <c r="J7525">
        <v>4</v>
      </c>
      <c r="K7525">
        <v>11</v>
      </c>
      <c r="L7525">
        <v>8</v>
      </c>
      <c r="M7525">
        <v>1.0449999999999999</v>
      </c>
    </row>
    <row r="7526" spans="1:13" ht="15" customHeight="1">
      <c r="A7526" t="s">
        <v>77</v>
      </c>
      <c r="B7526">
        <f t="shared" si="466"/>
        <v>33.710514000000003</v>
      </c>
      <c r="C7526">
        <f t="shared" si="467"/>
        <v>-117.845444</v>
      </c>
      <c r="D7526">
        <f t="shared" si="468"/>
        <v>59</v>
      </c>
      <c r="E7526">
        <v>26.5</v>
      </c>
      <c r="F7526">
        <f t="shared" si="469"/>
        <v>32.5</v>
      </c>
      <c r="G7526">
        <v>19.483000000000001</v>
      </c>
      <c r="H7526">
        <v>0.52500000000000002</v>
      </c>
      <c r="I7526">
        <v>2.6880000000000002</v>
      </c>
      <c r="J7526">
        <v>5</v>
      </c>
      <c r="K7526">
        <v>9</v>
      </c>
      <c r="L7526">
        <v>7</v>
      </c>
      <c r="M7526">
        <v>1.1990000000000001</v>
      </c>
    </row>
    <row r="7527" spans="1:13" ht="15" customHeight="1">
      <c r="A7527" t="s">
        <v>77</v>
      </c>
      <c r="B7527">
        <f t="shared" si="466"/>
        <v>33.710514000000003</v>
      </c>
      <c r="C7527">
        <f t="shared" si="467"/>
        <v>-117.845444</v>
      </c>
      <c r="D7527">
        <f t="shared" si="468"/>
        <v>59</v>
      </c>
      <c r="E7527">
        <v>27.5</v>
      </c>
      <c r="F7527">
        <f t="shared" si="469"/>
        <v>31.5</v>
      </c>
      <c r="G7527">
        <v>35.116999999999997</v>
      </c>
      <c r="H7527">
        <v>1.6080000000000001</v>
      </c>
      <c r="I7527">
        <v>4.58</v>
      </c>
      <c r="J7527">
        <v>4</v>
      </c>
      <c r="K7527">
        <v>22</v>
      </c>
      <c r="L7527">
        <v>16</v>
      </c>
      <c r="M7527">
        <v>2.234</v>
      </c>
    </row>
    <row r="7528" spans="1:13" ht="15" customHeight="1">
      <c r="A7528" t="s">
        <v>77</v>
      </c>
      <c r="B7528">
        <f t="shared" si="466"/>
        <v>33.710514000000003</v>
      </c>
      <c r="C7528">
        <f t="shared" si="467"/>
        <v>-117.845444</v>
      </c>
      <c r="D7528">
        <f t="shared" si="468"/>
        <v>59</v>
      </c>
      <c r="E7528">
        <v>28.5</v>
      </c>
      <c r="F7528">
        <f t="shared" si="469"/>
        <v>30.5</v>
      </c>
      <c r="G7528">
        <v>16.582999999999998</v>
      </c>
      <c r="H7528">
        <v>0.64700000000000002</v>
      </c>
      <c r="I7528">
        <v>3.8959999999999999</v>
      </c>
      <c r="J7528">
        <v>4</v>
      </c>
      <c r="K7528">
        <v>11</v>
      </c>
      <c r="L7528">
        <v>8</v>
      </c>
      <c r="M7528">
        <v>0.995</v>
      </c>
    </row>
    <row r="7529" spans="1:13" ht="15" customHeight="1">
      <c r="A7529" t="s">
        <v>77</v>
      </c>
      <c r="B7529">
        <f t="shared" si="466"/>
        <v>33.710514000000003</v>
      </c>
      <c r="C7529">
        <f t="shared" si="467"/>
        <v>-117.845444</v>
      </c>
      <c r="D7529">
        <f t="shared" si="468"/>
        <v>59</v>
      </c>
      <c r="E7529">
        <v>29.5</v>
      </c>
      <c r="F7529">
        <f t="shared" si="469"/>
        <v>29.5</v>
      </c>
      <c r="G7529">
        <v>15.7</v>
      </c>
      <c r="H7529">
        <v>0.53500000000000003</v>
      </c>
      <c r="I7529">
        <v>3.4</v>
      </c>
      <c r="J7529">
        <v>4</v>
      </c>
      <c r="K7529">
        <v>10</v>
      </c>
      <c r="L7529">
        <v>7</v>
      </c>
      <c r="M7529">
        <v>0.93300000000000005</v>
      </c>
    </row>
    <row r="7530" spans="1:13" ht="15" customHeight="1">
      <c r="A7530" t="s">
        <v>77</v>
      </c>
      <c r="B7530">
        <f t="shared" si="466"/>
        <v>33.710514000000003</v>
      </c>
      <c r="C7530">
        <f t="shared" si="467"/>
        <v>-117.845444</v>
      </c>
      <c r="D7530">
        <f t="shared" si="468"/>
        <v>59</v>
      </c>
      <c r="E7530">
        <v>30.5</v>
      </c>
      <c r="F7530">
        <f t="shared" si="469"/>
        <v>28.5</v>
      </c>
      <c r="G7530">
        <v>14.75</v>
      </c>
      <c r="H7530">
        <v>0.495</v>
      </c>
      <c r="I7530">
        <v>3.3479999999999999</v>
      </c>
      <c r="J7530">
        <v>4</v>
      </c>
      <c r="K7530">
        <v>9</v>
      </c>
      <c r="L7530">
        <v>6</v>
      </c>
      <c r="M7530">
        <v>0.86599999999999999</v>
      </c>
    </row>
    <row r="7531" spans="1:13" ht="15" customHeight="1">
      <c r="A7531" t="s">
        <v>77</v>
      </c>
      <c r="B7531">
        <f t="shared" si="466"/>
        <v>33.710514000000003</v>
      </c>
      <c r="C7531">
        <f t="shared" si="467"/>
        <v>-117.845444</v>
      </c>
      <c r="D7531">
        <f t="shared" si="468"/>
        <v>59</v>
      </c>
      <c r="E7531">
        <v>31.5</v>
      </c>
      <c r="F7531">
        <f t="shared" si="469"/>
        <v>27.5</v>
      </c>
      <c r="G7531">
        <v>19.899999999999999</v>
      </c>
      <c r="H7531">
        <v>0.56299999999999994</v>
      </c>
      <c r="I7531">
        <v>2.82</v>
      </c>
      <c r="J7531">
        <v>5</v>
      </c>
      <c r="K7531">
        <v>10</v>
      </c>
      <c r="L7531">
        <v>7</v>
      </c>
      <c r="M7531">
        <v>1.2070000000000001</v>
      </c>
    </row>
    <row r="7532" spans="1:13" ht="15" customHeight="1">
      <c r="A7532" t="s">
        <v>77</v>
      </c>
      <c r="B7532">
        <f t="shared" si="466"/>
        <v>33.710514000000003</v>
      </c>
      <c r="C7532">
        <f t="shared" si="467"/>
        <v>-117.845444</v>
      </c>
      <c r="D7532">
        <f t="shared" si="468"/>
        <v>59</v>
      </c>
      <c r="E7532">
        <v>32.5</v>
      </c>
      <c r="F7532">
        <f t="shared" si="469"/>
        <v>26.5</v>
      </c>
      <c r="G7532">
        <v>26.533000000000001</v>
      </c>
      <c r="H7532">
        <v>0.83199999999999996</v>
      </c>
      <c r="I7532">
        <v>3.1230000000000002</v>
      </c>
      <c r="J7532">
        <v>5</v>
      </c>
      <c r="K7532">
        <v>13</v>
      </c>
      <c r="L7532">
        <v>9</v>
      </c>
      <c r="M7532">
        <v>1.6479999999999999</v>
      </c>
    </row>
    <row r="7533" spans="1:13" ht="15" customHeight="1">
      <c r="A7533" t="s">
        <v>77</v>
      </c>
      <c r="B7533">
        <f t="shared" si="466"/>
        <v>33.710514000000003</v>
      </c>
      <c r="C7533">
        <f t="shared" si="467"/>
        <v>-117.845444</v>
      </c>
      <c r="D7533">
        <f t="shared" si="468"/>
        <v>59</v>
      </c>
      <c r="E7533">
        <v>33.5</v>
      </c>
      <c r="F7533">
        <f t="shared" si="469"/>
        <v>25.5</v>
      </c>
      <c r="G7533">
        <v>35.200000000000003</v>
      </c>
      <c r="H7533">
        <v>1.155</v>
      </c>
      <c r="I7533">
        <v>3.2770000000000001</v>
      </c>
      <c r="J7533">
        <v>5</v>
      </c>
      <c r="K7533">
        <v>17</v>
      </c>
      <c r="L7533">
        <v>11</v>
      </c>
      <c r="M7533">
        <v>2.218</v>
      </c>
    </row>
    <row r="7534" spans="1:13" ht="15" customHeight="1">
      <c r="A7534" t="s">
        <v>77</v>
      </c>
      <c r="B7534">
        <f t="shared" si="466"/>
        <v>33.710514000000003</v>
      </c>
      <c r="C7534">
        <f t="shared" si="467"/>
        <v>-117.845444</v>
      </c>
      <c r="D7534">
        <f t="shared" si="468"/>
        <v>59</v>
      </c>
      <c r="E7534">
        <v>34.5</v>
      </c>
      <c r="F7534">
        <f t="shared" si="469"/>
        <v>24.5</v>
      </c>
      <c r="G7534">
        <v>43.332999999999998</v>
      </c>
      <c r="H7534">
        <v>1.5229999999999999</v>
      </c>
      <c r="I7534">
        <v>3.5169999999999999</v>
      </c>
      <c r="J7534">
        <v>5</v>
      </c>
      <c r="K7534">
        <v>21</v>
      </c>
      <c r="L7534">
        <v>14</v>
      </c>
      <c r="M7534">
        <v>2.7519999999999998</v>
      </c>
    </row>
    <row r="7535" spans="1:13" ht="15" customHeight="1">
      <c r="A7535" t="s">
        <v>77</v>
      </c>
      <c r="B7535">
        <f t="shared" si="466"/>
        <v>33.710514000000003</v>
      </c>
      <c r="C7535">
        <f t="shared" si="467"/>
        <v>-117.845444</v>
      </c>
      <c r="D7535">
        <f t="shared" si="468"/>
        <v>59</v>
      </c>
      <c r="E7535">
        <v>35.5</v>
      </c>
      <c r="F7535">
        <f t="shared" si="469"/>
        <v>23.5</v>
      </c>
      <c r="G7535">
        <v>22</v>
      </c>
      <c r="H7535">
        <v>0.86499999999999999</v>
      </c>
      <c r="I7535">
        <v>3.9409999999999998</v>
      </c>
      <c r="J7535">
        <v>4</v>
      </c>
      <c r="K7535">
        <v>14</v>
      </c>
      <c r="L7535">
        <v>9</v>
      </c>
      <c r="M7535">
        <v>1.323</v>
      </c>
    </row>
    <row r="7536" spans="1:13" ht="15" customHeight="1">
      <c r="A7536" t="s">
        <v>77</v>
      </c>
      <c r="B7536">
        <f t="shared" si="466"/>
        <v>33.710514000000003</v>
      </c>
      <c r="C7536">
        <f t="shared" si="467"/>
        <v>-117.845444</v>
      </c>
      <c r="D7536">
        <f t="shared" si="468"/>
        <v>59</v>
      </c>
      <c r="E7536">
        <v>36.5</v>
      </c>
      <c r="F7536">
        <f t="shared" si="469"/>
        <v>22.5</v>
      </c>
      <c r="G7536">
        <v>91.332999999999998</v>
      </c>
      <c r="H7536">
        <v>3.29</v>
      </c>
      <c r="I7536">
        <v>3.6070000000000002</v>
      </c>
      <c r="J7536">
        <v>6</v>
      </c>
      <c r="K7536">
        <v>35</v>
      </c>
      <c r="L7536">
        <v>22</v>
      </c>
      <c r="M7536">
        <v>5.9370000000000003</v>
      </c>
    </row>
    <row r="7537" spans="1:13" ht="15" customHeight="1">
      <c r="A7537" t="s">
        <v>77</v>
      </c>
      <c r="B7537">
        <f t="shared" si="466"/>
        <v>33.710514000000003</v>
      </c>
      <c r="C7537">
        <f t="shared" si="467"/>
        <v>-117.845444</v>
      </c>
      <c r="D7537">
        <f t="shared" si="468"/>
        <v>59</v>
      </c>
      <c r="E7537">
        <v>37.5</v>
      </c>
      <c r="F7537">
        <f t="shared" si="469"/>
        <v>21.5</v>
      </c>
      <c r="G7537">
        <v>40.700000000000003</v>
      </c>
      <c r="H7537">
        <v>1.5920000000000001</v>
      </c>
      <c r="I7537">
        <v>3.9239999999999999</v>
      </c>
      <c r="J7537">
        <v>5</v>
      </c>
      <c r="K7537">
        <v>19</v>
      </c>
      <c r="L7537">
        <v>12</v>
      </c>
      <c r="M7537">
        <v>2.556</v>
      </c>
    </row>
    <row r="7538" spans="1:13" ht="15" customHeight="1">
      <c r="A7538" t="s">
        <v>77</v>
      </c>
      <c r="B7538">
        <f t="shared" si="466"/>
        <v>33.710514000000003</v>
      </c>
      <c r="C7538">
        <f t="shared" si="467"/>
        <v>-117.845444</v>
      </c>
      <c r="D7538">
        <f t="shared" si="468"/>
        <v>59</v>
      </c>
      <c r="E7538">
        <v>38.5</v>
      </c>
      <c r="F7538">
        <f t="shared" si="469"/>
        <v>20.5</v>
      </c>
      <c r="G7538">
        <v>30.817</v>
      </c>
      <c r="H7538">
        <v>0.99199999999999999</v>
      </c>
      <c r="I7538">
        <v>3.23</v>
      </c>
      <c r="J7538">
        <v>5</v>
      </c>
      <c r="K7538">
        <v>15</v>
      </c>
      <c r="L7538">
        <v>9</v>
      </c>
      <c r="M7538">
        <v>1.8939999999999999</v>
      </c>
    </row>
    <row r="7539" spans="1:13" ht="15" customHeight="1">
      <c r="A7539" t="s">
        <v>77</v>
      </c>
      <c r="B7539">
        <f t="shared" si="466"/>
        <v>33.710514000000003</v>
      </c>
      <c r="C7539">
        <f t="shared" si="467"/>
        <v>-117.845444</v>
      </c>
      <c r="D7539">
        <f t="shared" si="468"/>
        <v>59</v>
      </c>
      <c r="E7539">
        <v>39.5</v>
      </c>
      <c r="F7539">
        <f t="shared" si="469"/>
        <v>19.5</v>
      </c>
      <c r="G7539">
        <v>79.233000000000004</v>
      </c>
      <c r="H7539">
        <v>2.9319999999999999</v>
      </c>
      <c r="I7539">
        <v>3.706</v>
      </c>
      <c r="J7539">
        <v>5</v>
      </c>
      <c r="K7539">
        <v>38</v>
      </c>
      <c r="L7539">
        <v>23</v>
      </c>
      <c r="M7539">
        <v>5.117</v>
      </c>
    </row>
    <row r="7540" spans="1:13" ht="15" customHeight="1">
      <c r="A7540" t="s">
        <v>77</v>
      </c>
      <c r="B7540">
        <f t="shared" si="466"/>
        <v>33.710514000000003</v>
      </c>
      <c r="C7540">
        <f t="shared" si="467"/>
        <v>-117.845444</v>
      </c>
      <c r="D7540">
        <f t="shared" si="468"/>
        <v>59</v>
      </c>
      <c r="E7540">
        <v>40.5</v>
      </c>
      <c r="F7540">
        <f t="shared" si="469"/>
        <v>18.5</v>
      </c>
      <c r="G7540">
        <v>212.75</v>
      </c>
      <c r="H7540">
        <v>7.1479999999999997</v>
      </c>
      <c r="I7540">
        <v>3.363</v>
      </c>
      <c r="J7540">
        <v>12</v>
      </c>
      <c r="K7540">
        <v>102</v>
      </c>
      <c r="L7540">
        <v>61</v>
      </c>
      <c r="M7540" s="1">
        <v>9000000000</v>
      </c>
    </row>
    <row r="7541" spans="1:13" ht="15" customHeight="1">
      <c r="A7541" t="s">
        <v>77</v>
      </c>
      <c r="B7541">
        <f t="shared" si="466"/>
        <v>33.710514000000003</v>
      </c>
      <c r="C7541">
        <f t="shared" si="467"/>
        <v>-117.845444</v>
      </c>
      <c r="D7541">
        <f t="shared" si="468"/>
        <v>59</v>
      </c>
      <c r="E7541">
        <v>41.499000000000002</v>
      </c>
      <c r="F7541">
        <f t="shared" si="469"/>
        <v>17.500999999999998</v>
      </c>
      <c r="G7541">
        <v>192.386</v>
      </c>
      <c r="H7541">
        <v>5.37</v>
      </c>
      <c r="I7541">
        <v>2.794</v>
      </c>
      <c r="J7541">
        <v>7</v>
      </c>
      <c r="K7541">
        <v>61</v>
      </c>
      <c r="L7541">
        <v>36</v>
      </c>
      <c r="M7541" s="1">
        <v>9000000000</v>
      </c>
    </row>
    <row r="7542" spans="1:13" ht="15" customHeight="1">
      <c r="A7542" t="s">
        <v>77</v>
      </c>
      <c r="B7542">
        <f t="shared" si="466"/>
        <v>33.710514000000003</v>
      </c>
      <c r="C7542">
        <f t="shared" si="467"/>
        <v>-117.845444</v>
      </c>
      <c r="D7542">
        <f t="shared" si="468"/>
        <v>59</v>
      </c>
      <c r="E7542">
        <v>42.499000000000002</v>
      </c>
      <c r="F7542">
        <f t="shared" si="469"/>
        <v>16.500999999999998</v>
      </c>
      <c r="G7542">
        <v>131.267</v>
      </c>
      <c r="H7542">
        <v>4.3879999999999999</v>
      </c>
      <c r="I7542">
        <v>3.3479999999999999</v>
      </c>
      <c r="J7542">
        <v>6</v>
      </c>
      <c r="K7542">
        <v>50</v>
      </c>
      <c r="L7542">
        <v>29</v>
      </c>
      <c r="M7542">
        <v>8.5679999999999996</v>
      </c>
    </row>
    <row r="7543" spans="1:13" ht="15" customHeight="1">
      <c r="A7543" t="s">
        <v>77</v>
      </c>
      <c r="B7543">
        <f t="shared" si="466"/>
        <v>33.710514000000003</v>
      </c>
      <c r="C7543">
        <f t="shared" si="467"/>
        <v>-117.845444</v>
      </c>
      <c r="D7543">
        <f t="shared" si="468"/>
        <v>59</v>
      </c>
      <c r="E7543">
        <v>43.499000000000002</v>
      </c>
      <c r="F7543">
        <f t="shared" si="469"/>
        <v>15.500999999999998</v>
      </c>
      <c r="G7543">
        <v>316.14999999999998</v>
      </c>
      <c r="H7543">
        <v>3.2919999999999998</v>
      </c>
      <c r="I7543">
        <v>1.042</v>
      </c>
      <c r="J7543">
        <v>9</v>
      </c>
      <c r="K7543">
        <v>61</v>
      </c>
      <c r="L7543">
        <v>35</v>
      </c>
      <c r="M7543" s="1">
        <v>9000000000</v>
      </c>
    </row>
    <row r="7544" spans="1:13" ht="15" customHeight="1">
      <c r="A7544" t="s">
        <v>77</v>
      </c>
      <c r="B7544">
        <f t="shared" si="466"/>
        <v>33.710514000000003</v>
      </c>
      <c r="C7544">
        <f t="shared" si="467"/>
        <v>-117.845444</v>
      </c>
      <c r="D7544">
        <f t="shared" si="468"/>
        <v>59</v>
      </c>
      <c r="E7544">
        <v>44.499000000000002</v>
      </c>
      <c r="F7544">
        <f t="shared" si="469"/>
        <v>14.500999999999998</v>
      </c>
      <c r="G7544">
        <v>361.45</v>
      </c>
      <c r="H7544">
        <v>4.1130000000000004</v>
      </c>
      <c r="I7544">
        <v>1.1379999999999999</v>
      </c>
      <c r="J7544">
        <v>9</v>
      </c>
      <c r="K7544">
        <v>69</v>
      </c>
      <c r="L7544">
        <v>40</v>
      </c>
      <c r="M7544" s="1">
        <v>9000000000</v>
      </c>
    </row>
    <row r="7545" spans="1:13" ht="15" customHeight="1">
      <c r="A7545" t="s">
        <v>77</v>
      </c>
      <c r="B7545">
        <f t="shared" si="466"/>
        <v>33.710514000000003</v>
      </c>
      <c r="C7545">
        <f t="shared" si="467"/>
        <v>-117.845444</v>
      </c>
      <c r="D7545">
        <f t="shared" si="468"/>
        <v>59</v>
      </c>
      <c r="E7545">
        <v>45.499000000000002</v>
      </c>
      <c r="F7545">
        <f t="shared" si="469"/>
        <v>13.500999999999998</v>
      </c>
      <c r="G7545">
        <v>161.56700000000001</v>
      </c>
      <c r="H7545">
        <v>3.948</v>
      </c>
      <c r="I7545">
        <v>2.4460000000000002</v>
      </c>
      <c r="J7545">
        <v>7</v>
      </c>
      <c r="K7545">
        <v>52</v>
      </c>
      <c r="L7545">
        <v>29</v>
      </c>
      <c r="M7545" s="1">
        <v>9000000000</v>
      </c>
    </row>
    <row r="7546" spans="1:13" ht="15" customHeight="1">
      <c r="A7546" t="s">
        <v>77</v>
      </c>
      <c r="B7546">
        <f t="shared" si="466"/>
        <v>33.710514000000003</v>
      </c>
      <c r="C7546">
        <f t="shared" si="467"/>
        <v>-117.845444</v>
      </c>
      <c r="D7546">
        <f t="shared" si="468"/>
        <v>59</v>
      </c>
      <c r="E7546">
        <v>46.499000000000002</v>
      </c>
      <c r="F7546">
        <f t="shared" si="469"/>
        <v>12.500999999999998</v>
      </c>
      <c r="G7546">
        <v>250.93299999999999</v>
      </c>
      <c r="H7546">
        <v>2.617</v>
      </c>
      <c r="I7546">
        <v>1.0429999999999999</v>
      </c>
      <c r="J7546">
        <v>9</v>
      </c>
      <c r="K7546">
        <v>48</v>
      </c>
      <c r="L7546">
        <v>27</v>
      </c>
      <c r="M7546" s="1">
        <v>9000000000</v>
      </c>
    </row>
    <row r="7547" spans="1:13" ht="15" customHeight="1">
      <c r="A7547" t="s">
        <v>77</v>
      </c>
      <c r="B7547">
        <f t="shared" si="466"/>
        <v>33.710514000000003</v>
      </c>
      <c r="C7547">
        <f t="shared" si="467"/>
        <v>-117.845444</v>
      </c>
      <c r="D7547">
        <f t="shared" si="468"/>
        <v>59</v>
      </c>
      <c r="E7547">
        <v>47.499000000000002</v>
      </c>
      <c r="F7547">
        <f t="shared" si="469"/>
        <v>11.500999999999998</v>
      </c>
      <c r="G7547">
        <v>311.86700000000002</v>
      </c>
      <c r="H7547">
        <v>2.38</v>
      </c>
      <c r="I7547">
        <v>0.76400000000000001</v>
      </c>
      <c r="J7547">
        <v>9</v>
      </c>
      <c r="K7547">
        <v>60</v>
      </c>
      <c r="L7547">
        <v>33</v>
      </c>
      <c r="M7547" s="1">
        <v>9000000000</v>
      </c>
    </row>
    <row r="7548" spans="1:13" ht="15" customHeight="1">
      <c r="A7548" t="s">
        <v>77</v>
      </c>
      <c r="B7548">
        <f t="shared" si="466"/>
        <v>33.710514000000003</v>
      </c>
      <c r="C7548">
        <f t="shared" si="467"/>
        <v>-117.845444</v>
      </c>
      <c r="D7548">
        <f t="shared" si="468"/>
        <v>59</v>
      </c>
      <c r="E7548">
        <v>48.499000000000002</v>
      </c>
      <c r="F7548">
        <f t="shared" si="469"/>
        <v>10.500999999999998</v>
      </c>
      <c r="G7548">
        <v>294.25</v>
      </c>
      <c r="H7548">
        <v>3.113</v>
      </c>
      <c r="I7548">
        <v>1.0589999999999999</v>
      </c>
      <c r="J7548">
        <v>9</v>
      </c>
      <c r="K7548">
        <v>56</v>
      </c>
      <c r="L7548">
        <v>31</v>
      </c>
      <c r="M7548" s="1">
        <v>9000000000</v>
      </c>
    </row>
    <row r="7549" spans="1:13" ht="15" customHeight="1">
      <c r="A7549" t="s">
        <v>77</v>
      </c>
      <c r="B7549">
        <f t="shared" si="466"/>
        <v>33.710514000000003</v>
      </c>
      <c r="C7549">
        <f t="shared" si="467"/>
        <v>-117.845444</v>
      </c>
      <c r="D7549">
        <f t="shared" si="468"/>
        <v>59</v>
      </c>
      <c r="E7549">
        <v>49.499000000000002</v>
      </c>
      <c r="F7549">
        <f t="shared" si="469"/>
        <v>9.5009999999999977</v>
      </c>
      <c r="G7549">
        <v>364.91699999999997</v>
      </c>
      <c r="H7549">
        <v>4.2779999999999996</v>
      </c>
      <c r="I7549">
        <v>1.173</v>
      </c>
      <c r="J7549">
        <v>9</v>
      </c>
      <c r="K7549">
        <v>70</v>
      </c>
      <c r="L7549">
        <v>38</v>
      </c>
      <c r="M7549" s="1">
        <v>9000000000</v>
      </c>
    </row>
    <row r="7550" spans="1:13" ht="15" customHeight="1">
      <c r="A7550" t="s">
        <v>77</v>
      </c>
      <c r="B7550">
        <f t="shared" si="466"/>
        <v>33.710514000000003</v>
      </c>
      <c r="C7550">
        <f t="shared" si="467"/>
        <v>-117.845444</v>
      </c>
      <c r="D7550">
        <f t="shared" si="468"/>
        <v>59</v>
      </c>
      <c r="E7550">
        <v>50.499000000000002</v>
      </c>
      <c r="F7550">
        <f t="shared" si="469"/>
        <v>8.5009999999999977</v>
      </c>
      <c r="G7550">
        <v>317.63299999999998</v>
      </c>
      <c r="H7550">
        <v>5.59</v>
      </c>
      <c r="I7550">
        <v>1.7609999999999999</v>
      </c>
      <c r="J7550">
        <v>8</v>
      </c>
      <c r="K7550">
        <v>76</v>
      </c>
      <c r="L7550">
        <v>41</v>
      </c>
      <c r="M7550" s="1">
        <v>9000000000</v>
      </c>
    </row>
    <row r="7551" spans="1:13" ht="15" customHeight="1">
      <c r="A7551" t="s">
        <v>77</v>
      </c>
      <c r="B7551">
        <f t="shared" si="466"/>
        <v>33.710514000000003</v>
      </c>
      <c r="C7551">
        <f t="shared" si="467"/>
        <v>-117.845444</v>
      </c>
      <c r="D7551">
        <f t="shared" si="468"/>
        <v>59</v>
      </c>
      <c r="E7551">
        <v>51.499000000000002</v>
      </c>
      <c r="F7551">
        <f t="shared" si="469"/>
        <v>7.5009999999999977</v>
      </c>
      <c r="G7551">
        <v>152.267</v>
      </c>
      <c r="H7551">
        <v>4.2450000000000001</v>
      </c>
      <c r="I7551">
        <v>2.7850000000000001</v>
      </c>
      <c r="J7551">
        <v>7</v>
      </c>
      <c r="K7551">
        <v>49</v>
      </c>
      <c r="L7551">
        <v>26</v>
      </c>
      <c r="M7551" s="1">
        <v>9000000000</v>
      </c>
    </row>
    <row r="7552" spans="1:13" ht="15" customHeight="1">
      <c r="A7552" t="s">
        <v>77</v>
      </c>
      <c r="B7552">
        <f t="shared" si="466"/>
        <v>33.710514000000003</v>
      </c>
      <c r="C7552">
        <f t="shared" si="467"/>
        <v>-117.845444</v>
      </c>
      <c r="D7552">
        <f t="shared" si="468"/>
        <v>59</v>
      </c>
      <c r="E7552">
        <v>52.499000000000002</v>
      </c>
      <c r="F7552">
        <f t="shared" si="469"/>
        <v>6.5009999999999977</v>
      </c>
      <c r="G7552">
        <v>28.943000000000001</v>
      </c>
      <c r="H7552">
        <v>0.55700000000000005</v>
      </c>
      <c r="I7552">
        <v>1.855</v>
      </c>
      <c r="J7552">
        <v>6</v>
      </c>
      <c r="K7552">
        <v>12</v>
      </c>
      <c r="L7552">
        <v>6</v>
      </c>
      <c r="M7552">
        <v>1.7909999999999999</v>
      </c>
    </row>
    <row r="7553" spans="1:13" ht="15" customHeight="1">
      <c r="A7553" t="s">
        <v>77</v>
      </c>
      <c r="B7553">
        <f t="shared" si="466"/>
        <v>33.710514000000003</v>
      </c>
      <c r="C7553">
        <f t="shared" si="467"/>
        <v>-117.845444</v>
      </c>
      <c r="D7553">
        <f t="shared" si="468"/>
        <v>59</v>
      </c>
      <c r="E7553">
        <v>53.499000000000002</v>
      </c>
      <c r="F7553">
        <f t="shared" si="469"/>
        <v>5.5009999999999977</v>
      </c>
      <c r="G7553">
        <v>26.75</v>
      </c>
      <c r="H7553">
        <v>0.52200000000000002</v>
      </c>
      <c r="I7553">
        <v>1.879</v>
      </c>
      <c r="J7553">
        <v>6</v>
      </c>
      <c r="K7553">
        <v>11</v>
      </c>
      <c r="L7553">
        <v>6</v>
      </c>
      <c r="M7553">
        <v>1.6359999999999999</v>
      </c>
    </row>
    <row r="7554" spans="1:13" ht="15" customHeight="1">
      <c r="A7554" t="s">
        <v>77</v>
      </c>
      <c r="B7554">
        <f t="shared" ref="B7554:B7617" si="470">VLOOKUP(A7554,XYdata,3,FALSE)</f>
        <v>33.710514000000003</v>
      </c>
      <c r="C7554">
        <f t="shared" ref="C7554:C7617" si="471">VLOOKUP(A7554,XYdata,2,FALSE)</f>
        <v>-117.845444</v>
      </c>
      <c r="D7554">
        <f t="shared" ref="D7554:D7617" si="472">VLOOKUP(A7554,Elevation,2,FALSE)</f>
        <v>59</v>
      </c>
      <c r="E7554">
        <v>54.499000000000002</v>
      </c>
      <c r="F7554">
        <f t="shared" si="469"/>
        <v>4.5009999999999977</v>
      </c>
      <c r="G7554">
        <v>27.8</v>
      </c>
      <c r="H7554">
        <v>0.53800000000000003</v>
      </c>
      <c r="I7554">
        <v>1.8540000000000001</v>
      </c>
      <c r="J7554">
        <v>6</v>
      </c>
      <c r="K7554">
        <v>11</v>
      </c>
      <c r="L7554">
        <v>6</v>
      </c>
      <c r="M7554">
        <v>1.716</v>
      </c>
    </row>
    <row r="7555" spans="1:13" ht="15" customHeight="1">
      <c r="A7555" t="s">
        <v>77</v>
      </c>
      <c r="B7555">
        <f t="shared" si="470"/>
        <v>33.710514000000003</v>
      </c>
      <c r="C7555">
        <f t="shared" si="471"/>
        <v>-117.845444</v>
      </c>
      <c r="D7555">
        <f t="shared" si="472"/>
        <v>59</v>
      </c>
      <c r="E7555">
        <v>55.499000000000002</v>
      </c>
      <c r="F7555">
        <f t="shared" ref="F7555:F7618" si="473">D7555-E7555</f>
        <v>3.5009999999999977</v>
      </c>
      <c r="G7555">
        <v>26.917000000000002</v>
      </c>
      <c r="H7555">
        <v>0.55500000000000005</v>
      </c>
      <c r="I7555">
        <v>1.9890000000000001</v>
      </c>
      <c r="J7555">
        <v>6</v>
      </c>
      <c r="K7555">
        <v>11</v>
      </c>
      <c r="L7555">
        <v>6</v>
      </c>
      <c r="M7555">
        <v>1.637</v>
      </c>
    </row>
    <row r="7556" spans="1:13" ht="15" customHeight="1">
      <c r="A7556" t="s">
        <v>77</v>
      </c>
      <c r="B7556">
        <f t="shared" si="470"/>
        <v>33.710514000000003</v>
      </c>
      <c r="C7556">
        <f t="shared" si="471"/>
        <v>-117.845444</v>
      </c>
      <c r="D7556">
        <f t="shared" si="472"/>
        <v>59</v>
      </c>
      <c r="E7556">
        <v>56.499000000000002</v>
      </c>
      <c r="F7556">
        <f t="shared" si="473"/>
        <v>2.5009999999999977</v>
      </c>
      <c r="G7556">
        <v>29.4</v>
      </c>
      <c r="H7556">
        <v>0.79</v>
      </c>
      <c r="I7556">
        <v>2.617</v>
      </c>
      <c r="J7556">
        <v>6</v>
      </c>
      <c r="K7556">
        <v>12</v>
      </c>
      <c r="L7556">
        <v>6</v>
      </c>
      <c r="M7556">
        <v>1.7849999999999999</v>
      </c>
    </row>
    <row r="7557" spans="1:13" ht="15" customHeight="1">
      <c r="A7557" t="s">
        <v>77</v>
      </c>
      <c r="B7557">
        <f t="shared" si="470"/>
        <v>33.710514000000003</v>
      </c>
      <c r="C7557">
        <f t="shared" si="471"/>
        <v>-117.845444</v>
      </c>
      <c r="D7557">
        <f t="shared" si="472"/>
        <v>59</v>
      </c>
      <c r="E7557">
        <v>57.499000000000002</v>
      </c>
      <c r="F7557">
        <f t="shared" si="473"/>
        <v>1.5009999999999977</v>
      </c>
      <c r="G7557">
        <v>36.6</v>
      </c>
      <c r="H7557">
        <v>1.1020000000000001</v>
      </c>
      <c r="I7557">
        <v>2.9359999999999999</v>
      </c>
      <c r="J7557">
        <v>6</v>
      </c>
      <c r="K7557">
        <v>14</v>
      </c>
      <c r="L7557">
        <v>7</v>
      </c>
      <c r="M7557">
        <v>2.2690000000000001</v>
      </c>
    </row>
    <row r="7558" spans="1:13" ht="15" customHeight="1">
      <c r="A7558" t="s">
        <v>77</v>
      </c>
      <c r="B7558">
        <f t="shared" si="470"/>
        <v>33.710514000000003</v>
      </c>
      <c r="C7558">
        <f t="shared" si="471"/>
        <v>-117.845444</v>
      </c>
      <c r="D7558">
        <f t="shared" si="472"/>
        <v>59</v>
      </c>
      <c r="E7558">
        <v>58.499000000000002</v>
      </c>
      <c r="F7558">
        <f t="shared" si="473"/>
        <v>0.50099999999999767</v>
      </c>
      <c r="G7558">
        <v>33.817</v>
      </c>
      <c r="H7558">
        <v>0.96799999999999997</v>
      </c>
      <c r="I7558">
        <v>2.7839999999999998</v>
      </c>
      <c r="J7558">
        <v>6</v>
      </c>
      <c r="K7558">
        <v>13</v>
      </c>
      <c r="L7558">
        <v>7</v>
      </c>
      <c r="M7558">
        <v>2.0830000000000002</v>
      </c>
    </row>
    <row r="7559" spans="1:13" ht="15" customHeight="1">
      <c r="A7559" t="s">
        <v>77</v>
      </c>
      <c r="B7559">
        <f t="shared" si="470"/>
        <v>33.710514000000003</v>
      </c>
      <c r="C7559">
        <f t="shared" si="471"/>
        <v>-117.845444</v>
      </c>
      <c r="D7559">
        <f t="shared" si="472"/>
        <v>59</v>
      </c>
      <c r="E7559">
        <v>59.499000000000002</v>
      </c>
      <c r="F7559">
        <f t="shared" si="473"/>
        <v>-0.49900000000000233</v>
      </c>
      <c r="G7559">
        <v>27.033000000000001</v>
      </c>
      <c r="H7559">
        <v>0.748</v>
      </c>
      <c r="I7559">
        <v>2.629</v>
      </c>
      <c r="J7559">
        <v>6</v>
      </c>
      <c r="K7559">
        <v>11</v>
      </c>
      <c r="L7559">
        <v>6</v>
      </c>
      <c r="M7559">
        <v>1.6579999999999999</v>
      </c>
    </row>
    <row r="7560" spans="1:13" ht="15" customHeight="1">
      <c r="A7560" t="s">
        <v>77</v>
      </c>
      <c r="B7560">
        <f t="shared" si="470"/>
        <v>33.710514000000003</v>
      </c>
      <c r="C7560">
        <f t="shared" si="471"/>
        <v>-117.845444</v>
      </c>
      <c r="D7560">
        <f t="shared" si="472"/>
        <v>59</v>
      </c>
      <c r="E7560">
        <v>60.499000000000002</v>
      </c>
      <c r="F7560">
        <f t="shared" si="473"/>
        <v>-1.4990000000000023</v>
      </c>
      <c r="G7560">
        <v>38.667000000000002</v>
      </c>
      <c r="H7560">
        <v>1.2649999999999999</v>
      </c>
      <c r="I7560">
        <v>3.1429999999999998</v>
      </c>
      <c r="J7560">
        <v>5</v>
      </c>
      <c r="K7560">
        <v>19</v>
      </c>
      <c r="L7560">
        <v>10</v>
      </c>
      <c r="M7560">
        <v>2.4390000000000001</v>
      </c>
    </row>
    <row r="7561" spans="1:13" ht="15" customHeight="1">
      <c r="A7561" t="s">
        <v>77</v>
      </c>
      <c r="B7561">
        <f t="shared" si="470"/>
        <v>33.710514000000003</v>
      </c>
      <c r="C7561">
        <f t="shared" si="471"/>
        <v>-117.845444</v>
      </c>
      <c r="D7561">
        <f t="shared" si="472"/>
        <v>59</v>
      </c>
      <c r="E7561">
        <v>61.499000000000002</v>
      </c>
      <c r="F7561">
        <f t="shared" si="473"/>
        <v>-2.4990000000000023</v>
      </c>
      <c r="G7561">
        <v>212.2</v>
      </c>
      <c r="H7561">
        <v>3.4729999999999999</v>
      </c>
      <c r="I7561">
        <v>1.6379999999999999</v>
      </c>
      <c r="J7561">
        <v>8</v>
      </c>
      <c r="K7561">
        <v>51</v>
      </c>
      <c r="L7561">
        <v>26</v>
      </c>
      <c r="M7561" s="1">
        <v>9000000000</v>
      </c>
    </row>
    <row r="7562" spans="1:13" ht="15" customHeight="1">
      <c r="A7562" t="s">
        <v>77</v>
      </c>
      <c r="B7562">
        <f t="shared" si="470"/>
        <v>33.710514000000003</v>
      </c>
      <c r="C7562">
        <f t="shared" si="471"/>
        <v>-117.845444</v>
      </c>
      <c r="D7562">
        <f t="shared" si="472"/>
        <v>59</v>
      </c>
      <c r="E7562">
        <v>62.499000000000002</v>
      </c>
      <c r="F7562">
        <f t="shared" si="473"/>
        <v>-3.4990000000000023</v>
      </c>
      <c r="G7562">
        <v>40.542999999999999</v>
      </c>
      <c r="H7562">
        <v>1.2110000000000001</v>
      </c>
      <c r="I7562">
        <v>2.9990000000000001</v>
      </c>
      <c r="J7562">
        <v>6</v>
      </c>
      <c r="K7562">
        <v>15</v>
      </c>
      <c r="L7562">
        <v>8</v>
      </c>
      <c r="M7562">
        <v>2.4409999999999998</v>
      </c>
    </row>
    <row r="7563" spans="1:13" ht="15" customHeight="1">
      <c r="A7563" t="s">
        <v>77</v>
      </c>
      <c r="B7563">
        <f t="shared" si="470"/>
        <v>33.710514000000003</v>
      </c>
      <c r="C7563">
        <f t="shared" si="471"/>
        <v>-117.845444</v>
      </c>
      <c r="D7563">
        <f t="shared" si="472"/>
        <v>59</v>
      </c>
      <c r="E7563">
        <v>63.499000000000002</v>
      </c>
      <c r="F7563">
        <f t="shared" si="473"/>
        <v>-4.4990000000000023</v>
      </c>
      <c r="G7563">
        <v>46.716999999999999</v>
      </c>
      <c r="H7563">
        <v>1.8280000000000001</v>
      </c>
      <c r="I7563">
        <v>3.9279999999999999</v>
      </c>
      <c r="J7563">
        <v>5</v>
      </c>
      <c r="K7563">
        <v>22</v>
      </c>
      <c r="L7563">
        <v>11</v>
      </c>
      <c r="M7563">
        <v>2.847</v>
      </c>
    </row>
    <row r="7564" spans="1:13" ht="15" customHeight="1">
      <c r="A7564" t="s">
        <v>77</v>
      </c>
      <c r="B7564">
        <f t="shared" si="470"/>
        <v>33.710514000000003</v>
      </c>
      <c r="C7564">
        <f t="shared" si="471"/>
        <v>-117.845444</v>
      </c>
      <c r="D7564">
        <f t="shared" si="472"/>
        <v>59</v>
      </c>
      <c r="E7564">
        <v>64.498999999999995</v>
      </c>
      <c r="F7564">
        <f t="shared" si="473"/>
        <v>-5.4989999999999952</v>
      </c>
      <c r="G7564">
        <v>117.2</v>
      </c>
      <c r="H7564">
        <v>2.5750000000000002</v>
      </c>
      <c r="I7564">
        <v>2.2000000000000002</v>
      </c>
      <c r="J7564">
        <v>7</v>
      </c>
      <c r="K7564">
        <v>37</v>
      </c>
      <c r="L7564">
        <v>19</v>
      </c>
      <c r="M7564" s="1">
        <v>9000000000</v>
      </c>
    </row>
    <row r="7565" spans="1:13" ht="15" customHeight="1">
      <c r="A7565" t="s">
        <v>77</v>
      </c>
      <c r="B7565">
        <f t="shared" si="470"/>
        <v>33.710514000000003</v>
      </c>
      <c r="C7565">
        <f t="shared" si="471"/>
        <v>-117.845444</v>
      </c>
      <c r="D7565">
        <f t="shared" si="472"/>
        <v>59</v>
      </c>
      <c r="E7565">
        <v>65.498999999999995</v>
      </c>
      <c r="F7565">
        <f t="shared" si="473"/>
        <v>-6.4989999999999952</v>
      </c>
      <c r="G7565">
        <v>147.61699999999999</v>
      </c>
      <c r="H7565">
        <v>3.37</v>
      </c>
      <c r="I7565">
        <v>2.286</v>
      </c>
      <c r="J7565">
        <v>7</v>
      </c>
      <c r="K7565">
        <v>47</v>
      </c>
      <c r="L7565">
        <v>24</v>
      </c>
      <c r="M7565" s="1">
        <v>9000000000</v>
      </c>
    </row>
    <row r="7566" spans="1:13" ht="15" customHeight="1">
      <c r="A7566" t="s">
        <v>77</v>
      </c>
      <c r="B7566">
        <f t="shared" si="470"/>
        <v>33.710514000000003</v>
      </c>
      <c r="C7566">
        <f t="shared" si="471"/>
        <v>-117.845444</v>
      </c>
      <c r="D7566">
        <f t="shared" si="472"/>
        <v>59</v>
      </c>
      <c r="E7566">
        <v>66.498999999999995</v>
      </c>
      <c r="F7566">
        <f t="shared" si="473"/>
        <v>-7.4989999999999952</v>
      </c>
      <c r="G7566">
        <v>129.86699999999999</v>
      </c>
      <c r="H7566">
        <v>4.0199999999999996</v>
      </c>
      <c r="I7566">
        <v>3.0990000000000002</v>
      </c>
      <c r="J7566">
        <v>6</v>
      </c>
      <c r="K7566">
        <v>50</v>
      </c>
      <c r="L7566">
        <v>25</v>
      </c>
      <c r="M7566">
        <v>8.3800000000000008</v>
      </c>
    </row>
    <row r="7567" spans="1:13" ht="15" customHeight="1">
      <c r="A7567" t="s">
        <v>77</v>
      </c>
      <c r="B7567">
        <f t="shared" si="470"/>
        <v>33.710514000000003</v>
      </c>
      <c r="C7567">
        <f t="shared" si="471"/>
        <v>-117.845444</v>
      </c>
      <c r="D7567">
        <f t="shared" si="472"/>
        <v>59</v>
      </c>
      <c r="E7567">
        <v>67.498999999999995</v>
      </c>
      <c r="F7567">
        <f t="shared" si="473"/>
        <v>-8.4989999999999952</v>
      </c>
      <c r="G7567">
        <v>147.61699999999999</v>
      </c>
      <c r="H7567">
        <v>3.4329999999999998</v>
      </c>
      <c r="I7567">
        <v>2.3279999999999998</v>
      </c>
      <c r="J7567">
        <v>7</v>
      </c>
      <c r="K7567">
        <v>47</v>
      </c>
      <c r="L7567">
        <v>24</v>
      </c>
      <c r="M7567" s="1">
        <v>9000000000</v>
      </c>
    </row>
    <row r="7568" spans="1:13" ht="15" customHeight="1">
      <c r="A7568" t="s">
        <v>77</v>
      </c>
      <c r="B7568">
        <f t="shared" si="470"/>
        <v>33.710514000000003</v>
      </c>
      <c r="C7568">
        <f t="shared" si="471"/>
        <v>-117.845444</v>
      </c>
      <c r="D7568">
        <f t="shared" si="472"/>
        <v>59</v>
      </c>
      <c r="E7568">
        <v>68.498999999999995</v>
      </c>
      <c r="F7568">
        <f t="shared" si="473"/>
        <v>-9.4989999999999952</v>
      </c>
      <c r="G7568">
        <v>116.15</v>
      </c>
      <c r="H7568">
        <v>3.3650000000000002</v>
      </c>
      <c r="I7568">
        <v>2.9009999999999998</v>
      </c>
      <c r="J7568">
        <v>6</v>
      </c>
      <c r="K7568">
        <v>44</v>
      </c>
      <c r="L7568">
        <v>22</v>
      </c>
      <c r="M7568">
        <v>7.4560000000000004</v>
      </c>
    </row>
    <row r="7569" spans="1:13" ht="15" customHeight="1">
      <c r="A7569" t="s">
        <v>77</v>
      </c>
      <c r="B7569">
        <f t="shared" si="470"/>
        <v>33.710514000000003</v>
      </c>
      <c r="C7569">
        <f t="shared" si="471"/>
        <v>-117.845444</v>
      </c>
      <c r="D7569">
        <f t="shared" si="472"/>
        <v>59</v>
      </c>
      <c r="E7569">
        <v>69.498999999999995</v>
      </c>
      <c r="F7569">
        <f t="shared" si="473"/>
        <v>-10.498999999999995</v>
      </c>
      <c r="G7569">
        <v>87.7</v>
      </c>
      <c r="H7569">
        <v>2.9620000000000002</v>
      </c>
      <c r="I7569">
        <v>3.3839999999999999</v>
      </c>
      <c r="J7569">
        <v>6</v>
      </c>
      <c r="K7569">
        <v>34</v>
      </c>
      <c r="L7569">
        <v>17</v>
      </c>
      <c r="M7569">
        <v>5.5529999999999999</v>
      </c>
    </row>
    <row r="7570" spans="1:13" ht="15" customHeight="1">
      <c r="A7570" t="s">
        <v>77</v>
      </c>
      <c r="B7570">
        <f t="shared" si="470"/>
        <v>33.710514000000003</v>
      </c>
      <c r="C7570">
        <f t="shared" si="471"/>
        <v>-117.845444</v>
      </c>
      <c r="D7570">
        <f t="shared" si="472"/>
        <v>59</v>
      </c>
      <c r="E7570">
        <v>70.498999999999995</v>
      </c>
      <c r="F7570">
        <f t="shared" si="473"/>
        <v>-11.498999999999995</v>
      </c>
      <c r="G7570">
        <v>108.717</v>
      </c>
      <c r="H7570">
        <v>2.3650000000000002</v>
      </c>
      <c r="I7570">
        <v>2.1789999999999998</v>
      </c>
      <c r="J7570">
        <v>7</v>
      </c>
      <c r="K7570">
        <v>35</v>
      </c>
      <c r="L7570">
        <v>18</v>
      </c>
      <c r="M7570" s="1">
        <v>9000000000</v>
      </c>
    </row>
    <row r="7571" spans="1:13" ht="15" customHeight="1">
      <c r="A7571" t="s">
        <v>77</v>
      </c>
      <c r="B7571">
        <f t="shared" si="470"/>
        <v>33.710514000000003</v>
      </c>
      <c r="C7571">
        <f t="shared" si="471"/>
        <v>-117.845444</v>
      </c>
      <c r="D7571">
        <f t="shared" si="472"/>
        <v>59</v>
      </c>
      <c r="E7571">
        <v>71.498999999999995</v>
      </c>
      <c r="F7571">
        <f t="shared" si="473"/>
        <v>-12.498999999999995</v>
      </c>
      <c r="G7571">
        <v>37.283000000000001</v>
      </c>
      <c r="H7571">
        <v>1.1930000000000001</v>
      </c>
      <c r="I7571">
        <v>3.2149999999999999</v>
      </c>
      <c r="J7571">
        <v>5</v>
      </c>
      <c r="K7571">
        <v>18</v>
      </c>
      <c r="L7571">
        <v>9</v>
      </c>
      <c r="M7571">
        <v>2.1850000000000001</v>
      </c>
    </row>
    <row r="7572" spans="1:13" ht="15" customHeight="1">
      <c r="A7572" t="s">
        <v>77</v>
      </c>
      <c r="B7572">
        <f t="shared" si="470"/>
        <v>33.710514000000003</v>
      </c>
      <c r="C7572">
        <f t="shared" si="471"/>
        <v>-117.845444</v>
      </c>
      <c r="D7572">
        <f t="shared" si="472"/>
        <v>59</v>
      </c>
      <c r="E7572">
        <v>72.498999999999995</v>
      </c>
      <c r="F7572">
        <f t="shared" si="473"/>
        <v>-13.498999999999995</v>
      </c>
      <c r="G7572">
        <v>26.771000000000001</v>
      </c>
      <c r="H7572">
        <v>0.624</v>
      </c>
      <c r="I7572">
        <v>2.3460000000000001</v>
      </c>
      <c r="J7572">
        <v>6</v>
      </c>
      <c r="K7572">
        <v>10</v>
      </c>
      <c r="L7572">
        <v>5</v>
      </c>
      <c r="M7572">
        <v>1.4810000000000001</v>
      </c>
    </row>
    <row r="7573" spans="1:13" ht="15" customHeight="1">
      <c r="A7573" t="s">
        <v>77</v>
      </c>
      <c r="B7573">
        <f t="shared" si="470"/>
        <v>33.710514000000003</v>
      </c>
      <c r="C7573">
        <f t="shared" si="471"/>
        <v>-117.845444</v>
      </c>
      <c r="D7573">
        <f t="shared" si="472"/>
        <v>59</v>
      </c>
      <c r="E7573">
        <v>73.498999999999995</v>
      </c>
      <c r="F7573">
        <f t="shared" si="473"/>
        <v>-14.498999999999995</v>
      </c>
      <c r="G7573">
        <v>25.95</v>
      </c>
      <c r="H7573">
        <v>0.56699999999999995</v>
      </c>
      <c r="I7573">
        <v>2.1989999999999998</v>
      </c>
      <c r="J7573">
        <v>6</v>
      </c>
      <c r="K7573">
        <v>10</v>
      </c>
      <c r="L7573">
        <v>5</v>
      </c>
      <c r="M7573">
        <v>1.42</v>
      </c>
    </row>
    <row r="7574" spans="1:13" ht="15" customHeight="1">
      <c r="A7574" t="s">
        <v>77</v>
      </c>
      <c r="B7574">
        <f t="shared" si="470"/>
        <v>33.710514000000003</v>
      </c>
      <c r="C7574">
        <f t="shared" si="471"/>
        <v>-117.845444</v>
      </c>
      <c r="D7574">
        <f t="shared" si="472"/>
        <v>59</v>
      </c>
      <c r="E7574">
        <v>74.498999999999995</v>
      </c>
      <c r="F7574">
        <f t="shared" si="473"/>
        <v>-15.498999999999995</v>
      </c>
      <c r="G7574">
        <v>31.567</v>
      </c>
      <c r="H7574">
        <v>0.877</v>
      </c>
      <c r="I7574">
        <v>2.7890000000000001</v>
      </c>
      <c r="J7574">
        <v>6</v>
      </c>
      <c r="K7574">
        <v>12</v>
      </c>
      <c r="L7574">
        <v>6</v>
      </c>
      <c r="M7574">
        <v>1.794</v>
      </c>
    </row>
    <row r="7575" spans="1:13" ht="15" customHeight="1">
      <c r="A7575" t="s">
        <v>77</v>
      </c>
      <c r="B7575">
        <f t="shared" si="470"/>
        <v>33.710514000000003</v>
      </c>
      <c r="C7575">
        <f t="shared" si="471"/>
        <v>-117.845444</v>
      </c>
      <c r="D7575">
        <f t="shared" si="472"/>
        <v>59</v>
      </c>
      <c r="E7575">
        <v>75.498999999999995</v>
      </c>
      <c r="F7575">
        <f t="shared" si="473"/>
        <v>-16.498999999999995</v>
      </c>
      <c r="G7575">
        <v>26.966999999999999</v>
      </c>
      <c r="H7575">
        <v>0.56299999999999994</v>
      </c>
      <c r="I7575">
        <v>2.0990000000000002</v>
      </c>
      <c r="J7575">
        <v>6</v>
      </c>
      <c r="K7575">
        <v>10</v>
      </c>
      <c r="L7575">
        <v>5</v>
      </c>
      <c r="M7575">
        <v>1.4830000000000001</v>
      </c>
    </row>
    <row r="7576" spans="1:13" ht="15" customHeight="1">
      <c r="A7576" t="s">
        <v>77</v>
      </c>
      <c r="B7576">
        <f t="shared" si="470"/>
        <v>33.710514000000003</v>
      </c>
      <c r="C7576">
        <f t="shared" si="471"/>
        <v>-117.845444</v>
      </c>
      <c r="D7576">
        <f t="shared" si="472"/>
        <v>59</v>
      </c>
      <c r="E7576">
        <v>76.498999999999995</v>
      </c>
      <c r="F7576">
        <f t="shared" si="473"/>
        <v>-17.498999999999995</v>
      </c>
      <c r="G7576">
        <v>36.183</v>
      </c>
      <c r="H7576">
        <v>1.0449999999999999</v>
      </c>
      <c r="I7576">
        <v>2.899</v>
      </c>
      <c r="J7576">
        <v>6</v>
      </c>
      <c r="K7576">
        <v>14</v>
      </c>
      <c r="L7576">
        <v>7</v>
      </c>
      <c r="M7576">
        <v>2.093</v>
      </c>
    </row>
    <row r="7577" spans="1:13" ht="15" customHeight="1">
      <c r="A7577" t="s">
        <v>77</v>
      </c>
      <c r="B7577">
        <f t="shared" si="470"/>
        <v>33.710514000000003</v>
      </c>
      <c r="C7577">
        <f t="shared" si="471"/>
        <v>-117.845444</v>
      </c>
      <c r="D7577">
        <f t="shared" si="472"/>
        <v>59</v>
      </c>
      <c r="E7577">
        <v>77.498999999999995</v>
      </c>
      <c r="F7577">
        <f t="shared" si="473"/>
        <v>-18.498999999999995</v>
      </c>
      <c r="G7577">
        <v>28.266999999999999</v>
      </c>
      <c r="H7577">
        <v>0.63300000000000001</v>
      </c>
      <c r="I7577">
        <v>2.2469999999999999</v>
      </c>
      <c r="J7577">
        <v>6</v>
      </c>
      <c r="K7577">
        <v>11</v>
      </c>
      <c r="L7577">
        <v>6</v>
      </c>
      <c r="M7577">
        <v>1.5649999999999999</v>
      </c>
    </row>
    <row r="7578" spans="1:13" ht="15" customHeight="1">
      <c r="A7578" t="s">
        <v>77</v>
      </c>
      <c r="B7578">
        <f t="shared" si="470"/>
        <v>33.710514000000003</v>
      </c>
      <c r="C7578">
        <f t="shared" si="471"/>
        <v>-117.845444</v>
      </c>
      <c r="D7578">
        <f t="shared" si="472"/>
        <v>59</v>
      </c>
      <c r="E7578">
        <v>78.498999999999995</v>
      </c>
      <c r="F7578">
        <f t="shared" si="473"/>
        <v>-19.498999999999995</v>
      </c>
      <c r="G7578">
        <v>25.033000000000001</v>
      </c>
      <c r="H7578">
        <v>0.59</v>
      </c>
      <c r="I7578">
        <v>2.363</v>
      </c>
      <c r="J7578">
        <v>6</v>
      </c>
      <c r="K7578">
        <v>10</v>
      </c>
      <c r="L7578">
        <v>5</v>
      </c>
      <c r="M7578">
        <v>1.3460000000000001</v>
      </c>
    </row>
    <row r="7579" spans="1:13" ht="15" customHeight="1">
      <c r="A7579" t="s">
        <v>77</v>
      </c>
      <c r="B7579">
        <f t="shared" si="470"/>
        <v>33.710514000000003</v>
      </c>
      <c r="C7579">
        <f t="shared" si="471"/>
        <v>-117.845444</v>
      </c>
      <c r="D7579">
        <f t="shared" si="472"/>
        <v>59</v>
      </c>
      <c r="E7579">
        <v>79.498999999999995</v>
      </c>
      <c r="F7579">
        <f t="shared" si="473"/>
        <v>-20.498999999999995</v>
      </c>
      <c r="G7579">
        <v>26.632999999999999</v>
      </c>
      <c r="H7579">
        <v>0.63500000000000001</v>
      </c>
      <c r="I7579">
        <v>2.39</v>
      </c>
      <c r="J7579">
        <v>6</v>
      </c>
      <c r="K7579">
        <v>10</v>
      </c>
      <c r="L7579">
        <v>5</v>
      </c>
      <c r="M7579">
        <v>1.448</v>
      </c>
    </row>
    <row r="7580" spans="1:13" ht="15" customHeight="1">
      <c r="A7580" t="s">
        <v>77</v>
      </c>
      <c r="B7580">
        <f t="shared" si="470"/>
        <v>33.710514000000003</v>
      </c>
      <c r="C7580">
        <f t="shared" si="471"/>
        <v>-117.845444</v>
      </c>
      <c r="D7580">
        <f t="shared" si="472"/>
        <v>59</v>
      </c>
      <c r="E7580">
        <v>80.498999999999995</v>
      </c>
      <c r="F7580">
        <f t="shared" si="473"/>
        <v>-21.498999999999995</v>
      </c>
      <c r="G7580">
        <v>38.667000000000002</v>
      </c>
      <c r="H7580">
        <v>0.94199999999999995</v>
      </c>
      <c r="I7580">
        <v>2.4300000000000002</v>
      </c>
      <c r="J7580">
        <v>6</v>
      </c>
      <c r="K7580">
        <v>15</v>
      </c>
      <c r="L7580">
        <v>8</v>
      </c>
      <c r="M7580">
        <v>2.2559999999999998</v>
      </c>
    </row>
    <row r="7581" spans="1:13" ht="15" customHeight="1">
      <c r="A7581" t="s">
        <v>77</v>
      </c>
      <c r="B7581">
        <f t="shared" si="470"/>
        <v>33.710514000000003</v>
      </c>
      <c r="C7581">
        <f t="shared" si="471"/>
        <v>-117.845444</v>
      </c>
      <c r="D7581">
        <f t="shared" si="472"/>
        <v>59</v>
      </c>
      <c r="E7581">
        <v>81.498999999999995</v>
      </c>
      <c r="F7581">
        <f t="shared" si="473"/>
        <v>-22.498999999999995</v>
      </c>
      <c r="G7581">
        <v>68.400000000000006</v>
      </c>
      <c r="H7581">
        <v>2.1179999999999999</v>
      </c>
      <c r="I7581">
        <v>3.0950000000000002</v>
      </c>
      <c r="J7581">
        <v>6</v>
      </c>
      <c r="K7581">
        <v>26</v>
      </c>
      <c r="L7581">
        <v>13</v>
      </c>
      <c r="M7581">
        <v>4.2309999999999999</v>
      </c>
    </row>
    <row r="7582" spans="1:13" ht="15" customHeight="1">
      <c r="A7582" t="s">
        <v>77</v>
      </c>
      <c r="B7582">
        <f t="shared" si="470"/>
        <v>33.710514000000003</v>
      </c>
      <c r="C7582">
        <f t="shared" si="471"/>
        <v>-117.845444</v>
      </c>
      <c r="D7582">
        <f t="shared" si="472"/>
        <v>59</v>
      </c>
      <c r="E7582">
        <v>82.498999999999995</v>
      </c>
      <c r="F7582">
        <f t="shared" si="473"/>
        <v>-23.498999999999995</v>
      </c>
      <c r="G7582">
        <v>33.466999999999999</v>
      </c>
      <c r="H7582">
        <v>1.032</v>
      </c>
      <c r="I7582">
        <v>3.0859999999999999</v>
      </c>
      <c r="J7582">
        <v>5</v>
      </c>
      <c r="K7582">
        <v>16</v>
      </c>
      <c r="L7582">
        <v>8</v>
      </c>
      <c r="M7582">
        <v>1.8939999999999999</v>
      </c>
    </row>
    <row r="7583" spans="1:13" ht="15" customHeight="1">
      <c r="A7583" t="s">
        <v>77</v>
      </c>
      <c r="B7583">
        <f t="shared" si="470"/>
        <v>33.710514000000003</v>
      </c>
      <c r="C7583">
        <f t="shared" si="471"/>
        <v>-117.845444</v>
      </c>
      <c r="D7583">
        <f t="shared" si="472"/>
        <v>59</v>
      </c>
      <c r="E7583">
        <v>83.498999999999995</v>
      </c>
      <c r="F7583">
        <f t="shared" si="473"/>
        <v>-24.498999999999995</v>
      </c>
      <c r="G7583">
        <v>27.856999999999999</v>
      </c>
      <c r="H7583">
        <v>0.747</v>
      </c>
      <c r="I7583">
        <v>2.6709999999999998</v>
      </c>
      <c r="J7583">
        <v>6</v>
      </c>
      <c r="K7583">
        <v>11</v>
      </c>
      <c r="L7583">
        <v>6</v>
      </c>
      <c r="M7583">
        <v>1.5249999999999999</v>
      </c>
    </row>
    <row r="7584" spans="1:13" ht="15" customHeight="1">
      <c r="A7584" t="s">
        <v>77</v>
      </c>
      <c r="B7584">
        <f t="shared" si="470"/>
        <v>33.710514000000003</v>
      </c>
      <c r="C7584">
        <f t="shared" si="471"/>
        <v>-117.845444</v>
      </c>
      <c r="D7584">
        <f t="shared" si="472"/>
        <v>59</v>
      </c>
      <c r="E7584">
        <v>84.498999999999995</v>
      </c>
      <c r="F7584">
        <f t="shared" si="473"/>
        <v>-25.498999999999995</v>
      </c>
      <c r="G7584">
        <v>26.882999999999999</v>
      </c>
      <c r="H7584">
        <v>0.65800000000000003</v>
      </c>
      <c r="I7584">
        <v>2.4380000000000002</v>
      </c>
      <c r="J7584">
        <v>6</v>
      </c>
      <c r="K7584">
        <v>10</v>
      </c>
      <c r="L7584">
        <v>5</v>
      </c>
      <c r="M7584">
        <v>1.456</v>
      </c>
    </row>
    <row r="7585" spans="1:13" ht="15" customHeight="1">
      <c r="A7585" t="s">
        <v>77</v>
      </c>
      <c r="B7585">
        <f t="shared" si="470"/>
        <v>33.710514000000003</v>
      </c>
      <c r="C7585">
        <f t="shared" si="471"/>
        <v>-117.845444</v>
      </c>
      <c r="D7585">
        <f t="shared" si="472"/>
        <v>59</v>
      </c>
      <c r="E7585">
        <v>85.498999999999995</v>
      </c>
      <c r="F7585">
        <f t="shared" si="473"/>
        <v>-26.498999999999995</v>
      </c>
      <c r="G7585">
        <v>22.283000000000001</v>
      </c>
      <c r="H7585">
        <v>0.41299999999999998</v>
      </c>
      <c r="I7585">
        <v>1.8360000000000001</v>
      </c>
      <c r="J7585">
        <v>6</v>
      </c>
      <c r="K7585">
        <v>9</v>
      </c>
      <c r="L7585">
        <v>5</v>
      </c>
      <c r="M7585">
        <v>1.153</v>
      </c>
    </row>
    <row r="7586" spans="1:13" ht="15" customHeight="1">
      <c r="A7586" t="s">
        <v>77</v>
      </c>
      <c r="B7586">
        <f t="shared" si="470"/>
        <v>33.710514000000003</v>
      </c>
      <c r="C7586">
        <f t="shared" si="471"/>
        <v>-117.845444</v>
      </c>
      <c r="D7586">
        <f t="shared" si="472"/>
        <v>59</v>
      </c>
      <c r="E7586">
        <v>86.498999999999995</v>
      </c>
      <c r="F7586">
        <f t="shared" si="473"/>
        <v>-27.498999999999995</v>
      </c>
      <c r="G7586">
        <v>23.917000000000002</v>
      </c>
      <c r="H7586">
        <v>0.42699999999999999</v>
      </c>
      <c r="I7586">
        <v>1.71</v>
      </c>
      <c r="J7586">
        <v>6</v>
      </c>
      <c r="K7586">
        <v>10</v>
      </c>
      <c r="L7586">
        <v>5</v>
      </c>
      <c r="M7586">
        <v>1.3109999999999999</v>
      </c>
    </row>
    <row r="7587" spans="1:13" ht="15" customHeight="1">
      <c r="A7587" t="s">
        <v>77</v>
      </c>
      <c r="B7587">
        <f t="shared" si="470"/>
        <v>33.710514000000003</v>
      </c>
      <c r="C7587">
        <f t="shared" si="471"/>
        <v>-117.845444</v>
      </c>
      <c r="D7587">
        <f t="shared" si="472"/>
        <v>59</v>
      </c>
      <c r="E7587">
        <v>87.498999999999995</v>
      </c>
      <c r="F7587">
        <f t="shared" si="473"/>
        <v>-28.498999999999995</v>
      </c>
      <c r="G7587">
        <v>25.382999999999999</v>
      </c>
      <c r="H7587">
        <v>0.42299999999999999</v>
      </c>
      <c r="I7587">
        <v>1.577</v>
      </c>
      <c r="J7587">
        <v>6</v>
      </c>
      <c r="K7587">
        <v>10</v>
      </c>
      <c r="L7587">
        <v>5</v>
      </c>
      <c r="M7587">
        <v>1.4339999999999999</v>
      </c>
    </row>
    <row r="7588" spans="1:13" ht="15" customHeight="1">
      <c r="A7588" t="s">
        <v>77</v>
      </c>
      <c r="B7588">
        <f t="shared" si="470"/>
        <v>33.710514000000003</v>
      </c>
      <c r="C7588">
        <f t="shared" si="471"/>
        <v>-117.845444</v>
      </c>
      <c r="D7588">
        <f t="shared" si="472"/>
        <v>59</v>
      </c>
      <c r="E7588">
        <v>88.498999999999995</v>
      </c>
      <c r="F7588">
        <f t="shared" si="473"/>
        <v>-29.498999999999995</v>
      </c>
      <c r="G7588">
        <v>27.25</v>
      </c>
      <c r="H7588">
        <v>0.47299999999999998</v>
      </c>
      <c r="I7588">
        <v>1.617</v>
      </c>
      <c r="J7588">
        <v>6</v>
      </c>
      <c r="K7588">
        <v>11</v>
      </c>
      <c r="L7588">
        <v>6</v>
      </c>
      <c r="M7588">
        <v>1.591</v>
      </c>
    </row>
    <row r="7589" spans="1:13" ht="15" customHeight="1">
      <c r="A7589" t="s">
        <v>77</v>
      </c>
      <c r="B7589">
        <f t="shared" si="470"/>
        <v>33.710514000000003</v>
      </c>
      <c r="C7589">
        <f t="shared" si="471"/>
        <v>-117.845444</v>
      </c>
      <c r="D7589">
        <f t="shared" si="472"/>
        <v>59</v>
      </c>
      <c r="E7589">
        <v>89.498999999999995</v>
      </c>
      <c r="F7589">
        <f t="shared" si="473"/>
        <v>-30.498999999999995</v>
      </c>
      <c r="G7589">
        <v>26.132999999999999</v>
      </c>
      <c r="H7589">
        <v>0.58299999999999996</v>
      </c>
      <c r="I7589">
        <v>2.1150000000000002</v>
      </c>
      <c r="J7589">
        <v>6</v>
      </c>
      <c r="K7589">
        <v>11</v>
      </c>
      <c r="L7589">
        <v>6</v>
      </c>
      <c r="M7589">
        <v>1.474</v>
      </c>
    </row>
    <row r="7590" spans="1:13" ht="15" customHeight="1">
      <c r="A7590" t="s">
        <v>77</v>
      </c>
      <c r="B7590">
        <f t="shared" si="470"/>
        <v>33.710514000000003</v>
      </c>
      <c r="C7590">
        <f t="shared" si="471"/>
        <v>-117.845444</v>
      </c>
      <c r="D7590">
        <f t="shared" si="472"/>
        <v>59</v>
      </c>
      <c r="E7590">
        <v>90.498999999999995</v>
      </c>
      <c r="F7590">
        <f t="shared" si="473"/>
        <v>-31.498999999999995</v>
      </c>
      <c r="G7590">
        <v>24.382999999999999</v>
      </c>
      <c r="H7590">
        <v>0.57299999999999995</v>
      </c>
      <c r="I7590">
        <v>2.2120000000000002</v>
      </c>
      <c r="J7590">
        <v>6</v>
      </c>
      <c r="K7590">
        <v>10</v>
      </c>
      <c r="L7590">
        <v>5</v>
      </c>
      <c r="M7590">
        <v>1.359</v>
      </c>
    </row>
    <row r="7591" spans="1:13" ht="15" customHeight="1">
      <c r="A7591" t="s">
        <v>77</v>
      </c>
      <c r="B7591">
        <f t="shared" si="470"/>
        <v>33.710514000000003</v>
      </c>
      <c r="C7591">
        <f t="shared" si="471"/>
        <v>-117.845444</v>
      </c>
      <c r="D7591">
        <f t="shared" si="472"/>
        <v>59</v>
      </c>
      <c r="E7591">
        <v>91.498999999999995</v>
      </c>
      <c r="F7591">
        <f t="shared" si="473"/>
        <v>-32.498999999999995</v>
      </c>
      <c r="G7591">
        <v>26.332999999999998</v>
      </c>
      <c r="H7591">
        <v>0.50800000000000001</v>
      </c>
      <c r="I7591">
        <v>1.798</v>
      </c>
      <c r="J7591">
        <v>6</v>
      </c>
      <c r="K7591">
        <v>11</v>
      </c>
      <c r="L7591">
        <v>6</v>
      </c>
      <c r="M7591">
        <v>1.512</v>
      </c>
    </row>
    <row r="7592" spans="1:13" ht="15" customHeight="1">
      <c r="A7592" t="s">
        <v>77</v>
      </c>
      <c r="B7592">
        <f t="shared" si="470"/>
        <v>33.710514000000003</v>
      </c>
      <c r="C7592">
        <f t="shared" si="471"/>
        <v>-117.845444</v>
      </c>
      <c r="D7592">
        <f t="shared" si="472"/>
        <v>59</v>
      </c>
      <c r="E7592">
        <v>92.498999999999995</v>
      </c>
      <c r="F7592">
        <f t="shared" si="473"/>
        <v>-33.498999999999995</v>
      </c>
      <c r="G7592">
        <v>34.6</v>
      </c>
      <c r="H7592">
        <v>1.038</v>
      </c>
      <c r="I7592">
        <v>2.891</v>
      </c>
      <c r="J7592">
        <v>6</v>
      </c>
      <c r="K7592">
        <v>14</v>
      </c>
      <c r="L7592">
        <v>7</v>
      </c>
      <c r="M7592">
        <v>2.0179999999999998</v>
      </c>
    </row>
    <row r="7593" spans="1:13" ht="15" customHeight="1">
      <c r="A7593" t="s">
        <v>77</v>
      </c>
      <c r="B7593">
        <f t="shared" si="470"/>
        <v>33.710514000000003</v>
      </c>
      <c r="C7593">
        <f t="shared" si="471"/>
        <v>-117.845444</v>
      </c>
      <c r="D7593">
        <f t="shared" si="472"/>
        <v>59</v>
      </c>
      <c r="E7593">
        <v>93.498999999999995</v>
      </c>
      <c r="F7593">
        <f t="shared" si="473"/>
        <v>-34.498999999999995</v>
      </c>
      <c r="G7593">
        <v>32.029000000000003</v>
      </c>
      <c r="H7593">
        <v>0.877</v>
      </c>
      <c r="I7593">
        <v>2.6080000000000001</v>
      </c>
      <c r="J7593">
        <v>6</v>
      </c>
      <c r="K7593">
        <v>13</v>
      </c>
      <c r="L7593">
        <v>7</v>
      </c>
      <c r="M7593">
        <v>1.861</v>
      </c>
    </row>
    <row r="7594" spans="1:13" ht="15" customHeight="1">
      <c r="A7594" t="s">
        <v>77</v>
      </c>
      <c r="B7594">
        <f t="shared" si="470"/>
        <v>33.710514000000003</v>
      </c>
      <c r="C7594">
        <f t="shared" si="471"/>
        <v>-117.845444</v>
      </c>
      <c r="D7594">
        <f t="shared" si="472"/>
        <v>59</v>
      </c>
      <c r="E7594">
        <v>94.498999999999995</v>
      </c>
      <c r="F7594">
        <f t="shared" si="473"/>
        <v>-35.498999999999995</v>
      </c>
      <c r="G7594">
        <v>32.383000000000003</v>
      </c>
      <c r="H7594">
        <v>0.90700000000000003</v>
      </c>
      <c r="I7594">
        <v>2.661</v>
      </c>
      <c r="J7594">
        <v>6</v>
      </c>
      <c r="K7594">
        <v>13</v>
      </c>
      <c r="L7594">
        <v>7</v>
      </c>
      <c r="M7594">
        <v>1.8859999999999999</v>
      </c>
    </row>
    <row r="7595" spans="1:13" ht="15" customHeight="1">
      <c r="A7595" t="s">
        <v>77</v>
      </c>
      <c r="B7595">
        <f t="shared" si="470"/>
        <v>33.710514000000003</v>
      </c>
      <c r="C7595">
        <f t="shared" si="471"/>
        <v>-117.845444</v>
      </c>
      <c r="D7595">
        <f t="shared" si="472"/>
        <v>59</v>
      </c>
      <c r="E7595">
        <v>95.498999999999995</v>
      </c>
      <c r="F7595">
        <f t="shared" si="473"/>
        <v>-36.498999999999995</v>
      </c>
      <c r="G7595">
        <v>39.683</v>
      </c>
      <c r="H7595">
        <v>1.3080000000000001</v>
      </c>
      <c r="I7595">
        <v>3.2370000000000001</v>
      </c>
      <c r="J7595">
        <v>5</v>
      </c>
      <c r="K7595">
        <v>19</v>
      </c>
      <c r="L7595">
        <v>10</v>
      </c>
      <c r="M7595">
        <v>2.3050000000000002</v>
      </c>
    </row>
    <row r="7596" spans="1:13" ht="15" customHeight="1">
      <c r="A7596" t="s">
        <v>77</v>
      </c>
      <c r="B7596">
        <f t="shared" si="470"/>
        <v>33.710514000000003</v>
      </c>
      <c r="C7596">
        <f t="shared" si="471"/>
        <v>-117.845444</v>
      </c>
      <c r="D7596">
        <f t="shared" si="472"/>
        <v>59</v>
      </c>
      <c r="E7596">
        <v>96.498999999999995</v>
      </c>
      <c r="F7596">
        <f t="shared" si="473"/>
        <v>-37.498999999999995</v>
      </c>
      <c r="G7596">
        <v>35.417000000000002</v>
      </c>
      <c r="H7596">
        <v>1.0449999999999999</v>
      </c>
      <c r="I7596">
        <v>2.903</v>
      </c>
      <c r="J7596">
        <v>6</v>
      </c>
      <c r="K7596">
        <v>14</v>
      </c>
      <c r="L7596">
        <v>7</v>
      </c>
      <c r="M7596">
        <v>2.0059999999999998</v>
      </c>
    </row>
    <row r="7597" spans="1:13" ht="15" customHeight="1">
      <c r="A7597" t="s">
        <v>77</v>
      </c>
      <c r="B7597">
        <f t="shared" si="470"/>
        <v>33.710514000000003</v>
      </c>
      <c r="C7597">
        <f t="shared" si="471"/>
        <v>-117.845444</v>
      </c>
      <c r="D7597">
        <f t="shared" si="472"/>
        <v>59</v>
      </c>
      <c r="E7597">
        <v>97.498999999999995</v>
      </c>
      <c r="F7597">
        <f t="shared" si="473"/>
        <v>-38.498999999999995</v>
      </c>
      <c r="G7597">
        <v>50.4</v>
      </c>
      <c r="H7597">
        <v>1.7070000000000001</v>
      </c>
      <c r="I7597">
        <v>3.3370000000000002</v>
      </c>
      <c r="J7597">
        <v>5</v>
      </c>
      <c r="K7597">
        <v>24</v>
      </c>
      <c r="L7597">
        <v>12</v>
      </c>
      <c r="M7597">
        <v>3.012</v>
      </c>
    </row>
    <row r="7598" spans="1:13" ht="15" customHeight="1">
      <c r="A7598" t="s">
        <v>77</v>
      </c>
      <c r="B7598">
        <f t="shared" si="470"/>
        <v>33.710514000000003</v>
      </c>
      <c r="C7598">
        <f t="shared" si="471"/>
        <v>-117.845444</v>
      </c>
      <c r="D7598">
        <f t="shared" si="472"/>
        <v>59</v>
      </c>
      <c r="E7598">
        <v>98.498999999999995</v>
      </c>
      <c r="F7598">
        <f t="shared" si="473"/>
        <v>-39.498999999999995</v>
      </c>
      <c r="G7598">
        <v>116.267</v>
      </c>
      <c r="H7598">
        <v>2.9169999999999998</v>
      </c>
      <c r="I7598">
        <v>2.504</v>
      </c>
      <c r="J7598">
        <v>7</v>
      </c>
      <c r="K7598">
        <v>37</v>
      </c>
      <c r="L7598">
        <v>19</v>
      </c>
      <c r="M7598" s="1">
        <v>9000000000</v>
      </c>
    </row>
    <row r="7599" spans="1:13" ht="15" customHeight="1">
      <c r="A7599" t="s">
        <v>77</v>
      </c>
      <c r="B7599">
        <f t="shared" si="470"/>
        <v>33.710514000000003</v>
      </c>
      <c r="C7599">
        <f t="shared" si="471"/>
        <v>-117.845444</v>
      </c>
      <c r="D7599">
        <f t="shared" si="472"/>
        <v>59</v>
      </c>
      <c r="E7599">
        <v>99.498999999999995</v>
      </c>
      <c r="F7599">
        <f t="shared" si="473"/>
        <v>-40.498999999999995</v>
      </c>
      <c r="G7599">
        <v>229.46700000000001</v>
      </c>
      <c r="H7599">
        <v>5.7569999999999997</v>
      </c>
      <c r="I7599">
        <v>2.5099999999999998</v>
      </c>
      <c r="J7599">
        <v>7</v>
      </c>
      <c r="K7599">
        <v>73</v>
      </c>
      <c r="L7599">
        <v>37</v>
      </c>
      <c r="M7599" s="1">
        <v>9000000000</v>
      </c>
    </row>
    <row r="7600" spans="1:13" ht="15" customHeight="1">
      <c r="A7600" t="s">
        <v>77</v>
      </c>
      <c r="B7600">
        <f t="shared" si="470"/>
        <v>33.710514000000003</v>
      </c>
      <c r="C7600">
        <f t="shared" si="471"/>
        <v>-117.845444</v>
      </c>
      <c r="D7600">
        <f t="shared" si="472"/>
        <v>59</v>
      </c>
      <c r="E7600">
        <v>100.499</v>
      </c>
      <c r="F7600">
        <f t="shared" si="473"/>
        <v>-41.498999999999995</v>
      </c>
      <c r="G7600">
        <v>448.46699999999998</v>
      </c>
      <c r="H7600">
        <v>2.915</v>
      </c>
      <c r="I7600">
        <v>0.65</v>
      </c>
      <c r="J7600">
        <v>10</v>
      </c>
      <c r="K7600">
        <v>72</v>
      </c>
      <c r="L7600">
        <v>36</v>
      </c>
      <c r="M7600" s="1">
        <v>9000000000</v>
      </c>
    </row>
    <row r="7601" spans="1:13" ht="15" customHeight="1">
      <c r="A7601" t="s">
        <v>77</v>
      </c>
      <c r="B7601">
        <f t="shared" si="470"/>
        <v>33.710514000000003</v>
      </c>
      <c r="C7601">
        <f t="shared" si="471"/>
        <v>-117.845444</v>
      </c>
      <c r="D7601">
        <f t="shared" si="472"/>
        <v>59</v>
      </c>
      <c r="E7601">
        <v>101.499</v>
      </c>
      <c r="F7601">
        <f t="shared" si="473"/>
        <v>-42.498999999999995</v>
      </c>
      <c r="G7601">
        <v>450.4</v>
      </c>
      <c r="H7601">
        <v>2.3199999999999998</v>
      </c>
      <c r="I7601">
        <v>0.51500000000000001</v>
      </c>
      <c r="J7601">
        <v>10</v>
      </c>
      <c r="K7601">
        <v>72</v>
      </c>
      <c r="L7601">
        <v>36</v>
      </c>
      <c r="M7601" s="1">
        <v>9000000000</v>
      </c>
    </row>
    <row r="7602" spans="1:13" ht="15" customHeight="1">
      <c r="A7602" t="s">
        <v>78</v>
      </c>
      <c r="B7602">
        <f t="shared" si="470"/>
        <v>33.695017999999997</v>
      </c>
      <c r="C7602">
        <f t="shared" si="471"/>
        <v>-117.853117</v>
      </c>
      <c r="D7602">
        <f t="shared" si="472"/>
        <v>37</v>
      </c>
      <c r="E7602">
        <v>0.5</v>
      </c>
      <c r="F7602">
        <f t="shared" si="473"/>
        <v>36.5</v>
      </c>
      <c r="G7602">
        <v>3.133</v>
      </c>
      <c r="H7602">
        <v>3.3000000000000002E-2</v>
      </c>
      <c r="I7602">
        <v>1.0640000000000001</v>
      </c>
      <c r="J7602">
        <v>1</v>
      </c>
      <c r="K7602">
        <v>2</v>
      </c>
      <c r="L7602">
        <v>3</v>
      </c>
      <c r="M7602">
        <v>0.20699999999999999</v>
      </c>
    </row>
    <row r="7603" spans="1:13" ht="15" customHeight="1">
      <c r="A7603" t="s">
        <v>78</v>
      </c>
      <c r="B7603">
        <f t="shared" si="470"/>
        <v>33.695017999999997</v>
      </c>
      <c r="C7603">
        <f t="shared" si="471"/>
        <v>-117.853117</v>
      </c>
      <c r="D7603">
        <f t="shared" si="472"/>
        <v>37</v>
      </c>
      <c r="E7603">
        <v>1.5</v>
      </c>
      <c r="F7603">
        <f t="shared" si="473"/>
        <v>35.5</v>
      </c>
      <c r="G7603">
        <v>3.85</v>
      </c>
      <c r="H7603">
        <v>0.108</v>
      </c>
      <c r="I7603">
        <v>2.8140000000000001</v>
      </c>
      <c r="J7603">
        <v>3</v>
      </c>
      <c r="K7603">
        <v>4</v>
      </c>
      <c r="L7603">
        <v>6</v>
      </c>
      <c r="M7603">
        <v>0.251</v>
      </c>
    </row>
    <row r="7604" spans="1:13" ht="15" customHeight="1">
      <c r="A7604" t="s">
        <v>78</v>
      </c>
      <c r="B7604">
        <f t="shared" si="470"/>
        <v>33.695017999999997</v>
      </c>
      <c r="C7604">
        <f t="shared" si="471"/>
        <v>-117.853117</v>
      </c>
      <c r="D7604">
        <f t="shared" si="472"/>
        <v>37</v>
      </c>
      <c r="E7604">
        <v>2.5</v>
      </c>
      <c r="F7604">
        <f t="shared" si="473"/>
        <v>34.5</v>
      </c>
      <c r="G7604">
        <v>74.082999999999998</v>
      </c>
      <c r="H7604">
        <v>0.81200000000000006</v>
      </c>
      <c r="I7604">
        <v>1.0940000000000001</v>
      </c>
      <c r="J7604">
        <v>8</v>
      </c>
      <c r="K7604">
        <v>18</v>
      </c>
      <c r="L7604">
        <v>27</v>
      </c>
      <c r="M7604" s="1">
        <v>9000000000</v>
      </c>
    </row>
    <row r="7605" spans="1:13" ht="15" customHeight="1">
      <c r="A7605" t="s">
        <v>78</v>
      </c>
      <c r="B7605">
        <f t="shared" si="470"/>
        <v>33.695017999999997</v>
      </c>
      <c r="C7605">
        <f t="shared" si="471"/>
        <v>-117.853117</v>
      </c>
      <c r="D7605">
        <f t="shared" si="472"/>
        <v>37</v>
      </c>
      <c r="E7605">
        <v>3.5</v>
      </c>
      <c r="F7605">
        <f t="shared" si="473"/>
        <v>33.5</v>
      </c>
      <c r="G7605">
        <v>29.132999999999999</v>
      </c>
      <c r="H7605">
        <v>1.4750000000000001</v>
      </c>
      <c r="I7605">
        <v>5.04</v>
      </c>
      <c r="J7605">
        <v>3</v>
      </c>
      <c r="K7605">
        <v>28</v>
      </c>
      <c r="L7605">
        <v>42</v>
      </c>
      <c r="M7605">
        <v>1.9379999999999999</v>
      </c>
    </row>
    <row r="7606" spans="1:13" ht="15" customHeight="1">
      <c r="A7606" t="s">
        <v>78</v>
      </c>
      <c r="B7606">
        <f t="shared" si="470"/>
        <v>33.695017999999997</v>
      </c>
      <c r="C7606">
        <f t="shared" si="471"/>
        <v>-117.853117</v>
      </c>
      <c r="D7606">
        <f t="shared" si="472"/>
        <v>37</v>
      </c>
      <c r="E7606">
        <v>4.5</v>
      </c>
      <c r="F7606">
        <f t="shared" si="473"/>
        <v>32.5</v>
      </c>
      <c r="G7606">
        <v>19.716999999999999</v>
      </c>
      <c r="H7606">
        <v>0.622</v>
      </c>
      <c r="I7606">
        <v>3.145</v>
      </c>
      <c r="J7606">
        <v>5</v>
      </c>
      <c r="K7606">
        <v>9</v>
      </c>
      <c r="L7606">
        <v>14</v>
      </c>
      <c r="M7606">
        <v>1.3</v>
      </c>
    </row>
    <row r="7607" spans="1:13" ht="15" customHeight="1">
      <c r="A7607" t="s">
        <v>78</v>
      </c>
      <c r="B7607">
        <f t="shared" si="470"/>
        <v>33.695017999999997</v>
      </c>
      <c r="C7607">
        <f t="shared" si="471"/>
        <v>-117.853117</v>
      </c>
      <c r="D7607">
        <f t="shared" si="472"/>
        <v>37</v>
      </c>
      <c r="E7607">
        <v>5.5</v>
      </c>
      <c r="F7607">
        <f t="shared" si="473"/>
        <v>31.5</v>
      </c>
      <c r="G7607">
        <v>18.183</v>
      </c>
      <c r="H7607">
        <v>0.57799999999999996</v>
      </c>
      <c r="I7607">
        <v>3.1779999999999999</v>
      </c>
      <c r="J7607">
        <v>5</v>
      </c>
      <c r="K7607">
        <v>9</v>
      </c>
      <c r="L7607">
        <v>14</v>
      </c>
      <c r="M7607">
        <v>1.1919999999999999</v>
      </c>
    </row>
    <row r="7608" spans="1:13" ht="15" customHeight="1">
      <c r="A7608" t="s">
        <v>78</v>
      </c>
      <c r="B7608">
        <f t="shared" si="470"/>
        <v>33.695017999999997</v>
      </c>
      <c r="C7608">
        <f t="shared" si="471"/>
        <v>-117.853117</v>
      </c>
      <c r="D7608">
        <f t="shared" si="472"/>
        <v>37</v>
      </c>
      <c r="E7608">
        <v>6.5</v>
      </c>
      <c r="F7608">
        <f t="shared" si="473"/>
        <v>30.5</v>
      </c>
      <c r="G7608">
        <v>18.483000000000001</v>
      </c>
      <c r="H7608">
        <v>0.318</v>
      </c>
      <c r="I7608">
        <v>1.722</v>
      </c>
      <c r="J7608">
        <v>6</v>
      </c>
      <c r="K7608">
        <v>7</v>
      </c>
      <c r="L7608">
        <v>11</v>
      </c>
      <c r="M7608">
        <v>1.2070000000000001</v>
      </c>
    </row>
    <row r="7609" spans="1:13" ht="15" customHeight="1">
      <c r="A7609" t="s">
        <v>78</v>
      </c>
      <c r="B7609">
        <f t="shared" si="470"/>
        <v>33.695017999999997</v>
      </c>
      <c r="C7609">
        <f t="shared" si="471"/>
        <v>-117.853117</v>
      </c>
      <c r="D7609">
        <f t="shared" si="472"/>
        <v>37</v>
      </c>
      <c r="E7609">
        <v>7.5</v>
      </c>
      <c r="F7609">
        <f t="shared" si="473"/>
        <v>29.5</v>
      </c>
      <c r="G7609">
        <v>8.2330000000000005</v>
      </c>
      <c r="H7609">
        <v>0.23300000000000001</v>
      </c>
      <c r="I7609">
        <v>2.8340000000000001</v>
      </c>
      <c r="J7609">
        <v>4</v>
      </c>
      <c r="K7609">
        <v>5</v>
      </c>
      <c r="L7609">
        <v>8</v>
      </c>
      <c r="M7609">
        <v>0.51900000000000002</v>
      </c>
    </row>
    <row r="7610" spans="1:13" ht="15" customHeight="1">
      <c r="A7610" t="s">
        <v>78</v>
      </c>
      <c r="B7610">
        <f t="shared" si="470"/>
        <v>33.695017999999997</v>
      </c>
      <c r="C7610">
        <f t="shared" si="471"/>
        <v>-117.853117</v>
      </c>
      <c r="D7610">
        <f t="shared" si="472"/>
        <v>37</v>
      </c>
      <c r="E7610">
        <v>8.5</v>
      </c>
      <c r="F7610">
        <f t="shared" si="473"/>
        <v>28.5</v>
      </c>
      <c r="G7610">
        <v>16.332999999999998</v>
      </c>
      <c r="H7610">
        <v>0.32</v>
      </c>
      <c r="I7610">
        <v>1.9590000000000001</v>
      </c>
      <c r="J7610">
        <v>5</v>
      </c>
      <c r="K7610">
        <v>8</v>
      </c>
      <c r="L7610">
        <v>12</v>
      </c>
      <c r="M7610">
        <v>1.0549999999999999</v>
      </c>
    </row>
    <row r="7611" spans="1:13" ht="15" customHeight="1">
      <c r="A7611" t="s">
        <v>78</v>
      </c>
      <c r="B7611">
        <f t="shared" si="470"/>
        <v>33.695017999999997</v>
      </c>
      <c r="C7611">
        <f t="shared" si="471"/>
        <v>-117.853117</v>
      </c>
      <c r="D7611">
        <f t="shared" si="472"/>
        <v>37</v>
      </c>
      <c r="E7611">
        <v>9.5</v>
      </c>
      <c r="F7611">
        <f t="shared" si="473"/>
        <v>27.5</v>
      </c>
      <c r="G7611">
        <v>21.733000000000001</v>
      </c>
      <c r="H7611">
        <v>0.60799999999999998</v>
      </c>
      <c r="I7611">
        <v>2.8029999999999999</v>
      </c>
      <c r="J7611">
        <v>5</v>
      </c>
      <c r="K7611">
        <v>10</v>
      </c>
      <c r="L7611">
        <v>15</v>
      </c>
      <c r="M7611">
        <v>1.409</v>
      </c>
    </row>
    <row r="7612" spans="1:13" ht="15" customHeight="1">
      <c r="A7612" t="s">
        <v>78</v>
      </c>
      <c r="B7612">
        <f t="shared" si="470"/>
        <v>33.695017999999997</v>
      </c>
      <c r="C7612">
        <f t="shared" si="471"/>
        <v>-117.853117</v>
      </c>
      <c r="D7612">
        <f t="shared" si="472"/>
        <v>37</v>
      </c>
      <c r="E7612">
        <v>10.5</v>
      </c>
      <c r="F7612">
        <f t="shared" si="473"/>
        <v>26.5</v>
      </c>
      <c r="G7612">
        <v>10.243</v>
      </c>
      <c r="H7612">
        <v>0.33900000000000002</v>
      </c>
      <c r="I7612">
        <v>3.3050000000000002</v>
      </c>
      <c r="J7612">
        <v>4</v>
      </c>
      <c r="K7612">
        <v>7</v>
      </c>
      <c r="L7612">
        <v>10</v>
      </c>
      <c r="M7612">
        <v>0.64100000000000001</v>
      </c>
    </row>
    <row r="7613" spans="1:13" ht="15" customHeight="1">
      <c r="A7613" t="s">
        <v>78</v>
      </c>
      <c r="B7613">
        <f t="shared" si="470"/>
        <v>33.695017999999997</v>
      </c>
      <c r="C7613">
        <f t="shared" si="471"/>
        <v>-117.853117</v>
      </c>
      <c r="D7613">
        <f t="shared" si="472"/>
        <v>37</v>
      </c>
      <c r="E7613">
        <v>11.5</v>
      </c>
      <c r="F7613">
        <f t="shared" si="473"/>
        <v>25.5</v>
      </c>
      <c r="G7613">
        <v>12.7</v>
      </c>
      <c r="H7613">
        <v>0.39800000000000002</v>
      </c>
      <c r="I7613">
        <v>3.1160000000000001</v>
      </c>
      <c r="J7613">
        <v>4</v>
      </c>
      <c r="K7613">
        <v>8</v>
      </c>
      <c r="L7613">
        <v>11</v>
      </c>
      <c r="M7613">
        <v>0.80600000000000005</v>
      </c>
    </row>
    <row r="7614" spans="1:13" ht="15" customHeight="1">
      <c r="A7614" t="s">
        <v>78</v>
      </c>
      <c r="B7614">
        <f t="shared" si="470"/>
        <v>33.695017999999997</v>
      </c>
      <c r="C7614">
        <f t="shared" si="471"/>
        <v>-117.853117</v>
      </c>
      <c r="D7614">
        <f t="shared" si="472"/>
        <v>37</v>
      </c>
      <c r="E7614">
        <v>12.5</v>
      </c>
      <c r="F7614">
        <f t="shared" si="473"/>
        <v>24.5</v>
      </c>
      <c r="G7614">
        <v>14.882999999999999</v>
      </c>
      <c r="H7614">
        <v>0.52200000000000002</v>
      </c>
      <c r="I7614">
        <v>3.4820000000000002</v>
      </c>
      <c r="J7614">
        <v>4</v>
      </c>
      <c r="K7614">
        <v>10</v>
      </c>
      <c r="L7614">
        <v>13</v>
      </c>
      <c r="M7614">
        <v>0.94899999999999995</v>
      </c>
    </row>
    <row r="7615" spans="1:13" ht="15" customHeight="1">
      <c r="A7615" t="s">
        <v>78</v>
      </c>
      <c r="B7615">
        <f t="shared" si="470"/>
        <v>33.695017999999997</v>
      </c>
      <c r="C7615">
        <f t="shared" si="471"/>
        <v>-117.853117</v>
      </c>
      <c r="D7615">
        <f t="shared" si="472"/>
        <v>37</v>
      </c>
      <c r="E7615">
        <v>13.5</v>
      </c>
      <c r="F7615">
        <f t="shared" si="473"/>
        <v>23.5</v>
      </c>
      <c r="G7615">
        <v>14.75</v>
      </c>
      <c r="H7615">
        <v>0.44</v>
      </c>
      <c r="I7615">
        <v>2.9660000000000002</v>
      </c>
      <c r="J7615">
        <v>5</v>
      </c>
      <c r="K7615">
        <v>7</v>
      </c>
      <c r="L7615">
        <v>8</v>
      </c>
      <c r="M7615">
        <v>0.93500000000000005</v>
      </c>
    </row>
    <row r="7616" spans="1:13" ht="15" customHeight="1">
      <c r="A7616" t="s">
        <v>78</v>
      </c>
      <c r="B7616">
        <f t="shared" si="470"/>
        <v>33.695017999999997</v>
      </c>
      <c r="C7616">
        <f t="shared" si="471"/>
        <v>-117.853117</v>
      </c>
      <c r="D7616">
        <f t="shared" si="472"/>
        <v>37</v>
      </c>
      <c r="E7616">
        <v>14.5</v>
      </c>
      <c r="F7616">
        <f t="shared" si="473"/>
        <v>22.5</v>
      </c>
      <c r="G7616">
        <v>22.266999999999999</v>
      </c>
      <c r="H7616">
        <v>0.56699999999999995</v>
      </c>
      <c r="I7616">
        <v>2.532</v>
      </c>
      <c r="J7616">
        <v>5</v>
      </c>
      <c r="K7616">
        <v>11</v>
      </c>
      <c r="L7616">
        <v>12</v>
      </c>
      <c r="M7616">
        <v>1.4339999999999999</v>
      </c>
    </row>
    <row r="7617" spans="1:13" ht="15" customHeight="1">
      <c r="A7617" t="s">
        <v>78</v>
      </c>
      <c r="B7617">
        <f t="shared" si="470"/>
        <v>33.695017999999997</v>
      </c>
      <c r="C7617">
        <f t="shared" si="471"/>
        <v>-117.853117</v>
      </c>
      <c r="D7617">
        <f t="shared" si="472"/>
        <v>37</v>
      </c>
      <c r="E7617">
        <v>15.5</v>
      </c>
      <c r="F7617">
        <f t="shared" si="473"/>
        <v>21.5</v>
      </c>
      <c r="G7617">
        <v>22.716999999999999</v>
      </c>
      <c r="H7617">
        <v>0.56200000000000006</v>
      </c>
      <c r="I7617">
        <v>2.4540000000000002</v>
      </c>
      <c r="J7617">
        <v>6</v>
      </c>
      <c r="K7617">
        <v>9</v>
      </c>
      <c r="L7617">
        <v>10</v>
      </c>
      <c r="M7617">
        <v>1.4630000000000001</v>
      </c>
    </row>
    <row r="7618" spans="1:13" ht="15" customHeight="1">
      <c r="A7618" t="s">
        <v>78</v>
      </c>
      <c r="B7618">
        <f t="shared" ref="B7618:B7681" si="474">VLOOKUP(A7618,XYdata,3,FALSE)</f>
        <v>33.695017999999997</v>
      </c>
      <c r="C7618">
        <f t="shared" ref="C7618:C7681" si="475">VLOOKUP(A7618,XYdata,2,FALSE)</f>
        <v>-117.853117</v>
      </c>
      <c r="D7618">
        <f t="shared" ref="D7618:D7681" si="476">VLOOKUP(A7618,Elevation,2,FALSE)</f>
        <v>37</v>
      </c>
      <c r="E7618">
        <v>16.5</v>
      </c>
      <c r="F7618">
        <f t="shared" si="473"/>
        <v>20.5</v>
      </c>
      <c r="G7618">
        <v>30.55</v>
      </c>
      <c r="H7618">
        <v>0.9</v>
      </c>
      <c r="I7618">
        <v>2.9319999999999999</v>
      </c>
      <c r="J7618">
        <v>5</v>
      </c>
      <c r="K7618">
        <v>15</v>
      </c>
      <c r="L7618">
        <v>15</v>
      </c>
      <c r="M7618">
        <v>1.98</v>
      </c>
    </row>
    <row r="7619" spans="1:13" ht="15" customHeight="1">
      <c r="A7619" t="s">
        <v>78</v>
      </c>
      <c r="B7619">
        <f t="shared" si="474"/>
        <v>33.695017999999997</v>
      </c>
      <c r="C7619">
        <f t="shared" si="475"/>
        <v>-117.853117</v>
      </c>
      <c r="D7619">
        <f t="shared" si="476"/>
        <v>37</v>
      </c>
      <c r="E7619">
        <v>17.5</v>
      </c>
      <c r="F7619">
        <f t="shared" ref="F7619:F7682" si="477">D7619-E7619</f>
        <v>19.5</v>
      </c>
      <c r="G7619">
        <v>30.117000000000001</v>
      </c>
      <c r="H7619">
        <v>0.92800000000000005</v>
      </c>
      <c r="I7619">
        <v>3.093</v>
      </c>
      <c r="J7619">
        <v>5</v>
      </c>
      <c r="K7619">
        <v>14</v>
      </c>
      <c r="L7619">
        <v>13</v>
      </c>
      <c r="M7619">
        <v>1.931</v>
      </c>
    </row>
    <row r="7620" spans="1:13" ht="15" customHeight="1">
      <c r="A7620" t="s">
        <v>78</v>
      </c>
      <c r="B7620">
        <f t="shared" si="474"/>
        <v>33.695017999999997</v>
      </c>
      <c r="C7620">
        <f t="shared" si="475"/>
        <v>-117.853117</v>
      </c>
      <c r="D7620">
        <f t="shared" si="476"/>
        <v>37</v>
      </c>
      <c r="E7620">
        <v>18.5</v>
      </c>
      <c r="F7620">
        <f t="shared" si="477"/>
        <v>18.5</v>
      </c>
      <c r="G7620">
        <v>33.85</v>
      </c>
      <c r="H7620">
        <v>1.2030000000000001</v>
      </c>
      <c r="I7620">
        <v>3.5649999999999999</v>
      </c>
      <c r="J7620">
        <v>5</v>
      </c>
      <c r="K7620">
        <v>16</v>
      </c>
      <c r="L7620">
        <v>15</v>
      </c>
      <c r="M7620">
        <v>2.1749999999999998</v>
      </c>
    </row>
    <row r="7621" spans="1:13" ht="15" customHeight="1">
      <c r="A7621" t="s">
        <v>78</v>
      </c>
      <c r="B7621">
        <f t="shared" si="474"/>
        <v>33.695017999999997</v>
      </c>
      <c r="C7621">
        <f t="shared" si="475"/>
        <v>-117.853117</v>
      </c>
      <c r="D7621">
        <f t="shared" si="476"/>
        <v>37</v>
      </c>
      <c r="E7621">
        <v>19.5</v>
      </c>
      <c r="F7621">
        <f t="shared" si="477"/>
        <v>17.5</v>
      </c>
      <c r="G7621">
        <v>52.817</v>
      </c>
      <c r="H7621">
        <v>2.2120000000000002</v>
      </c>
      <c r="I7621">
        <v>4.1950000000000003</v>
      </c>
      <c r="J7621">
        <v>5</v>
      </c>
      <c r="K7621">
        <v>25</v>
      </c>
      <c r="L7621">
        <v>22</v>
      </c>
      <c r="M7621">
        <v>3.4359999999999999</v>
      </c>
    </row>
    <row r="7622" spans="1:13" ht="15" customHeight="1">
      <c r="A7622" t="s">
        <v>78</v>
      </c>
      <c r="B7622">
        <f t="shared" si="474"/>
        <v>33.695017999999997</v>
      </c>
      <c r="C7622">
        <f t="shared" si="475"/>
        <v>-117.853117</v>
      </c>
      <c r="D7622">
        <f t="shared" si="476"/>
        <v>37</v>
      </c>
      <c r="E7622">
        <v>20.5</v>
      </c>
      <c r="F7622">
        <f t="shared" si="477"/>
        <v>16.5</v>
      </c>
      <c r="G7622">
        <v>51.414000000000001</v>
      </c>
      <c r="H7622">
        <v>2.0939999999999999</v>
      </c>
      <c r="I7622">
        <v>4.08</v>
      </c>
      <c r="J7622">
        <v>5</v>
      </c>
      <c r="K7622">
        <v>25</v>
      </c>
      <c r="L7622">
        <v>21</v>
      </c>
      <c r="M7622">
        <v>3.339</v>
      </c>
    </row>
    <row r="7623" spans="1:13" ht="15" customHeight="1">
      <c r="A7623" t="s">
        <v>78</v>
      </c>
      <c r="B7623">
        <f t="shared" si="474"/>
        <v>33.695017999999997</v>
      </c>
      <c r="C7623">
        <f t="shared" si="475"/>
        <v>-117.853117</v>
      </c>
      <c r="D7623">
        <f t="shared" si="476"/>
        <v>37</v>
      </c>
      <c r="E7623">
        <v>21.5</v>
      </c>
      <c r="F7623">
        <f t="shared" si="477"/>
        <v>15.5</v>
      </c>
      <c r="G7623">
        <v>51.383000000000003</v>
      </c>
      <c r="H7623">
        <v>2.6080000000000001</v>
      </c>
      <c r="I7623">
        <v>5.0810000000000004</v>
      </c>
      <c r="J7623">
        <v>3</v>
      </c>
      <c r="K7623">
        <v>49</v>
      </c>
      <c r="L7623">
        <v>40</v>
      </c>
      <c r="M7623">
        <v>3.335</v>
      </c>
    </row>
    <row r="7624" spans="1:13" ht="15" customHeight="1">
      <c r="A7624" t="s">
        <v>78</v>
      </c>
      <c r="B7624">
        <f t="shared" si="474"/>
        <v>33.695017999999997</v>
      </c>
      <c r="C7624">
        <f t="shared" si="475"/>
        <v>-117.853117</v>
      </c>
      <c r="D7624">
        <f t="shared" si="476"/>
        <v>37</v>
      </c>
      <c r="E7624">
        <v>22.5</v>
      </c>
      <c r="F7624">
        <f t="shared" si="477"/>
        <v>14.5</v>
      </c>
      <c r="G7624">
        <v>101.983</v>
      </c>
      <c r="H7624">
        <v>2.1480000000000001</v>
      </c>
      <c r="I7624">
        <v>2.109</v>
      </c>
      <c r="J7624">
        <v>7</v>
      </c>
      <c r="K7624">
        <v>33</v>
      </c>
      <c r="L7624">
        <v>26</v>
      </c>
      <c r="M7624" s="1">
        <v>9000000000</v>
      </c>
    </row>
    <row r="7625" spans="1:13" ht="15" customHeight="1">
      <c r="A7625" t="s">
        <v>78</v>
      </c>
      <c r="B7625">
        <f t="shared" si="474"/>
        <v>33.695017999999997</v>
      </c>
      <c r="C7625">
        <f t="shared" si="475"/>
        <v>-117.853117</v>
      </c>
      <c r="D7625">
        <f t="shared" si="476"/>
        <v>37</v>
      </c>
      <c r="E7625">
        <v>23.5</v>
      </c>
      <c r="F7625">
        <f t="shared" si="477"/>
        <v>13.5</v>
      </c>
      <c r="G7625">
        <v>88.4</v>
      </c>
      <c r="H7625">
        <v>2.8780000000000001</v>
      </c>
      <c r="I7625">
        <v>3.262</v>
      </c>
      <c r="J7625">
        <v>6</v>
      </c>
      <c r="K7625">
        <v>34</v>
      </c>
      <c r="L7625">
        <v>26</v>
      </c>
      <c r="M7625">
        <v>5.7880000000000003</v>
      </c>
    </row>
    <row r="7626" spans="1:13" ht="15" customHeight="1">
      <c r="A7626" t="s">
        <v>78</v>
      </c>
      <c r="B7626">
        <f t="shared" si="474"/>
        <v>33.695017999999997</v>
      </c>
      <c r="C7626">
        <f t="shared" si="475"/>
        <v>-117.853117</v>
      </c>
      <c r="D7626">
        <f t="shared" si="476"/>
        <v>37</v>
      </c>
      <c r="E7626">
        <v>24.5</v>
      </c>
      <c r="F7626">
        <f t="shared" si="477"/>
        <v>12.5</v>
      </c>
      <c r="G7626">
        <v>32.65</v>
      </c>
      <c r="H7626">
        <v>1.2749999999999999</v>
      </c>
      <c r="I7626">
        <v>3.923</v>
      </c>
      <c r="J7626">
        <v>4</v>
      </c>
      <c r="K7626">
        <v>21</v>
      </c>
      <c r="L7626">
        <v>15</v>
      </c>
      <c r="M7626">
        <v>2.0670000000000002</v>
      </c>
    </row>
    <row r="7627" spans="1:13" ht="15" customHeight="1">
      <c r="A7627" t="s">
        <v>78</v>
      </c>
      <c r="B7627">
        <f t="shared" si="474"/>
        <v>33.695017999999997</v>
      </c>
      <c r="C7627">
        <f t="shared" si="475"/>
        <v>-117.853117</v>
      </c>
      <c r="D7627">
        <f t="shared" si="476"/>
        <v>37</v>
      </c>
      <c r="E7627">
        <v>25.5</v>
      </c>
      <c r="F7627">
        <f t="shared" si="477"/>
        <v>11.5</v>
      </c>
      <c r="G7627">
        <v>36.017000000000003</v>
      </c>
      <c r="H7627">
        <v>1.385</v>
      </c>
      <c r="I7627">
        <v>3.8620000000000001</v>
      </c>
      <c r="J7627">
        <v>5</v>
      </c>
      <c r="K7627">
        <v>17</v>
      </c>
      <c r="L7627">
        <v>12</v>
      </c>
      <c r="M7627">
        <v>2.2869999999999999</v>
      </c>
    </row>
    <row r="7628" spans="1:13" ht="15" customHeight="1">
      <c r="A7628" t="s">
        <v>78</v>
      </c>
      <c r="B7628">
        <f t="shared" si="474"/>
        <v>33.695017999999997</v>
      </c>
      <c r="C7628">
        <f t="shared" si="475"/>
        <v>-117.853117</v>
      </c>
      <c r="D7628">
        <f t="shared" si="476"/>
        <v>37</v>
      </c>
      <c r="E7628">
        <v>26.5</v>
      </c>
      <c r="F7628">
        <f t="shared" si="477"/>
        <v>10.5</v>
      </c>
      <c r="G7628">
        <v>33.866999999999997</v>
      </c>
      <c r="H7628">
        <v>1.5329999999999999</v>
      </c>
      <c r="I7628">
        <v>4.5449999999999999</v>
      </c>
      <c r="J7628">
        <v>4</v>
      </c>
      <c r="K7628">
        <v>22</v>
      </c>
      <c r="L7628">
        <v>16</v>
      </c>
      <c r="M7628">
        <v>2.141</v>
      </c>
    </row>
    <row r="7629" spans="1:13" ht="15" customHeight="1">
      <c r="A7629" t="s">
        <v>78</v>
      </c>
      <c r="B7629">
        <f t="shared" si="474"/>
        <v>33.695017999999997</v>
      </c>
      <c r="C7629">
        <f t="shared" si="475"/>
        <v>-117.853117</v>
      </c>
      <c r="D7629">
        <f t="shared" si="476"/>
        <v>37</v>
      </c>
      <c r="E7629">
        <v>27.5</v>
      </c>
      <c r="F7629">
        <f t="shared" si="477"/>
        <v>9.5</v>
      </c>
      <c r="G7629">
        <v>34.116999999999997</v>
      </c>
      <c r="H7629">
        <v>1.353</v>
      </c>
      <c r="I7629">
        <v>3.9860000000000002</v>
      </c>
      <c r="J7629">
        <v>4</v>
      </c>
      <c r="K7629">
        <v>22</v>
      </c>
      <c r="L7629">
        <v>15</v>
      </c>
      <c r="M7629">
        <v>2.1509999999999998</v>
      </c>
    </row>
    <row r="7630" spans="1:13" ht="15" customHeight="1">
      <c r="A7630" t="s">
        <v>78</v>
      </c>
      <c r="B7630">
        <f t="shared" si="474"/>
        <v>33.695017999999997</v>
      </c>
      <c r="C7630">
        <f t="shared" si="475"/>
        <v>-117.853117</v>
      </c>
      <c r="D7630">
        <f t="shared" si="476"/>
        <v>37</v>
      </c>
      <c r="E7630">
        <v>28.5</v>
      </c>
      <c r="F7630">
        <f t="shared" si="477"/>
        <v>8.5</v>
      </c>
      <c r="G7630">
        <v>45.183</v>
      </c>
      <c r="H7630">
        <v>2.0649999999999999</v>
      </c>
      <c r="I7630">
        <v>4.5819999999999999</v>
      </c>
      <c r="J7630">
        <v>4</v>
      </c>
      <c r="K7630">
        <v>29</v>
      </c>
      <c r="L7630">
        <v>20</v>
      </c>
      <c r="M7630">
        <v>2.8879999999999999</v>
      </c>
    </row>
    <row r="7631" spans="1:13" ht="15" customHeight="1">
      <c r="A7631" t="s">
        <v>78</v>
      </c>
      <c r="B7631">
        <f t="shared" si="474"/>
        <v>33.695017999999997</v>
      </c>
      <c r="C7631">
        <f t="shared" si="475"/>
        <v>-117.853117</v>
      </c>
      <c r="D7631">
        <f t="shared" si="476"/>
        <v>37</v>
      </c>
      <c r="E7631">
        <v>29.5</v>
      </c>
      <c r="F7631">
        <f t="shared" si="477"/>
        <v>7.5</v>
      </c>
      <c r="G7631">
        <v>34.9</v>
      </c>
      <c r="H7631">
        <v>1.5680000000000001</v>
      </c>
      <c r="I7631">
        <v>4.5110000000000001</v>
      </c>
      <c r="J7631">
        <v>4</v>
      </c>
      <c r="K7631">
        <v>22</v>
      </c>
      <c r="L7631">
        <v>15</v>
      </c>
      <c r="M7631">
        <v>2.1970000000000001</v>
      </c>
    </row>
    <row r="7632" spans="1:13" ht="15" customHeight="1">
      <c r="A7632" t="s">
        <v>78</v>
      </c>
      <c r="B7632">
        <f t="shared" si="474"/>
        <v>33.695017999999997</v>
      </c>
      <c r="C7632">
        <f t="shared" si="475"/>
        <v>-117.853117</v>
      </c>
      <c r="D7632">
        <f t="shared" si="476"/>
        <v>37</v>
      </c>
      <c r="E7632">
        <v>30.5</v>
      </c>
      <c r="F7632">
        <f t="shared" si="477"/>
        <v>6.5</v>
      </c>
      <c r="G7632">
        <v>32.067</v>
      </c>
      <c r="H7632">
        <v>1.3480000000000001</v>
      </c>
      <c r="I7632">
        <v>4.2249999999999996</v>
      </c>
      <c r="J7632">
        <v>4</v>
      </c>
      <c r="K7632">
        <v>20</v>
      </c>
      <c r="L7632">
        <v>13</v>
      </c>
      <c r="M7632">
        <v>2.0030000000000001</v>
      </c>
    </row>
    <row r="7633" spans="1:13" ht="15" customHeight="1">
      <c r="A7633" t="s">
        <v>78</v>
      </c>
      <c r="B7633">
        <f t="shared" si="474"/>
        <v>33.695017999999997</v>
      </c>
      <c r="C7633">
        <f t="shared" si="475"/>
        <v>-117.853117</v>
      </c>
      <c r="D7633">
        <f t="shared" si="476"/>
        <v>37</v>
      </c>
      <c r="E7633">
        <v>31.5</v>
      </c>
      <c r="F7633">
        <f t="shared" si="477"/>
        <v>5.5</v>
      </c>
      <c r="G7633">
        <v>93.813999999999993</v>
      </c>
      <c r="H7633">
        <v>1.9790000000000001</v>
      </c>
      <c r="I7633">
        <v>2.113</v>
      </c>
      <c r="J7633">
        <v>7</v>
      </c>
      <c r="K7633">
        <v>30</v>
      </c>
      <c r="L7633">
        <v>20</v>
      </c>
      <c r="M7633" s="1">
        <v>9000000000</v>
      </c>
    </row>
    <row r="7634" spans="1:13" ht="15" customHeight="1">
      <c r="A7634" t="s">
        <v>78</v>
      </c>
      <c r="B7634">
        <f t="shared" si="474"/>
        <v>33.695017999999997</v>
      </c>
      <c r="C7634">
        <f t="shared" si="475"/>
        <v>-117.853117</v>
      </c>
      <c r="D7634">
        <f t="shared" si="476"/>
        <v>37</v>
      </c>
      <c r="E7634">
        <v>32.5</v>
      </c>
      <c r="F7634">
        <f t="shared" si="477"/>
        <v>4.5</v>
      </c>
      <c r="G7634">
        <v>78.849999999999994</v>
      </c>
      <c r="H7634">
        <v>2.0470000000000002</v>
      </c>
      <c r="I7634">
        <v>2.5990000000000002</v>
      </c>
      <c r="J7634">
        <v>6</v>
      </c>
      <c r="K7634">
        <v>30</v>
      </c>
      <c r="L7634">
        <v>19</v>
      </c>
      <c r="M7634">
        <v>5.1159999999999997</v>
      </c>
    </row>
    <row r="7635" spans="1:13" ht="15" customHeight="1">
      <c r="A7635" t="s">
        <v>78</v>
      </c>
      <c r="B7635">
        <f t="shared" si="474"/>
        <v>33.695017999999997</v>
      </c>
      <c r="C7635">
        <f t="shared" si="475"/>
        <v>-117.853117</v>
      </c>
      <c r="D7635">
        <f t="shared" si="476"/>
        <v>37</v>
      </c>
      <c r="E7635">
        <v>33.5</v>
      </c>
      <c r="F7635">
        <f t="shared" si="477"/>
        <v>3.5</v>
      </c>
      <c r="G7635">
        <v>27.683</v>
      </c>
      <c r="H7635">
        <v>0.99</v>
      </c>
      <c r="I7635">
        <v>3.589</v>
      </c>
      <c r="J7635">
        <v>5</v>
      </c>
      <c r="K7635">
        <v>13</v>
      </c>
      <c r="L7635">
        <v>8</v>
      </c>
      <c r="M7635">
        <v>1.702</v>
      </c>
    </row>
    <row r="7636" spans="1:13" ht="15" customHeight="1">
      <c r="A7636" t="s">
        <v>78</v>
      </c>
      <c r="B7636">
        <f t="shared" si="474"/>
        <v>33.695017999999997</v>
      </c>
      <c r="C7636">
        <f t="shared" si="475"/>
        <v>-117.853117</v>
      </c>
      <c r="D7636">
        <f t="shared" si="476"/>
        <v>37</v>
      </c>
      <c r="E7636">
        <v>34.5</v>
      </c>
      <c r="F7636">
        <f t="shared" si="477"/>
        <v>2.5</v>
      </c>
      <c r="G7636">
        <v>164.56700000000001</v>
      </c>
      <c r="H7636">
        <v>3.6880000000000002</v>
      </c>
      <c r="I7636">
        <v>2.242</v>
      </c>
      <c r="J7636">
        <v>7</v>
      </c>
      <c r="K7636">
        <v>53</v>
      </c>
      <c r="L7636">
        <v>33</v>
      </c>
      <c r="M7636" s="1">
        <v>9000000000</v>
      </c>
    </row>
    <row r="7637" spans="1:13" ht="15" customHeight="1">
      <c r="A7637" t="s">
        <v>78</v>
      </c>
      <c r="B7637">
        <f t="shared" si="474"/>
        <v>33.695017999999997</v>
      </c>
      <c r="C7637">
        <f t="shared" si="475"/>
        <v>-117.853117</v>
      </c>
      <c r="D7637">
        <f t="shared" si="476"/>
        <v>37</v>
      </c>
      <c r="E7637">
        <v>35.5</v>
      </c>
      <c r="F7637">
        <f t="shared" si="477"/>
        <v>1.5</v>
      </c>
      <c r="G7637">
        <v>275.31700000000001</v>
      </c>
      <c r="H7637">
        <v>5.1520000000000001</v>
      </c>
      <c r="I7637">
        <v>1.8720000000000001</v>
      </c>
      <c r="J7637">
        <v>8</v>
      </c>
      <c r="K7637">
        <v>66</v>
      </c>
      <c r="L7637">
        <v>41</v>
      </c>
      <c r="M7637" s="1">
        <v>9000000000</v>
      </c>
    </row>
    <row r="7638" spans="1:13" ht="15" customHeight="1">
      <c r="A7638" t="s">
        <v>78</v>
      </c>
      <c r="B7638">
        <f t="shared" si="474"/>
        <v>33.695017999999997</v>
      </c>
      <c r="C7638">
        <f t="shared" si="475"/>
        <v>-117.853117</v>
      </c>
      <c r="D7638">
        <f t="shared" si="476"/>
        <v>37</v>
      </c>
      <c r="E7638">
        <v>36.5</v>
      </c>
      <c r="F7638">
        <f t="shared" si="477"/>
        <v>0.5</v>
      </c>
      <c r="G7638">
        <v>229.28299999999999</v>
      </c>
      <c r="H7638">
        <v>4.09</v>
      </c>
      <c r="I7638">
        <v>1.7849999999999999</v>
      </c>
      <c r="J7638">
        <v>8</v>
      </c>
      <c r="K7638">
        <v>55</v>
      </c>
      <c r="L7638">
        <v>34</v>
      </c>
      <c r="M7638" s="1">
        <v>9000000000</v>
      </c>
    </row>
    <row r="7639" spans="1:13" ht="15" customHeight="1">
      <c r="A7639" t="s">
        <v>78</v>
      </c>
      <c r="B7639">
        <f t="shared" si="474"/>
        <v>33.695017999999997</v>
      </c>
      <c r="C7639">
        <f t="shared" si="475"/>
        <v>-117.853117</v>
      </c>
      <c r="D7639">
        <f t="shared" si="476"/>
        <v>37</v>
      </c>
      <c r="E7639">
        <v>37.5</v>
      </c>
      <c r="F7639">
        <f t="shared" si="477"/>
        <v>-0.5</v>
      </c>
      <c r="G7639">
        <v>94.367000000000004</v>
      </c>
      <c r="H7639">
        <v>3.64</v>
      </c>
      <c r="I7639">
        <v>3.8650000000000002</v>
      </c>
      <c r="J7639">
        <v>5</v>
      </c>
      <c r="K7639">
        <v>45</v>
      </c>
      <c r="L7639">
        <v>27</v>
      </c>
      <c r="M7639">
        <v>6.1260000000000003</v>
      </c>
    </row>
    <row r="7640" spans="1:13" ht="15" customHeight="1">
      <c r="A7640" t="s">
        <v>78</v>
      </c>
      <c r="B7640">
        <f t="shared" si="474"/>
        <v>33.695017999999997</v>
      </c>
      <c r="C7640">
        <f t="shared" si="475"/>
        <v>-117.853117</v>
      </c>
      <c r="D7640">
        <f t="shared" si="476"/>
        <v>37</v>
      </c>
      <c r="E7640">
        <v>38.5</v>
      </c>
      <c r="F7640">
        <f t="shared" si="477"/>
        <v>-1.5</v>
      </c>
      <c r="G7640">
        <v>39.067</v>
      </c>
      <c r="H7640">
        <v>1.5169999999999999</v>
      </c>
      <c r="I7640">
        <v>3.8969999999999998</v>
      </c>
      <c r="J7640">
        <v>5</v>
      </c>
      <c r="K7640">
        <v>19</v>
      </c>
      <c r="L7640">
        <v>11</v>
      </c>
      <c r="M7640">
        <v>2.4369999999999998</v>
      </c>
    </row>
    <row r="7641" spans="1:13" ht="15" customHeight="1">
      <c r="A7641" t="s">
        <v>78</v>
      </c>
      <c r="B7641">
        <f t="shared" si="474"/>
        <v>33.695017999999997</v>
      </c>
      <c r="C7641">
        <f t="shared" si="475"/>
        <v>-117.853117</v>
      </c>
      <c r="D7641">
        <f t="shared" si="476"/>
        <v>37</v>
      </c>
      <c r="E7641">
        <v>39.5</v>
      </c>
      <c r="F7641">
        <f t="shared" si="477"/>
        <v>-2.5</v>
      </c>
      <c r="G7641">
        <v>171.483</v>
      </c>
      <c r="H7641">
        <v>2.9369999999999998</v>
      </c>
      <c r="I7641">
        <v>1.714</v>
      </c>
      <c r="J7641">
        <v>8</v>
      </c>
      <c r="K7641">
        <v>41</v>
      </c>
      <c r="L7641">
        <v>24</v>
      </c>
      <c r="M7641" s="1">
        <v>9000000000</v>
      </c>
    </row>
    <row r="7642" spans="1:13" ht="15" customHeight="1">
      <c r="A7642" t="s">
        <v>78</v>
      </c>
      <c r="B7642">
        <f t="shared" si="474"/>
        <v>33.695017999999997</v>
      </c>
      <c r="C7642">
        <f t="shared" si="475"/>
        <v>-117.853117</v>
      </c>
      <c r="D7642">
        <f t="shared" si="476"/>
        <v>37</v>
      </c>
      <c r="E7642">
        <v>40.5</v>
      </c>
      <c r="F7642">
        <f t="shared" si="477"/>
        <v>-3.5</v>
      </c>
      <c r="G7642">
        <v>223.45</v>
      </c>
      <c r="H7642">
        <v>4.125</v>
      </c>
      <c r="I7642">
        <v>1.847</v>
      </c>
      <c r="J7642">
        <v>8</v>
      </c>
      <c r="K7642">
        <v>53</v>
      </c>
      <c r="L7642">
        <v>31</v>
      </c>
      <c r="M7642" s="1">
        <v>9000000000</v>
      </c>
    </row>
    <row r="7643" spans="1:13" ht="15" customHeight="1">
      <c r="A7643" t="s">
        <v>78</v>
      </c>
      <c r="B7643">
        <f t="shared" si="474"/>
        <v>33.695017999999997</v>
      </c>
      <c r="C7643">
        <f t="shared" si="475"/>
        <v>-117.853117</v>
      </c>
      <c r="D7643">
        <f t="shared" si="476"/>
        <v>37</v>
      </c>
      <c r="E7643">
        <v>41.499000000000002</v>
      </c>
      <c r="F7643">
        <f t="shared" si="477"/>
        <v>-4.4990000000000023</v>
      </c>
      <c r="G7643">
        <v>42.628999999999998</v>
      </c>
      <c r="H7643">
        <v>1.2509999999999999</v>
      </c>
      <c r="I7643">
        <v>2.9369999999999998</v>
      </c>
      <c r="J7643">
        <v>6</v>
      </c>
      <c r="K7643">
        <v>16</v>
      </c>
      <c r="L7643">
        <v>9</v>
      </c>
      <c r="M7643">
        <v>2.6709999999999998</v>
      </c>
    </row>
    <row r="7644" spans="1:13" ht="15" customHeight="1">
      <c r="A7644" t="s">
        <v>78</v>
      </c>
      <c r="B7644">
        <f t="shared" si="474"/>
        <v>33.695017999999997</v>
      </c>
      <c r="C7644">
        <f t="shared" si="475"/>
        <v>-117.853117</v>
      </c>
      <c r="D7644">
        <f t="shared" si="476"/>
        <v>37</v>
      </c>
      <c r="E7644">
        <v>42.499000000000002</v>
      </c>
      <c r="F7644">
        <f t="shared" si="477"/>
        <v>-5.4990000000000023</v>
      </c>
      <c r="G7644">
        <v>30.016999999999999</v>
      </c>
      <c r="H7644">
        <v>0.72499999999999998</v>
      </c>
      <c r="I7644">
        <v>2.3639999999999999</v>
      </c>
      <c r="J7644">
        <v>6</v>
      </c>
      <c r="K7644">
        <v>12</v>
      </c>
      <c r="L7644">
        <v>7</v>
      </c>
      <c r="M7644">
        <v>1.87</v>
      </c>
    </row>
    <row r="7645" spans="1:13" ht="15" customHeight="1">
      <c r="A7645" t="s">
        <v>78</v>
      </c>
      <c r="B7645">
        <f t="shared" si="474"/>
        <v>33.695017999999997</v>
      </c>
      <c r="C7645">
        <f t="shared" si="475"/>
        <v>-117.853117</v>
      </c>
      <c r="D7645">
        <f t="shared" si="476"/>
        <v>37</v>
      </c>
      <c r="E7645">
        <v>43.499000000000002</v>
      </c>
      <c r="F7645">
        <f t="shared" si="477"/>
        <v>-6.4990000000000023</v>
      </c>
      <c r="G7645">
        <v>91.683000000000007</v>
      </c>
      <c r="H7645">
        <v>2.8679999999999999</v>
      </c>
      <c r="I7645">
        <v>3.117</v>
      </c>
      <c r="J7645">
        <v>6</v>
      </c>
      <c r="K7645">
        <v>35</v>
      </c>
      <c r="L7645">
        <v>20</v>
      </c>
      <c r="M7645">
        <v>5.9569999999999999</v>
      </c>
    </row>
    <row r="7646" spans="1:13" ht="15" customHeight="1">
      <c r="A7646" t="s">
        <v>78</v>
      </c>
      <c r="B7646">
        <f t="shared" si="474"/>
        <v>33.695017999999997</v>
      </c>
      <c r="C7646">
        <f t="shared" si="475"/>
        <v>-117.853117</v>
      </c>
      <c r="D7646">
        <f t="shared" si="476"/>
        <v>37</v>
      </c>
      <c r="E7646">
        <v>44.499000000000002</v>
      </c>
      <c r="F7646">
        <f t="shared" si="477"/>
        <v>-7.4990000000000023</v>
      </c>
      <c r="G7646">
        <v>230.5</v>
      </c>
      <c r="H7646">
        <v>3.427</v>
      </c>
      <c r="I7646">
        <v>1.488</v>
      </c>
      <c r="J7646">
        <v>8</v>
      </c>
      <c r="K7646">
        <v>55</v>
      </c>
      <c r="L7646">
        <v>31</v>
      </c>
      <c r="M7646" s="1">
        <v>9000000000</v>
      </c>
    </row>
    <row r="7647" spans="1:13" ht="15" customHeight="1">
      <c r="A7647" t="s">
        <v>78</v>
      </c>
      <c r="B7647">
        <f t="shared" si="474"/>
        <v>33.695017999999997</v>
      </c>
      <c r="C7647">
        <f t="shared" si="475"/>
        <v>-117.853117</v>
      </c>
      <c r="D7647">
        <f t="shared" si="476"/>
        <v>37</v>
      </c>
      <c r="E7647">
        <v>45.499000000000002</v>
      </c>
      <c r="F7647">
        <f t="shared" si="477"/>
        <v>-8.4990000000000023</v>
      </c>
      <c r="G7647">
        <v>70.966999999999999</v>
      </c>
      <c r="H7647">
        <v>2.2250000000000001</v>
      </c>
      <c r="I7647">
        <v>3.1440000000000001</v>
      </c>
      <c r="J7647">
        <v>6</v>
      </c>
      <c r="K7647">
        <v>27</v>
      </c>
      <c r="L7647">
        <v>15</v>
      </c>
      <c r="M7647">
        <v>4.5309999999999997</v>
      </c>
    </row>
    <row r="7648" spans="1:13" ht="15" customHeight="1">
      <c r="A7648" t="s">
        <v>78</v>
      </c>
      <c r="B7648">
        <f t="shared" si="474"/>
        <v>33.695017999999997</v>
      </c>
      <c r="C7648">
        <f t="shared" si="475"/>
        <v>-117.853117</v>
      </c>
      <c r="D7648">
        <f t="shared" si="476"/>
        <v>37</v>
      </c>
      <c r="E7648">
        <v>46.499000000000002</v>
      </c>
      <c r="F7648">
        <f t="shared" si="477"/>
        <v>-9.4990000000000023</v>
      </c>
      <c r="G7648">
        <v>29.25</v>
      </c>
      <c r="H7648">
        <v>0.73199999999999998</v>
      </c>
      <c r="I7648">
        <v>2.5139999999999998</v>
      </c>
      <c r="J7648">
        <v>6</v>
      </c>
      <c r="K7648">
        <v>11</v>
      </c>
      <c r="L7648">
        <v>6</v>
      </c>
      <c r="M7648">
        <v>1.7490000000000001</v>
      </c>
    </row>
    <row r="7649" spans="1:13" ht="15" customHeight="1">
      <c r="A7649" t="s">
        <v>78</v>
      </c>
      <c r="B7649">
        <f t="shared" si="474"/>
        <v>33.695017999999997</v>
      </c>
      <c r="C7649">
        <f t="shared" si="475"/>
        <v>-117.853117</v>
      </c>
      <c r="D7649">
        <f t="shared" si="476"/>
        <v>37</v>
      </c>
      <c r="E7649">
        <v>47.499000000000002</v>
      </c>
      <c r="F7649">
        <f t="shared" si="477"/>
        <v>-10.499000000000002</v>
      </c>
      <c r="G7649">
        <v>55.883000000000003</v>
      </c>
      <c r="H7649">
        <v>1.7230000000000001</v>
      </c>
      <c r="I7649">
        <v>3.089</v>
      </c>
      <c r="J7649">
        <v>6</v>
      </c>
      <c r="K7649">
        <v>21</v>
      </c>
      <c r="L7649">
        <v>11</v>
      </c>
      <c r="M7649">
        <v>3.524</v>
      </c>
    </row>
    <row r="7650" spans="1:13" ht="15" customHeight="1">
      <c r="A7650" t="s">
        <v>78</v>
      </c>
      <c r="B7650">
        <f t="shared" si="474"/>
        <v>33.695017999999997</v>
      </c>
      <c r="C7650">
        <f t="shared" si="475"/>
        <v>-117.853117</v>
      </c>
      <c r="D7650">
        <f t="shared" si="476"/>
        <v>37</v>
      </c>
      <c r="E7650">
        <v>48.499000000000002</v>
      </c>
      <c r="F7650">
        <f t="shared" si="477"/>
        <v>-11.499000000000002</v>
      </c>
      <c r="G7650">
        <v>71.05</v>
      </c>
      <c r="H7650">
        <v>3.052</v>
      </c>
      <c r="I7650">
        <v>4.3049999999999997</v>
      </c>
      <c r="J7650">
        <v>5</v>
      </c>
      <c r="K7650">
        <v>34</v>
      </c>
      <c r="L7650">
        <v>18</v>
      </c>
      <c r="M7650">
        <v>4.5259999999999998</v>
      </c>
    </row>
    <row r="7651" spans="1:13" ht="15" customHeight="1">
      <c r="A7651" t="s">
        <v>78</v>
      </c>
      <c r="B7651">
        <f t="shared" si="474"/>
        <v>33.695017999999997</v>
      </c>
      <c r="C7651">
        <f t="shared" si="475"/>
        <v>-117.853117</v>
      </c>
      <c r="D7651">
        <f t="shared" si="476"/>
        <v>37</v>
      </c>
      <c r="E7651">
        <v>49.499000000000002</v>
      </c>
      <c r="F7651">
        <f t="shared" si="477"/>
        <v>-12.499000000000002</v>
      </c>
      <c r="G7651">
        <v>34.75</v>
      </c>
      <c r="H7651">
        <v>1.1020000000000001</v>
      </c>
      <c r="I7651">
        <v>3.1819999999999999</v>
      </c>
      <c r="J7651">
        <v>5</v>
      </c>
      <c r="K7651">
        <v>17</v>
      </c>
      <c r="L7651">
        <v>9</v>
      </c>
      <c r="M7651">
        <v>2.1040000000000001</v>
      </c>
    </row>
    <row r="7652" spans="1:13" ht="15" customHeight="1">
      <c r="A7652" t="s">
        <v>78</v>
      </c>
      <c r="B7652">
        <f t="shared" si="474"/>
        <v>33.695017999999997</v>
      </c>
      <c r="C7652">
        <f t="shared" si="475"/>
        <v>-117.853117</v>
      </c>
      <c r="D7652">
        <f t="shared" si="476"/>
        <v>37</v>
      </c>
      <c r="E7652">
        <v>50.499000000000002</v>
      </c>
      <c r="F7652">
        <f t="shared" si="477"/>
        <v>-13.499000000000002</v>
      </c>
      <c r="G7652">
        <v>25.05</v>
      </c>
      <c r="H7652">
        <v>0.94499999999999995</v>
      </c>
      <c r="I7652">
        <v>3.7930000000000001</v>
      </c>
      <c r="J7652">
        <v>4</v>
      </c>
      <c r="K7652">
        <v>16</v>
      </c>
      <c r="L7652">
        <v>8</v>
      </c>
      <c r="M7652">
        <v>1.454</v>
      </c>
    </row>
    <row r="7653" spans="1:13" ht="15" customHeight="1">
      <c r="A7653" t="s">
        <v>78</v>
      </c>
      <c r="B7653">
        <f t="shared" si="474"/>
        <v>33.695017999999997</v>
      </c>
      <c r="C7653">
        <f t="shared" si="475"/>
        <v>-117.853117</v>
      </c>
      <c r="D7653">
        <f t="shared" si="476"/>
        <v>37</v>
      </c>
      <c r="E7653">
        <v>51.499000000000002</v>
      </c>
      <c r="F7653">
        <f t="shared" si="477"/>
        <v>-14.499000000000002</v>
      </c>
      <c r="G7653">
        <v>25.016999999999999</v>
      </c>
      <c r="H7653">
        <v>0.84499999999999997</v>
      </c>
      <c r="I7653">
        <v>3.3980000000000001</v>
      </c>
      <c r="J7653">
        <v>5</v>
      </c>
      <c r="K7653">
        <v>12</v>
      </c>
      <c r="L7653">
        <v>6</v>
      </c>
      <c r="M7653">
        <v>1.446</v>
      </c>
    </row>
    <row r="7654" spans="1:13" ht="15" customHeight="1">
      <c r="A7654" t="s">
        <v>78</v>
      </c>
      <c r="B7654">
        <f t="shared" si="474"/>
        <v>33.695017999999997</v>
      </c>
      <c r="C7654">
        <f t="shared" si="475"/>
        <v>-117.853117</v>
      </c>
      <c r="D7654">
        <f t="shared" si="476"/>
        <v>37</v>
      </c>
      <c r="E7654">
        <v>52.499000000000002</v>
      </c>
      <c r="F7654">
        <f t="shared" si="477"/>
        <v>-15.499000000000002</v>
      </c>
      <c r="G7654">
        <v>24.7</v>
      </c>
      <c r="H7654">
        <v>0.84099999999999997</v>
      </c>
      <c r="I7654">
        <v>3.4260000000000002</v>
      </c>
      <c r="J7654">
        <v>5</v>
      </c>
      <c r="K7654">
        <v>12</v>
      </c>
      <c r="L7654">
        <v>6</v>
      </c>
      <c r="M7654">
        <v>1.421</v>
      </c>
    </row>
    <row r="7655" spans="1:13" ht="15" customHeight="1">
      <c r="A7655" t="s">
        <v>78</v>
      </c>
      <c r="B7655">
        <f t="shared" si="474"/>
        <v>33.695017999999997</v>
      </c>
      <c r="C7655">
        <f t="shared" si="475"/>
        <v>-117.853117</v>
      </c>
      <c r="D7655">
        <f t="shared" si="476"/>
        <v>37</v>
      </c>
      <c r="E7655">
        <v>53.499000000000002</v>
      </c>
      <c r="F7655">
        <f t="shared" si="477"/>
        <v>-16.499000000000002</v>
      </c>
      <c r="G7655">
        <v>27.832999999999998</v>
      </c>
      <c r="H7655">
        <v>0.97799999999999998</v>
      </c>
      <c r="I7655">
        <v>3.53</v>
      </c>
      <c r="J7655">
        <v>5</v>
      </c>
      <c r="K7655">
        <v>13</v>
      </c>
      <c r="L7655">
        <v>7</v>
      </c>
      <c r="M7655">
        <v>1.6279999999999999</v>
      </c>
    </row>
    <row r="7656" spans="1:13" ht="15" customHeight="1">
      <c r="A7656" t="s">
        <v>78</v>
      </c>
      <c r="B7656">
        <f t="shared" si="474"/>
        <v>33.695017999999997</v>
      </c>
      <c r="C7656">
        <f t="shared" si="475"/>
        <v>-117.853117</v>
      </c>
      <c r="D7656">
        <f t="shared" si="476"/>
        <v>37</v>
      </c>
      <c r="E7656">
        <v>54.499000000000002</v>
      </c>
      <c r="F7656">
        <f t="shared" si="477"/>
        <v>-17.499000000000002</v>
      </c>
      <c r="G7656">
        <v>39.700000000000003</v>
      </c>
      <c r="H7656">
        <v>1.5429999999999999</v>
      </c>
      <c r="I7656">
        <v>3.9020000000000001</v>
      </c>
      <c r="J7656">
        <v>5</v>
      </c>
      <c r="K7656">
        <v>19</v>
      </c>
      <c r="L7656">
        <v>10</v>
      </c>
      <c r="M7656">
        <v>2.4119999999999999</v>
      </c>
    </row>
    <row r="7657" spans="1:13" ht="15" customHeight="1">
      <c r="A7657" t="s">
        <v>78</v>
      </c>
      <c r="B7657">
        <f t="shared" si="474"/>
        <v>33.695017999999997</v>
      </c>
      <c r="C7657">
        <f t="shared" si="475"/>
        <v>-117.853117</v>
      </c>
      <c r="D7657">
        <f t="shared" si="476"/>
        <v>37</v>
      </c>
      <c r="E7657">
        <v>55.499000000000002</v>
      </c>
      <c r="F7657">
        <f t="shared" si="477"/>
        <v>-18.499000000000002</v>
      </c>
      <c r="G7657">
        <v>109.483</v>
      </c>
      <c r="H7657">
        <v>3.9529999999999998</v>
      </c>
      <c r="I7657">
        <v>3.6139999999999999</v>
      </c>
      <c r="J7657">
        <v>6</v>
      </c>
      <c r="K7657">
        <v>42</v>
      </c>
      <c r="L7657">
        <v>21</v>
      </c>
      <c r="M7657">
        <v>7.0650000000000004</v>
      </c>
    </row>
    <row r="7658" spans="1:13" ht="15" customHeight="1">
      <c r="A7658" t="s">
        <v>78</v>
      </c>
      <c r="B7658">
        <f t="shared" si="474"/>
        <v>33.695017999999997</v>
      </c>
      <c r="C7658">
        <f t="shared" si="475"/>
        <v>-117.853117</v>
      </c>
      <c r="D7658">
        <f t="shared" si="476"/>
        <v>37</v>
      </c>
      <c r="E7658">
        <v>56.499000000000002</v>
      </c>
      <c r="F7658">
        <f t="shared" si="477"/>
        <v>-19.499000000000002</v>
      </c>
      <c r="G7658">
        <v>129.46700000000001</v>
      </c>
      <c r="H7658">
        <v>4.6769999999999996</v>
      </c>
      <c r="I7658">
        <v>3.617</v>
      </c>
      <c r="J7658">
        <v>6</v>
      </c>
      <c r="K7658">
        <v>50</v>
      </c>
      <c r="L7658">
        <v>25</v>
      </c>
      <c r="M7658">
        <v>8.3870000000000005</v>
      </c>
    </row>
    <row r="7659" spans="1:13" ht="15" customHeight="1">
      <c r="A7659" t="s">
        <v>78</v>
      </c>
      <c r="B7659">
        <f t="shared" si="474"/>
        <v>33.695017999999997</v>
      </c>
      <c r="C7659">
        <f t="shared" si="475"/>
        <v>-117.853117</v>
      </c>
      <c r="D7659">
        <f t="shared" si="476"/>
        <v>37</v>
      </c>
      <c r="E7659">
        <v>57.499000000000002</v>
      </c>
      <c r="F7659">
        <f t="shared" si="477"/>
        <v>-20.499000000000002</v>
      </c>
      <c r="G7659">
        <v>28.667000000000002</v>
      </c>
      <c r="H7659">
        <v>1.038</v>
      </c>
      <c r="I7659">
        <v>3.645</v>
      </c>
      <c r="J7659">
        <v>5</v>
      </c>
      <c r="K7659">
        <v>14</v>
      </c>
      <c r="L7659">
        <v>7</v>
      </c>
      <c r="M7659">
        <v>1.6619999999999999</v>
      </c>
    </row>
    <row r="7660" spans="1:13" ht="15" customHeight="1">
      <c r="A7660" t="s">
        <v>78</v>
      </c>
      <c r="B7660">
        <f t="shared" si="474"/>
        <v>33.695017999999997</v>
      </c>
      <c r="C7660">
        <f t="shared" si="475"/>
        <v>-117.853117</v>
      </c>
      <c r="D7660">
        <f t="shared" si="476"/>
        <v>37</v>
      </c>
      <c r="E7660">
        <v>58.499000000000002</v>
      </c>
      <c r="F7660">
        <f t="shared" si="477"/>
        <v>-21.499000000000002</v>
      </c>
      <c r="G7660">
        <v>38.267000000000003</v>
      </c>
      <c r="H7660">
        <v>1.5129999999999999</v>
      </c>
      <c r="I7660">
        <v>3.97</v>
      </c>
      <c r="J7660">
        <v>5</v>
      </c>
      <c r="K7660">
        <v>18</v>
      </c>
      <c r="L7660">
        <v>9</v>
      </c>
      <c r="M7660">
        <v>2.2999999999999998</v>
      </c>
    </row>
    <row r="7661" spans="1:13" ht="15" customHeight="1">
      <c r="A7661" t="s">
        <v>78</v>
      </c>
      <c r="B7661">
        <f t="shared" si="474"/>
        <v>33.695017999999997</v>
      </c>
      <c r="C7661">
        <f t="shared" si="475"/>
        <v>-117.853117</v>
      </c>
      <c r="D7661">
        <f t="shared" si="476"/>
        <v>37</v>
      </c>
      <c r="E7661">
        <v>59.499000000000002</v>
      </c>
      <c r="F7661">
        <f t="shared" si="477"/>
        <v>-22.499000000000002</v>
      </c>
      <c r="G7661">
        <v>65.933000000000007</v>
      </c>
      <c r="H7661">
        <v>1.9970000000000001</v>
      </c>
      <c r="I7661">
        <v>3.0329999999999999</v>
      </c>
      <c r="J7661">
        <v>6</v>
      </c>
      <c r="K7661">
        <v>25</v>
      </c>
      <c r="L7661">
        <v>13</v>
      </c>
      <c r="M7661">
        <v>4.1440000000000001</v>
      </c>
    </row>
    <row r="7662" spans="1:13" ht="15" customHeight="1">
      <c r="A7662" t="s">
        <v>78</v>
      </c>
      <c r="B7662">
        <f t="shared" si="474"/>
        <v>33.695017999999997</v>
      </c>
      <c r="C7662">
        <f t="shared" si="475"/>
        <v>-117.853117</v>
      </c>
      <c r="D7662">
        <f t="shared" si="476"/>
        <v>37</v>
      </c>
      <c r="E7662">
        <v>60.499000000000002</v>
      </c>
      <c r="F7662">
        <f t="shared" si="477"/>
        <v>-23.499000000000002</v>
      </c>
      <c r="G7662">
        <v>237.68299999999999</v>
      </c>
      <c r="H7662">
        <v>4.7770000000000001</v>
      </c>
      <c r="I7662">
        <v>2.0110000000000001</v>
      </c>
      <c r="J7662">
        <v>8</v>
      </c>
      <c r="K7662">
        <v>57</v>
      </c>
      <c r="L7662">
        <v>29</v>
      </c>
      <c r="M7662" s="1">
        <v>9000000000</v>
      </c>
    </row>
    <row r="7663" spans="1:13" ht="15" customHeight="1">
      <c r="A7663" t="s">
        <v>78</v>
      </c>
      <c r="B7663">
        <f t="shared" si="474"/>
        <v>33.695017999999997</v>
      </c>
      <c r="C7663">
        <f t="shared" si="475"/>
        <v>-117.853117</v>
      </c>
      <c r="D7663">
        <f t="shared" si="476"/>
        <v>37</v>
      </c>
      <c r="E7663">
        <v>61.499000000000002</v>
      </c>
      <c r="F7663">
        <f t="shared" si="477"/>
        <v>-24.499000000000002</v>
      </c>
      <c r="G7663">
        <v>198.583</v>
      </c>
      <c r="H7663">
        <v>3.3050000000000002</v>
      </c>
      <c r="I7663">
        <v>1.6659999999999999</v>
      </c>
      <c r="J7663">
        <v>8</v>
      </c>
      <c r="K7663">
        <v>48</v>
      </c>
      <c r="L7663">
        <v>24</v>
      </c>
      <c r="M7663" s="1">
        <v>9000000000</v>
      </c>
    </row>
    <row r="7664" spans="1:13" ht="15" customHeight="1">
      <c r="A7664" t="s">
        <v>78</v>
      </c>
      <c r="B7664">
        <f t="shared" si="474"/>
        <v>33.695017999999997</v>
      </c>
      <c r="C7664">
        <f t="shared" si="475"/>
        <v>-117.853117</v>
      </c>
      <c r="D7664">
        <f t="shared" si="476"/>
        <v>37</v>
      </c>
      <c r="E7664">
        <v>62.499000000000002</v>
      </c>
      <c r="F7664">
        <f t="shared" si="477"/>
        <v>-25.499000000000002</v>
      </c>
      <c r="G7664">
        <v>79.414000000000001</v>
      </c>
      <c r="H7664">
        <v>2.97</v>
      </c>
      <c r="I7664">
        <v>3.7490000000000001</v>
      </c>
      <c r="J7664">
        <v>5</v>
      </c>
      <c r="K7664">
        <v>38</v>
      </c>
      <c r="L7664">
        <v>19</v>
      </c>
      <c r="M7664">
        <v>5.024</v>
      </c>
    </row>
    <row r="7665" spans="1:13" ht="15" customHeight="1">
      <c r="A7665" t="s">
        <v>78</v>
      </c>
      <c r="B7665">
        <f t="shared" si="474"/>
        <v>33.695017999999997</v>
      </c>
      <c r="C7665">
        <f t="shared" si="475"/>
        <v>-117.853117</v>
      </c>
      <c r="D7665">
        <f t="shared" si="476"/>
        <v>37</v>
      </c>
      <c r="E7665">
        <v>63.499000000000002</v>
      </c>
      <c r="F7665">
        <f t="shared" si="477"/>
        <v>-26.499000000000002</v>
      </c>
      <c r="G7665">
        <v>82.983000000000004</v>
      </c>
      <c r="H7665">
        <v>3.4830000000000001</v>
      </c>
      <c r="I7665">
        <v>4.2060000000000004</v>
      </c>
      <c r="J7665">
        <v>5</v>
      </c>
      <c r="K7665">
        <v>40</v>
      </c>
      <c r="L7665">
        <v>20</v>
      </c>
      <c r="M7665">
        <v>5.2590000000000003</v>
      </c>
    </row>
    <row r="7666" spans="1:13" ht="15" customHeight="1">
      <c r="A7666" t="s">
        <v>78</v>
      </c>
      <c r="B7666">
        <f t="shared" si="474"/>
        <v>33.695017999999997</v>
      </c>
      <c r="C7666">
        <f t="shared" si="475"/>
        <v>-117.853117</v>
      </c>
      <c r="D7666">
        <f t="shared" si="476"/>
        <v>37</v>
      </c>
      <c r="E7666">
        <v>64.498999999999995</v>
      </c>
      <c r="F7666">
        <f t="shared" si="477"/>
        <v>-27.498999999999995</v>
      </c>
      <c r="G7666">
        <v>79.016999999999996</v>
      </c>
      <c r="H7666">
        <v>3.5569999999999999</v>
      </c>
      <c r="I7666">
        <v>4.51</v>
      </c>
      <c r="J7666">
        <v>5</v>
      </c>
      <c r="K7666">
        <v>38</v>
      </c>
      <c r="L7666">
        <v>19</v>
      </c>
      <c r="M7666">
        <v>4.992</v>
      </c>
    </row>
    <row r="7667" spans="1:13" ht="15" customHeight="1">
      <c r="A7667" t="s">
        <v>78</v>
      </c>
      <c r="B7667">
        <f t="shared" si="474"/>
        <v>33.695017999999997</v>
      </c>
      <c r="C7667">
        <f t="shared" si="475"/>
        <v>-117.853117</v>
      </c>
      <c r="D7667">
        <f t="shared" si="476"/>
        <v>37</v>
      </c>
      <c r="E7667">
        <v>65.498999999999995</v>
      </c>
      <c r="F7667">
        <f t="shared" si="477"/>
        <v>-28.498999999999995</v>
      </c>
      <c r="G7667">
        <v>130.5</v>
      </c>
      <c r="H7667">
        <v>3.7469999999999999</v>
      </c>
      <c r="I7667">
        <v>2.875</v>
      </c>
      <c r="J7667">
        <v>6</v>
      </c>
      <c r="K7667">
        <v>50</v>
      </c>
      <c r="L7667">
        <v>25</v>
      </c>
      <c r="M7667">
        <v>8.4179999999999993</v>
      </c>
    </row>
    <row r="7668" spans="1:13" ht="15" customHeight="1">
      <c r="A7668" t="s">
        <v>78</v>
      </c>
      <c r="B7668">
        <f t="shared" si="474"/>
        <v>33.695017999999997</v>
      </c>
      <c r="C7668">
        <f t="shared" si="475"/>
        <v>-117.853117</v>
      </c>
      <c r="D7668">
        <f t="shared" si="476"/>
        <v>37</v>
      </c>
      <c r="E7668">
        <v>66.498999999999995</v>
      </c>
      <c r="F7668">
        <f t="shared" si="477"/>
        <v>-29.498999999999995</v>
      </c>
      <c r="G7668">
        <v>175.95</v>
      </c>
      <c r="H7668">
        <v>3.1480000000000001</v>
      </c>
      <c r="I7668">
        <v>1.7909999999999999</v>
      </c>
      <c r="J7668">
        <v>8</v>
      </c>
      <c r="K7668">
        <v>42</v>
      </c>
      <c r="L7668">
        <v>21</v>
      </c>
      <c r="M7668" s="1">
        <v>9000000000</v>
      </c>
    </row>
    <row r="7669" spans="1:13" ht="15" customHeight="1">
      <c r="A7669" t="s">
        <v>78</v>
      </c>
      <c r="B7669">
        <f t="shared" si="474"/>
        <v>33.695017999999997</v>
      </c>
      <c r="C7669">
        <f t="shared" si="475"/>
        <v>-117.853117</v>
      </c>
      <c r="D7669">
        <f t="shared" si="476"/>
        <v>37</v>
      </c>
      <c r="E7669">
        <v>67.498999999999995</v>
      </c>
      <c r="F7669">
        <f t="shared" si="477"/>
        <v>-30.498999999999995</v>
      </c>
      <c r="G7669">
        <v>121.55</v>
      </c>
      <c r="H7669">
        <v>3.0870000000000002</v>
      </c>
      <c r="I7669">
        <v>2.5430000000000001</v>
      </c>
      <c r="J7669">
        <v>7</v>
      </c>
      <c r="K7669">
        <v>39</v>
      </c>
      <c r="L7669">
        <v>20</v>
      </c>
      <c r="M7669" s="1">
        <v>9000000000</v>
      </c>
    </row>
    <row r="7670" spans="1:13" ht="15" customHeight="1">
      <c r="A7670" t="s">
        <v>78</v>
      </c>
      <c r="B7670">
        <f t="shared" si="474"/>
        <v>33.695017999999997</v>
      </c>
      <c r="C7670">
        <f t="shared" si="475"/>
        <v>-117.853117</v>
      </c>
      <c r="D7670">
        <f t="shared" si="476"/>
        <v>37</v>
      </c>
      <c r="E7670">
        <v>68.498999999999995</v>
      </c>
      <c r="F7670">
        <f t="shared" si="477"/>
        <v>-31.498999999999995</v>
      </c>
      <c r="G7670">
        <v>131.19999999999999</v>
      </c>
      <c r="H7670">
        <v>2.1219999999999999</v>
      </c>
      <c r="I7670">
        <v>1.619</v>
      </c>
      <c r="J7670">
        <v>8</v>
      </c>
      <c r="K7670">
        <v>31</v>
      </c>
      <c r="L7670">
        <v>16</v>
      </c>
      <c r="M7670" s="1">
        <v>9000000000</v>
      </c>
    </row>
    <row r="7671" spans="1:13" ht="15" customHeight="1">
      <c r="A7671" t="s">
        <v>78</v>
      </c>
      <c r="B7671">
        <f t="shared" si="474"/>
        <v>33.695017999999997</v>
      </c>
      <c r="C7671">
        <f t="shared" si="475"/>
        <v>-117.853117</v>
      </c>
      <c r="D7671">
        <f t="shared" si="476"/>
        <v>37</v>
      </c>
      <c r="E7671">
        <v>69.498999999999995</v>
      </c>
      <c r="F7671">
        <f t="shared" si="477"/>
        <v>-32.498999999999995</v>
      </c>
      <c r="G7671">
        <v>169.65</v>
      </c>
      <c r="H7671">
        <v>2.3450000000000002</v>
      </c>
      <c r="I7671">
        <v>1.3839999999999999</v>
      </c>
      <c r="J7671">
        <v>8</v>
      </c>
      <c r="K7671">
        <v>41</v>
      </c>
      <c r="L7671">
        <v>21</v>
      </c>
      <c r="M7671" s="1">
        <v>9000000000</v>
      </c>
    </row>
    <row r="7672" spans="1:13" ht="15" customHeight="1">
      <c r="A7672" t="s">
        <v>78</v>
      </c>
      <c r="B7672">
        <f t="shared" si="474"/>
        <v>33.695017999999997</v>
      </c>
      <c r="C7672">
        <f t="shared" si="475"/>
        <v>-117.853117</v>
      </c>
      <c r="D7672">
        <f t="shared" si="476"/>
        <v>37</v>
      </c>
      <c r="E7672">
        <v>70.498999999999995</v>
      </c>
      <c r="F7672">
        <f t="shared" si="477"/>
        <v>-33.498999999999995</v>
      </c>
      <c r="G7672">
        <v>192.18299999999999</v>
      </c>
      <c r="H7672">
        <v>2.5030000000000001</v>
      </c>
      <c r="I7672">
        <v>1.304</v>
      </c>
      <c r="J7672">
        <v>8</v>
      </c>
      <c r="K7672">
        <v>46</v>
      </c>
      <c r="L7672">
        <v>23</v>
      </c>
      <c r="M7672" s="1">
        <v>9000000000</v>
      </c>
    </row>
    <row r="7673" spans="1:13" ht="15" customHeight="1">
      <c r="A7673" t="s">
        <v>78</v>
      </c>
      <c r="B7673">
        <f t="shared" si="474"/>
        <v>33.695017999999997</v>
      </c>
      <c r="C7673">
        <f t="shared" si="475"/>
        <v>-117.853117</v>
      </c>
      <c r="D7673">
        <f t="shared" si="476"/>
        <v>37</v>
      </c>
      <c r="E7673">
        <v>71.498999999999995</v>
      </c>
      <c r="F7673">
        <f t="shared" si="477"/>
        <v>-34.498999999999995</v>
      </c>
      <c r="G7673">
        <v>189.15</v>
      </c>
      <c r="H7673">
        <v>1.9770000000000001</v>
      </c>
      <c r="I7673">
        <v>1.046</v>
      </c>
      <c r="J7673">
        <v>9</v>
      </c>
      <c r="K7673">
        <v>36</v>
      </c>
      <c r="L7673">
        <v>18</v>
      </c>
      <c r="M7673" s="1">
        <v>9000000000</v>
      </c>
    </row>
    <row r="7674" spans="1:13" ht="15" customHeight="1">
      <c r="A7674" t="s">
        <v>78</v>
      </c>
      <c r="B7674">
        <f t="shared" si="474"/>
        <v>33.695017999999997</v>
      </c>
      <c r="C7674">
        <f t="shared" si="475"/>
        <v>-117.853117</v>
      </c>
      <c r="D7674">
        <f t="shared" si="476"/>
        <v>37</v>
      </c>
      <c r="E7674">
        <v>72.498999999999995</v>
      </c>
      <c r="F7674">
        <f t="shared" si="477"/>
        <v>-35.498999999999995</v>
      </c>
      <c r="G7674">
        <v>241.51400000000001</v>
      </c>
      <c r="H7674">
        <v>2.4830000000000001</v>
      </c>
      <c r="I7674">
        <v>1.0289999999999999</v>
      </c>
      <c r="J7674">
        <v>9</v>
      </c>
      <c r="K7674">
        <v>46</v>
      </c>
      <c r="L7674">
        <v>23</v>
      </c>
      <c r="M7674" s="1">
        <v>9000000000</v>
      </c>
    </row>
    <row r="7675" spans="1:13" ht="15" customHeight="1">
      <c r="A7675" t="s">
        <v>78</v>
      </c>
      <c r="B7675">
        <f t="shared" si="474"/>
        <v>33.695017999999997</v>
      </c>
      <c r="C7675">
        <f t="shared" si="475"/>
        <v>-117.853117</v>
      </c>
      <c r="D7675">
        <f t="shared" si="476"/>
        <v>37</v>
      </c>
      <c r="E7675">
        <v>73.498999999999995</v>
      </c>
      <c r="F7675">
        <f t="shared" si="477"/>
        <v>-36.498999999999995</v>
      </c>
      <c r="G7675">
        <v>334.38299999999998</v>
      </c>
      <c r="H7675">
        <v>1.59</v>
      </c>
      <c r="I7675">
        <v>0.47599999999999998</v>
      </c>
      <c r="J7675">
        <v>10</v>
      </c>
      <c r="K7675">
        <v>53</v>
      </c>
      <c r="L7675">
        <v>27</v>
      </c>
      <c r="M7675" s="1">
        <v>9000000000</v>
      </c>
    </row>
    <row r="7676" spans="1:13" ht="15" customHeight="1">
      <c r="A7676" t="s">
        <v>78</v>
      </c>
      <c r="B7676">
        <f t="shared" si="474"/>
        <v>33.695017999999997</v>
      </c>
      <c r="C7676">
        <f t="shared" si="475"/>
        <v>-117.853117</v>
      </c>
      <c r="D7676">
        <f t="shared" si="476"/>
        <v>37</v>
      </c>
      <c r="E7676">
        <v>74.498999999999995</v>
      </c>
      <c r="F7676">
        <f t="shared" si="477"/>
        <v>-37.498999999999995</v>
      </c>
      <c r="G7676">
        <v>268.2</v>
      </c>
      <c r="H7676">
        <v>0</v>
      </c>
      <c r="I7676">
        <v>0</v>
      </c>
      <c r="J7676">
        <v>10</v>
      </c>
      <c r="K7676" s="1">
        <v>9000000000</v>
      </c>
      <c r="L7676" s="1">
        <v>9000000000</v>
      </c>
      <c r="M7676" s="1">
        <v>9000000000</v>
      </c>
    </row>
    <row r="7677" spans="1:13" ht="15" customHeight="1">
      <c r="A7677" t="s">
        <v>79</v>
      </c>
      <c r="B7677">
        <f t="shared" si="474"/>
        <v>33.716439000000001</v>
      </c>
      <c r="C7677">
        <f t="shared" si="475"/>
        <v>-117.84585199999999</v>
      </c>
      <c r="D7677">
        <f t="shared" si="476"/>
        <v>70</v>
      </c>
      <c r="E7677">
        <v>0.5</v>
      </c>
      <c r="F7677">
        <f t="shared" si="477"/>
        <v>69.5</v>
      </c>
      <c r="G7677">
        <v>1.6830000000000001</v>
      </c>
      <c r="H7677">
        <v>7.4999999999999997E-2</v>
      </c>
      <c r="I7677">
        <v>4.4550000000000001</v>
      </c>
      <c r="J7677">
        <v>2</v>
      </c>
      <c r="K7677">
        <v>2</v>
      </c>
      <c r="L7677">
        <v>3</v>
      </c>
      <c r="M7677">
        <v>0.111</v>
      </c>
    </row>
    <row r="7678" spans="1:13" ht="15" customHeight="1">
      <c r="A7678" t="s">
        <v>79</v>
      </c>
      <c r="B7678">
        <f t="shared" si="474"/>
        <v>33.716439000000001</v>
      </c>
      <c r="C7678">
        <f t="shared" si="475"/>
        <v>-117.84585199999999</v>
      </c>
      <c r="D7678">
        <f t="shared" si="476"/>
        <v>70</v>
      </c>
      <c r="E7678">
        <v>1.5</v>
      </c>
      <c r="F7678">
        <f t="shared" si="477"/>
        <v>68.5</v>
      </c>
      <c r="G7678">
        <v>56.366999999999997</v>
      </c>
      <c r="H7678">
        <v>1.68</v>
      </c>
      <c r="I7678">
        <v>2.976</v>
      </c>
      <c r="J7678">
        <v>6</v>
      </c>
      <c r="K7678">
        <v>22</v>
      </c>
      <c r="L7678">
        <v>33</v>
      </c>
      <c r="M7678">
        <v>3.758</v>
      </c>
    </row>
    <row r="7679" spans="1:13" ht="15" customHeight="1">
      <c r="A7679" t="s">
        <v>79</v>
      </c>
      <c r="B7679">
        <f t="shared" si="474"/>
        <v>33.716439000000001</v>
      </c>
      <c r="C7679">
        <f t="shared" si="475"/>
        <v>-117.84585199999999</v>
      </c>
      <c r="D7679">
        <f t="shared" si="476"/>
        <v>70</v>
      </c>
      <c r="E7679">
        <v>2.5</v>
      </c>
      <c r="F7679">
        <f t="shared" si="477"/>
        <v>67.5</v>
      </c>
      <c r="G7679">
        <v>34.783000000000001</v>
      </c>
      <c r="H7679">
        <v>0.59299999999999997</v>
      </c>
      <c r="I7679">
        <v>1.706</v>
      </c>
      <c r="J7679">
        <v>6</v>
      </c>
      <c r="K7679">
        <v>13</v>
      </c>
      <c r="L7679">
        <v>20</v>
      </c>
      <c r="M7679">
        <v>2.31</v>
      </c>
    </row>
    <row r="7680" spans="1:13" ht="15" customHeight="1">
      <c r="A7680" t="s">
        <v>79</v>
      </c>
      <c r="B7680">
        <f t="shared" si="474"/>
        <v>33.716439000000001</v>
      </c>
      <c r="C7680">
        <f t="shared" si="475"/>
        <v>-117.84585199999999</v>
      </c>
      <c r="D7680">
        <f t="shared" si="476"/>
        <v>70</v>
      </c>
      <c r="E7680">
        <v>3.5</v>
      </c>
      <c r="F7680">
        <f t="shared" si="477"/>
        <v>66.5</v>
      </c>
      <c r="G7680">
        <v>15.483000000000001</v>
      </c>
      <c r="H7680">
        <v>0.432</v>
      </c>
      <c r="I7680">
        <v>2.7879999999999998</v>
      </c>
      <c r="J7680">
        <v>5</v>
      </c>
      <c r="K7680">
        <v>7</v>
      </c>
      <c r="L7680">
        <v>11</v>
      </c>
      <c r="M7680">
        <v>1.0189999999999999</v>
      </c>
    </row>
    <row r="7681" spans="1:13" ht="15" customHeight="1">
      <c r="A7681" t="s">
        <v>79</v>
      </c>
      <c r="B7681">
        <f t="shared" si="474"/>
        <v>33.716439000000001</v>
      </c>
      <c r="C7681">
        <f t="shared" si="475"/>
        <v>-117.84585199999999</v>
      </c>
      <c r="D7681">
        <f t="shared" si="476"/>
        <v>70</v>
      </c>
      <c r="E7681">
        <v>4.5</v>
      </c>
      <c r="F7681">
        <f t="shared" si="477"/>
        <v>65.5</v>
      </c>
      <c r="G7681">
        <v>10.667</v>
      </c>
      <c r="H7681">
        <v>0.48299999999999998</v>
      </c>
      <c r="I7681">
        <v>4.5599999999999996</v>
      </c>
      <c r="J7681">
        <v>3</v>
      </c>
      <c r="K7681">
        <v>10</v>
      </c>
      <c r="L7681">
        <v>15</v>
      </c>
      <c r="M7681">
        <v>0.68899999999999995</v>
      </c>
    </row>
    <row r="7682" spans="1:13" ht="15" customHeight="1">
      <c r="A7682" t="s">
        <v>79</v>
      </c>
      <c r="B7682">
        <f t="shared" ref="B7682:B7745" si="478">VLOOKUP(A7682,XYdata,3,FALSE)</f>
        <v>33.716439000000001</v>
      </c>
      <c r="C7682">
        <f t="shared" ref="C7682:C7745" si="479">VLOOKUP(A7682,XYdata,2,FALSE)</f>
        <v>-117.84585199999999</v>
      </c>
      <c r="D7682">
        <f t="shared" ref="D7682:D7745" si="480">VLOOKUP(A7682,Elevation,2,FALSE)</f>
        <v>70</v>
      </c>
      <c r="E7682">
        <v>5.5</v>
      </c>
      <c r="F7682">
        <f t="shared" si="477"/>
        <v>64.5</v>
      </c>
      <c r="G7682">
        <v>11.967000000000001</v>
      </c>
      <c r="H7682">
        <v>0.47699999999999998</v>
      </c>
      <c r="I7682">
        <v>4.0110000000000001</v>
      </c>
      <c r="J7682">
        <v>3</v>
      </c>
      <c r="K7682">
        <v>11</v>
      </c>
      <c r="L7682">
        <v>17</v>
      </c>
      <c r="M7682">
        <v>0.77100000000000002</v>
      </c>
    </row>
    <row r="7683" spans="1:13" ht="15" customHeight="1">
      <c r="A7683" t="s">
        <v>79</v>
      </c>
      <c r="B7683">
        <f t="shared" si="478"/>
        <v>33.716439000000001</v>
      </c>
      <c r="C7683">
        <f t="shared" si="479"/>
        <v>-117.84585199999999</v>
      </c>
      <c r="D7683">
        <f t="shared" si="480"/>
        <v>70</v>
      </c>
      <c r="E7683">
        <v>6.5</v>
      </c>
      <c r="F7683">
        <f t="shared" ref="F7683:F7746" si="481">D7683-E7683</f>
        <v>63.5</v>
      </c>
      <c r="G7683">
        <v>14.75</v>
      </c>
      <c r="H7683">
        <v>0.64300000000000002</v>
      </c>
      <c r="I7683">
        <v>4.3760000000000003</v>
      </c>
      <c r="J7683">
        <v>3</v>
      </c>
      <c r="K7683">
        <v>14</v>
      </c>
      <c r="L7683">
        <v>21</v>
      </c>
      <c r="M7683">
        <v>0.95399999999999996</v>
      </c>
    </row>
    <row r="7684" spans="1:13" ht="15" customHeight="1">
      <c r="A7684" t="s">
        <v>79</v>
      </c>
      <c r="B7684">
        <f t="shared" si="478"/>
        <v>33.716439000000001</v>
      </c>
      <c r="C7684">
        <f t="shared" si="479"/>
        <v>-117.84585199999999</v>
      </c>
      <c r="D7684">
        <f t="shared" si="480"/>
        <v>70</v>
      </c>
      <c r="E7684">
        <v>7.5</v>
      </c>
      <c r="F7684">
        <f t="shared" si="481"/>
        <v>62.5</v>
      </c>
      <c r="G7684">
        <v>10.282999999999999</v>
      </c>
      <c r="H7684">
        <v>0.47799999999999998</v>
      </c>
      <c r="I7684">
        <v>4.6440000000000001</v>
      </c>
      <c r="J7684">
        <v>3</v>
      </c>
      <c r="K7684">
        <v>10</v>
      </c>
      <c r="L7684">
        <v>15</v>
      </c>
      <c r="M7684">
        <v>0.65700000000000003</v>
      </c>
    </row>
    <row r="7685" spans="1:13" ht="15" customHeight="1">
      <c r="A7685" t="s">
        <v>79</v>
      </c>
      <c r="B7685">
        <f t="shared" si="478"/>
        <v>33.716439000000001</v>
      </c>
      <c r="C7685">
        <f t="shared" si="479"/>
        <v>-117.84585199999999</v>
      </c>
      <c r="D7685">
        <f t="shared" si="480"/>
        <v>70</v>
      </c>
      <c r="E7685">
        <v>8.5</v>
      </c>
      <c r="F7685">
        <f t="shared" si="481"/>
        <v>61.5</v>
      </c>
      <c r="G7685">
        <v>15.282999999999999</v>
      </c>
      <c r="H7685">
        <v>0.505</v>
      </c>
      <c r="I7685">
        <v>3.3079999999999998</v>
      </c>
      <c r="J7685">
        <v>4</v>
      </c>
      <c r="K7685">
        <v>10</v>
      </c>
      <c r="L7685">
        <v>15</v>
      </c>
      <c r="M7685">
        <v>0.98399999999999999</v>
      </c>
    </row>
    <row r="7686" spans="1:13" ht="15" customHeight="1">
      <c r="A7686" t="s">
        <v>79</v>
      </c>
      <c r="B7686">
        <f t="shared" si="478"/>
        <v>33.716439000000001</v>
      </c>
      <c r="C7686">
        <f t="shared" si="479"/>
        <v>-117.84585199999999</v>
      </c>
      <c r="D7686">
        <f t="shared" si="480"/>
        <v>70</v>
      </c>
      <c r="E7686">
        <v>9.5</v>
      </c>
      <c r="F7686">
        <f t="shared" si="481"/>
        <v>60.5</v>
      </c>
      <c r="G7686">
        <v>7.867</v>
      </c>
      <c r="H7686">
        <v>0.313</v>
      </c>
      <c r="I7686">
        <v>3.9750000000000001</v>
      </c>
      <c r="J7686">
        <v>3</v>
      </c>
      <c r="K7686">
        <v>8</v>
      </c>
      <c r="L7686">
        <v>12</v>
      </c>
      <c r="M7686">
        <v>0.48799999999999999</v>
      </c>
    </row>
    <row r="7687" spans="1:13" ht="15" customHeight="1">
      <c r="A7687" t="s">
        <v>79</v>
      </c>
      <c r="B7687">
        <f t="shared" si="478"/>
        <v>33.716439000000001</v>
      </c>
      <c r="C7687">
        <f t="shared" si="479"/>
        <v>-117.84585199999999</v>
      </c>
      <c r="D7687">
        <f t="shared" si="480"/>
        <v>70</v>
      </c>
      <c r="E7687">
        <v>10.5</v>
      </c>
      <c r="F7687">
        <f t="shared" si="481"/>
        <v>59.5</v>
      </c>
      <c r="G7687">
        <v>12.871</v>
      </c>
      <c r="H7687">
        <v>0.52</v>
      </c>
      <c r="I7687">
        <v>4.0350000000000001</v>
      </c>
      <c r="J7687">
        <v>3</v>
      </c>
      <c r="K7687">
        <v>12</v>
      </c>
      <c r="L7687">
        <v>17</v>
      </c>
      <c r="M7687">
        <v>0.81699999999999995</v>
      </c>
    </row>
    <row r="7688" spans="1:13" ht="15" customHeight="1">
      <c r="A7688" t="s">
        <v>79</v>
      </c>
      <c r="B7688">
        <f t="shared" si="478"/>
        <v>33.716439000000001</v>
      </c>
      <c r="C7688">
        <f t="shared" si="479"/>
        <v>-117.84585199999999</v>
      </c>
      <c r="D7688">
        <f t="shared" si="480"/>
        <v>70</v>
      </c>
      <c r="E7688">
        <v>11.5</v>
      </c>
      <c r="F7688">
        <f t="shared" si="481"/>
        <v>58.5</v>
      </c>
      <c r="G7688">
        <v>7.5670000000000002</v>
      </c>
      <c r="H7688">
        <v>0.36799999999999999</v>
      </c>
      <c r="I7688">
        <v>4.8570000000000002</v>
      </c>
      <c r="J7688">
        <v>3</v>
      </c>
      <c r="K7688">
        <v>7</v>
      </c>
      <c r="L7688">
        <v>9</v>
      </c>
      <c r="M7688">
        <v>0.46</v>
      </c>
    </row>
    <row r="7689" spans="1:13" ht="15" customHeight="1">
      <c r="A7689" t="s">
        <v>79</v>
      </c>
      <c r="B7689">
        <f t="shared" si="478"/>
        <v>33.716439000000001</v>
      </c>
      <c r="C7689">
        <f t="shared" si="479"/>
        <v>-117.84585199999999</v>
      </c>
      <c r="D7689">
        <f t="shared" si="480"/>
        <v>70</v>
      </c>
      <c r="E7689">
        <v>12.5</v>
      </c>
      <c r="F7689">
        <f t="shared" si="481"/>
        <v>57.5</v>
      </c>
      <c r="G7689">
        <v>8.1170000000000009</v>
      </c>
      <c r="H7689">
        <v>0.40799999999999997</v>
      </c>
      <c r="I7689">
        <v>4.99</v>
      </c>
      <c r="J7689">
        <v>3</v>
      </c>
      <c r="K7689">
        <v>8</v>
      </c>
      <c r="L7689">
        <v>10</v>
      </c>
      <c r="M7689">
        <v>0.496</v>
      </c>
    </row>
    <row r="7690" spans="1:13" ht="15" customHeight="1">
      <c r="A7690" t="s">
        <v>79</v>
      </c>
      <c r="B7690">
        <f t="shared" si="478"/>
        <v>33.716439000000001</v>
      </c>
      <c r="C7690">
        <f t="shared" si="479"/>
        <v>-117.84585199999999</v>
      </c>
      <c r="D7690">
        <f t="shared" si="480"/>
        <v>70</v>
      </c>
      <c r="E7690">
        <v>13.5</v>
      </c>
      <c r="F7690">
        <f t="shared" si="481"/>
        <v>56.5</v>
      </c>
      <c r="G7690">
        <v>6.383</v>
      </c>
      <c r="H7690">
        <v>0.28999999999999998</v>
      </c>
      <c r="I7690">
        <v>4.508</v>
      </c>
      <c r="J7690">
        <v>3</v>
      </c>
      <c r="K7690">
        <v>6</v>
      </c>
      <c r="L7690">
        <v>7</v>
      </c>
      <c r="M7690">
        <v>0.375</v>
      </c>
    </row>
    <row r="7691" spans="1:13" ht="15" customHeight="1">
      <c r="A7691" t="s">
        <v>79</v>
      </c>
      <c r="B7691">
        <f t="shared" si="478"/>
        <v>33.716439000000001</v>
      </c>
      <c r="C7691">
        <f t="shared" si="479"/>
        <v>-117.84585199999999</v>
      </c>
      <c r="D7691">
        <f t="shared" si="480"/>
        <v>70</v>
      </c>
      <c r="E7691">
        <v>14.5</v>
      </c>
      <c r="F7691">
        <f t="shared" si="481"/>
        <v>55.5</v>
      </c>
      <c r="G7691">
        <v>5.867</v>
      </c>
      <c r="H7691">
        <v>0.21299999999999999</v>
      </c>
      <c r="I7691">
        <v>3.6059999999999999</v>
      </c>
      <c r="J7691">
        <v>3</v>
      </c>
      <c r="K7691">
        <v>6</v>
      </c>
      <c r="L7691">
        <v>7</v>
      </c>
      <c r="M7691">
        <v>0.33700000000000002</v>
      </c>
    </row>
    <row r="7692" spans="1:13" ht="15" customHeight="1">
      <c r="A7692" t="s">
        <v>79</v>
      </c>
      <c r="B7692">
        <f t="shared" si="478"/>
        <v>33.716439000000001</v>
      </c>
      <c r="C7692">
        <f t="shared" si="479"/>
        <v>-117.84585199999999</v>
      </c>
      <c r="D7692">
        <f t="shared" si="480"/>
        <v>70</v>
      </c>
      <c r="E7692">
        <v>15.5</v>
      </c>
      <c r="F7692">
        <f t="shared" si="481"/>
        <v>54.5</v>
      </c>
      <c r="G7692">
        <v>5.95</v>
      </c>
      <c r="H7692">
        <v>0.123</v>
      </c>
      <c r="I7692">
        <v>2.056</v>
      </c>
      <c r="J7692">
        <v>4</v>
      </c>
      <c r="K7692">
        <v>4</v>
      </c>
      <c r="L7692">
        <v>4</v>
      </c>
      <c r="M7692">
        <v>0.33800000000000002</v>
      </c>
    </row>
    <row r="7693" spans="1:13" ht="15" customHeight="1">
      <c r="A7693" t="s">
        <v>79</v>
      </c>
      <c r="B7693">
        <f t="shared" si="478"/>
        <v>33.716439000000001</v>
      </c>
      <c r="C7693">
        <f t="shared" si="479"/>
        <v>-117.84585199999999</v>
      </c>
      <c r="D7693">
        <f t="shared" si="480"/>
        <v>70</v>
      </c>
      <c r="E7693">
        <v>16.5</v>
      </c>
      <c r="F7693">
        <f t="shared" si="481"/>
        <v>53.5</v>
      </c>
      <c r="G7693">
        <v>7.9329999999999998</v>
      </c>
      <c r="H7693">
        <v>0.16500000000000001</v>
      </c>
      <c r="I7693">
        <v>2.0579999999999998</v>
      </c>
      <c r="J7693">
        <v>4</v>
      </c>
      <c r="K7693">
        <v>5</v>
      </c>
      <c r="L7693">
        <v>5</v>
      </c>
      <c r="M7693">
        <v>0.46899999999999997</v>
      </c>
    </row>
    <row r="7694" spans="1:13" ht="15" customHeight="1">
      <c r="A7694" t="s">
        <v>79</v>
      </c>
      <c r="B7694">
        <f t="shared" si="478"/>
        <v>33.716439000000001</v>
      </c>
      <c r="C7694">
        <f t="shared" si="479"/>
        <v>-117.84585199999999</v>
      </c>
      <c r="D7694">
        <f t="shared" si="480"/>
        <v>70</v>
      </c>
      <c r="E7694">
        <v>17.5</v>
      </c>
      <c r="F7694">
        <f t="shared" si="481"/>
        <v>52.5</v>
      </c>
      <c r="G7694">
        <v>8.6829999999999998</v>
      </c>
      <c r="H7694">
        <v>0.182</v>
      </c>
      <c r="I7694">
        <v>2.08</v>
      </c>
      <c r="J7694">
        <v>5</v>
      </c>
      <c r="K7694">
        <v>4</v>
      </c>
      <c r="L7694">
        <v>4</v>
      </c>
      <c r="M7694">
        <v>0.51200000000000001</v>
      </c>
    </row>
    <row r="7695" spans="1:13" ht="15" customHeight="1">
      <c r="A7695" t="s">
        <v>79</v>
      </c>
      <c r="B7695">
        <f t="shared" si="478"/>
        <v>33.716439000000001</v>
      </c>
      <c r="C7695">
        <f t="shared" si="479"/>
        <v>-117.84585199999999</v>
      </c>
      <c r="D7695">
        <f t="shared" si="480"/>
        <v>70</v>
      </c>
      <c r="E7695">
        <v>18.5</v>
      </c>
      <c r="F7695">
        <f t="shared" si="481"/>
        <v>51.5</v>
      </c>
      <c r="G7695">
        <v>18.783000000000001</v>
      </c>
      <c r="H7695">
        <v>0.42799999999999999</v>
      </c>
      <c r="I7695">
        <v>2.274</v>
      </c>
      <c r="J7695">
        <v>5</v>
      </c>
      <c r="K7695">
        <v>9</v>
      </c>
      <c r="L7695">
        <v>8</v>
      </c>
      <c r="M7695">
        <v>1.1819999999999999</v>
      </c>
    </row>
    <row r="7696" spans="1:13" ht="15" customHeight="1">
      <c r="A7696" t="s">
        <v>79</v>
      </c>
      <c r="B7696">
        <f t="shared" si="478"/>
        <v>33.716439000000001</v>
      </c>
      <c r="C7696">
        <f t="shared" si="479"/>
        <v>-117.84585199999999</v>
      </c>
      <c r="D7696">
        <f t="shared" si="480"/>
        <v>70</v>
      </c>
      <c r="E7696">
        <v>19.5</v>
      </c>
      <c r="F7696">
        <f t="shared" si="481"/>
        <v>50.5</v>
      </c>
      <c r="G7696">
        <v>44.616999999999997</v>
      </c>
      <c r="H7696">
        <v>1.323</v>
      </c>
      <c r="I7696">
        <v>2.972</v>
      </c>
      <c r="J7696">
        <v>6</v>
      </c>
      <c r="K7696">
        <v>17</v>
      </c>
      <c r="L7696">
        <v>15</v>
      </c>
      <c r="M7696">
        <v>2.891</v>
      </c>
    </row>
    <row r="7697" spans="1:13" ht="15" customHeight="1">
      <c r="A7697" t="s">
        <v>79</v>
      </c>
      <c r="B7697">
        <f t="shared" si="478"/>
        <v>33.716439000000001</v>
      </c>
      <c r="C7697">
        <f t="shared" si="479"/>
        <v>-117.84585199999999</v>
      </c>
      <c r="D7697">
        <f t="shared" si="480"/>
        <v>70</v>
      </c>
      <c r="E7697">
        <v>20.5</v>
      </c>
      <c r="F7697">
        <f t="shared" si="481"/>
        <v>49.5</v>
      </c>
      <c r="G7697">
        <v>119.843</v>
      </c>
      <c r="H7697">
        <v>1.597</v>
      </c>
      <c r="I7697">
        <v>1.333</v>
      </c>
      <c r="J7697">
        <v>8</v>
      </c>
      <c r="K7697">
        <v>29</v>
      </c>
      <c r="L7697">
        <v>25</v>
      </c>
      <c r="M7697" s="1">
        <v>9000000000</v>
      </c>
    </row>
    <row r="7698" spans="1:13" ht="15" customHeight="1">
      <c r="A7698" t="s">
        <v>79</v>
      </c>
      <c r="B7698">
        <f t="shared" si="478"/>
        <v>33.716439000000001</v>
      </c>
      <c r="C7698">
        <f t="shared" si="479"/>
        <v>-117.84585199999999</v>
      </c>
      <c r="D7698">
        <f t="shared" si="480"/>
        <v>70</v>
      </c>
      <c r="E7698">
        <v>21.5</v>
      </c>
      <c r="F7698">
        <f t="shared" si="481"/>
        <v>48.5</v>
      </c>
      <c r="G7698">
        <v>96.233000000000004</v>
      </c>
      <c r="H7698">
        <v>1.677</v>
      </c>
      <c r="I7698">
        <v>1.744</v>
      </c>
      <c r="J7698">
        <v>7</v>
      </c>
      <c r="K7698">
        <v>31</v>
      </c>
      <c r="L7698">
        <v>25</v>
      </c>
      <c r="M7698" s="1">
        <v>9000000000</v>
      </c>
    </row>
    <row r="7699" spans="1:13" ht="15" customHeight="1">
      <c r="A7699" t="s">
        <v>79</v>
      </c>
      <c r="B7699">
        <f t="shared" si="478"/>
        <v>33.716439000000001</v>
      </c>
      <c r="C7699">
        <f t="shared" si="479"/>
        <v>-117.84585199999999</v>
      </c>
      <c r="D7699">
        <f t="shared" si="480"/>
        <v>70</v>
      </c>
      <c r="E7699">
        <v>22.5</v>
      </c>
      <c r="F7699">
        <f t="shared" si="481"/>
        <v>47.5</v>
      </c>
      <c r="G7699">
        <v>35.332999999999998</v>
      </c>
      <c r="H7699">
        <v>1.032</v>
      </c>
      <c r="I7699">
        <v>2.9249999999999998</v>
      </c>
      <c r="J7699">
        <v>6</v>
      </c>
      <c r="K7699">
        <v>14</v>
      </c>
      <c r="L7699">
        <v>11</v>
      </c>
      <c r="M7699">
        <v>2.2610000000000001</v>
      </c>
    </row>
    <row r="7700" spans="1:13" ht="15" customHeight="1">
      <c r="A7700" t="s">
        <v>79</v>
      </c>
      <c r="B7700">
        <f t="shared" si="478"/>
        <v>33.716439000000001</v>
      </c>
      <c r="C7700">
        <f t="shared" si="479"/>
        <v>-117.84585199999999</v>
      </c>
      <c r="D7700">
        <f t="shared" si="480"/>
        <v>70</v>
      </c>
      <c r="E7700">
        <v>23.5</v>
      </c>
      <c r="F7700">
        <f t="shared" si="481"/>
        <v>46.5</v>
      </c>
      <c r="G7700">
        <v>27.1</v>
      </c>
      <c r="H7700">
        <v>0.89500000000000002</v>
      </c>
      <c r="I7700">
        <v>3.3149999999999999</v>
      </c>
      <c r="J7700">
        <v>5</v>
      </c>
      <c r="K7700">
        <v>13</v>
      </c>
      <c r="L7700">
        <v>10</v>
      </c>
      <c r="M7700">
        <v>1.706</v>
      </c>
    </row>
    <row r="7701" spans="1:13" ht="15" customHeight="1">
      <c r="A7701" t="s">
        <v>79</v>
      </c>
      <c r="B7701">
        <f t="shared" si="478"/>
        <v>33.716439000000001</v>
      </c>
      <c r="C7701">
        <f t="shared" si="479"/>
        <v>-117.84585199999999</v>
      </c>
      <c r="D7701">
        <f t="shared" si="480"/>
        <v>70</v>
      </c>
      <c r="E7701">
        <v>24.5</v>
      </c>
      <c r="F7701">
        <f t="shared" si="481"/>
        <v>45.5</v>
      </c>
      <c r="G7701">
        <v>18.783000000000001</v>
      </c>
      <c r="H7701">
        <v>0.71699999999999997</v>
      </c>
      <c r="I7701">
        <v>3.8359999999999999</v>
      </c>
      <c r="J7701">
        <v>4</v>
      </c>
      <c r="K7701">
        <v>12</v>
      </c>
      <c r="L7701">
        <v>9</v>
      </c>
      <c r="M7701">
        <v>1.147</v>
      </c>
    </row>
    <row r="7702" spans="1:13" ht="15" customHeight="1">
      <c r="A7702" t="s">
        <v>79</v>
      </c>
      <c r="B7702">
        <f t="shared" si="478"/>
        <v>33.716439000000001</v>
      </c>
      <c r="C7702">
        <f t="shared" si="479"/>
        <v>-117.84585199999999</v>
      </c>
      <c r="D7702">
        <f t="shared" si="480"/>
        <v>70</v>
      </c>
      <c r="E7702">
        <v>25.5</v>
      </c>
      <c r="F7702">
        <f t="shared" si="481"/>
        <v>44.5</v>
      </c>
      <c r="G7702">
        <v>28.766999999999999</v>
      </c>
      <c r="H7702">
        <v>1.302</v>
      </c>
      <c r="I7702">
        <v>4.5410000000000004</v>
      </c>
      <c r="J7702">
        <v>4</v>
      </c>
      <c r="K7702">
        <v>18</v>
      </c>
      <c r="L7702">
        <v>13</v>
      </c>
      <c r="M7702">
        <v>1.8080000000000001</v>
      </c>
    </row>
    <row r="7703" spans="1:13" ht="15" customHeight="1">
      <c r="A7703" t="s">
        <v>79</v>
      </c>
      <c r="B7703">
        <f t="shared" si="478"/>
        <v>33.716439000000001</v>
      </c>
      <c r="C7703">
        <f t="shared" si="479"/>
        <v>-117.84585199999999</v>
      </c>
      <c r="D7703">
        <f t="shared" si="480"/>
        <v>70</v>
      </c>
      <c r="E7703">
        <v>26.5</v>
      </c>
      <c r="F7703">
        <f t="shared" si="481"/>
        <v>43.5</v>
      </c>
      <c r="G7703">
        <v>15.65</v>
      </c>
      <c r="H7703">
        <v>0.69299999999999995</v>
      </c>
      <c r="I7703">
        <v>4.4589999999999996</v>
      </c>
      <c r="J7703">
        <v>3</v>
      </c>
      <c r="K7703">
        <v>15</v>
      </c>
      <c r="L7703">
        <v>11</v>
      </c>
      <c r="M7703">
        <v>0.93</v>
      </c>
    </row>
    <row r="7704" spans="1:13" ht="15" customHeight="1">
      <c r="A7704" t="s">
        <v>79</v>
      </c>
      <c r="B7704">
        <f t="shared" si="478"/>
        <v>33.716439000000001</v>
      </c>
      <c r="C7704">
        <f t="shared" si="479"/>
        <v>-117.84585199999999</v>
      </c>
      <c r="D7704">
        <f t="shared" si="480"/>
        <v>70</v>
      </c>
      <c r="E7704">
        <v>27.5</v>
      </c>
      <c r="F7704">
        <f t="shared" si="481"/>
        <v>42.5</v>
      </c>
      <c r="G7704">
        <v>14.516999999999999</v>
      </c>
      <c r="H7704">
        <v>0.44700000000000001</v>
      </c>
      <c r="I7704">
        <v>3.0910000000000002</v>
      </c>
      <c r="J7704">
        <v>4</v>
      </c>
      <c r="K7704">
        <v>9</v>
      </c>
      <c r="L7704">
        <v>6</v>
      </c>
      <c r="M7704">
        <v>0.85199999999999998</v>
      </c>
    </row>
    <row r="7705" spans="1:13" ht="15" customHeight="1">
      <c r="A7705" t="s">
        <v>79</v>
      </c>
      <c r="B7705">
        <f t="shared" si="478"/>
        <v>33.716439000000001</v>
      </c>
      <c r="C7705">
        <f t="shared" si="479"/>
        <v>-117.84585199999999</v>
      </c>
      <c r="D7705">
        <f t="shared" si="480"/>
        <v>70</v>
      </c>
      <c r="E7705">
        <v>28.5</v>
      </c>
      <c r="F7705">
        <f t="shared" si="481"/>
        <v>41.5</v>
      </c>
      <c r="G7705">
        <v>17.899999999999999</v>
      </c>
      <c r="H7705">
        <v>0.65500000000000003</v>
      </c>
      <c r="I7705">
        <v>3.673</v>
      </c>
      <c r="J7705">
        <v>4</v>
      </c>
      <c r="K7705">
        <v>11</v>
      </c>
      <c r="L7705">
        <v>8</v>
      </c>
      <c r="M7705">
        <v>1.0740000000000001</v>
      </c>
    </row>
    <row r="7706" spans="1:13" ht="15" customHeight="1">
      <c r="A7706" t="s">
        <v>79</v>
      </c>
      <c r="B7706">
        <f t="shared" si="478"/>
        <v>33.716439000000001</v>
      </c>
      <c r="C7706">
        <f t="shared" si="479"/>
        <v>-117.84585199999999</v>
      </c>
      <c r="D7706">
        <f t="shared" si="480"/>
        <v>70</v>
      </c>
      <c r="E7706">
        <v>29.5</v>
      </c>
      <c r="F7706">
        <f t="shared" si="481"/>
        <v>40.5</v>
      </c>
      <c r="G7706">
        <v>17.5</v>
      </c>
      <c r="H7706">
        <v>0.56699999999999995</v>
      </c>
      <c r="I7706">
        <v>3.254</v>
      </c>
      <c r="J7706">
        <v>5</v>
      </c>
      <c r="K7706">
        <v>8</v>
      </c>
      <c r="L7706">
        <v>5</v>
      </c>
      <c r="M7706">
        <v>1.042</v>
      </c>
    </row>
    <row r="7707" spans="1:13" ht="15" customHeight="1">
      <c r="A7707" t="s">
        <v>79</v>
      </c>
      <c r="B7707">
        <f t="shared" si="478"/>
        <v>33.716439000000001</v>
      </c>
      <c r="C7707">
        <f t="shared" si="479"/>
        <v>-117.84585199999999</v>
      </c>
      <c r="D7707">
        <f t="shared" si="480"/>
        <v>70</v>
      </c>
      <c r="E7707">
        <v>30.5</v>
      </c>
      <c r="F7707">
        <f t="shared" si="481"/>
        <v>39.5</v>
      </c>
      <c r="G7707">
        <v>10.95</v>
      </c>
      <c r="H7707">
        <v>0.29199999999999998</v>
      </c>
      <c r="I7707">
        <v>2.68</v>
      </c>
      <c r="J7707">
        <v>4</v>
      </c>
      <c r="K7707">
        <v>7</v>
      </c>
      <c r="L7707">
        <v>5</v>
      </c>
      <c r="M7707">
        <v>0.60299999999999998</v>
      </c>
    </row>
    <row r="7708" spans="1:13" ht="15" customHeight="1">
      <c r="A7708" t="s">
        <v>79</v>
      </c>
      <c r="B7708">
        <f t="shared" si="478"/>
        <v>33.716439000000001</v>
      </c>
      <c r="C7708">
        <f t="shared" si="479"/>
        <v>-117.84585199999999</v>
      </c>
      <c r="D7708">
        <f t="shared" si="480"/>
        <v>70</v>
      </c>
      <c r="E7708">
        <v>31.5</v>
      </c>
      <c r="F7708">
        <f t="shared" si="481"/>
        <v>38.5</v>
      </c>
      <c r="G7708">
        <v>14.871</v>
      </c>
      <c r="H7708">
        <v>0.36899999999999999</v>
      </c>
      <c r="I7708">
        <v>2.4900000000000002</v>
      </c>
      <c r="J7708">
        <v>5</v>
      </c>
      <c r="K7708">
        <v>7</v>
      </c>
      <c r="L7708">
        <v>5</v>
      </c>
      <c r="M7708">
        <v>0.86</v>
      </c>
    </row>
    <row r="7709" spans="1:13" ht="15" customHeight="1">
      <c r="A7709" t="s">
        <v>79</v>
      </c>
      <c r="B7709">
        <f t="shared" si="478"/>
        <v>33.716439000000001</v>
      </c>
      <c r="C7709">
        <f t="shared" si="479"/>
        <v>-117.84585199999999</v>
      </c>
      <c r="D7709">
        <f t="shared" si="480"/>
        <v>70</v>
      </c>
      <c r="E7709">
        <v>32.5</v>
      </c>
      <c r="F7709">
        <f t="shared" si="481"/>
        <v>37.5</v>
      </c>
      <c r="G7709">
        <v>28.216999999999999</v>
      </c>
      <c r="H7709">
        <v>1.1879999999999999</v>
      </c>
      <c r="I7709">
        <v>4.2210000000000001</v>
      </c>
      <c r="J7709">
        <v>4</v>
      </c>
      <c r="K7709">
        <v>18</v>
      </c>
      <c r="L7709">
        <v>12</v>
      </c>
      <c r="M7709">
        <v>1.746</v>
      </c>
    </row>
    <row r="7710" spans="1:13" ht="15" customHeight="1">
      <c r="A7710" t="s">
        <v>79</v>
      </c>
      <c r="B7710">
        <f t="shared" si="478"/>
        <v>33.716439000000001</v>
      </c>
      <c r="C7710">
        <f t="shared" si="479"/>
        <v>-117.84585199999999</v>
      </c>
      <c r="D7710">
        <f t="shared" si="480"/>
        <v>70</v>
      </c>
      <c r="E7710">
        <v>33.5</v>
      </c>
      <c r="F7710">
        <f t="shared" si="481"/>
        <v>36.5</v>
      </c>
      <c r="G7710">
        <v>21.817</v>
      </c>
      <c r="H7710">
        <v>0.91700000000000004</v>
      </c>
      <c r="I7710">
        <v>4.2110000000000003</v>
      </c>
      <c r="J7710">
        <v>4</v>
      </c>
      <c r="K7710">
        <v>14</v>
      </c>
      <c r="L7710">
        <v>9</v>
      </c>
      <c r="M7710">
        <v>1.3160000000000001</v>
      </c>
    </row>
    <row r="7711" spans="1:13" ht="15" customHeight="1">
      <c r="A7711" t="s">
        <v>79</v>
      </c>
      <c r="B7711">
        <f t="shared" si="478"/>
        <v>33.716439000000001</v>
      </c>
      <c r="C7711">
        <f t="shared" si="479"/>
        <v>-117.84585199999999</v>
      </c>
      <c r="D7711">
        <f t="shared" si="480"/>
        <v>70</v>
      </c>
      <c r="E7711">
        <v>34.5</v>
      </c>
      <c r="F7711">
        <f t="shared" si="481"/>
        <v>35.5</v>
      </c>
      <c r="G7711">
        <v>42.116999999999997</v>
      </c>
      <c r="H7711">
        <v>1.982</v>
      </c>
      <c r="I7711">
        <v>4.7069999999999999</v>
      </c>
      <c r="J7711">
        <v>4</v>
      </c>
      <c r="K7711">
        <v>27</v>
      </c>
      <c r="L7711">
        <v>17</v>
      </c>
      <c r="M7711">
        <v>2.6669999999999998</v>
      </c>
    </row>
    <row r="7712" spans="1:13" ht="15" customHeight="1">
      <c r="A7712" t="s">
        <v>79</v>
      </c>
      <c r="B7712">
        <f t="shared" si="478"/>
        <v>33.716439000000001</v>
      </c>
      <c r="C7712">
        <f t="shared" si="479"/>
        <v>-117.84585199999999</v>
      </c>
      <c r="D7712">
        <f t="shared" si="480"/>
        <v>70</v>
      </c>
      <c r="E7712">
        <v>35.5</v>
      </c>
      <c r="F7712">
        <f t="shared" si="481"/>
        <v>34.5</v>
      </c>
      <c r="G7712">
        <v>170.81700000000001</v>
      </c>
      <c r="H7712">
        <v>4.5279999999999996</v>
      </c>
      <c r="I7712">
        <v>2.653</v>
      </c>
      <c r="J7712">
        <v>7</v>
      </c>
      <c r="K7712">
        <v>55</v>
      </c>
      <c r="L7712">
        <v>35</v>
      </c>
      <c r="M7712" s="1">
        <v>9000000000</v>
      </c>
    </row>
    <row r="7713" spans="1:13" ht="15" customHeight="1">
      <c r="A7713" t="s">
        <v>79</v>
      </c>
      <c r="B7713">
        <f t="shared" si="478"/>
        <v>33.716439000000001</v>
      </c>
      <c r="C7713">
        <f t="shared" si="479"/>
        <v>-117.84585199999999</v>
      </c>
      <c r="D7713">
        <f t="shared" si="480"/>
        <v>70</v>
      </c>
      <c r="E7713">
        <v>36.5</v>
      </c>
      <c r="F7713">
        <f t="shared" si="481"/>
        <v>33.5</v>
      </c>
      <c r="G7713">
        <v>225.03299999999999</v>
      </c>
      <c r="H7713">
        <v>3.8879999999999999</v>
      </c>
      <c r="I7713">
        <v>1.7290000000000001</v>
      </c>
      <c r="J7713">
        <v>8</v>
      </c>
      <c r="K7713">
        <v>54</v>
      </c>
      <c r="L7713">
        <v>34</v>
      </c>
      <c r="M7713" s="1">
        <v>9000000000</v>
      </c>
    </row>
    <row r="7714" spans="1:13" ht="15" customHeight="1">
      <c r="A7714" t="s">
        <v>79</v>
      </c>
      <c r="B7714">
        <f t="shared" si="478"/>
        <v>33.716439000000001</v>
      </c>
      <c r="C7714">
        <f t="shared" si="479"/>
        <v>-117.84585199999999</v>
      </c>
      <c r="D7714">
        <f t="shared" si="480"/>
        <v>70</v>
      </c>
      <c r="E7714">
        <v>37.5</v>
      </c>
      <c r="F7714">
        <f t="shared" si="481"/>
        <v>32.5</v>
      </c>
      <c r="G7714">
        <v>72.566999999999993</v>
      </c>
      <c r="H7714">
        <v>1.75</v>
      </c>
      <c r="I7714">
        <v>2.4159999999999999</v>
      </c>
      <c r="J7714">
        <v>6</v>
      </c>
      <c r="K7714">
        <v>28</v>
      </c>
      <c r="L7714">
        <v>17</v>
      </c>
      <c r="M7714">
        <v>4.6769999999999996</v>
      </c>
    </row>
    <row r="7715" spans="1:13" ht="15" customHeight="1">
      <c r="A7715" t="s">
        <v>79</v>
      </c>
      <c r="B7715">
        <f t="shared" si="478"/>
        <v>33.716439000000001</v>
      </c>
      <c r="C7715">
        <f t="shared" si="479"/>
        <v>-117.84585199999999</v>
      </c>
      <c r="D7715">
        <f t="shared" si="480"/>
        <v>70</v>
      </c>
      <c r="E7715">
        <v>38.5</v>
      </c>
      <c r="F7715">
        <f t="shared" si="481"/>
        <v>31.5</v>
      </c>
      <c r="G7715">
        <v>33.433</v>
      </c>
      <c r="H7715">
        <v>1.5249999999999999</v>
      </c>
      <c r="I7715">
        <v>4.58</v>
      </c>
      <c r="J7715">
        <v>4</v>
      </c>
      <c r="K7715">
        <v>21</v>
      </c>
      <c r="L7715">
        <v>13</v>
      </c>
      <c r="M7715">
        <v>2.0640000000000001</v>
      </c>
    </row>
    <row r="7716" spans="1:13" ht="15" customHeight="1">
      <c r="A7716" t="s">
        <v>79</v>
      </c>
      <c r="B7716">
        <f t="shared" si="478"/>
        <v>33.716439000000001</v>
      </c>
      <c r="C7716">
        <f t="shared" si="479"/>
        <v>-117.84585199999999</v>
      </c>
      <c r="D7716">
        <f t="shared" si="480"/>
        <v>70</v>
      </c>
      <c r="E7716">
        <v>39.5</v>
      </c>
      <c r="F7716">
        <f t="shared" si="481"/>
        <v>30.5</v>
      </c>
      <c r="G7716">
        <v>36.067</v>
      </c>
      <c r="H7716">
        <v>1.7270000000000001</v>
      </c>
      <c r="I7716">
        <v>4.8099999999999996</v>
      </c>
      <c r="J7716">
        <v>3</v>
      </c>
      <c r="K7716">
        <v>34</v>
      </c>
      <c r="L7716">
        <v>20</v>
      </c>
      <c r="M7716">
        <v>2.2330000000000001</v>
      </c>
    </row>
    <row r="7717" spans="1:13" ht="15" customHeight="1">
      <c r="A7717" t="s">
        <v>79</v>
      </c>
      <c r="B7717">
        <f t="shared" si="478"/>
        <v>33.716439000000001</v>
      </c>
      <c r="C7717">
        <f t="shared" si="479"/>
        <v>-117.84585199999999</v>
      </c>
      <c r="D7717">
        <f t="shared" si="480"/>
        <v>70</v>
      </c>
      <c r="E7717">
        <v>40.5</v>
      </c>
      <c r="F7717">
        <f t="shared" si="481"/>
        <v>29.5</v>
      </c>
      <c r="G7717">
        <v>36.1</v>
      </c>
      <c r="H7717">
        <v>1.3520000000000001</v>
      </c>
      <c r="I7717">
        <v>3.758</v>
      </c>
      <c r="J7717">
        <v>5</v>
      </c>
      <c r="K7717">
        <v>17</v>
      </c>
      <c r="L7717">
        <v>10</v>
      </c>
      <c r="M7717">
        <v>2.234</v>
      </c>
    </row>
    <row r="7718" spans="1:13" ht="15" customHeight="1">
      <c r="A7718" t="s">
        <v>79</v>
      </c>
      <c r="B7718">
        <f t="shared" si="478"/>
        <v>33.716439000000001</v>
      </c>
      <c r="C7718">
        <f t="shared" si="479"/>
        <v>-117.84585199999999</v>
      </c>
      <c r="D7718">
        <f t="shared" si="480"/>
        <v>70</v>
      </c>
      <c r="E7718">
        <v>41.499000000000002</v>
      </c>
      <c r="F7718">
        <f t="shared" si="481"/>
        <v>28.500999999999998</v>
      </c>
      <c r="G7718">
        <v>45.170999999999999</v>
      </c>
      <c r="H7718">
        <v>2.2810000000000001</v>
      </c>
      <c r="I7718">
        <v>5.07</v>
      </c>
      <c r="J7718">
        <v>3</v>
      </c>
      <c r="K7718">
        <v>43</v>
      </c>
      <c r="L7718">
        <v>25</v>
      </c>
      <c r="M7718">
        <v>2.8319999999999999</v>
      </c>
    </row>
    <row r="7719" spans="1:13" ht="15" customHeight="1">
      <c r="A7719" t="s">
        <v>79</v>
      </c>
      <c r="B7719">
        <f t="shared" si="478"/>
        <v>33.716439000000001</v>
      </c>
      <c r="C7719">
        <f t="shared" si="479"/>
        <v>-117.84585199999999</v>
      </c>
      <c r="D7719">
        <f t="shared" si="480"/>
        <v>70</v>
      </c>
      <c r="E7719">
        <v>42.499000000000002</v>
      </c>
      <c r="F7719">
        <f t="shared" si="481"/>
        <v>27.500999999999998</v>
      </c>
      <c r="G7719">
        <v>45.7</v>
      </c>
      <c r="H7719">
        <v>2.4020000000000001</v>
      </c>
      <c r="I7719">
        <v>5.2709999999999999</v>
      </c>
      <c r="J7719">
        <v>3</v>
      </c>
      <c r="K7719">
        <v>44</v>
      </c>
      <c r="L7719">
        <v>25</v>
      </c>
      <c r="M7719">
        <v>2.8650000000000002</v>
      </c>
    </row>
    <row r="7720" spans="1:13" ht="15" customHeight="1">
      <c r="A7720" t="s">
        <v>79</v>
      </c>
      <c r="B7720">
        <f t="shared" si="478"/>
        <v>33.716439000000001</v>
      </c>
      <c r="C7720">
        <f t="shared" si="479"/>
        <v>-117.84585199999999</v>
      </c>
      <c r="D7720">
        <f t="shared" si="480"/>
        <v>70</v>
      </c>
      <c r="E7720">
        <v>43.499000000000002</v>
      </c>
      <c r="F7720">
        <f t="shared" si="481"/>
        <v>26.500999999999998</v>
      </c>
      <c r="G7720">
        <v>47.966999999999999</v>
      </c>
      <c r="H7720">
        <v>2.0049999999999999</v>
      </c>
      <c r="I7720">
        <v>4.1970000000000001</v>
      </c>
      <c r="J7720">
        <v>5</v>
      </c>
      <c r="K7720">
        <v>23</v>
      </c>
      <c r="L7720">
        <v>13</v>
      </c>
      <c r="M7720">
        <v>3.008</v>
      </c>
    </row>
    <row r="7721" spans="1:13" ht="15" customHeight="1">
      <c r="A7721" t="s">
        <v>79</v>
      </c>
      <c r="B7721">
        <f t="shared" si="478"/>
        <v>33.716439000000001</v>
      </c>
      <c r="C7721">
        <f t="shared" si="479"/>
        <v>-117.84585199999999</v>
      </c>
      <c r="D7721">
        <f t="shared" si="480"/>
        <v>70</v>
      </c>
      <c r="E7721">
        <v>44.499000000000002</v>
      </c>
      <c r="F7721">
        <f t="shared" si="481"/>
        <v>25.500999999999998</v>
      </c>
      <c r="G7721">
        <v>36.033000000000001</v>
      </c>
      <c r="H7721">
        <v>1.5720000000000001</v>
      </c>
      <c r="I7721">
        <v>4.3819999999999997</v>
      </c>
      <c r="J7721">
        <v>4</v>
      </c>
      <c r="K7721">
        <v>23</v>
      </c>
      <c r="L7721">
        <v>13</v>
      </c>
      <c r="M7721">
        <v>2.21</v>
      </c>
    </row>
    <row r="7722" spans="1:13" ht="15" customHeight="1">
      <c r="A7722" t="s">
        <v>79</v>
      </c>
      <c r="B7722">
        <f t="shared" si="478"/>
        <v>33.716439000000001</v>
      </c>
      <c r="C7722">
        <f t="shared" si="479"/>
        <v>-117.84585199999999</v>
      </c>
      <c r="D7722">
        <f t="shared" si="480"/>
        <v>70</v>
      </c>
      <c r="E7722">
        <v>45.499000000000002</v>
      </c>
      <c r="F7722">
        <f t="shared" si="481"/>
        <v>24.500999999999998</v>
      </c>
      <c r="G7722">
        <v>33.082999999999998</v>
      </c>
      <c r="H7722">
        <v>1.5569999999999999</v>
      </c>
      <c r="I7722">
        <v>4.7270000000000003</v>
      </c>
      <c r="J7722">
        <v>3</v>
      </c>
      <c r="K7722">
        <v>32</v>
      </c>
      <c r="L7722">
        <v>18</v>
      </c>
      <c r="M7722">
        <v>2.0110000000000001</v>
      </c>
    </row>
    <row r="7723" spans="1:13" ht="15" customHeight="1">
      <c r="A7723" t="s">
        <v>79</v>
      </c>
      <c r="B7723">
        <f t="shared" si="478"/>
        <v>33.716439000000001</v>
      </c>
      <c r="C7723">
        <f t="shared" si="479"/>
        <v>-117.84585199999999</v>
      </c>
      <c r="D7723">
        <f t="shared" si="480"/>
        <v>70</v>
      </c>
      <c r="E7723">
        <v>46.499000000000002</v>
      </c>
      <c r="F7723">
        <f t="shared" si="481"/>
        <v>23.500999999999998</v>
      </c>
      <c r="G7723">
        <v>29.15</v>
      </c>
      <c r="H7723">
        <v>1.635</v>
      </c>
      <c r="I7723">
        <v>5.6379999999999999</v>
      </c>
      <c r="J7723">
        <v>3</v>
      </c>
      <c r="K7723">
        <v>28</v>
      </c>
      <c r="L7723">
        <v>15</v>
      </c>
      <c r="M7723">
        <v>1.744</v>
      </c>
    </row>
    <row r="7724" spans="1:13" ht="15" customHeight="1">
      <c r="A7724" t="s">
        <v>79</v>
      </c>
      <c r="B7724">
        <f t="shared" si="478"/>
        <v>33.716439000000001</v>
      </c>
      <c r="C7724">
        <f t="shared" si="479"/>
        <v>-117.84585199999999</v>
      </c>
      <c r="D7724">
        <f t="shared" si="480"/>
        <v>70</v>
      </c>
      <c r="E7724">
        <v>47.499000000000002</v>
      </c>
      <c r="F7724">
        <f t="shared" si="481"/>
        <v>22.500999999999998</v>
      </c>
      <c r="G7724">
        <v>29.433</v>
      </c>
      <c r="H7724">
        <v>1.4079999999999999</v>
      </c>
      <c r="I7724">
        <v>4.8070000000000004</v>
      </c>
      <c r="J7724">
        <v>3</v>
      </c>
      <c r="K7724">
        <v>28</v>
      </c>
      <c r="L7724">
        <v>15</v>
      </c>
      <c r="M7724">
        <v>1.76</v>
      </c>
    </row>
    <row r="7725" spans="1:13" ht="15" customHeight="1">
      <c r="A7725" t="s">
        <v>79</v>
      </c>
      <c r="B7725">
        <f t="shared" si="478"/>
        <v>33.716439000000001</v>
      </c>
      <c r="C7725">
        <f t="shared" si="479"/>
        <v>-117.84585199999999</v>
      </c>
      <c r="D7725">
        <f t="shared" si="480"/>
        <v>70</v>
      </c>
      <c r="E7725">
        <v>48.499000000000002</v>
      </c>
      <c r="F7725">
        <f t="shared" si="481"/>
        <v>21.500999999999998</v>
      </c>
      <c r="G7725">
        <v>26.867000000000001</v>
      </c>
      <c r="H7725">
        <v>0.94299999999999995</v>
      </c>
      <c r="I7725">
        <v>3.5259999999999998</v>
      </c>
      <c r="J7725">
        <v>5</v>
      </c>
      <c r="K7725">
        <v>13</v>
      </c>
      <c r="L7725">
        <v>7</v>
      </c>
      <c r="M7725">
        <v>1.5860000000000001</v>
      </c>
    </row>
    <row r="7726" spans="1:13" ht="15" customHeight="1">
      <c r="A7726" t="s">
        <v>79</v>
      </c>
      <c r="B7726">
        <f t="shared" si="478"/>
        <v>33.716439000000001</v>
      </c>
      <c r="C7726">
        <f t="shared" si="479"/>
        <v>-117.84585199999999</v>
      </c>
      <c r="D7726">
        <f t="shared" si="480"/>
        <v>70</v>
      </c>
      <c r="E7726">
        <v>49.499000000000002</v>
      </c>
      <c r="F7726">
        <f t="shared" si="481"/>
        <v>20.500999999999998</v>
      </c>
      <c r="G7726">
        <v>126.383</v>
      </c>
      <c r="H7726">
        <v>6.76</v>
      </c>
      <c r="I7726">
        <v>5.3550000000000004</v>
      </c>
      <c r="J7726">
        <v>11</v>
      </c>
      <c r="K7726">
        <v>121</v>
      </c>
      <c r="L7726">
        <v>65</v>
      </c>
      <c r="M7726" s="1">
        <v>9000000000</v>
      </c>
    </row>
    <row r="7727" spans="1:13" ht="15" customHeight="1">
      <c r="A7727" t="s">
        <v>79</v>
      </c>
      <c r="B7727">
        <f t="shared" si="478"/>
        <v>33.716439000000001</v>
      </c>
      <c r="C7727">
        <f t="shared" si="479"/>
        <v>-117.84585199999999</v>
      </c>
      <c r="D7727">
        <f t="shared" si="480"/>
        <v>70</v>
      </c>
      <c r="E7727">
        <v>50.499000000000002</v>
      </c>
      <c r="F7727">
        <f t="shared" si="481"/>
        <v>19.500999999999998</v>
      </c>
      <c r="G7727">
        <v>85.382999999999996</v>
      </c>
      <c r="H7727">
        <v>4.0949999999999998</v>
      </c>
      <c r="I7727">
        <v>4.8040000000000003</v>
      </c>
      <c r="J7727">
        <v>11</v>
      </c>
      <c r="K7727">
        <v>82</v>
      </c>
      <c r="L7727">
        <v>43</v>
      </c>
      <c r="M7727" s="1">
        <v>9000000000</v>
      </c>
    </row>
    <row r="7728" spans="1:13" ht="15" customHeight="1">
      <c r="A7728" t="s">
        <v>79</v>
      </c>
      <c r="B7728">
        <f t="shared" si="478"/>
        <v>33.716439000000001</v>
      </c>
      <c r="C7728">
        <f t="shared" si="479"/>
        <v>-117.84585199999999</v>
      </c>
      <c r="D7728">
        <f t="shared" si="480"/>
        <v>70</v>
      </c>
      <c r="E7728">
        <v>51.499000000000002</v>
      </c>
      <c r="F7728">
        <f t="shared" si="481"/>
        <v>18.500999999999998</v>
      </c>
      <c r="G7728">
        <v>42.633000000000003</v>
      </c>
      <c r="H7728">
        <v>2.19</v>
      </c>
      <c r="I7728">
        <v>5.1609999999999996</v>
      </c>
      <c r="J7728">
        <v>3</v>
      </c>
      <c r="K7728">
        <v>41</v>
      </c>
      <c r="L7728">
        <v>21</v>
      </c>
      <c r="M7728">
        <v>2.6179999999999999</v>
      </c>
    </row>
    <row r="7729" spans="1:13" ht="15" customHeight="1">
      <c r="A7729" t="s">
        <v>79</v>
      </c>
      <c r="B7729">
        <f t="shared" si="478"/>
        <v>33.716439000000001</v>
      </c>
      <c r="C7729">
        <f t="shared" si="479"/>
        <v>-117.84585199999999</v>
      </c>
      <c r="D7729">
        <f t="shared" si="480"/>
        <v>70</v>
      </c>
      <c r="E7729">
        <v>52.499000000000002</v>
      </c>
      <c r="F7729">
        <f t="shared" si="481"/>
        <v>17.500999999999998</v>
      </c>
      <c r="G7729">
        <v>117.343</v>
      </c>
      <c r="H7729">
        <v>3.8460000000000001</v>
      </c>
      <c r="I7729">
        <v>3.282</v>
      </c>
      <c r="J7729">
        <v>6</v>
      </c>
      <c r="K7729">
        <v>45</v>
      </c>
      <c r="L7729">
        <v>23</v>
      </c>
      <c r="M7729">
        <v>7.5979999999999999</v>
      </c>
    </row>
    <row r="7730" spans="1:13" ht="15" customHeight="1">
      <c r="A7730" t="s">
        <v>79</v>
      </c>
      <c r="B7730">
        <f t="shared" si="478"/>
        <v>33.716439000000001</v>
      </c>
      <c r="C7730">
        <f t="shared" si="479"/>
        <v>-117.84585199999999</v>
      </c>
      <c r="D7730">
        <f t="shared" si="480"/>
        <v>70</v>
      </c>
      <c r="E7730">
        <v>53.499000000000002</v>
      </c>
      <c r="F7730">
        <f t="shared" si="481"/>
        <v>16.500999999999998</v>
      </c>
      <c r="G7730">
        <v>265.45</v>
      </c>
      <c r="H7730">
        <v>4.9000000000000004</v>
      </c>
      <c r="I7730">
        <v>1.847</v>
      </c>
      <c r="J7730">
        <v>8</v>
      </c>
      <c r="K7730">
        <v>64</v>
      </c>
      <c r="L7730">
        <v>33</v>
      </c>
      <c r="M7730" s="1">
        <v>9000000000</v>
      </c>
    </row>
    <row r="7731" spans="1:13" ht="15" customHeight="1">
      <c r="A7731" t="s">
        <v>79</v>
      </c>
      <c r="B7731">
        <f t="shared" si="478"/>
        <v>33.716439000000001</v>
      </c>
      <c r="C7731">
        <f t="shared" si="479"/>
        <v>-117.84585199999999</v>
      </c>
      <c r="D7731">
        <f t="shared" si="480"/>
        <v>70</v>
      </c>
      <c r="E7731">
        <v>54.499000000000002</v>
      </c>
      <c r="F7731">
        <f t="shared" si="481"/>
        <v>15.500999999999998</v>
      </c>
      <c r="G7731">
        <v>291.3</v>
      </c>
      <c r="H7731">
        <v>2.2530000000000001</v>
      </c>
      <c r="I7731">
        <v>0.77400000000000002</v>
      </c>
      <c r="J7731">
        <v>9</v>
      </c>
      <c r="K7731">
        <v>56</v>
      </c>
      <c r="L7731">
        <v>28</v>
      </c>
      <c r="M7731" s="1">
        <v>9000000000</v>
      </c>
    </row>
    <row r="7732" spans="1:13" ht="15" customHeight="1">
      <c r="A7732" t="s">
        <v>79</v>
      </c>
      <c r="B7732">
        <f t="shared" si="478"/>
        <v>33.716439000000001</v>
      </c>
      <c r="C7732">
        <f t="shared" si="479"/>
        <v>-117.84585199999999</v>
      </c>
      <c r="D7732">
        <f t="shared" si="480"/>
        <v>70</v>
      </c>
      <c r="E7732">
        <v>55.499000000000002</v>
      </c>
      <c r="F7732">
        <f t="shared" si="481"/>
        <v>14.500999999999998</v>
      </c>
      <c r="G7732">
        <v>309.18299999999999</v>
      </c>
      <c r="H7732">
        <v>2.6219999999999999</v>
      </c>
      <c r="I7732">
        <v>0.84799999999999998</v>
      </c>
      <c r="J7732">
        <v>9</v>
      </c>
      <c r="K7732">
        <v>59</v>
      </c>
      <c r="L7732">
        <v>30</v>
      </c>
      <c r="M7732" s="1">
        <v>9000000000</v>
      </c>
    </row>
    <row r="7733" spans="1:13" ht="15" customHeight="1">
      <c r="A7733" t="s">
        <v>79</v>
      </c>
      <c r="B7733">
        <f t="shared" si="478"/>
        <v>33.716439000000001</v>
      </c>
      <c r="C7733">
        <f t="shared" si="479"/>
        <v>-117.84585199999999</v>
      </c>
      <c r="D7733">
        <f t="shared" si="480"/>
        <v>70</v>
      </c>
      <c r="E7733">
        <v>56.499000000000002</v>
      </c>
      <c r="F7733">
        <f t="shared" si="481"/>
        <v>13.500999999999998</v>
      </c>
      <c r="G7733">
        <v>309.78300000000002</v>
      </c>
      <c r="H7733">
        <v>3.8479999999999999</v>
      </c>
      <c r="I7733">
        <v>1.242</v>
      </c>
      <c r="J7733">
        <v>9</v>
      </c>
      <c r="K7733">
        <v>59</v>
      </c>
      <c r="L7733">
        <v>30</v>
      </c>
      <c r="M7733" s="1">
        <v>9000000000</v>
      </c>
    </row>
    <row r="7734" spans="1:13" ht="15" customHeight="1">
      <c r="A7734" t="s">
        <v>79</v>
      </c>
      <c r="B7734">
        <f t="shared" si="478"/>
        <v>33.716439000000001</v>
      </c>
      <c r="C7734">
        <f t="shared" si="479"/>
        <v>-117.84585199999999</v>
      </c>
      <c r="D7734">
        <f t="shared" si="480"/>
        <v>70</v>
      </c>
      <c r="E7734">
        <v>57.499000000000002</v>
      </c>
      <c r="F7734">
        <f t="shared" si="481"/>
        <v>12.500999999999998</v>
      </c>
      <c r="G7734">
        <v>362.41699999999997</v>
      </c>
      <c r="H7734">
        <v>4.6929999999999996</v>
      </c>
      <c r="I7734">
        <v>1.2949999999999999</v>
      </c>
      <c r="J7734">
        <v>9</v>
      </c>
      <c r="K7734">
        <v>69</v>
      </c>
      <c r="L7734">
        <v>35</v>
      </c>
      <c r="M7734" s="1">
        <v>9000000000</v>
      </c>
    </row>
    <row r="7735" spans="1:13" ht="15" customHeight="1">
      <c r="A7735" t="s">
        <v>79</v>
      </c>
      <c r="B7735">
        <f t="shared" si="478"/>
        <v>33.716439000000001</v>
      </c>
      <c r="C7735">
        <f t="shared" si="479"/>
        <v>-117.84585199999999</v>
      </c>
      <c r="D7735">
        <f t="shared" si="480"/>
        <v>70</v>
      </c>
      <c r="E7735">
        <v>58.499000000000002</v>
      </c>
      <c r="F7735">
        <f t="shared" si="481"/>
        <v>11.500999999999998</v>
      </c>
      <c r="G7735">
        <v>192.96700000000001</v>
      </c>
      <c r="H7735">
        <v>2.5299999999999998</v>
      </c>
      <c r="I7735">
        <v>1.3109999999999999</v>
      </c>
      <c r="J7735">
        <v>8</v>
      </c>
      <c r="K7735">
        <v>46</v>
      </c>
      <c r="L7735">
        <v>23</v>
      </c>
      <c r="M7735" s="1">
        <v>9000000000</v>
      </c>
    </row>
    <row r="7736" spans="1:13" ht="15" customHeight="1">
      <c r="A7736" t="s">
        <v>79</v>
      </c>
      <c r="B7736">
        <f t="shared" si="478"/>
        <v>33.716439000000001</v>
      </c>
      <c r="C7736">
        <f t="shared" si="479"/>
        <v>-117.84585199999999</v>
      </c>
      <c r="D7736">
        <f t="shared" si="480"/>
        <v>70</v>
      </c>
      <c r="E7736">
        <v>59.499000000000002</v>
      </c>
      <c r="F7736">
        <f t="shared" si="481"/>
        <v>10.500999999999998</v>
      </c>
      <c r="G7736">
        <v>22.082999999999998</v>
      </c>
      <c r="H7736">
        <v>0.60199999999999998</v>
      </c>
      <c r="I7736">
        <v>2.6560000000000001</v>
      </c>
      <c r="J7736">
        <v>5</v>
      </c>
      <c r="K7736">
        <v>11</v>
      </c>
      <c r="L7736">
        <v>6</v>
      </c>
      <c r="M7736">
        <v>1.266</v>
      </c>
    </row>
    <row r="7737" spans="1:13" ht="15" customHeight="1">
      <c r="A7737" t="s">
        <v>79</v>
      </c>
      <c r="B7737">
        <f t="shared" si="478"/>
        <v>33.716439000000001</v>
      </c>
      <c r="C7737">
        <f t="shared" si="479"/>
        <v>-117.84585199999999</v>
      </c>
      <c r="D7737">
        <f t="shared" si="480"/>
        <v>70</v>
      </c>
      <c r="E7737">
        <v>60.499000000000002</v>
      </c>
      <c r="F7737">
        <f t="shared" si="481"/>
        <v>9.5009999999999977</v>
      </c>
      <c r="G7737">
        <v>23.216999999999999</v>
      </c>
      <c r="H7737">
        <v>0.61799999999999999</v>
      </c>
      <c r="I7737">
        <v>2.5550000000000002</v>
      </c>
      <c r="J7737">
        <v>6</v>
      </c>
      <c r="K7737">
        <v>9</v>
      </c>
      <c r="L7737">
        <v>5</v>
      </c>
      <c r="M7737">
        <v>1.365</v>
      </c>
    </row>
    <row r="7738" spans="1:13" ht="15" customHeight="1">
      <c r="A7738" t="s">
        <v>79</v>
      </c>
      <c r="B7738">
        <f t="shared" si="478"/>
        <v>33.716439000000001</v>
      </c>
      <c r="C7738">
        <f t="shared" si="479"/>
        <v>-117.84585199999999</v>
      </c>
      <c r="D7738">
        <f t="shared" si="480"/>
        <v>70</v>
      </c>
      <c r="E7738">
        <v>61.499000000000002</v>
      </c>
      <c r="F7738">
        <f t="shared" si="481"/>
        <v>8.5009999999999977</v>
      </c>
      <c r="G7738">
        <v>67.667000000000002</v>
      </c>
      <c r="H7738">
        <v>3.14</v>
      </c>
      <c r="I7738">
        <v>4.6349999999999998</v>
      </c>
      <c r="J7738">
        <v>4</v>
      </c>
      <c r="K7738">
        <v>43</v>
      </c>
      <c r="L7738">
        <v>22</v>
      </c>
      <c r="M7738">
        <v>4.2640000000000002</v>
      </c>
    </row>
    <row r="7739" spans="1:13" ht="15" customHeight="1">
      <c r="A7739" t="s">
        <v>79</v>
      </c>
      <c r="B7739">
        <f t="shared" si="478"/>
        <v>33.716439000000001</v>
      </c>
      <c r="C7739">
        <f t="shared" si="479"/>
        <v>-117.84585199999999</v>
      </c>
      <c r="D7739">
        <f t="shared" si="480"/>
        <v>70</v>
      </c>
      <c r="E7739">
        <v>62.499000000000002</v>
      </c>
      <c r="F7739">
        <f t="shared" si="481"/>
        <v>7.5009999999999977</v>
      </c>
      <c r="G7739">
        <v>25.856999999999999</v>
      </c>
      <c r="H7739">
        <v>0.79100000000000004</v>
      </c>
      <c r="I7739">
        <v>3.081</v>
      </c>
      <c r="J7739">
        <v>5</v>
      </c>
      <c r="K7739">
        <v>12</v>
      </c>
      <c r="L7739">
        <v>6</v>
      </c>
      <c r="M7739">
        <v>1.456</v>
      </c>
    </row>
    <row r="7740" spans="1:13" ht="15" customHeight="1">
      <c r="A7740" t="s">
        <v>79</v>
      </c>
      <c r="B7740">
        <f t="shared" si="478"/>
        <v>33.716439000000001</v>
      </c>
      <c r="C7740">
        <f t="shared" si="479"/>
        <v>-117.84585199999999</v>
      </c>
      <c r="D7740">
        <f t="shared" si="480"/>
        <v>70</v>
      </c>
      <c r="E7740">
        <v>63.499000000000002</v>
      </c>
      <c r="F7740">
        <f t="shared" si="481"/>
        <v>6.5009999999999977</v>
      </c>
      <c r="G7740">
        <v>22.9</v>
      </c>
      <c r="H7740">
        <v>0.64</v>
      </c>
      <c r="I7740">
        <v>2.8130000000000002</v>
      </c>
      <c r="J7740">
        <v>5</v>
      </c>
      <c r="K7740">
        <v>11</v>
      </c>
      <c r="L7740">
        <v>6</v>
      </c>
      <c r="M7740">
        <v>1.256</v>
      </c>
    </row>
    <row r="7741" spans="1:13" ht="15" customHeight="1">
      <c r="A7741" t="s">
        <v>79</v>
      </c>
      <c r="B7741">
        <f t="shared" si="478"/>
        <v>33.716439000000001</v>
      </c>
      <c r="C7741">
        <f t="shared" si="479"/>
        <v>-117.84585199999999</v>
      </c>
      <c r="D7741">
        <f t="shared" si="480"/>
        <v>70</v>
      </c>
      <c r="E7741">
        <v>64.498999999999995</v>
      </c>
      <c r="F7741">
        <f t="shared" si="481"/>
        <v>5.5010000000000048</v>
      </c>
      <c r="G7741">
        <v>26.6</v>
      </c>
      <c r="H7741">
        <v>0.66500000000000004</v>
      </c>
      <c r="I7741">
        <v>2.5129999999999999</v>
      </c>
      <c r="J7741">
        <v>6</v>
      </c>
      <c r="K7741">
        <v>10</v>
      </c>
      <c r="L7741">
        <v>5</v>
      </c>
      <c r="M7741">
        <v>1.5</v>
      </c>
    </row>
    <row r="7742" spans="1:13" ht="15" customHeight="1">
      <c r="A7742" t="s">
        <v>79</v>
      </c>
      <c r="B7742">
        <f t="shared" si="478"/>
        <v>33.716439000000001</v>
      </c>
      <c r="C7742">
        <f t="shared" si="479"/>
        <v>-117.84585199999999</v>
      </c>
      <c r="D7742">
        <f t="shared" si="480"/>
        <v>70</v>
      </c>
      <c r="E7742">
        <v>65.498999999999995</v>
      </c>
      <c r="F7742">
        <f t="shared" si="481"/>
        <v>4.5010000000000048</v>
      </c>
      <c r="G7742">
        <v>24.417000000000002</v>
      </c>
      <c r="H7742">
        <v>0.53500000000000003</v>
      </c>
      <c r="I7742">
        <v>2.206</v>
      </c>
      <c r="J7742">
        <v>6</v>
      </c>
      <c r="K7742">
        <v>9</v>
      </c>
      <c r="L7742">
        <v>5</v>
      </c>
      <c r="M7742">
        <v>1.3480000000000001</v>
      </c>
    </row>
    <row r="7743" spans="1:13" ht="15" customHeight="1">
      <c r="A7743" t="s">
        <v>79</v>
      </c>
      <c r="B7743">
        <f t="shared" si="478"/>
        <v>33.716439000000001</v>
      </c>
      <c r="C7743">
        <f t="shared" si="479"/>
        <v>-117.84585199999999</v>
      </c>
      <c r="D7743">
        <f t="shared" si="480"/>
        <v>70</v>
      </c>
      <c r="E7743">
        <v>66.498999999999995</v>
      </c>
      <c r="F7743">
        <f t="shared" si="481"/>
        <v>3.5010000000000048</v>
      </c>
      <c r="G7743">
        <v>29.1</v>
      </c>
      <c r="H7743">
        <v>0.89500000000000002</v>
      </c>
      <c r="I7743">
        <v>3.0859999999999999</v>
      </c>
      <c r="J7743">
        <v>5</v>
      </c>
      <c r="K7743">
        <v>14</v>
      </c>
      <c r="L7743">
        <v>7</v>
      </c>
      <c r="M7743">
        <v>1.66</v>
      </c>
    </row>
    <row r="7744" spans="1:13" ht="15" customHeight="1">
      <c r="A7744" t="s">
        <v>79</v>
      </c>
      <c r="B7744">
        <f t="shared" si="478"/>
        <v>33.716439000000001</v>
      </c>
      <c r="C7744">
        <f t="shared" si="479"/>
        <v>-117.84585199999999</v>
      </c>
      <c r="D7744">
        <f t="shared" si="480"/>
        <v>70</v>
      </c>
      <c r="E7744">
        <v>67.498999999999995</v>
      </c>
      <c r="F7744">
        <f t="shared" si="481"/>
        <v>2.5010000000000048</v>
      </c>
      <c r="G7744">
        <v>146.30000000000001</v>
      </c>
      <c r="H7744">
        <v>5.8630000000000004</v>
      </c>
      <c r="I7744">
        <v>4.0110000000000001</v>
      </c>
      <c r="J7744">
        <v>11</v>
      </c>
      <c r="K7744">
        <v>140</v>
      </c>
      <c r="L7744">
        <v>70</v>
      </c>
      <c r="M7744" s="1">
        <v>9000000000</v>
      </c>
    </row>
    <row r="7745" spans="1:13" ht="15" customHeight="1">
      <c r="A7745" t="s">
        <v>79</v>
      </c>
      <c r="B7745">
        <f t="shared" si="478"/>
        <v>33.716439000000001</v>
      </c>
      <c r="C7745">
        <f t="shared" si="479"/>
        <v>-117.84585199999999</v>
      </c>
      <c r="D7745">
        <f t="shared" si="480"/>
        <v>70</v>
      </c>
      <c r="E7745">
        <v>68.498999999999995</v>
      </c>
      <c r="F7745">
        <f t="shared" si="481"/>
        <v>1.5010000000000048</v>
      </c>
      <c r="G7745">
        <v>85.6</v>
      </c>
      <c r="H7745">
        <v>5.5880000000000001</v>
      </c>
      <c r="I7745">
        <v>6.54</v>
      </c>
      <c r="J7745">
        <v>11</v>
      </c>
      <c r="K7745">
        <v>82</v>
      </c>
      <c r="L7745">
        <v>41</v>
      </c>
      <c r="M7745" s="1">
        <v>9000000000</v>
      </c>
    </row>
    <row r="7746" spans="1:13" ht="15" customHeight="1">
      <c r="A7746" t="s">
        <v>79</v>
      </c>
      <c r="B7746">
        <f t="shared" ref="B7746:B7809" si="482">VLOOKUP(A7746,XYdata,3,FALSE)</f>
        <v>33.716439000000001</v>
      </c>
      <c r="C7746">
        <f t="shared" ref="C7746:C7809" si="483">VLOOKUP(A7746,XYdata,2,FALSE)</f>
        <v>-117.84585199999999</v>
      </c>
      <c r="D7746">
        <f t="shared" ref="D7746:D7809" si="484">VLOOKUP(A7746,Elevation,2,FALSE)</f>
        <v>70</v>
      </c>
      <c r="E7746">
        <v>69.498999999999995</v>
      </c>
      <c r="F7746">
        <f t="shared" si="481"/>
        <v>0.50100000000000477</v>
      </c>
      <c r="G7746">
        <v>28.683</v>
      </c>
      <c r="H7746">
        <v>0.88800000000000001</v>
      </c>
      <c r="I7746">
        <v>3.117</v>
      </c>
      <c r="J7746">
        <v>5</v>
      </c>
      <c r="K7746">
        <v>14</v>
      </c>
      <c r="L7746">
        <v>7</v>
      </c>
      <c r="M7746">
        <v>1.6140000000000001</v>
      </c>
    </row>
    <row r="7747" spans="1:13" ht="15" customHeight="1">
      <c r="A7747" t="s">
        <v>79</v>
      </c>
      <c r="B7747">
        <f t="shared" si="482"/>
        <v>33.716439000000001</v>
      </c>
      <c r="C7747">
        <f t="shared" si="483"/>
        <v>-117.84585199999999</v>
      </c>
      <c r="D7747">
        <f t="shared" si="484"/>
        <v>70</v>
      </c>
      <c r="E7747">
        <v>70.498999999999995</v>
      </c>
      <c r="F7747">
        <f t="shared" ref="F7747:F7810" si="485">D7747-E7747</f>
        <v>-0.49899999999999523</v>
      </c>
      <c r="G7747">
        <v>115.667</v>
      </c>
      <c r="H7747">
        <v>5.085</v>
      </c>
      <c r="I7747">
        <v>4.4009999999999998</v>
      </c>
      <c r="J7747">
        <v>11</v>
      </c>
      <c r="K7747">
        <v>111</v>
      </c>
      <c r="L7747">
        <v>56</v>
      </c>
      <c r="M7747" s="1">
        <v>9000000000</v>
      </c>
    </row>
    <row r="7748" spans="1:13" ht="15" customHeight="1">
      <c r="A7748" t="s">
        <v>79</v>
      </c>
      <c r="B7748">
        <f t="shared" si="482"/>
        <v>33.716439000000001</v>
      </c>
      <c r="C7748">
        <f t="shared" si="483"/>
        <v>-117.84585199999999</v>
      </c>
      <c r="D7748">
        <f t="shared" si="484"/>
        <v>70</v>
      </c>
      <c r="E7748">
        <v>71.498999999999995</v>
      </c>
      <c r="F7748">
        <f t="shared" si="485"/>
        <v>-1.4989999999999952</v>
      </c>
      <c r="G7748">
        <v>193.81700000000001</v>
      </c>
      <c r="H7748">
        <v>3.5680000000000001</v>
      </c>
      <c r="I7748">
        <v>1.843</v>
      </c>
      <c r="J7748">
        <v>8</v>
      </c>
      <c r="K7748">
        <v>46</v>
      </c>
      <c r="L7748">
        <v>23</v>
      </c>
      <c r="M7748" s="1">
        <v>9000000000</v>
      </c>
    </row>
    <row r="7749" spans="1:13" ht="15" customHeight="1">
      <c r="A7749" t="s">
        <v>79</v>
      </c>
      <c r="B7749">
        <f t="shared" si="482"/>
        <v>33.716439000000001</v>
      </c>
      <c r="C7749">
        <f t="shared" si="483"/>
        <v>-117.84585199999999</v>
      </c>
      <c r="D7749">
        <f t="shared" si="484"/>
        <v>70</v>
      </c>
      <c r="E7749">
        <v>72.498999999999995</v>
      </c>
      <c r="F7749">
        <f t="shared" si="485"/>
        <v>-2.4989999999999952</v>
      </c>
      <c r="G7749">
        <v>233.786</v>
      </c>
      <c r="H7749">
        <v>2.4860000000000002</v>
      </c>
      <c r="I7749">
        <v>1.0640000000000001</v>
      </c>
      <c r="J7749">
        <v>9</v>
      </c>
      <c r="K7749">
        <v>45</v>
      </c>
      <c r="L7749">
        <v>23</v>
      </c>
      <c r="M7749" s="1">
        <v>9000000000</v>
      </c>
    </row>
    <row r="7750" spans="1:13" ht="15" customHeight="1">
      <c r="A7750" t="s">
        <v>79</v>
      </c>
      <c r="B7750">
        <f t="shared" si="482"/>
        <v>33.716439000000001</v>
      </c>
      <c r="C7750">
        <f t="shared" si="483"/>
        <v>-117.84585199999999</v>
      </c>
      <c r="D7750">
        <f t="shared" si="484"/>
        <v>70</v>
      </c>
      <c r="E7750">
        <v>73.498999999999995</v>
      </c>
      <c r="F7750">
        <f t="shared" si="485"/>
        <v>-3.4989999999999952</v>
      </c>
      <c r="G7750">
        <v>288.3</v>
      </c>
      <c r="H7750">
        <v>1.708</v>
      </c>
      <c r="I7750">
        <v>0.59299999999999997</v>
      </c>
      <c r="J7750">
        <v>10</v>
      </c>
      <c r="K7750">
        <v>46</v>
      </c>
      <c r="L7750">
        <v>23</v>
      </c>
      <c r="M7750" s="1">
        <v>9000000000</v>
      </c>
    </row>
    <row r="7751" spans="1:13" ht="15" customHeight="1">
      <c r="A7751" t="s">
        <v>79</v>
      </c>
      <c r="B7751">
        <f t="shared" si="482"/>
        <v>33.716439000000001</v>
      </c>
      <c r="C7751">
        <f t="shared" si="483"/>
        <v>-117.84585199999999</v>
      </c>
      <c r="D7751">
        <f t="shared" si="484"/>
        <v>70</v>
      </c>
      <c r="E7751">
        <v>74.498999999999995</v>
      </c>
      <c r="F7751">
        <f t="shared" si="485"/>
        <v>-4.4989999999999952</v>
      </c>
      <c r="G7751">
        <v>234.45</v>
      </c>
      <c r="H7751">
        <v>3.0979999999999999</v>
      </c>
      <c r="I7751">
        <v>1.3220000000000001</v>
      </c>
      <c r="J7751">
        <v>9</v>
      </c>
      <c r="K7751">
        <v>45</v>
      </c>
      <c r="L7751">
        <v>23</v>
      </c>
      <c r="M7751" s="1">
        <v>9000000000</v>
      </c>
    </row>
    <row r="7752" spans="1:13" ht="15" customHeight="1">
      <c r="A7752" t="s">
        <v>79</v>
      </c>
      <c r="B7752">
        <f t="shared" si="482"/>
        <v>33.716439000000001</v>
      </c>
      <c r="C7752">
        <f t="shared" si="483"/>
        <v>-117.84585199999999</v>
      </c>
      <c r="D7752">
        <f t="shared" si="484"/>
        <v>70</v>
      </c>
      <c r="E7752">
        <v>75.498999999999995</v>
      </c>
      <c r="F7752">
        <f t="shared" si="485"/>
        <v>-5.4989999999999952</v>
      </c>
      <c r="G7752">
        <v>94</v>
      </c>
      <c r="H7752">
        <v>2.052</v>
      </c>
      <c r="I7752">
        <v>2.1859999999999999</v>
      </c>
      <c r="J7752">
        <v>7</v>
      </c>
      <c r="K7752">
        <v>30</v>
      </c>
      <c r="L7752">
        <v>15</v>
      </c>
      <c r="M7752" s="1">
        <v>9000000000</v>
      </c>
    </row>
    <row r="7753" spans="1:13" ht="15" customHeight="1">
      <c r="A7753" t="s">
        <v>79</v>
      </c>
      <c r="B7753">
        <f t="shared" si="482"/>
        <v>33.716439000000001</v>
      </c>
      <c r="C7753">
        <f t="shared" si="483"/>
        <v>-117.84585199999999</v>
      </c>
      <c r="D7753">
        <f t="shared" si="484"/>
        <v>70</v>
      </c>
      <c r="E7753">
        <v>76.498999999999995</v>
      </c>
      <c r="F7753">
        <f t="shared" si="485"/>
        <v>-6.4989999999999952</v>
      </c>
      <c r="G7753">
        <v>25.417000000000002</v>
      </c>
      <c r="H7753">
        <v>0.70499999999999996</v>
      </c>
      <c r="I7753">
        <v>2.79</v>
      </c>
      <c r="J7753">
        <v>5</v>
      </c>
      <c r="K7753">
        <v>12</v>
      </c>
      <c r="L7753">
        <v>6</v>
      </c>
      <c r="M7753">
        <v>1.369</v>
      </c>
    </row>
    <row r="7754" spans="1:13" ht="15" customHeight="1">
      <c r="A7754" t="s">
        <v>79</v>
      </c>
      <c r="B7754">
        <f t="shared" si="482"/>
        <v>33.716439000000001</v>
      </c>
      <c r="C7754">
        <f t="shared" si="483"/>
        <v>-117.84585199999999</v>
      </c>
      <c r="D7754">
        <f t="shared" si="484"/>
        <v>70</v>
      </c>
      <c r="E7754">
        <v>77.498999999999995</v>
      </c>
      <c r="F7754">
        <f t="shared" si="485"/>
        <v>-7.4989999999999952</v>
      </c>
      <c r="G7754">
        <v>26.132999999999999</v>
      </c>
      <c r="H7754">
        <v>0.78200000000000003</v>
      </c>
      <c r="I7754">
        <v>3.01</v>
      </c>
      <c r="J7754">
        <v>5</v>
      </c>
      <c r="K7754">
        <v>12</v>
      </c>
      <c r="L7754">
        <v>6</v>
      </c>
      <c r="M7754">
        <v>1.411</v>
      </c>
    </row>
    <row r="7755" spans="1:13" ht="15" customHeight="1">
      <c r="A7755" t="s">
        <v>79</v>
      </c>
      <c r="B7755">
        <f t="shared" si="482"/>
        <v>33.716439000000001</v>
      </c>
      <c r="C7755">
        <f t="shared" si="483"/>
        <v>-117.84585199999999</v>
      </c>
      <c r="D7755">
        <f t="shared" si="484"/>
        <v>70</v>
      </c>
      <c r="E7755">
        <v>78.498999999999995</v>
      </c>
      <c r="F7755">
        <f t="shared" si="485"/>
        <v>-8.4989999999999952</v>
      </c>
      <c r="G7755">
        <v>29.332999999999998</v>
      </c>
      <c r="H7755">
        <v>0.84</v>
      </c>
      <c r="I7755">
        <v>2.8769999999999998</v>
      </c>
      <c r="J7755">
        <v>5</v>
      </c>
      <c r="K7755">
        <v>14</v>
      </c>
      <c r="L7755">
        <v>7</v>
      </c>
      <c r="M7755">
        <v>1.6220000000000001</v>
      </c>
    </row>
    <row r="7756" spans="1:13" ht="15" customHeight="1">
      <c r="A7756" t="s">
        <v>79</v>
      </c>
      <c r="B7756">
        <f t="shared" si="482"/>
        <v>33.716439000000001</v>
      </c>
      <c r="C7756">
        <f t="shared" si="483"/>
        <v>-117.84585199999999</v>
      </c>
      <c r="D7756">
        <f t="shared" si="484"/>
        <v>70</v>
      </c>
      <c r="E7756">
        <v>79.498999999999995</v>
      </c>
      <c r="F7756">
        <f t="shared" si="485"/>
        <v>-9.4989999999999952</v>
      </c>
      <c r="G7756">
        <v>36.732999999999997</v>
      </c>
      <c r="H7756">
        <v>1.462</v>
      </c>
      <c r="I7756">
        <v>3.9940000000000002</v>
      </c>
      <c r="J7756">
        <v>5</v>
      </c>
      <c r="K7756">
        <v>18</v>
      </c>
      <c r="L7756">
        <v>9</v>
      </c>
      <c r="M7756">
        <v>2.1120000000000001</v>
      </c>
    </row>
    <row r="7757" spans="1:13" ht="15" customHeight="1">
      <c r="A7757" t="s">
        <v>79</v>
      </c>
      <c r="B7757">
        <f t="shared" si="482"/>
        <v>33.716439000000001</v>
      </c>
      <c r="C7757">
        <f t="shared" si="483"/>
        <v>-117.84585199999999</v>
      </c>
      <c r="D7757">
        <f t="shared" si="484"/>
        <v>70</v>
      </c>
      <c r="E7757">
        <v>80.498999999999995</v>
      </c>
      <c r="F7757">
        <f t="shared" si="485"/>
        <v>-10.498999999999995</v>
      </c>
      <c r="G7757">
        <v>36.433</v>
      </c>
      <c r="H7757">
        <v>1.448</v>
      </c>
      <c r="I7757">
        <v>3.988</v>
      </c>
      <c r="J7757">
        <v>5</v>
      </c>
      <c r="K7757">
        <v>17</v>
      </c>
      <c r="L7757">
        <v>9</v>
      </c>
      <c r="M7757">
        <v>2.089</v>
      </c>
    </row>
    <row r="7758" spans="1:13" ht="15" customHeight="1">
      <c r="A7758" t="s">
        <v>79</v>
      </c>
      <c r="B7758">
        <f t="shared" si="482"/>
        <v>33.716439000000001</v>
      </c>
      <c r="C7758">
        <f t="shared" si="483"/>
        <v>-117.84585199999999</v>
      </c>
      <c r="D7758">
        <f t="shared" si="484"/>
        <v>70</v>
      </c>
      <c r="E7758">
        <v>81.498999999999995</v>
      </c>
      <c r="F7758">
        <f t="shared" si="485"/>
        <v>-11.498999999999995</v>
      </c>
      <c r="G7758">
        <v>26.2</v>
      </c>
      <c r="H7758">
        <v>0.63200000000000001</v>
      </c>
      <c r="I7758">
        <v>2.42</v>
      </c>
      <c r="J7758">
        <v>6</v>
      </c>
      <c r="K7758">
        <v>10</v>
      </c>
      <c r="L7758">
        <v>5</v>
      </c>
      <c r="M7758">
        <v>1.403</v>
      </c>
    </row>
    <row r="7759" spans="1:13" ht="15" customHeight="1">
      <c r="A7759" t="s">
        <v>79</v>
      </c>
      <c r="B7759">
        <f t="shared" si="482"/>
        <v>33.716439000000001</v>
      </c>
      <c r="C7759">
        <f t="shared" si="483"/>
        <v>-117.84585199999999</v>
      </c>
      <c r="D7759">
        <f t="shared" si="484"/>
        <v>70</v>
      </c>
      <c r="E7759">
        <v>82.498999999999995</v>
      </c>
      <c r="F7759">
        <f t="shared" si="485"/>
        <v>-12.498999999999995</v>
      </c>
      <c r="G7759">
        <v>28.966999999999999</v>
      </c>
      <c r="H7759">
        <v>0.748</v>
      </c>
      <c r="I7759">
        <v>2.5910000000000002</v>
      </c>
      <c r="J7759">
        <v>6</v>
      </c>
      <c r="K7759">
        <v>11</v>
      </c>
      <c r="L7759">
        <v>6</v>
      </c>
      <c r="M7759">
        <v>1.585</v>
      </c>
    </row>
    <row r="7760" spans="1:13" ht="15" customHeight="1">
      <c r="A7760" t="s">
        <v>79</v>
      </c>
      <c r="B7760">
        <f t="shared" si="482"/>
        <v>33.716439000000001</v>
      </c>
      <c r="C7760">
        <f t="shared" si="483"/>
        <v>-117.84585199999999</v>
      </c>
      <c r="D7760">
        <f t="shared" si="484"/>
        <v>70</v>
      </c>
      <c r="E7760">
        <v>83.498999999999995</v>
      </c>
      <c r="F7760">
        <f t="shared" si="485"/>
        <v>-13.498999999999995</v>
      </c>
      <c r="G7760">
        <v>78.370999999999995</v>
      </c>
      <c r="H7760">
        <v>2.9889999999999999</v>
      </c>
      <c r="I7760">
        <v>3.8180000000000001</v>
      </c>
      <c r="J7760">
        <v>5</v>
      </c>
      <c r="K7760">
        <v>37</v>
      </c>
      <c r="L7760">
        <v>19</v>
      </c>
      <c r="M7760">
        <v>4.8730000000000002</v>
      </c>
    </row>
    <row r="7761" spans="1:13" ht="15" customHeight="1">
      <c r="A7761" t="s">
        <v>79</v>
      </c>
      <c r="B7761">
        <f t="shared" si="482"/>
        <v>33.716439000000001</v>
      </c>
      <c r="C7761">
        <f t="shared" si="483"/>
        <v>-117.84585199999999</v>
      </c>
      <c r="D7761">
        <f t="shared" si="484"/>
        <v>70</v>
      </c>
      <c r="E7761">
        <v>84.498999999999995</v>
      </c>
      <c r="F7761">
        <f t="shared" si="485"/>
        <v>-14.498999999999995</v>
      </c>
      <c r="G7761">
        <v>39.65</v>
      </c>
      <c r="H7761">
        <v>1.6819999999999999</v>
      </c>
      <c r="I7761">
        <v>4.2539999999999996</v>
      </c>
      <c r="J7761">
        <v>4</v>
      </c>
      <c r="K7761">
        <v>25</v>
      </c>
      <c r="L7761">
        <v>13</v>
      </c>
      <c r="M7761">
        <v>2.286</v>
      </c>
    </row>
    <row r="7762" spans="1:13" ht="15" customHeight="1">
      <c r="A7762" t="s">
        <v>79</v>
      </c>
      <c r="B7762">
        <f t="shared" si="482"/>
        <v>33.716439000000001</v>
      </c>
      <c r="C7762">
        <f t="shared" si="483"/>
        <v>-117.84585199999999</v>
      </c>
      <c r="D7762">
        <f t="shared" si="484"/>
        <v>70</v>
      </c>
      <c r="E7762">
        <v>85.498999999999995</v>
      </c>
      <c r="F7762">
        <f t="shared" si="485"/>
        <v>-15.498999999999995</v>
      </c>
      <c r="G7762">
        <v>30.983000000000001</v>
      </c>
      <c r="H7762">
        <v>0.84699999999999998</v>
      </c>
      <c r="I7762">
        <v>2.74</v>
      </c>
      <c r="J7762">
        <v>6</v>
      </c>
      <c r="K7762">
        <v>12</v>
      </c>
      <c r="L7762">
        <v>6</v>
      </c>
      <c r="M7762">
        <v>1.7070000000000001</v>
      </c>
    </row>
    <row r="7763" spans="1:13" ht="15" customHeight="1">
      <c r="A7763" t="s">
        <v>79</v>
      </c>
      <c r="B7763">
        <f t="shared" si="482"/>
        <v>33.716439000000001</v>
      </c>
      <c r="C7763">
        <f t="shared" si="483"/>
        <v>-117.84585199999999</v>
      </c>
      <c r="D7763">
        <f t="shared" si="484"/>
        <v>70</v>
      </c>
      <c r="E7763">
        <v>86.498999999999995</v>
      </c>
      <c r="F7763">
        <f t="shared" si="485"/>
        <v>-16.498999999999995</v>
      </c>
      <c r="G7763">
        <v>71.233000000000004</v>
      </c>
      <c r="H7763">
        <v>2.86</v>
      </c>
      <c r="I7763">
        <v>4.0199999999999996</v>
      </c>
      <c r="J7763">
        <v>5</v>
      </c>
      <c r="K7763">
        <v>34</v>
      </c>
      <c r="L7763">
        <v>17</v>
      </c>
      <c r="M7763">
        <v>4.3860000000000001</v>
      </c>
    </row>
    <row r="7764" spans="1:13" ht="15" customHeight="1">
      <c r="A7764" t="s">
        <v>79</v>
      </c>
      <c r="B7764">
        <f t="shared" si="482"/>
        <v>33.716439000000001</v>
      </c>
      <c r="C7764">
        <f t="shared" si="483"/>
        <v>-117.84585199999999</v>
      </c>
      <c r="D7764">
        <f t="shared" si="484"/>
        <v>70</v>
      </c>
      <c r="E7764">
        <v>87.498999999999995</v>
      </c>
      <c r="F7764">
        <f t="shared" si="485"/>
        <v>-17.498999999999995</v>
      </c>
      <c r="G7764">
        <v>88.816999999999993</v>
      </c>
      <c r="H7764">
        <v>3.91</v>
      </c>
      <c r="I7764">
        <v>4.407</v>
      </c>
      <c r="J7764">
        <v>11</v>
      </c>
      <c r="K7764">
        <v>85</v>
      </c>
      <c r="L7764">
        <v>43</v>
      </c>
      <c r="M7764" s="1">
        <v>9000000000</v>
      </c>
    </row>
    <row r="7765" spans="1:13" ht="15" customHeight="1">
      <c r="A7765" t="s">
        <v>79</v>
      </c>
      <c r="B7765">
        <f t="shared" si="482"/>
        <v>33.716439000000001</v>
      </c>
      <c r="C7765">
        <f t="shared" si="483"/>
        <v>-117.84585199999999</v>
      </c>
      <c r="D7765">
        <f t="shared" si="484"/>
        <v>70</v>
      </c>
      <c r="E7765">
        <v>88.498999999999995</v>
      </c>
      <c r="F7765">
        <f t="shared" si="485"/>
        <v>-18.498999999999995</v>
      </c>
      <c r="G7765">
        <v>32.982999999999997</v>
      </c>
      <c r="H7765">
        <v>1.083</v>
      </c>
      <c r="I7765">
        <v>3.294</v>
      </c>
      <c r="J7765">
        <v>5</v>
      </c>
      <c r="K7765">
        <v>16</v>
      </c>
      <c r="L7765">
        <v>8</v>
      </c>
      <c r="M7765">
        <v>1.8260000000000001</v>
      </c>
    </row>
    <row r="7766" spans="1:13" ht="15" customHeight="1">
      <c r="A7766" t="s">
        <v>79</v>
      </c>
      <c r="B7766">
        <f t="shared" si="482"/>
        <v>33.716439000000001</v>
      </c>
      <c r="C7766">
        <f t="shared" si="483"/>
        <v>-117.84585199999999</v>
      </c>
      <c r="D7766">
        <f t="shared" si="484"/>
        <v>70</v>
      </c>
      <c r="E7766">
        <v>89.498999999999995</v>
      </c>
      <c r="F7766">
        <f t="shared" si="485"/>
        <v>-19.498999999999995</v>
      </c>
      <c r="G7766">
        <v>85.533000000000001</v>
      </c>
      <c r="H7766">
        <v>3.4470000000000001</v>
      </c>
      <c r="I7766">
        <v>4.0339999999999998</v>
      </c>
      <c r="J7766">
        <v>5</v>
      </c>
      <c r="K7766">
        <v>41</v>
      </c>
      <c r="L7766">
        <v>21</v>
      </c>
      <c r="M7766">
        <v>5.3250000000000002</v>
      </c>
    </row>
    <row r="7767" spans="1:13" ht="15" customHeight="1">
      <c r="A7767" t="s">
        <v>79</v>
      </c>
      <c r="B7767">
        <f t="shared" si="482"/>
        <v>33.716439000000001</v>
      </c>
      <c r="C7767">
        <f t="shared" si="483"/>
        <v>-117.84585199999999</v>
      </c>
      <c r="D7767">
        <f t="shared" si="484"/>
        <v>70</v>
      </c>
      <c r="E7767">
        <v>90.498999999999995</v>
      </c>
      <c r="F7767">
        <f t="shared" si="485"/>
        <v>-20.498999999999995</v>
      </c>
      <c r="G7767">
        <v>155.38300000000001</v>
      </c>
      <c r="H7767">
        <v>4.0049999999999999</v>
      </c>
      <c r="I7767">
        <v>2.58</v>
      </c>
      <c r="J7767">
        <v>7</v>
      </c>
      <c r="K7767">
        <v>50</v>
      </c>
      <c r="L7767">
        <v>25</v>
      </c>
      <c r="M7767" s="1">
        <v>9000000000</v>
      </c>
    </row>
    <row r="7768" spans="1:13" ht="15" customHeight="1">
      <c r="A7768" t="s">
        <v>79</v>
      </c>
      <c r="B7768">
        <f t="shared" si="482"/>
        <v>33.716439000000001</v>
      </c>
      <c r="C7768">
        <f t="shared" si="483"/>
        <v>-117.84585199999999</v>
      </c>
      <c r="D7768">
        <f t="shared" si="484"/>
        <v>70</v>
      </c>
      <c r="E7768">
        <v>91.498999999999995</v>
      </c>
      <c r="F7768">
        <f t="shared" si="485"/>
        <v>-21.498999999999995</v>
      </c>
      <c r="G7768">
        <v>51.7</v>
      </c>
      <c r="H7768">
        <v>1.8220000000000001</v>
      </c>
      <c r="I7768">
        <v>3.5329999999999999</v>
      </c>
      <c r="J7768">
        <v>5</v>
      </c>
      <c r="K7768">
        <v>25</v>
      </c>
      <c r="L7768">
        <v>13</v>
      </c>
      <c r="M7768">
        <v>3.0590000000000002</v>
      </c>
    </row>
    <row r="7769" spans="1:13" ht="15" customHeight="1">
      <c r="A7769" t="s">
        <v>79</v>
      </c>
      <c r="B7769">
        <f t="shared" si="482"/>
        <v>33.716439000000001</v>
      </c>
      <c r="C7769">
        <f t="shared" si="483"/>
        <v>-117.84585199999999</v>
      </c>
      <c r="D7769">
        <f t="shared" si="484"/>
        <v>70</v>
      </c>
      <c r="E7769">
        <v>92.498999999999995</v>
      </c>
      <c r="F7769">
        <f t="shared" si="485"/>
        <v>-22.498999999999995</v>
      </c>
      <c r="G7769">
        <v>31.983000000000001</v>
      </c>
      <c r="H7769">
        <v>0.88200000000000001</v>
      </c>
      <c r="I7769">
        <v>2.7679999999999998</v>
      </c>
      <c r="J7769">
        <v>6</v>
      </c>
      <c r="K7769">
        <v>12</v>
      </c>
      <c r="L7769">
        <v>6</v>
      </c>
      <c r="M7769">
        <v>1.7410000000000001</v>
      </c>
    </row>
    <row r="7770" spans="1:13" ht="15" customHeight="1">
      <c r="A7770" t="s">
        <v>79</v>
      </c>
      <c r="B7770">
        <f t="shared" si="482"/>
        <v>33.716439000000001</v>
      </c>
      <c r="C7770">
        <f t="shared" si="483"/>
        <v>-117.84585199999999</v>
      </c>
      <c r="D7770">
        <f t="shared" si="484"/>
        <v>70</v>
      </c>
      <c r="E7770">
        <v>93.498999999999995</v>
      </c>
      <c r="F7770">
        <f t="shared" si="485"/>
        <v>-23.498999999999995</v>
      </c>
      <c r="G7770">
        <v>31.8</v>
      </c>
      <c r="H7770">
        <v>0.89300000000000002</v>
      </c>
      <c r="I7770">
        <v>2.819</v>
      </c>
      <c r="J7770">
        <v>6</v>
      </c>
      <c r="K7770">
        <v>12</v>
      </c>
      <c r="L7770">
        <v>6</v>
      </c>
      <c r="M7770">
        <v>1.7250000000000001</v>
      </c>
    </row>
    <row r="7771" spans="1:13" ht="15" customHeight="1">
      <c r="A7771" t="s">
        <v>79</v>
      </c>
      <c r="B7771">
        <f t="shared" si="482"/>
        <v>33.716439000000001</v>
      </c>
      <c r="C7771">
        <f t="shared" si="483"/>
        <v>-117.84585199999999</v>
      </c>
      <c r="D7771">
        <f t="shared" si="484"/>
        <v>70</v>
      </c>
      <c r="E7771">
        <v>94.498999999999995</v>
      </c>
      <c r="F7771">
        <f t="shared" si="485"/>
        <v>-24.498999999999995</v>
      </c>
      <c r="G7771">
        <v>41.482999999999997</v>
      </c>
      <c r="H7771">
        <v>1.5429999999999999</v>
      </c>
      <c r="I7771">
        <v>3.734</v>
      </c>
      <c r="J7771">
        <v>5</v>
      </c>
      <c r="K7771">
        <v>20</v>
      </c>
      <c r="L7771">
        <v>10</v>
      </c>
      <c r="M7771">
        <v>2.3639999999999999</v>
      </c>
    </row>
    <row r="7772" spans="1:13" ht="15" customHeight="1">
      <c r="A7772" t="s">
        <v>79</v>
      </c>
      <c r="B7772">
        <f t="shared" si="482"/>
        <v>33.716439000000001</v>
      </c>
      <c r="C7772">
        <f t="shared" si="483"/>
        <v>-117.84585199999999</v>
      </c>
      <c r="D7772">
        <f t="shared" si="484"/>
        <v>70</v>
      </c>
      <c r="E7772">
        <v>95.498999999999995</v>
      </c>
      <c r="F7772">
        <f t="shared" si="485"/>
        <v>-25.498999999999995</v>
      </c>
      <c r="G7772">
        <v>90.117000000000004</v>
      </c>
      <c r="H7772">
        <v>2.9569999999999999</v>
      </c>
      <c r="I7772">
        <v>3.2850000000000001</v>
      </c>
      <c r="J7772">
        <v>6</v>
      </c>
      <c r="K7772">
        <v>34</v>
      </c>
      <c r="L7772">
        <v>17</v>
      </c>
      <c r="M7772">
        <v>5.6059999999999999</v>
      </c>
    </row>
    <row r="7773" spans="1:13" ht="15" customHeight="1">
      <c r="A7773" t="s">
        <v>79</v>
      </c>
      <c r="B7773">
        <f t="shared" si="482"/>
        <v>33.716439000000001</v>
      </c>
      <c r="C7773">
        <f t="shared" si="483"/>
        <v>-117.84585199999999</v>
      </c>
      <c r="D7773">
        <f t="shared" si="484"/>
        <v>70</v>
      </c>
      <c r="E7773">
        <v>96.498999999999995</v>
      </c>
      <c r="F7773">
        <f t="shared" si="485"/>
        <v>-26.498999999999995</v>
      </c>
      <c r="G7773">
        <v>34.482999999999997</v>
      </c>
      <c r="H7773">
        <v>1.2949999999999999</v>
      </c>
      <c r="I7773">
        <v>3.746</v>
      </c>
      <c r="J7773">
        <v>5</v>
      </c>
      <c r="K7773">
        <v>17</v>
      </c>
      <c r="L7773">
        <v>9</v>
      </c>
      <c r="M7773">
        <v>1.905</v>
      </c>
    </row>
    <row r="7774" spans="1:13" ht="15" customHeight="1">
      <c r="A7774" t="s">
        <v>79</v>
      </c>
      <c r="B7774">
        <f t="shared" si="482"/>
        <v>33.716439000000001</v>
      </c>
      <c r="C7774">
        <f t="shared" si="483"/>
        <v>-117.84585199999999</v>
      </c>
      <c r="D7774">
        <f t="shared" si="484"/>
        <v>70</v>
      </c>
      <c r="E7774">
        <v>97.498999999999995</v>
      </c>
      <c r="F7774">
        <f t="shared" si="485"/>
        <v>-27.498999999999995</v>
      </c>
      <c r="G7774">
        <v>29.332999999999998</v>
      </c>
      <c r="H7774">
        <v>0.91500000000000004</v>
      </c>
      <c r="I7774">
        <v>3.1030000000000002</v>
      </c>
      <c r="J7774">
        <v>5</v>
      </c>
      <c r="K7774">
        <v>14</v>
      </c>
      <c r="L7774">
        <v>7</v>
      </c>
      <c r="M7774">
        <v>1.5620000000000001</v>
      </c>
    </row>
    <row r="7775" spans="1:13" ht="15" customHeight="1">
      <c r="A7775" t="s">
        <v>79</v>
      </c>
      <c r="B7775">
        <f t="shared" si="482"/>
        <v>33.716439000000001</v>
      </c>
      <c r="C7775">
        <f t="shared" si="483"/>
        <v>-117.84585199999999</v>
      </c>
      <c r="D7775">
        <f t="shared" si="484"/>
        <v>70</v>
      </c>
      <c r="E7775">
        <v>98.498999999999995</v>
      </c>
      <c r="F7775">
        <f t="shared" si="485"/>
        <v>-28.498999999999995</v>
      </c>
      <c r="G7775">
        <v>36.517000000000003</v>
      </c>
      <c r="H7775">
        <v>1.3029999999999999</v>
      </c>
      <c r="I7775">
        <v>3.5529999999999999</v>
      </c>
      <c r="J7775">
        <v>5</v>
      </c>
      <c r="K7775">
        <v>18</v>
      </c>
      <c r="L7775">
        <v>9</v>
      </c>
      <c r="M7775">
        <v>2.0379999999999998</v>
      </c>
    </row>
    <row r="7776" spans="1:13" ht="15" customHeight="1">
      <c r="A7776" t="s">
        <v>79</v>
      </c>
      <c r="B7776">
        <f t="shared" si="482"/>
        <v>33.716439000000001</v>
      </c>
      <c r="C7776">
        <f t="shared" si="483"/>
        <v>-117.84585199999999</v>
      </c>
      <c r="D7776">
        <f t="shared" si="484"/>
        <v>70</v>
      </c>
      <c r="E7776">
        <v>99.498999999999995</v>
      </c>
      <c r="F7776">
        <f t="shared" si="485"/>
        <v>-29.498999999999995</v>
      </c>
      <c r="G7776">
        <v>34.799999999999997</v>
      </c>
      <c r="H7776">
        <v>1.6970000000000001</v>
      </c>
      <c r="I7776">
        <v>4.8639999999999999</v>
      </c>
      <c r="J7776">
        <v>3</v>
      </c>
      <c r="K7776">
        <v>33</v>
      </c>
      <c r="L7776">
        <v>17</v>
      </c>
      <c r="M7776">
        <v>1.9139999999999999</v>
      </c>
    </row>
    <row r="7777" spans="1:13" ht="15" customHeight="1">
      <c r="A7777" t="s">
        <v>79</v>
      </c>
      <c r="B7777">
        <f t="shared" si="482"/>
        <v>33.716439000000001</v>
      </c>
      <c r="C7777">
        <f t="shared" si="483"/>
        <v>-117.84585199999999</v>
      </c>
      <c r="D7777">
        <f t="shared" si="484"/>
        <v>70</v>
      </c>
      <c r="E7777">
        <v>100.499</v>
      </c>
      <c r="F7777">
        <f t="shared" si="485"/>
        <v>-30.498999999999995</v>
      </c>
      <c r="G7777">
        <v>33.317</v>
      </c>
      <c r="H7777">
        <v>1.1919999999999999</v>
      </c>
      <c r="I7777">
        <v>3.5640000000000001</v>
      </c>
      <c r="J7777">
        <v>5</v>
      </c>
      <c r="K7777">
        <v>16</v>
      </c>
      <c r="L7777">
        <v>8</v>
      </c>
      <c r="M7777">
        <v>1.8129999999999999</v>
      </c>
    </row>
    <row r="7778" spans="1:13" ht="15" customHeight="1">
      <c r="A7778" t="s">
        <v>79</v>
      </c>
      <c r="B7778">
        <f t="shared" si="482"/>
        <v>33.716439000000001</v>
      </c>
      <c r="C7778">
        <f t="shared" si="483"/>
        <v>-117.84585199999999</v>
      </c>
      <c r="D7778">
        <f t="shared" si="484"/>
        <v>70</v>
      </c>
      <c r="E7778">
        <v>101.499</v>
      </c>
      <c r="F7778">
        <f t="shared" si="485"/>
        <v>-31.498999999999995</v>
      </c>
      <c r="G7778">
        <v>88.382999999999996</v>
      </c>
      <c r="H7778">
        <v>4.7850000000000001</v>
      </c>
      <c r="I7778">
        <v>5.4139999999999997</v>
      </c>
      <c r="J7778">
        <v>11</v>
      </c>
      <c r="K7778">
        <v>85</v>
      </c>
      <c r="L7778">
        <v>43</v>
      </c>
      <c r="M7778" s="1">
        <v>9000000000</v>
      </c>
    </row>
    <row r="7779" spans="1:13" ht="15" customHeight="1">
      <c r="A7779" t="s">
        <v>79</v>
      </c>
      <c r="B7779">
        <f t="shared" si="482"/>
        <v>33.716439000000001</v>
      </c>
      <c r="C7779">
        <f t="shared" si="483"/>
        <v>-117.84585199999999</v>
      </c>
      <c r="D7779">
        <f t="shared" si="484"/>
        <v>70</v>
      </c>
      <c r="E7779">
        <v>102.499</v>
      </c>
      <c r="F7779">
        <f t="shared" si="485"/>
        <v>-32.498999999999995</v>
      </c>
      <c r="G7779">
        <v>30.882999999999999</v>
      </c>
      <c r="H7779">
        <v>1.387</v>
      </c>
      <c r="I7779">
        <v>4.4969999999999999</v>
      </c>
      <c r="J7779">
        <v>4</v>
      </c>
      <c r="K7779">
        <v>20</v>
      </c>
      <c r="L7779">
        <v>10</v>
      </c>
      <c r="M7779">
        <v>1.631</v>
      </c>
    </row>
    <row r="7780" spans="1:13" ht="15" customHeight="1">
      <c r="A7780" t="s">
        <v>79</v>
      </c>
      <c r="B7780">
        <f t="shared" si="482"/>
        <v>33.716439000000001</v>
      </c>
      <c r="C7780">
        <f t="shared" si="483"/>
        <v>-117.84585199999999</v>
      </c>
      <c r="D7780">
        <f t="shared" si="484"/>
        <v>70</v>
      </c>
      <c r="E7780">
        <v>103.499</v>
      </c>
      <c r="F7780">
        <f t="shared" si="485"/>
        <v>-33.498999999999995</v>
      </c>
      <c r="G7780">
        <v>27.75</v>
      </c>
      <c r="H7780">
        <v>1.06</v>
      </c>
      <c r="I7780">
        <v>3.8220000000000001</v>
      </c>
      <c r="J7780">
        <v>4</v>
      </c>
      <c r="K7780">
        <v>18</v>
      </c>
      <c r="L7780">
        <v>9</v>
      </c>
      <c r="M7780">
        <v>1.42</v>
      </c>
    </row>
    <row r="7781" spans="1:13" ht="15" customHeight="1">
      <c r="A7781" t="s">
        <v>79</v>
      </c>
      <c r="B7781">
        <f t="shared" si="482"/>
        <v>33.716439000000001</v>
      </c>
      <c r="C7781">
        <f t="shared" si="483"/>
        <v>-117.84585199999999</v>
      </c>
      <c r="D7781">
        <f t="shared" si="484"/>
        <v>70</v>
      </c>
      <c r="E7781">
        <v>104.499</v>
      </c>
      <c r="F7781">
        <f t="shared" si="485"/>
        <v>-34.498999999999995</v>
      </c>
      <c r="G7781">
        <v>32.929000000000002</v>
      </c>
      <c r="H7781">
        <v>1.0289999999999999</v>
      </c>
      <c r="I7781">
        <v>3.1320000000000001</v>
      </c>
      <c r="J7781">
        <v>5</v>
      </c>
      <c r="K7781">
        <v>16</v>
      </c>
      <c r="L7781">
        <v>8</v>
      </c>
      <c r="M7781">
        <v>1.756</v>
      </c>
    </row>
    <row r="7782" spans="1:13" ht="15" customHeight="1">
      <c r="A7782" t="s">
        <v>79</v>
      </c>
      <c r="B7782">
        <f t="shared" si="482"/>
        <v>33.716439000000001</v>
      </c>
      <c r="C7782">
        <f t="shared" si="483"/>
        <v>-117.84585199999999</v>
      </c>
      <c r="D7782">
        <f t="shared" si="484"/>
        <v>70</v>
      </c>
      <c r="E7782">
        <v>105.499</v>
      </c>
      <c r="F7782">
        <f t="shared" si="485"/>
        <v>-35.498999999999995</v>
      </c>
      <c r="G7782">
        <v>48.783000000000001</v>
      </c>
      <c r="H7782">
        <v>2.2719999999999998</v>
      </c>
      <c r="I7782">
        <v>4.6609999999999996</v>
      </c>
      <c r="J7782">
        <v>4</v>
      </c>
      <c r="K7782">
        <v>31</v>
      </c>
      <c r="L7782">
        <v>16</v>
      </c>
      <c r="M7782">
        <v>2.8119999999999998</v>
      </c>
    </row>
    <row r="7783" spans="1:13" ht="15" customHeight="1">
      <c r="A7783" t="s">
        <v>79</v>
      </c>
      <c r="B7783">
        <f t="shared" si="482"/>
        <v>33.716439000000001</v>
      </c>
      <c r="C7783">
        <f t="shared" si="483"/>
        <v>-117.84585199999999</v>
      </c>
      <c r="D7783">
        <f t="shared" si="484"/>
        <v>70</v>
      </c>
      <c r="E7783">
        <v>106.499</v>
      </c>
      <c r="F7783">
        <f t="shared" si="485"/>
        <v>-36.498999999999995</v>
      </c>
      <c r="G7783">
        <v>53.167000000000002</v>
      </c>
      <c r="H7783">
        <v>2.665</v>
      </c>
      <c r="I7783">
        <v>5.0170000000000003</v>
      </c>
      <c r="J7783">
        <v>4</v>
      </c>
      <c r="K7783">
        <v>34</v>
      </c>
      <c r="L7783">
        <v>17</v>
      </c>
      <c r="M7783">
        <v>3.1</v>
      </c>
    </row>
    <row r="7784" spans="1:13" ht="15" customHeight="1">
      <c r="A7784" t="s">
        <v>79</v>
      </c>
      <c r="B7784">
        <f t="shared" si="482"/>
        <v>33.716439000000001</v>
      </c>
      <c r="C7784">
        <f t="shared" si="483"/>
        <v>-117.84585199999999</v>
      </c>
      <c r="D7784">
        <f t="shared" si="484"/>
        <v>70</v>
      </c>
      <c r="E7784">
        <v>107.499</v>
      </c>
      <c r="F7784">
        <f t="shared" si="485"/>
        <v>-37.498999999999995</v>
      </c>
      <c r="G7784">
        <v>28.882999999999999</v>
      </c>
      <c r="H7784">
        <v>0.98</v>
      </c>
      <c r="I7784">
        <v>3.3889999999999998</v>
      </c>
      <c r="J7784">
        <v>5</v>
      </c>
      <c r="K7784">
        <v>14</v>
      </c>
      <c r="L7784">
        <v>7</v>
      </c>
      <c r="M7784">
        <v>1.482</v>
      </c>
    </row>
    <row r="7785" spans="1:13" ht="15" customHeight="1">
      <c r="A7785" t="s">
        <v>79</v>
      </c>
      <c r="B7785">
        <f t="shared" si="482"/>
        <v>33.716439000000001</v>
      </c>
      <c r="C7785">
        <f t="shared" si="483"/>
        <v>-117.84585199999999</v>
      </c>
      <c r="D7785">
        <f t="shared" si="484"/>
        <v>70</v>
      </c>
      <c r="E7785">
        <v>108.499</v>
      </c>
      <c r="F7785">
        <f t="shared" si="485"/>
        <v>-38.498999999999995</v>
      </c>
      <c r="G7785">
        <v>30.917000000000002</v>
      </c>
      <c r="H7785">
        <v>1.0449999999999999</v>
      </c>
      <c r="I7785">
        <v>3.375</v>
      </c>
      <c r="J7785">
        <v>5</v>
      </c>
      <c r="K7785">
        <v>15</v>
      </c>
      <c r="L7785">
        <v>8</v>
      </c>
      <c r="M7785">
        <v>1.615</v>
      </c>
    </row>
    <row r="7786" spans="1:13" ht="15" customHeight="1">
      <c r="A7786" t="s">
        <v>79</v>
      </c>
      <c r="B7786">
        <f t="shared" si="482"/>
        <v>33.716439000000001</v>
      </c>
      <c r="C7786">
        <f t="shared" si="483"/>
        <v>-117.84585199999999</v>
      </c>
      <c r="D7786">
        <f t="shared" si="484"/>
        <v>70</v>
      </c>
      <c r="E7786">
        <v>109.499</v>
      </c>
      <c r="F7786">
        <f t="shared" si="485"/>
        <v>-39.498999999999995</v>
      </c>
      <c r="G7786">
        <v>27.766999999999999</v>
      </c>
      <c r="H7786">
        <v>0.98</v>
      </c>
      <c r="I7786">
        <v>3.5059999999999998</v>
      </c>
      <c r="J7786">
        <v>5</v>
      </c>
      <c r="K7786">
        <v>13</v>
      </c>
      <c r="L7786">
        <v>7</v>
      </c>
      <c r="M7786">
        <v>1.409</v>
      </c>
    </row>
    <row r="7787" spans="1:13" ht="15" customHeight="1">
      <c r="A7787" t="s">
        <v>79</v>
      </c>
      <c r="B7787">
        <f t="shared" si="482"/>
        <v>33.716439000000001</v>
      </c>
      <c r="C7787">
        <f t="shared" si="483"/>
        <v>-117.84585199999999</v>
      </c>
      <c r="D7787">
        <f t="shared" si="484"/>
        <v>70</v>
      </c>
      <c r="E7787">
        <v>110.499</v>
      </c>
      <c r="F7787">
        <f t="shared" si="485"/>
        <v>-40.498999999999995</v>
      </c>
      <c r="G7787">
        <v>32.9</v>
      </c>
      <c r="H7787">
        <v>1.282</v>
      </c>
      <c r="I7787">
        <v>3.87</v>
      </c>
      <c r="J7787">
        <v>5</v>
      </c>
      <c r="K7787">
        <v>16</v>
      </c>
      <c r="L7787">
        <v>8</v>
      </c>
      <c r="M7787">
        <v>1.75</v>
      </c>
    </row>
    <row r="7788" spans="1:13" ht="15" customHeight="1">
      <c r="A7788" t="s">
        <v>79</v>
      </c>
      <c r="B7788">
        <f t="shared" si="482"/>
        <v>33.716439000000001</v>
      </c>
      <c r="C7788">
        <f t="shared" si="483"/>
        <v>-117.84585199999999</v>
      </c>
      <c r="D7788">
        <f t="shared" si="484"/>
        <v>70</v>
      </c>
      <c r="E7788">
        <v>111.499</v>
      </c>
      <c r="F7788">
        <f t="shared" si="485"/>
        <v>-41.498999999999995</v>
      </c>
      <c r="G7788">
        <v>39.65</v>
      </c>
      <c r="H7788">
        <v>1.6080000000000001</v>
      </c>
      <c r="I7788">
        <v>4.0339999999999998</v>
      </c>
      <c r="J7788">
        <v>5</v>
      </c>
      <c r="K7788">
        <v>19</v>
      </c>
      <c r="L7788">
        <v>10</v>
      </c>
      <c r="M7788">
        <v>2.1960000000000002</v>
      </c>
    </row>
    <row r="7789" spans="1:13" ht="15" customHeight="1">
      <c r="A7789" t="s">
        <v>79</v>
      </c>
      <c r="B7789">
        <f t="shared" si="482"/>
        <v>33.716439000000001</v>
      </c>
      <c r="C7789">
        <f t="shared" si="483"/>
        <v>-117.84585199999999</v>
      </c>
      <c r="D7789">
        <f t="shared" si="484"/>
        <v>70</v>
      </c>
      <c r="E7789">
        <v>112.499</v>
      </c>
      <c r="F7789">
        <f t="shared" si="485"/>
        <v>-42.498999999999995</v>
      </c>
      <c r="G7789">
        <v>32.783000000000001</v>
      </c>
      <c r="H7789">
        <v>1.06</v>
      </c>
      <c r="I7789">
        <v>3.2040000000000002</v>
      </c>
      <c r="J7789">
        <v>5</v>
      </c>
      <c r="K7789">
        <v>16</v>
      </c>
      <c r="L7789">
        <v>8</v>
      </c>
      <c r="M7789">
        <v>1.7390000000000001</v>
      </c>
    </row>
    <row r="7790" spans="1:13" ht="15" customHeight="1">
      <c r="A7790" t="s">
        <v>79</v>
      </c>
      <c r="B7790">
        <f t="shared" si="482"/>
        <v>33.716439000000001</v>
      </c>
      <c r="C7790">
        <f t="shared" si="483"/>
        <v>-117.84585199999999</v>
      </c>
      <c r="D7790">
        <f t="shared" si="484"/>
        <v>70</v>
      </c>
      <c r="E7790">
        <v>113.499</v>
      </c>
      <c r="F7790">
        <f t="shared" si="485"/>
        <v>-43.498999999999995</v>
      </c>
      <c r="G7790">
        <v>50.517000000000003</v>
      </c>
      <c r="H7790">
        <v>2.3730000000000002</v>
      </c>
      <c r="I7790">
        <v>4.657</v>
      </c>
      <c r="J7790">
        <v>4</v>
      </c>
      <c r="K7790">
        <v>33</v>
      </c>
      <c r="L7790">
        <v>17</v>
      </c>
      <c r="M7790">
        <v>2.927</v>
      </c>
    </row>
    <row r="7791" spans="1:13" ht="15" customHeight="1">
      <c r="A7791" t="s">
        <v>79</v>
      </c>
      <c r="B7791">
        <f t="shared" si="482"/>
        <v>33.716439000000001</v>
      </c>
      <c r="C7791">
        <f t="shared" si="483"/>
        <v>-117.84585199999999</v>
      </c>
      <c r="D7791">
        <f t="shared" si="484"/>
        <v>70</v>
      </c>
      <c r="E7791">
        <v>114.499</v>
      </c>
      <c r="F7791">
        <f t="shared" si="485"/>
        <v>-44.498999999999995</v>
      </c>
      <c r="G7791">
        <v>151.32900000000001</v>
      </c>
      <c r="H7791">
        <v>5.4429999999999996</v>
      </c>
      <c r="I7791">
        <v>3.5979999999999999</v>
      </c>
      <c r="J7791">
        <v>6</v>
      </c>
      <c r="K7791">
        <v>58</v>
      </c>
      <c r="L7791">
        <v>29</v>
      </c>
      <c r="M7791">
        <v>9.61</v>
      </c>
    </row>
    <row r="7792" spans="1:13" ht="15" customHeight="1">
      <c r="A7792" t="s">
        <v>79</v>
      </c>
      <c r="B7792">
        <f t="shared" si="482"/>
        <v>33.716439000000001</v>
      </c>
      <c r="C7792">
        <f t="shared" si="483"/>
        <v>-117.84585199999999</v>
      </c>
      <c r="D7792">
        <f t="shared" si="484"/>
        <v>70</v>
      </c>
      <c r="E7792">
        <v>115.499</v>
      </c>
      <c r="F7792">
        <f t="shared" si="485"/>
        <v>-45.498999999999995</v>
      </c>
      <c r="G7792">
        <v>366.88299999999998</v>
      </c>
      <c r="H7792">
        <v>8.93</v>
      </c>
      <c r="I7792">
        <v>2.4340000000000002</v>
      </c>
      <c r="J7792">
        <v>12</v>
      </c>
      <c r="K7792">
        <v>176</v>
      </c>
      <c r="L7792">
        <v>88</v>
      </c>
      <c r="M7792" s="1">
        <v>9000000000</v>
      </c>
    </row>
    <row r="7793" spans="1:13" ht="15" customHeight="1">
      <c r="A7793" t="s">
        <v>79</v>
      </c>
      <c r="B7793">
        <f t="shared" si="482"/>
        <v>33.716439000000001</v>
      </c>
      <c r="C7793">
        <f t="shared" si="483"/>
        <v>-117.84585199999999</v>
      </c>
      <c r="D7793">
        <f t="shared" si="484"/>
        <v>70</v>
      </c>
      <c r="E7793">
        <v>116.499</v>
      </c>
      <c r="F7793">
        <f t="shared" si="485"/>
        <v>-46.498999999999995</v>
      </c>
      <c r="G7793">
        <v>273.483</v>
      </c>
      <c r="H7793">
        <v>6.0529999999999999</v>
      </c>
      <c r="I7793">
        <v>2.2130000000000001</v>
      </c>
      <c r="J7793">
        <v>7</v>
      </c>
      <c r="K7793">
        <v>87</v>
      </c>
      <c r="L7793">
        <v>44</v>
      </c>
      <c r="M7793" s="1">
        <v>9000000000</v>
      </c>
    </row>
    <row r="7794" spans="1:13" ht="15" customHeight="1">
      <c r="A7794" t="s">
        <v>79</v>
      </c>
      <c r="B7794">
        <f t="shared" si="482"/>
        <v>33.716439000000001</v>
      </c>
      <c r="C7794">
        <f t="shared" si="483"/>
        <v>-117.84585199999999</v>
      </c>
      <c r="D7794">
        <f t="shared" si="484"/>
        <v>70</v>
      </c>
      <c r="E7794">
        <v>117.498</v>
      </c>
      <c r="F7794">
        <f t="shared" si="485"/>
        <v>-47.498000000000005</v>
      </c>
      <c r="G7794">
        <v>268.21699999999998</v>
      </c>
      <c r="H7794">
        <v>8.6280000000000001</v>
      </c>
      <c r="I7794">
        <v>3.2149999999999999</v>
      </c>
      <c r="J7794">
        <v>12</v>
      </c>
      <c r="K7794">
        <v>129</v>
      </c>
      <c r="L7794">
        <v>65</v>
      </c>
      <c r="M7794" s="1">
        <v>9000000000</v>
      </c>
    </row>
    <row r="7795" spans="1:13" ht="15" customHeight="1">
      <c r="A7795" t="s">
        <v>79</v>
      </c>
      <c r="B7795">
        <f t="shared" si="482"/>
        <v>33.716439000000001</v>
      </c>
      <c r="C7795">
        <f t="shared" si="483"/>
        <v>-117.84585199999999</v>
      </c>
      <c r="D7795">
        <f t="shared" si="484"/>
        <v>70</v>
      </c>
      <c r="E7795">
        <v>118.498</v>
      </c>
      <c r="F7795">
        <f t="shared" si="485"/>
        <v>-48.498000000000005</v>
      </c>
      <c r="G7795">
        <v>48.232999999999997</v>
      </c>
      <c r="H7795">
        <v>1.9330000000000001</v>
      </c>
      <c r="I7795">
        <v>3.8679999999999999</v>
      </c>
      <c r="J7795">
        <v>5</v>
      </c>
      <c r="K7795">
        <v>24</v>
      </c>
      <c r="L7795">
        <v>12</v>
      </c>
      <c r="M7795">
        <v>2.84</v>
      </c>
    </row>
    <row r="7796" spans="1:13" ht="15" customHeight="1">
      <c r="A7796" t="s">
        <v>79</v>
      </c>
      <c r="B7796">
        <f t="shared" si="482"/>
        <v>33.716439000000001</v>
      </c>
      <c r="C7796">
        <f t="shared" si="483"/>
        <v>-117.84585199999999</v>
      </c>
      <c r="D7796">
        <f t="shared" si="484"/>
        <v>70</v>
      </c>
      <c r="E7796">
        <v>119.498</v>
      </c>
      <c r="F7796">
        <f t="shared" si="485"/>
        <v>-49.498000000000005</v>
      </c>
      <c r="G7796">
        <v>50.366999999999997</v>
      </c>
      <c r="H7796">
        <v>1.7829999999999999</v>
      </c>
      <c r="I7796">
        <v>3.464</v>
      </c>
      <c r="J7796">
        <v>5</v>
      </c>
      <c r="K7796">
        <v>25</v>
      </c>
      <c r="L7796">
        <v>13</v>
      </c>
      <c r="M7796">
        <v>2.9359999999999999</v>
      </c>
    </row>
    <row r="7797" spans="1:13" ht="15" customHeight="1">
      <c r="A7797" t="s">
        <v>79</v>
      </c>
      <c r="B7797">
        <f t="shared" si="482"/>
        <v>33.716439000000001</v>
      </c>
      <c r="C7797">
        <f t="shared" si="483"/>
        <v>-117.84585199999999</v>
      </c>
      <c r="D7797">
        <f t="shared" si="484"/>
        <v>70</v>
      </c>
      <c r="E7797">
        <v>120.498</v>
      </c>
      <c r="F7797">
        <f t="shared" si="485"/>
        <v>-50.498000000000005</v>
      </c>
      <c r="G7797">
        <v>67.983000000000004</v>
      </c>
      <c r="H7797">
        <v>2.573</v>
      </c>
      <c r="I7797">
        <v>3.7120000000000002</v>
      </c>
      <c r="J7797">
        <v>5</v>
      </c>
      <c r="K7797">
        <v>33</v>
      </c>
      <c r="L7797">
        <v>17</v>
      </c>
      <c r="M7797">
        <v>4.1210000000000004</v>
      </c>
    </row>
    <row r="7798" spans="1:13" ht="15" customHeight="1">
      <c r="A7798" t="s">
        <v>79</v>
      </c>
      <c r="B7798">
        <f t="shared" si="482"/>
        <v>33.716439000000001</v>
      </c>
      <c r="C7798">
        <f t="shared" si="483"/>
        <v>-117.84585199999999</v>
      </c>
      <c r="D7798">
        <f t="shared" si="484"/>
        <v>70</v>
      </c>
      <c r="E7798">
        <v>121.498</v>
      </c>
      <c r="F7798">
        <f t="shared" si="485"/>
        <v>-51.498000000000005</v>
      </c>
      <c r="G7798">
        <v>184.28299999999999</v>
      </c>
      <c r="H7798">
        <v>6.5149999999999997</v>
      </c>
      <c r="I7798">
        <v>3.5379999999999998</v>
      </c>
      <c r="J7798">
        <v>12</v>
      </c>
      <c r="K7798">
        <v>88</v>
      </c>
      <c r="L7798">
        <v>44</v>
      </c>
      <c r="M7798" s="1">
        <v>9000000000</v>
      </c>
    </row>
    <row r="7799" spans="1:13" ht="15" customHeight="1">
      <c r="A7799" t="s">
        <v>79</v>
      </c>
      <c r="B7799">
        <f t="shared" si="482"/>
        <v>33.716439000000001</v>
      </c>
      <c r="C7799">
        <f t="shared" si="483"/>
        <v>-117.84585199999999</v>
      </c>
      <c r="D7799">
        <f t="shared" si="484"/>
        <v>70</v>
      </c>
      <c r="E7799">
        <v>122.498</v>
      </c>
      <c r="F7799">
        <f t="shared" si="485"/>
        <v>-52.498000000000005</v>
      </c>
      <c r="G7799">
        <v>127.417</v>
      </c>
      <c r="H7799">
        <v>5.9080000000000004</v>
      </c>
      <c r="I7799">
        <v>4.641</v>
      </c>
      <c r="J7799">
        <v>11</v>
      </c>
      <c r="K7799">
        <v>122</v>
      </c>
      <c r="L7799">
        <v>61</v>
      </c>
      <c r="M7799" s="1">
        <v>9000000000</v>
      </c>
    </row>
    <row r="7800" spans="1:13" ht="15" customHeight="1">
      <c r="A7800" t="s">
        <v>79</v>
      </c>
      <c r="B7800">
        <f t="shared" si="482"/>
        <v>33.716439000000001</v>
      </c>
      <c r="C7800">
        <f t="shared" si="483"/>
        <v>-117.84585199999999</v>
      </c>
      <c r="D7800">
        <f t="shared" si="484"/>
        <v>70</v>
      </c>
      <c r="E7800">
        <v>123.498</v>
      </c>
      <c r="F7800">
        <f t="shared" si="485"/>
        <v>-53.498000000000005</v>
      </c>
      <c r="G7800">
        <v>182.167</v>
      </c>
      <c r="H7800">
        <v>5.6879999999999997</v>
      </c>
      <c r="I7800">
        <v>3.125</v>
      </c>
      <c r="J7800">
        <v>6</v>
      </c>
      <c r="K7800">
        <v>70</v>
      </c>
      <c r="L7800">
        <v>35</v>
      </c>
      <c r="M7800">
        <v>11.622</v>
      </c>
    </row>
    <row r="7801" spans="1:13" ht="15" customHeight="1">
      <c r="A7801" t="s">
        <v>79</v>
      </c>
      <c r="B7801">
        <f t="shared" si="482"/>
        <v>33.716439000000001</v>
      </c>
      <c r="C7801">
        <f t="shared" si="483"/>
        <v>-117.84585199999999</v>
      </c>
      <c r="D7801">
        <f t="shared" si="484"/>
        <v>70</v>
      </c>
      <c r="E7801">
        <v>124.498</v>
      </c>
      <c r="F7801">
        <f t="shared" si="485"/>
        <v>-54.498000000000005</v>
      </c>
      <c r="G7801">
        <v>313.41699999999997</v>
      </c>
      <c r="H7801">
        <v>8.8149999999999995</v>
      </c>
      <c r="I7801">
        <v>2.8140000000000001</v>
      </c>
      <c r="J7801">
        <v>12</v>
      </c>
      <c r="K7801">
        <v>150</v>
      </c>
      <c r="L7801">
        <v>75</v>
      </c>
      <c r="M7801" s="1">
        <v>9000000000</v>
      </c>
    </row>
    <row r="7802" spans="1:13" ht="15" customHeight="1">
      <c r="A7802" t="s">
        <v>79</v>
      </c>
      <c r="B7802">
        <f t="shared" si="482"/>
        <v>33.716439000000001</v>
      </c>
      <c r="C7802">
        <f t="shared" si="483"/>
        <v>-117.84585199999999</v>
      </c>
      <c r="D7802">
        <f t="shared" si="484"/>
        <v>70</v>
      </c>
      <c r="E7802">
        <v>125.498</v>
      </c>
      <c r="F7802">
        <f t="shared" si="485"/>
        <v>-55.498000000000005</v>
      </c>
      <c r="G7802">
        <v>226.04300000000001</v>
      </c>
      <c r="H7802">
        <v>7.14</v>
      </c>
      <c r="I7802">
        <v>3.16</v>
      </c>
      <c r="J7802">
        <v>12</v>
      </c>
      <c r="K7802">
        <v>108</v>
      </c>
      <c r="L7802">
        <v>54</v>
      </c>
      <c r="M7802" s="1">
        <v>9000000000</v>
      </c>
    </row>
    <row r="7803" spans="1:13" ht="15" customHeight="1">
      <c r="A7803" t="s">
        <v>79</v>
      </c>
      <c r="B7803">
        <f t="shared" si="482"/>
        <v>33.716439000000001</v>
      </c>
      <c r="C7803">
        <f t="shared" si="483"/>
        <v>-117.84585199999999</v>
      </c>
      <c r="D7803">
        <f t="shared" si="484"/>
        <v>70</v>
      </c>
      <c r="E7803">
        <v>126.498</v>
      </c>
      <c r="F7803">
        <f t="shared" si="485"/>
        <v>-56.498000000000005</v>
      </c>
      <c r="G7803">
        <v>207.63300000000001</v>
      </c>
      <c r="H7803">
        <v>8.8620000000000001</v>
      </c>
      <c r="I7803">
        <v>4.2709999999999999</v>
      </c>
      <c r="J7803">
        <v>11</v>
      </c>
      <c r="K7803">
        <v>199</v>
      </c>
      <c r="L7803">
        <v>100</v>
      </c>
      <c r="M7803" s="1">
        <v>9000000000</v>
      </c>
    </row>
    <row r="7804" spans="1:13" ht="15" customHeight="1">
      <c r="A7804" t="s">
        <v>79</v>
      </c>
      <c r="B7804">
        <f t="shared" si="482"/>
        <v>33.716439000000001</v>
      </c>
      <c r="C7804">
        <f t="shared" si="483"/>
        <v>-117.84585199999999</v>
      </c>
      <c r="D7804">
        <f t="shared" si="484"/>
        <v>70</v>
      </c>
      <c r="E7804">
        <v>127.498</v>
      </c>
      <c r="F7804">
        <f t="shared" si="485"/>
        <v>-57.498000000000005</v>
      </c>
      <c r="G7804">
        <v>137.6</v>
      </c>
      <c r="H7804">
        <v>6.9180000000000001</v>
      </c>
      <c r="I7804">
        <v>5.0330000000000004</v>
      </c>
      <c r="J7804">
        <v>11</v>
      </c>
      <c r="K7804">
        <v>132</v>
      </c>
      <c r="L7804">
        <v>66</v>
      </c>
      <c r="M7804" s="1">
        <v>9000000000</v>
      </c>
    </row>
    <row r="7805" spans="1:13" ht="15" customHeight="1">
      <c r="A7805" t="s">
        <v>79</v>
      </c>
      <c r="B7805">
        <f t="shared" si="482"/>
        <v>33.716439000000001</v>
      </c>
      <c r="C7805">
        <f t="shared" si="483"/>
        <v>-117.84585199999999</v>
      </c>
      <c r="D7805">
        <f t="shared" si="484"/>
        <v>70</v>
      </c>
      <c r="E7805">
        <v>128.49799999999999</v>
      </c>
      <c r="F7805">
        <f t="shared" si="485"/>
        <v>-58.49799999999999</v>
      </c>
      <c r="G7805">
        <v>189.75</v>
      </c>
      <c r="H7805">
        <v>6.625</v>
      </c>
      <c r="I7805">
        <v>3.4940000000000002</v>
      </c>
      <c r="J7805">
        <v>12</v>
      </c>
      <c r="K7805">
        <v>91</v>
      </c>
      <c r="L7805">
        <v>46</v>
      </c>
      <c r="M7805" s="1">
        <v>9000000000</v>
      </c>
    </row>
    <row r="7806" spans="1:13" ht="15" customHeight="1">
      <c r="A7806" t="s">
        <v>79</v>
      </c>
      <c r="B7806">
        <f t="shared" si="482"/>
        <v>33.716439000000001</v>
      </c>
      <c r="C7806">
        <f t="shared" si="483"/>
        <v>-117.84585199999999</v>
      </c>
      <c r="D7806">
        <f t="shared" si="484"/>
        <v>70</v>
      </c>
      <c r="E7806">
        <v>129.49799999999999</v>
      </c>
      <c r="F7806">
        <f t="shared" si="485"/>
        <v>-59.49799999999999</v>
      </c>
      <c r="G7806">
        <v>389.017</v>
      </c>
      <c r="H7806">
        <v>6.37</v>
      </c>
      <c r="I7806">
        <v>1.6379999999999999</v>
      </c>
      <c r="J7806">
        <v>8</v>
      </c>
      <c r="K7806">
        <v>93</v>
      </c>
      <c r="L7806">
        <v>47</v>
      </c>
      <c r="M7806" s="1">
        <v>9000000000</v>
      </c>
    </row>
    <row r="7807" spans="1:13" ht="15" customHeight="1">
      <c r="A7807" t="s">
        <v>79</v>
      </c>
      <c r="B7807">
        <f t="shared" si="482"/>
        <v>33.716439000000001</v>
      </c>
      <c r="C7807">
        <f t="shared" si="483"/>
        <v>-117.84585199999999</v>
      </c>
      <c r="D7807">
        <f t="shared" si="484"/>
        <v>70</v>
      </c>
      <c r="E7807">
        <v>130.49799999999999</v>
      </c>
      <c r="F7807">
        <f t="shared" si="485"/>
        <v>-60.49799999999999</v>
      </c>
      <c r="G7807">
        <v>395.3</v>
      </c>
      <c r="H7807">
        <v>0</v>
      </c>
      <c r="I7807">
        <v>0</v>
      </c>
      <c r="J7807">
        <v>10</v>
      </c>
      <c r="K7807" s="1">
        <v>9000000000</v>
      </c>
      <c r="L7807" s="1">
        <v>9000000000</v>
      </c>
      <c r="M7807" s="1">
        <v>9000000000</v>
      </c>
    </row>
    <row r="7808" spans="1:13" ht="15" customHeight="1">
      <c r="A7808" t="s">
        <v>80</v>
      </c>
      <c r="B7808">
        <f t="shared" si="482"/>
        <v>33.706468000000001</v>
      </c>
      <c r="C7808">
        <f t="shared" si="483"/>
        <v>-117.86742</v>
      </c>
      <c r="D7808">
        <f t="shared" si="484"/>
        <v>43</v>
      </c>
      <c r="E7808">
        <v>0.5</v>
      </c>
      <c r="F7808">
        <f t="shared" si="485"/>
        <v>42.5</v>
      </c>
      <c r="G7808">
        <v>14.4</v>
      </c>
      <c r="H7808">
        <v>0.78500000000000003</v>
      </c>
      <c r="I7808">
        <v>5.4390000000000001</v>
      </c>
      <c r="J7808">
        <v>3</v>
      </c>
      <c r="K7808">
        <v>14</v>
      </c>
      <c r="L7808">
        <v>21</v>
      </c>
      <c r="M7808">
        <v>0.96</v>
      </c>
    </row>
    <row r="7809" spans="1:13" ht="15" customHeight="1">
      <c r="A7809" t="s">
        <v>80</v>
      </c>
      <c r="B7809">
        <f t="shared" si="482"/>
        <v>33.706468000000001</v>
      </c>
      <c r="C7809">
        <f t="shared" si="483"/>
        <v>-117.86742</v>
      </c>
      <c r="D7809">
        <f t="shared" si="484"/>
        <v>43</v>
      </c>
      <c r="E7809">
        <v>1.5</v>
      </c>
      <c r="F7809">
        <f t="shared" si="485"/>
        <v>41.5</v>
      </c>
      <c r="G7809">
        <v>24.7</v>
      </c>
      <c r="H7809">
        <v>1.1299999999999999</v>
      </c>
      <c r="I7809">
        <v>4.556</v>
      </c>
      <c r="J7809">
        <v>3</v>
      </c>
      <c r="K7809">
        <v>24</v>
      </c>
      <c r="L7809">
        <v>36</v>
      </c>
      <c r="M7809">
        <v>1.647</v>
      </c>
    </row>
    <row r="7810" spans="1:13" ht="15" customHeight="1">
      <c r="A7810" t="s">
        <v>80</v>
      </c>
      <c r="B7810">
        <f t="shared" ref="B7810:B7873" si="486">VLOOKUP(A7810,XYdata,3,FALSE)</f>
        <v>33.706468000000001</v>
      </c>
      <c r="C7810">
        <f t="shared" ref="C7810:C7873" si="487">VLOOKUP(A7810,XYdata,2,FALSE)</f>
        <v>-117.86742</v>
      </c>
      <c r="D7810">
        <f t="shared" ref="D7810:D7873" si="488">VLOOKUP(A7810,Elevation,2,FALSE)</f>
        <v>43</v>
      </c>
      <c r="E7810">
        <v>2.5</v>
      </c>
      <c r="F7810">
        <f t="shared" si="485"/>
        <v>40.5</v>
      </c>
      <c r="G7810">
        <v>5.9</v>
      </c>
      <c r="H7810">
        <v>0.46</v>
      </c>
      <c r="I7810">
        <v>7.7530000000000001</v>
      </c>
      <c r="J7810">
        <v>3</v>
      </c>
      <c r="K7810">
        <v>6</v>
      </c>
      <c r="L7810">
        <v>9</v>
      </c>
      <c r="M7810">
        <v>0.38500000000000001</v>
      </c>
    </row>
    <row r="7811" spans="1:13" ht="15" customHeight="1">
      <c r="A7811" t="s">
        <v>80</v>
      </c>
      <c r="B7811">
        <f t="shared" si="486"/>
        <v>33.706468000000001</v>
      </c>
      <c r="C7811">
        <f t="shared" si="487"/>
        <v>-117.86742</v>
      </c>
      <c r="D7811">
        <f t="shared" si="488"/>
        <v>43</v>
      </c>
      <c r="E7811">
        <v>3.5</v>
      </c>
      <c r="F7811">
        <f t="shared" ref="F7811:F7874" si="489">D7811-E7811</f>
        <v>39.5</v>
      </c>
      <c r="G7811">
        <v>4.75</v>
      </c>
      <c r="H7811">
        <v>0.36299999999999999</v>
      </c>
      <c r="I7811">
        <v>7.649</v>
      </c>
      <c r="J7811">
        <v>3</v>
      </c>
      <c r="K7811">
        <v>5</v>
      </c>
      <c r="L7811">
        <v>8</v>
      </c>
      <c r="M7811">
        <v>0.30199999999999999</v>
      </c>
    </row>
    <row r="7812" spans="1:13" ht="15" customHeight="1">
      <c r="A7812" t="s">
        <v>80</v>
      </c>
      <c r="B7812">
        <f t="shared" si="486"/>
        <v>33.706468000000001</v>
      </c>
      <c r="C7812">
        <f t="shared" si="487"/>
        <v>-117.86742</v>
      </c>
      <c r="D7812">
        <f t="shared" si="488"/>
        <v>43</v>
      </c>
      <c r="E7812">
        <v>4.5</v>
      </c>
      <c r="F7812">
        <f t="shared" si="489"/>
        <v>38.5</v>
      </c>
      <c r="G7812">
        <v>3.4329999999999998</v>
      </c>
      <c r="H7812">
        <v>0.16800000000000001</v>
      </c>
      <c r="I7812">
        <v>4.9029999999999996</v>
      </c>
      <c r="J7812">
        <v>3</v>
      </c>
      <c r="K7812">
        <v>3</v>
      </c>
      <c r="L7812">
        <v>5</v>
      </c>
      <c r="M7812">
        <v>0.21099999999999999</v>
      </c>
    </row>
    <row r="7813" spans="1:13" ht="15" customHeight="1">
      <c r="A7813" t="s">
        <v>80</v>
      </c>
      <c r="B7813">
        <f t="shared" si="486"/>
        <v>33.706468000000001</v>
      </c>
      <c r="C7813">
        <f t="shared" si="487"/>
        <v>-117.86742</v>
      </c>
      <c r="D7813">
        <f t="shared" si="488"/>
        <v>43</v>
      </c>
      <c r="E7813">
        <v>5.5</v>
      </c>
      <c r="F7813">
        <f t="shared" si="489"/>
        <v>37.5</v>
      </c>
      <c r="G7813">
        <v>4.7</v>
      </c>
      <c r="H7813">
        <v>0.26</v>
      </c>
      <c r="I7813">
        <v>5.532</v>
      </c>
      <c r="J7813">
        <v>3</v>
      </c>
      <c r="K7813">
        <v>5</v>
      </c>
      <c r="L7813">
        <v>8</v>
      </c>
      <c r="M7813">
        <v>0.29099999999999998</v>
      </c>
    </row>
    <row r="7814" spans="1:13" ht="15" customHeight="1">
      <c r="A7814" t="s">
        <v>80</v>
      </c>
      <c r="B7814">
        <f t="shared" si="486"/>
        <v>33.706468000000001</v>
      </c>
      <c r="C7814">
        <f t="shared" si="487"/>
        <v>-117.86742</v>
      </c>
      <c r="D7814">
        <f t="shared" si="488"/>
        <v>43</v>
      </c>
      <c r="E7814">
        <v>6.5</v>
      </c>
      <c r="F7814">
        <f t="shared" si="489"/>
        <v>36.5</v>
      </c>
      <c r="G7814">
        <v>2.9169999999999998</v>
      </c>
      <c r="H7814">
        <v>0.125</v>
      </c>
      <c r="I7814">
        <v>4.2370000000000001</v>
      </c>
      <c r="J7814">
        <v>3</v>
      </c>
      <c r="K7814">
        <v>3</v>
      </c>
      <c r="L7814">
        <v>5</v>
      </c>
      <c r="M7814">
        <v>0.17</v>
      </c>
    </row>
    <row r="7815" spans="1:13" ht="15" customHeight="1">
      <c r="A7815" t="s">
        <v>80</v>
      </c>
      <c r="B7815">
        <f t="shared" si="486"/>
        <v>33.706468000000001</v>
      </c>
      <c r="C7815">
        <f t="shared" si="487"/>
        <v>-117.86742</v>
      </c>
      <c r="D7815">
        <f t="shared" si="488"/>
        <v>43</v>
      </c>
      <c r="E7815">
        <v>7.5</v>
      </c>
      <c r="F7815">
        <f t="shared" si="489"/>
        <v>35.5</v>
      </c>
      <c r="G7815">
        <v>8.1170000000000009</v>
      </c>
      <c r="H7815">
        <v>0.28799999999999998</v>
      </c>
      <c r="I7815">
        <v>3.5310000000000001</v>
      </c>
      <c r="J7815">
        <v>3</v>
      </c>
      <c r="K7815">
        <v>8</v>
      </c>
      <c r="L7815">
        <v>12</v>
      </c>
      <c r="M7815">
        <v>0.51400000000000001</v>
      </c>
    </row>
    <row r="7816" spans="1:13" ht="15" customHeight="1">
      <c r="A7816" t="s">
        <v>80</v>
      </c>
      <c r="B7816">
        <f t="shared" si="486"/>
        <v>33.706468000000001</v>
      </c>
      <c r="C7816">
        <f t="shared" si="487"/>
        <v>-117.86742</v>
      </c>
      <c r="D7816">
        <f t="shared" si="488"/>
        <v>43</v>
      </c>
      <c r="E7816">
        <v>8.5</v>
      </c>
      <c r="F7816">
        <f t="shared" si="489"/>
        <v>34.5</v>
      </c>
      <c r="G7816">
        <v>9.9670000000000005</v>
      </c>
      <c r="H7816">
        <v>0.312</v>
      </c>
      <c r="I7816">
        <v>3.0960000000000001</v>
      </c>
      <c r="J7816">
        <v>4</v>
      </c>
      <c r="K7816">
        <v>6</v>
      </c>
      <c r="L7816">
        <v>9</v>
      </c>
      <c r="M7816">
        <v>0.63700000000000001</v>
      </c>
    </row>
    <row r="7817" spans="1:13" ht="15" customHeight="1">
      <c r="A7817" t="s">
        <v>80</v>
      </c>
      <c r="B7817">
        <f t="shared" si="486"/>
        <v>33.706468000000001</v>
      </c>
      <c r="C7817">
        <f t="shared" si="487"/>
        <v>-117.86742</v>
      </c>
      <c r="D7817">
        <f t="shared" si="488"/>
        <v>43</v>
      </c>
      <c r="E7817">
        <v>9.5</v>
      </c>
      <c r="F7817">
        <f t="shared" si="489"/>
        <v>33.5</v>
      </c>
      <c r="G7817">
        <v>10.632999999999999</v>
      </c>
      <c r="H7817">
        <v>0.33</v>
      </c>
      <c r="I7817">
        <v>3.0750000000000002</v>
      </c>
      <c r="J7817">
        <v>4</v>
      </c>
      <c r="K7817">
        <v>7</v>
      </c>
      <c r="L7817">
        <v>11</v>
      </c>
      <c r="M7817">
        <v>0.67700000000000005</v>
      </c>
    </row>
    <row r="7818" spans="1:13" ht="15" customHeight="1">
      <c r="A7818" t="s">
        <v>80</v>
      </c>
      <c r="B7818">
        <f t="shared" si="486"/>
        <v>33.706468000000001</v>
      </c>
      <c r="C7818">
        <f t="shared" si="487"/>
        <v>-117.86742</v>
      </c>
      <c r="D7818">
        <f t="shared" si="488"/>
        <v>43</v>
      </c>
      <c r="E7818">
        <v>10.5</v>
      </c>
      <c r="F7818">
        <f t="shared" si="489"/>
        <v>32.5</v>
      </c>
      <c r="G7818">
        <v>13.2</v>
      </c>
      <c r="H7818">
        <v>0.47</v>
      </c>
      <c r="I7818">
        <v>3.5379999999999998</v>
      </c>
      <c r="J7818">
        <v>4</v>
      </c>
      <c r="K7818">
        <v>8</v>
      </c>
      <c r="L7818">
        <v>11</v>
      </c>
      <c r="M7818">
        <v>0.84299999999999997</v>
      </c>
    </row>
    <row r="7819" spans="1:13" ht="15" customHeight="1">
      <c r="A7819" t="s">
        <v>80</v>
      </c>
      <c r="B7819">
        <f t="shared" si="486"/>
        <v>33.706468000000001</v>
      </c>
      <c r="C7819">
        <f t="shared" si="487"/>
        <v>-117.86742</v>
      </c>
      <c r="D7819">
        <f t="shared" si="488"/>
        <v>43</v>
      </c>
      <c r="E7819">
        <v>11.5</v>
      </c>
      <c r="F7819">
        <f t="shared" si="489"/>
        <v>31.5</v>
      </c>
      <c r="G7819">
        <v>31.95</v>
      </c>
      <c r="H7819">
        <v>0.85499999999999998</v>
      </c>
      <c r="I7819">
        <v>2.6749999999999998</v>
      </c>
      <c r="J7819">
        <v>6</v>
      </c>
      <c r="K7819">
        <v>12</v>
      </c>
      <c r="L7819">
        <v>16</v>
      </c>
      <c r="M7819">
        <v>2.085</v>
      </c>
    </row>
    <row r="7820" spans="1:13" ht="15" customHeight="1">
      <c r="A7820" t="s">
        <v>80</v>
      </c>
      <c r="B7820">
        <f t="shared" si="486"/>
        <v>33.706468000000001</v>
      </c>
      <c r="C7820">
        <f t="shared" si="487"/>
        <v>-117.86742</v>
      </c>
      <c r="D7820">
        <f t="shared" si="488"/>
        <v>43</v>
      </c>
      <c r="E7820">
        <v>12.5</v>
      </c>
      <c r="F7820">
        <f t="shared" si="489"/>
        <v>30.5</v>
      </c>
      <c r="G7820">
        <v>31.082999999999998</v>
      </c>
      <c r="H7820">
        <v>0.97199999999999998</v>
      </c>
      <c r="I7820">
        <v>3.1379999999999999</v>
      </c>
      <c r="J7820">
        <v>5</v>
      </c>
      <c r="K7820">
        <v>15</v>
      </c>
      <c r="L7820">
        <v>19</v>
      </c>
      <c r="M7820">
        <v>2.0139999999999998</v>
      </c>
    </row>
    <row r="7821" spans="1:13" ht="15" customHeight="1">
      <c r="A7821" t="s">
        <v>80</v>
      </c>
      <c r="B7821">
        <f t="shared" si="486"/>
        <v>33.706468000000001</v>
      </c>
      <c r="C7821">
        <f t="shared" si="487"/>
        <v>-117.86742</v>
      </c>
      <c r="D7821">
        <f t="shared" si="488"/>
        <v>43</v>
      </c>
      <c r="E7821">
        <v>13.5</v>
      </c>
      <c r="F7821">
        <f t="shared" si="489"/>
        <v>29.5</v>
      </c>
      <c r="G7821">
        <v>14.7</v>
      </c>
      <c r="H7821">
        <v>0.65200000000000002</v>
      </c>
      <c r="I7821">
        <v>4.4690000000000003</v>
      </c>
      <c r="J7821">
        <v>3</v>
      </c>
      <c r="K7821">
        <v>14</v>
      </c>
      <c r="L7821">
        <v>16</v>
      </c>
      <c r="M7821">
        <v>0.91700000000000004</v>
      </c>
    </row>
    <row r="7822" spans="1:13" ht="15" customHeight="1">
      <c r="A7822" t="s">
        <v>80</v>
      </c>
      <c r="B7822">
        <f t="shared" si="486"/>
        <v>33.706468000000001</v>
      </c>
      <c r="C7822">
        <f t="shared" si="487"/>
        <v>-117.86742</v>
      </c>
      <c r="D7822">
        <f t="shared" si="488"/>
        <v>43</v>
      </c>
      <c r="E7822">
        <v>14.5</v>
      </c>
      <c r="F7822">
        <f t="shared" si="489"/>
        <v>28.5</v>
      </c>
      <c r="G7822">
        <v>9.8170000000000002</v>
      </c>
      <c r="H7822">
        <v>0.32500000000000001</v>
      </c>
      <c r="I7822">
        <v>3.3450000000000002</v>
      </c>
      <c r="J7822">
        <v>3</v>
      </c>
      <c r="K7822">
        <v>9</v>
      </c>
      <c r="L7822">
        <v>10</v>
      </c>
      <c r="M7822">
        <v>0.58899999999999997</v>
      </c>
    </row>
    <row r="7823" spans="1:13" ht="15" customHeight="1">
      <c r="A7823" t="s">
        <v>80</v>
      </c>
      <c r="B7823">
        <f t="shared" si="486"/>
        <v>33.706468000000001</v>
      </c>
      <c r="C7823">
        <f t="shared" si="487"/>
        <v>-117.86742</v>
      </c>
      <c r="D7823">
        <f t="shared" si="488"/>
        <v>43</v>
      </c>
      <c r="E7823">
        <v>15.5</v>
      </c>
      <c r="F7823">
        <f t="shared" si="489"/>
        <v>27.5</v>
      </c>
      <c r="G7823">
        <v>10.6</v>
      </c>
      <c r="H7823">
        <v>0.41299999999999998</v>
      </c>
      <c r="I7823">
        <v>3.9369999999999998</v>
      </c>
      <c r="J7823">
        <v>3</v>
      </c>
      <c r="K7823">
        <v>10</v>
      </c>
      <c r="L7823">
        <v>10</v>
      </c>
      <c r="M7823">
        <v>0.63700000000000001</v>
      </c>
    </row>
    <row r="7824" spans="1:13" ht="15" customHeight="1">
      <c r="A7824" t="s">
        <v>80</v>
      </c>
      <c r="B7824">
        <f t="shared" si="486"/>
        <v>33.706468000000001</v>
      </c>
      <c r="C7824">
        <f t="shared" si="487"/>
        <v>-117.86742</v>
      </c>
      <c r="D7824">
        <f t="shared" si="488"/>
        <v>43</v>
      </c>
      <c r="E7824">
        <v>16.5</v>
      </c>
      <c r="F7824">
        <f t="shared" si="489"/>
        <v>26.5</v>
      </c>
      <c r="G7824">
        <v>17.283000000000001</v>
      </c>
      <c r="H7824">
        <v>0.53700000000000003</v>
      </c>
      <c r="I7824">
        <v>3.12</v>
      </c>
      <c r="J7824">
        <v>5</v>
      </c>
      <c r="K7824">
        <v>8</v>
      </c>
      <c r="L7824">
        <v>8</v>
      </c>
      <c r="M7824">
        <v>1.08</v>
      </c>
    </row>
    <row r="7825" spans="1:13" ht="15" customHeight="1">
      <c r="A7825" t="s">
        <v>80</v>
      </c>
      <c r="B7825">
        <f t="shared" si="486"/>
        <v>33.706468000000001</v>
      </c>
      <c r="C7825">
        <f t="shared" si="487"/>
        <v>-117.86742</v>
      </c>
      <c r="D7825">
        <f t="shared" si="488"/>
        <v>43</v>
      </c>
      <c r="E7825">
        <v>17.5</v>
      </c>
      <c r="F7825">
        <f t="shared" si="489"/>
        <v>25.5</v>
      </c>
      <c r="G7825">
        <v>79.566999999999993</v>
      </c>
      <c r="H7825">
        <v>1.08</v>
      </c>
      <c r="I7825">
        <v>1.359</v>
      </c>
      <c r="J7825">
        <v>7</v>
      </c>
      <c r="K7825">
        <v>25</v>
      </c>
      <c r="L7825">
        <v>24</v>
      </c>
      <c r="M7825" s="1">
        <v>9000000000</v>
      </c>
    </row>
    <row r="7826" spans="1:13" ht="15" customHeight="1">
      <c r="A7826" t="s">
        <v>80</v>
      </c>
      <c r="B7826">
        <f t="shared" si="486"/>
        <v>33.706468000000001</v>
      </c>
      <c r="C7826">
        <f t="shared" si="487"/>
        <v>-117.86742</v>
      </c>
      <c r="D7826">
        <f t="shared" si="488"/>
        <v>43</v>
      </c>
      <c r="E7826">
        <v>18.5</v>
      </c>
      <c r="F7826">
        <f t="shared" si="489"/>
        <v>24.5</v>
      </c>
      <c r="G7826">
        <v>47.683</v>
      </c>
      <c r="H7826">
        <v>0.85</v>
      </c>
      <c r="I7826">
        <v>1.7889999999999999</v>
      </c>
      <c r="J7826">
        <v>7</v>
      </c>
      <c r="K7826">
        <v>15</v>
      </c>
      <c r="L7826">
        <v>14</v>
      </c>
      <c r="M7826" s="1">
        <v>9000000000</v>
      </c>
    </row>
    <row r="7827" spans="1:13" ht="15" customHeight="1">
      <c r="A7827" t="s">
        <v>80</v>
      </c>
      <c r="B7827">
        <f t="shared" si="486"/>
        <v>33.706468000000001</v>
      </c>
      <c r="C7827">
        <f t="shared" si="487"/>
        <v>-117.86742</v>
      </c>
      <c r="D7827">
        <f t="shared" si="488"/>
        <v>43</v>
      </c>
      <c r="E7827">
        <v>19.5</v>
      </c>
      <c r="F7827">
        <f t="shared" si="489"/>
        <v>23.5</v>
      </c>
      <c r="G7827">
        <v>7.0830000000000002</v>
      </c>
      <c r="H7827">
        <v>0.26200000000000001</v>
      </c>
      <c r="I7827">
        <v>3.7559999999999998</v>
      </c>
      <c r="J7827">
        <v>3</v>
      </c>
      <c r="K7827">
        <v>7</v>
      </c>
      <c r="L7827">
        <v>6</v>
      </c>
      <c r="M7827">
        <v>0.38500000000000001</v>
      </c>
    </row>
    <row r="7828" spans="1:13" ht="15" customHeight="1">
      <c r="A7828" t="s">
        <v>80</v>
      </c>
      <c r="B7828">
        <f t="shared" si="486"/>
        <v>33.706468000000001</v>
      </c>
      <c r="C7828">
        <f t="shared" si="487"/>
        <v>-117.86742</v>
      </c>
      <c r="D7828">
        <f t="shared" si="488"/>
        <v>43</v>
      </c>
      <c r="E7828">
        <v>20.5</v>
      </c>
      <c r="F7828">
        <f t="shared" si="489"/>
        <v>22.5</v>
      </c>
      <c r="G7828">
        <v>5.9</v>
      </c>
      <c r="H7828">
        <v>9.4E-2</v>
      </c>
      <c r="I7828">
        <v>1.6339999999999999</v>
      </c>
      <c r="J7828">
        <v>1</v>
      </c>
      <c r="K7828">
        <v>3</v>
      </c>
      <c r="L7828">
        <v>3</v>
      </c>
      <c r="M7828">
        <v>0.30199999999999999</v>
      </c>
    </row>
    <row r="7829" spans="1:13" ht="15" customHeight="1">
      <c r="A7829" t="s">
        <v>80</v>
      </c>
      <c r="B7829">
        <f t="shared" si="486"/>
        <v>33.706468000000001</v>
      </c>
      <c r="C7829">
        <f t="shared" si="487"/>
        <v>-117.86742</v>
      </c>
      <c r="D7829">
        <f t="shared" si="488"/>
        <v>43</v>
      </c>
      <c r="E7829">
        <v>21.5</v>
      </c>
      <c r="F7829">
        <f t="shared" si="489"/>
        <v>21.5</v>
      </c>
      <c r="G7829">
        <v>7</v>
      </c>
      <c r="H7829">
        <v>0.17199999999999999</v>
      </c>
      <c r="I7829">
        <v>2.488</v>
      </c>
      <c r="J7829">
        <v>4</v>
      </c>
      <c r="K7829">
        <v>4</v>
      </c>
      <c r="L7829">
        <v>3</v>
      </c>
      <c r="M7829">
        <v>0.373</v>
      </c>
    </row>
    <row r="7830" spans="1:13" ht="15" customHeight="1">
      <c r="A7830" t="s">
        <v>80</v>
      </c>
      <c r="B7830">
        <f t="shared" si="486"/>
        <v>33.706468000000001</v>
      </c>
      <c r="C7830">
        <f t="shared" si="487"/>
        <v>-117.86742</v>
      </c>
      <c r="D7830">
        <f t="shared" si="488"/>
        <v>43</v>
      </c>
      <c r="E7830">
        <v>22.5</v>
      </c>
      <c r="F7830">
        <f t="shared" si="489"/>
        <v>20.5</v>
      </c>
      <c r="G7830">
        <v>11.632999999999999</v>
      </c>
      <c r="H7830">
        <v>0.34699999999999998</v>
      </c>
      <c r="I7830">
        <v>3.0059999999999998</v>
      </c>
      <c r="J7830">
        <v>4</v>
      </c>
      <c r="K7830">
        <v>7</v>
      </c>
      <c r="L7830">
        <v>6</v>
      </c>
      <c r="M7830">
        <v>0.67800000000000005</v>
      </c>
    </row>
    <row r="7831" spans="1:13" ht="15" customHeight="1">
      <c r="A7831" t="s">
        <v>80</v>
      </c>
      <c r="B7831">
        <f t="shared" si="486"/>
        <v>33.706468000000001</v>
      </c>
      <c r="C7831">
        <f t="shared" si="487"/>
        <v>-117.86742</v>
      </c>
      <c r="D7831">
        <f t="shared" si="488"/>
        <v>43</v>
      </c>
      <c r="E7831">
        <v>23.5</v>
      </c>
      <c r="F7831">
        <f t="shared" si="489"/>
        <v>19.5</v>
      </c>
      <c r="G7831">
        <v>25.483000000000001</v>
      </c>
      <c r="H7831">
        <v>1.127</v>
      </c>
      <c r="I7831">
        <v>4.4390000000000001</v>
      </c>
      <c r="J7831">
        <v>4</v>
      </c>
      <c r="K7831">
        <v>16</v>
      </c>
      <c r="L7831">
        <v>12</v>
      </c>
      <c r="M7831">
        <v>1.597</v>
      </c>
    </row>
    <row r="7832" spans="1:13" ht="15" customHeight="1">
      <c r="A7832" t="s">
        <v>80</v>
      </c>
      <c r="B7832">
        <f t="shared" si="486"/>
        <v>33.706468000000001</v>
      </c>
      <c r="C7832">
        <f t="shared" si="487"/>
        <v>-117.86742</v>
      </c>
      <c r="D7832">
        <f t="shared" si="488"/>
        <v>43</v>
      </c>
      <c r="E7832">
        <v>24.5</v>
      </c>
      <c r="F7832">
        <f t="shared" si="489"/>
        <v>18.5</v>
      </c>
      <c r="G7832">
        <v>40.817</v>
      </c>
      <c r="H7832">
        <v>1.982</v>
      </c>
      <c r="I7832">
        <v>4.867</v>
      </c>
      <c r="J7832">
        <v>4</v>
      </c>
      <c r="K7832">
        <v>26</v>
      </c>
      <c r="L7832">
        <v>19</v>
      </c>
      <c r="M7832">
        <v>2.6150000000000002</v>
      </c>
    </row>
    <row r="7833" spans="1:13" ht="15" customHeight="1">
      <c r="A7833" t="s">
        <v>80</v>
      </c>
      <c r="B7833">
        <f t="shared" si="486"/>
        <v>33.706468000000001</v>
      </c>
      <c r="C7833">
        <f t="shared" si="487"/>
        <v>-117.86742</v>
      </c>
      <c r="D7833">
        <f t="shared" si="488"/>
        <v>43</v>
      </c>
      <c r="E7833">
        <v>25.5</v>
      </c>
      <c r="F7833">
        <f t="shared" si="489"/>
        <v>17.5</v>
      </c>
      <c r="G7833">
        <v>84.5</v>
      </c>
      <c r="H7833">
        <v>4.923</v>
      </c>
      <c r="I7833">
        <v>5.8330000000000002</v>
      </c>
      <c r="J7833">
        <v>11</v>
      </c>
      <c r="K7833">
        <v>81</v>
      </c>
      <c r="L7833">
        <v>58</v>
      </c>
      <c r="M7833" s="1">
        <v>9000000000</v>
      </c>
    </row>
    <row r="7834" spans="1:13" ht="15" customHeight="1">
      <c r="A7834" t="s">
        <v>80</v>
      </c>
      <c r="B7834">
        <f t="shared" si="486"/>
        <v>33.706468000000001</v>
      </c>
      <c r="C7834">
        <f t="shared" si="487"/>
        <v>-117.86742</v>
      </c>
      <c r="D7834">
        <f t="shared" si="488"/>
        <v>43</v>
      </c>
      <c r="E7834">
        <v>26.5</v>
      </c>
      <c r="F7834">
        <f t="shared" si="489"/>
        <v>16.5</v>
      </c>
      <c r="G7834">
        <v>42.4</v>
      </c>
      <c r="H7834">
        <v>2.5030000000000001</v>
      </c>
      <c r="I7834">
        <v>5.9160000000000004</v>
      </c>
      <c r="J7834">
        <v>3</v>
      </c>
      <c r="K7834">
        <v>41</v>
      </c>
      <c r="L7834">
        <v>29</v>
      </c>
      <c r="M7834">
        <v>2.7130000000000001</v>
      </c>
    </row>
    <row r="7835" spans="1:13" ht="15" customHeight="1">
      <c r="A7835" t="s">
        <v>80</v>
      </c>
      <c r="B7835">
        <f t="shared" si="486"/>
        <v>33.706468000000001</v>
      </c>
      <c r="C7835">
        <f t="shared" si="487"/>
        <v>-117.86742</v>
      </c>
      <c r="D7835">
        <f t="shared" si="488"/>
        <v>43</v>
      </c>
      <c r="E7835">
        <v>27.5</v>
      </c>
      <c r="F7835">
        <f t="shared" si="489"/>
        <v>15.5</v>
      </c>
      <c r="G7835">
        <v>32.35</v>
      </c>
      <c r="H7835">
        <v>1.835</v>
      </c>
      <c r="I7835">
        <v>5.69</v>
      </c>
      <c r="J7835">
        <v>3</v>
      </c>
      <c r="K7835">
        <v>31</v>
      </c>
      <c r="L7835">
        <v>22</v>
      </c>
      <c r="M7835">
        <v>2.0379999999999998</v>
      </c>
    </row>
    <row r="7836" spans="1:13" ht="15" customHeight="1">
      <c r="A7836" t="s">
        <v>80</v>
      </c>
      <c r="B7836">
        <f t="shared" si="486"/>
        <v>33.706468000000001</v>
      </c>
      <c r="C7836">
        <f t="shared" si="487"/>
        <v>-117.86742</v>
      </c>
      <c r="D7836">
        <f t="shared" si="488"/>
        <v>43</v>
      </c>
      <c r="E7836">
        <v>28.5</v>
      </c>
      <c r="F7836">
        <f t="shared" si="489"/>
        <v>14.5</v>
      </c>
      <c r="G7836">
        <v>21.417000000000002</v>
      </c>
      <c r="H7836">
        <v>1.1299999999999999</v>
      </c>
      <c r="I7836">
        <v>5.3010000000000002</v>
      </c>
      <c r="J7836">
        <v>3</v>
      </c>
      <c r="K7836">
        <v>20</v>
      </c>
      <c r="L7836">
        <v>14</v>
      </c>
      <c r="M7836">
        <v>1.3049999999999999</v>
      </c>
    </row>
    <row r="7837" spans="1:13" ht="15" customHeight="1">
      <c r="A7837" t="s">
        <v>80</v>
      </c>
      <c r="B7837">
        <f t="shared" si="486"/>
        <v>33.706468000000001</v>
      </c>
      <c r="C7837">
        <f t="shared" si="487"/>
        <v>-117.86742</v>
      </c>
      <c r="D7837">
        <f t="shared" si="488"/>
        <v>43</v>
      </c>
      <c r="E7837">
        <v>29.5</v>
      </c>
      <c r="F7837">
        <f t="shared" si="489"/>
        <v>13.5</v>
      </c>
      <c r="G7837">
        <v>33</v>
      </c>
      <c r="H7837">
        <v>1.9119999999999999</v>
      </c>
      <c r="I7837">
        <v>5.8109999999999999</v>
      </c>
      <c r="J7837">
        <v>3</v>
      </c>
      <c r="K7837">
        <v>32</v>
      </c>
      <c r="L7837">
        <v>22</v>
      </c>
      <c r="M7837">
        <v>2.073</v>
      </c>
    </row>
    <row r="7838" spans="1:13" ht="15" customHeight="1">
      <c r="A7838" t="s">
        <v>80</v>
      </c>
      <c r="B7838">
        <f t="shared" si="486"/>
        <v>33.706468000000001</v>
      </c>
      <c r="C7838">
        <f t="shared" si="487"/>
        <v>-117.86742</v>
      </c>
      <c r="D7838">
        <f t="shared" si="488"/>
        <v>43</v>
      </c>
      <c r="E7838">
        <v>30.5</v>
      </c>
      <c r="F7838">
        <f t="shared" si="489"/>
        <v>12.5</v>
      </c>
      <c r="G7838">
        <v>75.533000000000001</v>
      </c>
      <c r="H7838">
        <v>4.327</v>
      </c>
      <c r="I7838">
        <v>5.74</v>
      </c>
      <c r="J7838">
        <v>11</v>
      </c>
      <c r="K7838">
        <v>72</v>
      </c>
      <c r="L7838">
        <v>48</v>
      </c>
      <c r="M7838" s="1">
        <v>9000000000</v>
      </c>
    </row>
    <row r="7839" spans="1:13" ht="15" customHeight="1">
      <c r="A7839" t="s">
        <v>80</v>
      </c>
      <c r="B7839">
        <f t="shared" si="486"/>
        <v>33.706468000000001</v>
      </c>
      <c r="C7839">
        <f t="shared" si="487"/>
        <v>-117.86742</v>
      </c>
      <c r="D7839">
        <f t="shared" si="488"/>
        <v>43</v>
      </c>
      <c r="E7839">
        <v>31.5</v>
      </c>
      <c r="F7839">
        <f t="shared" si="489"/>
        <v>11.5</v>
      </c>
      <c r="G7839">
        <v>120.014</v>
      </c>
      <c r="H7839">
        <v>1.5760000000000001</v>
      </c>
      <c r="I7839">
        <v>1.3140000000000001</v>
      </c>
      <c r="J7839">
        <v>8</v>
      </c>
      <c r="K7839">
        <v>29</v>
      </c>
      <c r="L7839">
        <v>19</v>
      </c>
      <c r="M7839" s="1">
        <v>9000000000</v>
      </c>
    </row>
    <row r="7840" spans="1:13" ht="15" customHeight="1">
      <c r="A7840" t="s">
        <v>80</v>
      </c>
      <c r="B7840">
        <f t="shared" si="486"/>
        <v>33.706468000000001</v>
      </c>
      <c r="C7840">
        <f t="shared" si="487"/>
        <v>-117.86742</v>
      </c>
      <c r="D7840">
        <f t="shared" si="488"/>
        <v>43</v>
      </c>
      <c r="E7840">
        <v>32.5</v>
      </c>
      <c r="F7840">
        <f t="shared" si="489"/>
        <v>10.5</v>
      </c>
      <c r="G7840">
        <v>47.866999999999997</v>
      </c>
      <c r="H7840">
        <v>2.35</v>
      </c>
      <c r="I7840">
        <v>4.9210000000000003</v>
      </c>
      <c r="J7840">
        <v>4</v>
      </c>
      <c r="K7840">
        <v>30</v>
      </c>
      <c r="L7840">
        <v>19</v>
      </c>
      <c r="M7840">
        <v>3.05</v>
      </c>
    </row>
    <row r="7841" spans="1:13" ht="15" customHeight="1">
      <c r="A7841" t="s">
        <v>80</v>
      </c>
      <c r="B7841">
        <f t="shared" si="486"/>
        <v>33.706468000000001</v>
      </c>
      <c r="C7841">
        <f t="shared" si="487"/>
        <v>-117.86742</v>
      </c>
      <c r="D7841">
        <f t="shared" si="488"/>
        <v>43</v>
      </c>
      <c r="E7841">
        <v>33.5</v>
      </c>
      <c r="F7841">
        <f t="shared" si="489"/>
        <v>9.5</v>
      </c>
      <c r="G7841">
        <v>30.35</v>
      </c>
      <c r="H7841">
        <v>1.782</v>
      </c>
      <c r="I7841">
        <v>5.8959999999999999</v>
      </c>
      <c r="J7841">
        <v>3</v>
      </c>
      <c r="K7841">
        <v>29</v>
      </c>
      <c r="L7841">
        <v>19</v>
      </c>
      <c r="M7841">
        <v>1.877</v>
      </c>
    </row>
    <row r="7842" spans="1:13" ht="15" customHeight="1">
      <c r="A7842" t="s">
        <v>80</v>
      </c>
      <c r="B7842">
        <f t="shared" si="486"/>
        <v>33.706468000000001</v>
      </c>
      <c r="C7842">
        <f t="shared" si="487"/>
        <v>-117.86742</v>
      </c>
      <c r="D7842">
        <f t="shared" si="488"/>
        <v>43</v>
      </c>
      <c r="E7842">
        <v>34.5</v>
      </c>
      <c r="F7842">
        <f t="shared" si="489"/>
        <v>8.5</v>
      </c>
      <c r="G7842">
        <v>104.9</v>
      </c>
      <c r="H7842">
        <v>2.0019999999999998</v>
      </c>
      <c r="I7842">
        <v>1.911</v>
      </c>
      <c r="J7842">
        <v>7</v>
      </c>
      <c r="K7842">
        <v>33</v>
      </c>
      <c r="L7842">
        <v>21</v>
      </c>
      <c r="M7842" s="1">
        <v>9000000000</v>
      </c>
    </row>
    <row r="7843" spans="1:13" ht="15" customHeight="1">
      <c r="A7843" t="s">
        <v>80</v>
      </c>
      <c r="B7843">
        <f t="shared" si="486"/>
        <v>33.706468000000001</v>
      </c>
      <c r="C7843">
        <f t="shared" si="487"/>
        <v>-117.86742</v>
      </c>
      <c r="D7843">
        <f t="shared" si="488"/>
        <v>43</v>
      </c>
      <c r="E7843">
        <v>35.5</v>
      </c>
      <c r="F7843">
        <f t="shared" si="489"/>
        <v>7.5</v>
      </c>
      <c r="G7843">
        <v>248.267</v>
      </c>
      <c r="H7843">
        <v>2.4169999999999998</v>
      </c>
      <c r="I7843">
        <v>0.97399999999999998</v>
      </c>
      <c r="J7843">
        <v>9</v>
      </c>
      <c r="K7843">
        <v>48</v>
      </c>
      <c r="L7843">
        <v>30</v>
      </c>
      <c r="M7843" s="1">
        <v>9000000000</v>
      </c>
    </row>
    <row r="7844" spans="1:13" ht="15" customHeight="1">
      <c r="A7844" t="s">
        <v>80</v>
      </c>
      <c r="B7844">
        <f t="shared" si="486"/>
        <v>33.706468000000001</v>
      </c>
      <c r="C7844">
        <f t="shared" si="487"/>
        <v>-117.86742</v>
      </c>
      <c r="D7844">
        <f t="shared" si="488"/>
        <v>43</v>
      </c>
      <c r="E7844">
        <v>36.5</v>
      </c>
      <c r="F7844">
        <f t="shared" si="489"/>
        <v>6.5</v>
      </c>
      <c r="G7844">
        <v>264.7</v>
      </c>
      <c r="H7844">
        <v>4.3949999999999996</v>
      </c>
      <c r="I7844">
        <v>1.66</v>
      </c>
      <c r="J7844">
        <v>8</v>
      </c>
      <c r="K7844">
        <v>63</v>
      </c>
      <c r="L7844">
        <v>39</v>
      </c>
      <c r="M7844" s="1">
        <v>9000000000</v>
      </c>
    </row>
    <row r="7845" spans="1:13" ht="15" customHeight="1">
      <c r="A7845" t="s">
        <v>80</v>
      </c>
      <c r="B7845">
        <f t="shared" si="486"/>
        <v>33.706468000000001</v>
      </c>
      <c r="C7845">
        <f t="shared" si="487"/>
        <v>-117.86742</v>
      </c>
      <c r="D7845">
        <f t="shared" si="488"/>
        <v>43</v>
      </c>
      <c r="E7845">
        <v>37.5</v>
      </c>
      <c r="F7845">
        <f t="shared" si="489"/>
        <v>5.5</v>
      </c>
      <c r="G7845">
        <v>265.517</v>
      </c>
      <c r="H7845">
        <v>3.613</v>
      </c>
      <c r="I7845">
        <v>1.36</v>
      </c>
      <c r="J7845">
        <v>9</v>
      </c>
      <c r="K7845">
        <v>51</v>
      </c>
      <c r="L7845">
        <v>31</v>
      </c>
      <c r="M7845" s="1">
        <v>9000000000</v>
      </c>
    </row>
    <row r="7846" spans="1:13" ht="15" customHeight="1">
      <c r="A7846" t="s">
        <v>80</v>
      </c>
      <c r="B7846">
        <f t="shared" si="486"/>
        <v>33.706468000000001</v>
      </c>
      <c r="C7846">
        <f t="shared" si="487"/>
        <v>-117.86742</v>
      </c>
      <c r="D7846">
        <f t="shared" si="488"/>
        <v>43</v>
      </c>
      <c r="E7846">
        <v>38.5</v>
      </c>
      <c r="F7846">
        <f t="shared" si="489"/>
        <v>4.5</v>
      </c>
      <c r="G7846">
        <v>266.39999999999998</v>
      </c>
      <c r="H7846">
        <v>3.718</v>
      </c>
      <c r="I7846">
        <v>1.395</v>
      </c>
      <c r="J7846">
        <v>8</v>
      </c>
      <c r="K7846">
        <v>64</v>
      </c>
      <c r="L7846">
        <v>38</v>
      </c>
      <c r="M7846" s="1">
        <v>9000000000</v>
      </c>
    </row>
    <row r="7847" spans="1:13" ht="15" customHeight="1">
      <c r="A7847" t="s">
        <v>80</v>
      </c>
      <c r="B7847">
        <f t="shared" si="486"/>
        <v>33.706468000000001</v>
      </c>
      <c r="C7847">
        <f t="shared" si="487"/>
        <v>-117.86742</v>
      </c>
      <c r="D7847">
        <f t="shared" si="488"/>
        <v>43</v>
      </c>
      <c r="E7847">
        <v>39.5</v>
      </c>
      <c r="F7847">
        <f t="shared" si="489"/>
        <v>3.5</v>
      </c>
      <c r="G7847">
        <v>263.56700000000001</v>
      </c>
      <c r="H7847">
        <v>3.4049999999999998</v>
      </c>
      <c r="I7847">
        <v>1.2909999999999999</v>
      </c>
      <c r="J7847">
        <v>9</v>
      </c>
      <c r="K7847">
        <v>51</v>
      </c>
      <c r="L7847">
        <v>30</v>
      </c>
      <c r="M7847" s="1">
        <v>9000000000</v>
      </c>
    </row>
    <row r="7848" spans="1:13" ht="15" customHeight="1">
      <c r="A7848" t="s">
        <v>80</v>
      </c>
      <c r="B7848">
        <f t="shared" si="486"/>
        <v>33.706468000000001</v>
      </c>
      <c r="C7848">
        <f t="shared" si="487"/>
        <v>-117.86742</v>
      </c>
      <c r="D7848">
        <f t="shared" si="488"/>
        <v>43</v>
      </c>
      <c r="E7848">
        <v>40.5</v>
      </c>
      <c r="F7848">
        <f t="shared" si="489"/>
        <v>2.5</v>
      </c>
      <c r="G7848">
        <v>276.21699999999998</v>
      </c>
      <c r="H7848">
        <v>3.617</v>
      </c>
      <c r="I7848">
        <v>1.3080000000000001</v>
      </c>
      <c r="J7848">
        <v>9</v>
      </c>
      <c r="K7848">
        <v>53</v>
      </c>
      <c r="L7848">
        <v>31</v>
      </c>
      <c r="M7848" s="1">
        <v>9000000000</v>
      </c>
    </row>
    <row r="7849" spans="1:13" ht="15" customHeight="1">
      <c r="A7849" t="s">
        <v>80</v>
      </c>
      <c r="B7849">
        <f t="shared" si="486"/>
        <v>33.706468000000001</v>
      </c>
      <c r="C7849">
        <f t="shared" si="487"/>
        <v>-117.86742</v>
      </c>
      <c r="D7849">
        <f t="shared" si="488"/>
        <v>43</v>
      </c>
      <c r="E7849">
        <v>41.499000000000002</v>
      </c>
      <c r="F7849">
        <f t="shared" si="489"/>
        <v>1.5009999999999977</v>
      </c>
      <c r="G7849">
        <v>302.51400000000001</v>
      </c>
      <c r="H7849">
        <v>3.9809999999999999</v>
      </c>
      <c r="I7849">
        <v>1.3160000000000001</v>
      </c>
      <c r="J7849">
        <v>9</v>
      </c>
      <c r="K7849">
        <v>58</v>
      </c>
      <c r="L7849">
        <v>34</v>
      </c>
      <c r="M7849" s="1">
        <v>9000000000</v>
      </c>
    </row>
    <row r="7850" spans="1:13" ht="15" customHeight="1">
      <c r="A7850" t="s">
        <v>80</v>
      </c>
      <c r="B7850">
        <f t="shared" si="486"/>
        <v>33.706468000000001</v>
      </c>
      <c r="C7850">
        <f t="shared" si="487"/>
        <v>-117.86742</v>
      </c>
      <c r="D7850">
        <f t="shared" si="488"/>
        <v>43</v>
      </c>
      <c r="E7850">
        <v>42.499000000000002</v>
      </c>
      <c r="F7850">
        <f t="shared" si="489"/>
        <v>0.50099999999999767</v>
      </c>
      <c r="G7850">
        <v>304</v>
      </c>
      <c r="H7850">
        <v>4.4320000000000004</v>
      </c>
      <c r="I7850">
        <v>1.4570000000000001</v>
      </c>
      <c r="J7850">
        <v>8</v>
      </c>
      <c r="K7850">
        <v>73</v>
      </c>
      <c r="L7850">
        <v>42</v>
      </c>
      <c r="M7850" s="1">
        <v>9000000000</v>
      </c>
    </row>
    <row r="7851" spans="1:13" ht="15" customHeight="1">
      <c r="A7851" t="s">
        <v>80</v>
      </c>
      <c r="B7851">
        <f t="shared" si="486"/>
        <v>33.706468000000001</v>
      </c>
      <c r="C7851">
        <f t="shared" si="487"/>
        <v>-117.86742</v>
      </c>
      <c r="D7851">
        <f t="shared" si="488"/>
        <v>43</v>
      </c>
      <c r="E7851">
        <v>43.499000000000002</v>
      </c>
      <c r="F7851">
        <f t="shared" si="489"/>
        <v>-0.49900000000000233</v>
      </c>
      <c r="G7851">
        <v>327.93299999999999</v>
      </c>
      <c r="H7851">
        <v>4.3650000000000002</v>
      </c>
      <c r="I7851">
        <v>1.331</v>
      </c>
      <c r="J7851">
        <v>9</v>
      </c>
      <c r="K7851">
        <v>63</v>
      </c>
      <c r="L7851">
        <v>36</v>
      </c>
      <c r="M7851" s="1">
        <v>9000000000</v>
      </c>
    </row>
    <row r="7852" spans="1:13" ht="15" customHeight="1">
      <c r="A7852" t="s">
        <v>80</v>
      </c>
      <c r="B7852">
        <f t="shared" si="486"/>
        <v>33.706468000000001</v>
      </c>
      <c r="C7852">
        <f t="shared" si="487"/>
        <v>-117.86742</v>
      </c>
      <c r="D7852">
        <f t="shared" si="488"/>
        <v>43</v>
      </c>
      <c r="E7852">
        <v>44.499000000000002</v>
      </c>
      <c r="F7852">
        <f t="shared" si="489"/>
        <v>-1.4990000000000023</v>
      </c>
      <c r="G7852">
        <v>359.63299999999998</v>
      </c>
      <c r="H7852">
        <v>3.5030000000000001</v>
      </c>
      <c r="I7852">
        <v>0.97399999999999998</v>
      </c>
      <c r="J7852">
        <v>9</v>
      </c>
      <c r="K7852">
        <v>69</v>
      </c>
      <c r="L7852">
        <v>38</v>
      </c>
      <c r="M7852" s="1">
        <v>9000000000</v>
      </c>
    </row>
    <row r="7853" spans="1:13" ht="15" customHeight="1">
      <c r="A7853" t="s">
        <v>80</v>
      </c>
      <c r="B7853">
        <f t="shared" si="486"/>
        <v>33.706468000000001</v>
      </c>
      <c r="C7853">
        <f t="shared" si="487"/>
        <v>-117.86742</v>
      </c>
      <c r="D7853">
        <f t="shared" si="488"/>
        <v>43</v>
      </c>
      <c r="E7853">
        <v>45.499000000000002</v>
      </c>
      <c r="F7853">
        <f t="shared" si="489"/>
        <v>-2.4990000000000023</v>
      </c>
      <c r="G7853">
        <v>300.78300000000002</v>
      </c>
      <c r="H7853">
        <v>5.17</v>
      </c>
      <c r="I7853">
        <v>1.718</v>
      </c>
      <c r="J7853">
        <v>8</v>
      </c>
      <c r="K7853">
        <v>72</v>
      </c>
      <c r="L7853">
        <v>40</v>
      </c>
      <c r="M7853" s="1">
        <v>9000000000</v>
      </c>
    </row>
    <row r="7854" spans="1:13" ht="15" customHeight="1">
      <c r="A7854" t="s">
        <v>80</v>
      </c>
      <c r="B7854">
        <f t="shared" si="486"/>
        <v>33.706468000000001</v>
      </c>
      <c r="C7854">
        <f t="shared" si="487"/>
        <v>-117.86742</v>
      </c>
      <c r="D7854">
        <f t="shared" si="488"/>
        <v>43</v>
      </c>
      <c r="E7854">
        <v>46.499000000000002</v>
      </c>
      <c r="F7854">
        <f t="shared" si="489"/>
        <v>-3.4990000000000023</v>
      </c>
      <c r="G7854">
        <v>302.483</v>
      </c>
      <c r="H7854">
        <v>5.3150000000000004</v>
      </c>
      <c r="I7854">
        <v>1.756</v>
      </c>
      <c r="J7854">
        <v>8</v>
      </c>
      <c r="K7854">
        <v>72</v>
      </c>
      <c r="L7854">
        <v>39</v>
      </c>
      <c r="M7854" s="1">
        <v>9000000000</v>
      </c>
    </row>
    <row r="7855" spans="1:13" ht="15" customHeight="1">
      <c r="A7855" t="s">
        <v>80</v>
      </c>
      <c r="B7855">
        <f t="shared" si="486"/>
        <v>33.706468000000001</v>
      </c>
      <c r="C7855">
        <f t="shared" si="487"/>
        <v>-117.86742</v>
      </c>
      <c r="D7855">
        <f t="shared" si="488"/>
        <v>43</v>
      </c>
      <c r="E7855">
        <v>47.499000000000002</v>
      </c>
      <c r="F7855">
        <f t="shared" si="489"/>
        <v>-4.4990000000000023</v>
      </c>
      <c r="G7855">
        <v>291.39999999999998</v>
      </c>
      <c r="H7855">
        <v>4.9269999999999996</v>
      </c>
      <c r="I7855">
        <v>1.69</v>
      </c>
      <c r="J7855">
        <v>8</v>
      </c>
      <c r="K7855">
        <v>70</v>
      </c>
      <c r="L7855">
        <v>38</v>
      </c>
      <c r="M7855" s="1">
        <v>9000000000</v>
      </c>
    </row>
    <row r="7856" spans="1:13" ht="15" customHeight="1">
      <c r="A7856" t="s">
        <v>80</v>
      </c>
      <c r="B7856">
        <f t="shared" si="486"/>
        <v>33.706468000000001</v>
      </c>
      <c r="C7856">
        <f t="shared" si="487"/>
        <v>-117.86742</v>
      </c>
      <c r="D7856">
        <f t="shared" si="488"/>
        <v>43</v>
      </c>
      <c r="E7856">
        <v>48.499000000000002</v>
      </c>
      <c r="F7856">
        <f t="shared" si="489"/>
        <v>-5.4990000000000023</v>
      </c>
      <c r="G7856">
        <v>248.05</v>
      </c>
      <c r="H7856">
        <v>3.3</v>
      </c>
      <c r="I7856">
        <v>1.329</v>
      </c>
      <c r="J7856">
        <v>9</v>
      </c>
      <c r="K7856">
        <v>48</v>
      </c>
      <c r="L7856">
        <v>26</v>
      </c>
      <c r="M7856" s="1">
        <v>9000000000</v>
      </c>
    </row>
    <row r="7857" spans="1:13" ht="15" customHeight="1">
      <c r="A7857" t="s">
        <v>80</v>
      </c>
      <c r="B7857">
        <f t="shared" si="486"/>
        <v>33.706468000000001</v>
      </c>
      <c r="C7857">
        <f t="shared" si="487"/>
        <v>-117.86742</v>
      </c>
      <c r="D7857">
        <f t="shared" si="488"/>
        <v>43</v>
      </c>
      <c r="E7857">
        <v>49.499000000000002</v>
      </c>
      <c r="F7857">
        <f t="shared" si="489"/>
        <v>-6.4990000000000023</v>
      </c>
      <c r="G7857">
        <v>246.68299999999999</v>
      </c>
      <c r="H7857">
        <v>3.44</v>
      </c>
      <c r="I7857">
        <v>1.3939999999999999</v>
      </c>
      <c r="J7857">
        <v>8</v>
      </c>
      <c r="K7857">
        <v>59</v>
      </c>
      <c r="L7857">
        <v>31</v>
      </c>
      <c r="M7857" s="1">
        <v>9000000000</v>
      </c>
    </row>
    <row r="7858" spans="1:13" ht="15" customHeight="1">
      <c r="A7858" t="s">
        <v>80</v>
      </c>
      <c r="B7858">
        <f t="shared" si="486"/>
        <v>33.706468000000001</v>
      </c>
      <c r="C7858">
        <f t="shared" si="487"/>
        <v>-117.86742</v>
      </c>
      <c r="D7858">
        <f t="shared" si="488"/>
        <v>43</v>
      </c>
      <c r="E7858">
        <v>50.499000000000002</v>
      </c>
      <c r="F7858">
        <f t="shared" si="489"/>
        <v>-7.4990000000000023</v>
      </c>
      <c r="G7858">
        <v>254.68299999999999</v>
      </c>
      <c r="H7858">
        <v>2.9169999999999998</v>
      </c>
      <c r="I7858">
        <v>1.1439999999999999</v>
      </c>
      <c r="J7858">
        <v>9</v>
      </c>
      <c r="K7858">
        <v>49</v>
      </c>
      <c r="L7858">
        <v>26</v>
      </c>
      <c r="M7858" s="1">
        <v>9000000000</v>
      </c>
    </row>
    <row r="7859" spans="1:13" ht="15" customHeight="1">
      <c r="A7859" t="s">
        <v>80</v>
      </c>
      <c r="B7859">
        <f t="shared" si="486"/>
        <v>33.706468000000001</v>
      </c>
      <c r="C7859">
        <f t="shared" si="487"/>
        <v>-117.86742</v>
      </c>
      <c r="D7859">
        <f t="shared" si="488"/>
        <v>43</v>
      </c>
      <c r="E7859">
        <v>51.499000000000002</v>
      </c>
      <c r="F7859">
        <f t="shared" si="489"/>
        <v>-8.4990000000000023</v>
      </c>
      <c r="G7859">
        <v>306.75</v>
      </c>
      <c r="H7859">
        <v>3.64</v>
      </c>
      <c r="I7859">
        <v>1.1859999999999999</v>
      </c>
      <c r="J7859">
        <v>9</v>
      </c>
      <c r="K7859">
        <v>59</v>
      </c>
      <c r="L7859">
        <v>31</v>
      </c>
      <c r="M7859" s="1">
        <v>9000000000</v>
      </c>
    </row>
    <row r="7860" spans="1:13" ht="15" customHeight="1">
      <c r="A7860" t="s">
        <v>80</v>
      </c>
      <c r="B7860">
        <f t="shared" si="486"/>
        <v>33.706468000000001</v>
      </c>
      <c r="C7860">
        <f t="shared" si="487"/>
        <v>-117.86742</v>
      </c>
      <c r="D7860">
        <f t="shared" si="488"/>
        <v>43</v>
      </c>
      <c r="E7860">
        <v>52.499000000000002</v>
      </c>
      <c r="F7860">
        <f t="shared" si="489"/>
        <v>-9.4990000000000023</v>
      </c>
      <c r="G7860">
        <v>306</v>
      </c>
      <c r="H7860">
        <v>4.2699999999999996</v>
      </c>
      <c r="I7860">
        <v>1.395</v>
      </c>
      <c r="J7860">
        <v>9</v>
      </c>
      <c r="K7860">
        <v>59</v>
      </c>
      <c r="L7860">
        <v>30</v>
      </c>
      <c r="M7860" s="1">
        <v>9000000000</v>
      </c>
    </row>
    <row r="7861" spans="1:13" ht="15" customHeight="1">
      <c r="A7861" t="s">
        <v>80</v>
      </c>
      <c r="B7861">
        <f t="shared" si="486"/>
        <v>33.706468000000001</v>
      </c>
      <c r="C7861">
        <f t="shared" si="487"/>
        <v>-117.86742</v>
      </c>
      <c r="D7861">
        <f t="shared" si="488"/>
        <v>43</v>
      </c>
      <c r="E7861">
        <v>53.499000000000002</v>
      </c>
      <c r="F7861">
        <f t="shared" si="489"/>
        <v>-10.499000000000002</v>
      </c>
      <c r="G7861">
        <v>349.1</v>
      </c>
      <c r="H7861">
        <v>4.343</v>
      </c>
      <c r="I7861">
        <v>1.244</v>
      </c>
      <c r="J7861">
        <v>9</v>
      </c>
      <c r="K7861">
        <v>67</v>
      </c>
      <c r="L7861">
        <v>34</v>
      </c>
      <c r="M7861" s="1">
        <v>9000000000</v>
      </c>
    </row>
    <row r="7862" spans="1:13" ht="15" customHeight="1">
      <c r="A7862" t="s">
        <v>80</v>
      </c>
      <c r="B7862">
        <f t="shared" si="486"/>
        <v>33.706468000000001</v>
      </c>
      <c r="C7862">
        <f t="shared" si="487"/>
        <v>-117.86742</v>
      </c>
      <c r="D7862">
        <f t="shared" si="488"/>
        <v>43</v>
      </c>
      <c r="E7862">
        <v>54.499000000000002</v>
      </c>
      <c r="F7862">
        <f t="shared" si="489"/>
        <v>-11.499000000000002</v>
      </c>
      <c r="G7862">
        <v>269.267</v>
      </c>
      <c r="H7862">
        <v>2.6669999999999998</v>
      </c>
      <c r="I7862">
        <v>0.99</v>
      </c>
      <c r="J7862">
        <v>9</v>
      </c>
      <c r="K7862">
        <v>52</v>
      </c>
      <c r="L7862">
        <v>26</v>
      </c>
      <c r="M7862" s="1">
        <v>9000000000</v>
      </c>
    </row>
    <row r="7863" spans="1:13" ht="15" customHeight="1">
      <c r="A7863" t="s">
        <v>80</v>
      </c>
      <c r="B7863">
        <f t="shared" si="486"/>
        <v>33.706468000000001</v>
      </c>
      <c r="C7863">
        <f t="shared" si="487"/>
        <v>-117.86742</v>
      </c>
      <c r="D7863">
        <f t="shared" si="488"/>
        <v>43</v>
      </c>
      <c r="E7863">
        <v>55.499000000000002</v>
      </c>
      <c r="F7863">
        <f t="shared" si="489"/>
        <v>-12.499000000000002</v>
      </c>
      <c r="G7863">
        <v>74.167000000000002</v>
      </c>
      <c r="H7863">
        <v>1.8069999999999999</v>
      </c>
      <c r="I7863">
        <v>2.427</v>
      </c>
      <c r="J7863">
        <v>6</v>
      </c>
      <c r="K7863">
        <v>29</v>
      </c>
      <c r="L7863">
        <v>15</v>
      </c>
      <c r="M7863">
        <v>4.7350000000000003</v>
      </c>
    </row>
    <row r="7864" spans="1:13" ht="15" customHeight="1">
      <c r="A7864" t="s">
        <v>80</v>
      </c>
      <c r="B7864">
        <f t="shared" si="486"/>
        <v>33.706468000000001</v>
      </c>
      <c r="C7864">
        <f t="shared" si="487"/>
        <v>-117.86742</v>
      </c>
      <c r="D7864">
        <f t="shared" si="488"/>
        <v>43</v>
      </c>
      <c r="E7864">
        <v>56.499000000000002</v>
      </c>
      <c r="F7864">
        <f t="shared" si="489"/>
        <v>-13.499000000000002</v>
      </c>
      <c r="G7864">
        <v>61.482999999999997</v>
      </c>
      <c r="H7864">
        <v>2.0449999999999999</v>
      </c>
      <c r="I7864">
        <v>3.3</v>
      </c>
      <c r="J7864">
        <v>6</v>
      </c>
      <c r="K7864">
        <v>24</v>
      </c>
      <c r="L7864">
        <v>12</v>
      </c>
      <c r="M7864">
        <v>3.8980000000000001</v>
      </c>
    </row>
    <row r="7865" spans="1:13" ht="15" customHeight="1">
      <c r="A7865" t="s">
        <v>80</v>
      </c>
      <c r="B7865">
        <f t="shared" si="486"/>
        <v>33.706468000000001</v>
      </c>
      <c r="C7865">
        <f t="shared" si="487"/>
        <v>-117.86742</v>
      </c>
      <c r="D7865">
        <f t="shared" si="488"/>
        <v>43</v>
      </c>
      <c r="E7865">
        <v>57.499000000000002</v>
      </c>
      <c r="F7865">
        <f t="shared" si="489"/>
        <v>-14.499000000000002</v>
      </c>
      <c r="G7865">
        <v>53.033000000000001</v>
      </c>
      <c r="H7865">
        <v>2.12</v>
      </c>
      <c r="I7865">
        <v>3.952</v>
      </c>
      <c r="J7865">
        <v>5</v>
      </c>
      <c r="K7865">
        <v>26</v>
      </c>
      <c r="L7865">
        <v>13</v>
      </c>
      <c r="M7865">
        <v>3.34</v>
      </c>
    </row>
    <row r="7866" spans="1:13" ht="15" customHeight="1">
      <c r="A7866" t="s">
        <v>80</v>
      </c>
      <c r="B7866">
        <f t="shared" si="486"/>
        <v>33.706468000000001</v>
      </c>
      <c r="C7866">
        <f t="shared" si="487"/>
        <v>-117.86742</v>
      </c>
      <c r="D7866">
        <f t="shared" si="488"/>
        <v>43</v>
      </c>
      <c r="E7866">
        <v>58.499000000000002</v>
      </c>
      <c r="F7866">
        <f t="shared" si="489"/>
        <v>-15.499000000000002</v>
      </c>
      <c r="G7866">
        <v>31.266999999999999</v>
      </c>
      <c r="H7866">
        <v>1.52</v>
      </c>
      <c r="I7866">
        <v>4.8639999999999999</v>
      </c>
      <c r="J7866">
        <v>3</v>
      </c>
      <c r="K7866">
        <v>30</v>
      </c>
      <c r="L7866">
        <v>15</v>
      </c>
      <c r="M7866">
        <v>1.8420000000000001</v>
      </c>
    </row>
    <row r="7867" spans="1:13" ht="15" customHeight="1">
      <c r="A7867" t="s">
        <v>80</v>
      </c>
      <c r="B7867">
        <f t="shared" si="486"/>
        <v>33.706468000000001</v>
      </c>
      <c r="C7867">
        <f t="shared" si="487"/>
        <v>-117.86742</v>
      </c>
      <c r="D7867">
        <f t="shared" si="488"/>
        <v>43</v>
      </c>
      <c r="E7867">
        <v>59.499000000000002</v>
      </c>
      <c r="F7867">
        <f t="shared" si="489"/>
        <v>-16.499000000000002</v>
      </c>
      <c r="G7867">
        <v>25.95</v>
      </c>
      <c r="H7867">
        <v>0.90700000000000003</v>
      </c>
      <c r="I7867">
        <v>3.492</v>
      </c>
      <c r="J7867">
        <v>5</v>
      </c>
      <c r="K7867">
        <v>12</v>
      </c>
      <c r="L7867">
        <v>6</v>
      </c>
      <c r="M7867">
        <v>1.486</v>
      </c>
    </row>
    <row r="7868" spans="1:13" ht="15" customHeight="1">
      <c r="A7868" t="s">
        <v>80</v>
      </c>
      <c r="B7868">
        <f t="shared" si="486"/>
        <v>33.706468000000001</v>
      </c>
      <c r="C7868">
        <f t="shared" si="487"/>
        <v>-117.86742</v>
      </c>
      <c r="D7868">
        <f t="shared" si="488"/>
        <v>43</v>
      </c>
      <c r="E7868">
        <v>60.499000000000002</v>
      </c>
      <c r="F7868">
        <f t="shared" si="489"/>
        <v>-17.499000000000002</v>
      </c>
      <c r="G7868">
        <v>51.966999999999999</v>
      </c>
      <c r="H7868">
        <v>2.6520000000000001</v>
      </c>
      <c r="I7868">
        <v>5.1120000000000001</v>
      </c>
      <c r="J7868">
        <v>3</v>
      </c>
      <c r="K7868">
        <v>50</v>
      </c>
      <c r="L7868">
        <v>25</v>
      </c>
      <c r="M7868">
        <v>3.2080000000000002</v>
      </c>
    </row>
    <row r="7869" spans="1:13" ht="15" customHeight="1">
      <c r="A7869" t="s">
        <v>80</v>
      </c>
      <c r="B7869">
        <f t="shared" si="486"/>
        <v>33.706468000000001</v>
      </c>
      <c r="C7869">
        <f t="shared" si="487"/>
        <v>-117.86742</v>
      </c>
      <c r="D7869">
        <f t="shared" si="488"/>
        <v>43</v>
      </c>
      <c r="E7869">
        <v>61.499000000000002</v>
      </c>
      <c r="F7869">
        <f t="shared" si="489"/>
        <v>-18.499000000000002</v>
      </c>
      <c r="G7869">
        <v>27.216999999999999</v>
      </c>
      <c r="H7869">
        <v>0.998</v>
      </c>
      <c r="I7869">
        <v>3.67</v>
      </c>
      <c r="J7869">
        <v>5</v>
      </c>
      <c r="K7869">
        <v>13</v>
      </c>
      <c r="L7869">
        <v>7</v>
      </c>
      <c r="M7869">
        <v>1.56</v>
      </c>
    </row>
    <row r="7870" spans="1:13" ht="15" customHeight="1">
      <c r="A7870" t="s">
        <v>80</v>
      </c>
      <c r="B7870">
        <f t="shared" si="486"/>
        <v>33.706468000000001</v>
      </c>
      <c r="C7870">
        <f t="shared" si="487"/>
        <v>-117.86742</v>
      </c>
      <c r="D7870">
        <f t="shared" si="488"/>
        <v>43</v>
      </c>
      <c r="E7870">
        <v>62.499000000000002</v>
      </c>
      <c r="F7870">
        <f t="shared" si="489"/>
        <v>-19.499000000000002</v>
      </c>
      <c r="G7870">
        <v>98.1</v>
      </c>
      <c r="H7870">
        <v>2.85</v>
      </c>
      <c r="I7870">
        <v>2.9079999999999999</v>
      </c>
      <c r="J7870">
        <v>6</v>
      </c>
      <c r="K7870">
        <v>38</v>
      </c>
      <c r="L7870">
        <v>19</v>
      </c>
      <c r="M7870">
        <v>6.2750000000000004</v>
      </c>
    </row>
    <row r="7871" spans="1:13" ht="15" customHeight="1">
      <c r="A7871" t="s">
        <v>80</v>
      </c>
      <c r="B7871">
        <f t="shared" si="486"/>
        <v>33.706468000000001</v>
      </c>
      <c r="C7871">
        <f t="shared" si="487"/>
        <v>-117.86742</v>
      </c>
      <c r="D7871">
        <f t="shared" si="488"/>
        <v>43</v>
      </c>
      <c r="E7871">
        <v>63.499000000000002</v>
      </c>
      <c r="F7871">
        <f t="shared" si="489"/>
        <v>-20.499000000000002</v>
      </c>
      <c r="G7871">
        <v>135.667</v>
      </c>
      <c r="H7871">
        <v>2.3820000000000001</v>
      </c>
      <c r="I7871">
        <v>1.756</v>
      </c>
      <c r="J7871">
        <v>7</v>
      </c>
      <c r="K7871">
        <v>43</v>
      </c>
      <c r="L7871">
        <v>22</v>
      </c>
      <c r="M7871" s="1">
        <v>9000000000</v>
      </c>
    </row>
    <row r="7872" spans="1:13" ht="15" customHeight="1">
      <c r="A7872" t="s">
        <v>80</v>
      </c>
      <c r="B7872">
        <f t="shared" si="486"/>
        <v>33.706468000000001</v>
      </c>
      <c r="C7872">
        <f t="shared" si="487"/>
        <v>-117.86742</v>
      </c>
      <c r="D7872">
        <f t="shared" si="488"/>
        <v>43</v>
      </c>
      <c r="E7872">
        <v>64.498999999999995</v>
      </c>
      <c r="F7872">
        <f t="shared" si="489"/>
        <v>-21.498999999999995</v>
      </c>
      <c r="G7872">
        <v>107.65</v>
      </c>
      <c r="H7872">
        <v>3.6480000000000001</v>
      </c>
      <c r="I7872">
        <v>3.395</v>
      </c>
      <c r="J7872">
        <v>6</v>
      </c>
      <c r="K7872">
        <v>41</v>
      </c>
      <c r="L7872">
        <v>21</v>
      </c>
      <c r="M7872">
        <v>6.8970000000000002</v>
      </c>
    </row>
    <row r="7873" spans="1:13" ht="15" customHeight="1">
      <c r="A7873" t="s">
        <v>80</v>
      </c>
      <c r="B7873">
        <f t="shared" si="486"/>
        <v>33.706468000000001</v>
      </c>
      <c r="C7873">
        <f t="shared" si="487"/>
        <v>-117.86742</v>
      </c>
      <c r="D7873">
        <f t="shared" si="488"/>
        <v>43</v>
      </c>
      <c r="E7873">
        <v>65.498999999999995</v>
      </c>
      <c r="F7873">
        <f t="shared" si="489"/>
        <v>-22.498999999999995</v>
      </c>
      <c r="G7873">
        <v>22.783000000000001</v>
      </c>
      <c r="H7873">
        <v>0.71499999999999997</v>
      </c>
      <c r="I7873">
        <v>3.1659999999999999</v>
      </c>
      <c r="J7873">
        <v>5</v>
      </c>
      <c r="K7873">
        <v>11</v>
      </c>
      <c r="L7873">
        <v>6</v>
      </c>
      <c r="M7873">
        <v>1.2350000000000001</v>
      </c>
    </row>
    <row r="7874" spans="1:13" ht="15" customHeight="1">
      <c r="A7874" t="s">
        <v>80</v>
      </c>
      <c r="B7874">
        <f t="shared" ref="B7874:B7937" si="490">VLOOKUP(A7874,XYdata,3,FALSE)</f>
        <v>33.706468000000001</v>
      </c>
      <c r="C7874">
        <f t="shared" ref="C7874:C7937" si="491">VLOOKUP(A7874,XYdata,2,FALSE)</f>
        <v>-117.86742</v>
      </c>
      <c r="D7874">
        <f t="shared" ref="D7874:D7937" si="492">VLOOKUP(A7874,Elevation,2,FALSE)</f>
        <v>43</v>
      </c>
      <c r="E7874">
        <v>66.498999999999995</v>
      </c>
      <c r="F7874">
        <f t="shared" si="489"/>
        <v>-23.498999999999995</v>
      </c>
      <c r="G7874">
        <v>20.617000000000001</v>
      </c>
      <c r="H7874">
        <v>0.54</v>
      </c>
      <c r="I7874">
        <v>2.6429999999999998</v>
      </c>
      <c r="J7874">
        <v>5</v>
      </c>
      <c r="K7874">
        <v>10</v>
      </c>
      <c r="L7874">
        <v>5</v>
      </c>
      <c r="M7874">
        <v>1.0880000000000001</v>
      </c>
    </row>
    <row r="7875" spans="1:13" ht="15" customHeight="1">
      <c r="A7875" t="s">
        <v>80</v>
      </c>
      <c r="B7875">
        <f t="shared" si="490"/>
        <v>33.706468000000001</v>
      </c>
      <c r="C7875">
        <f t="shared" si="491"/>
        <v>-117.86742</v>
      </c>
      <c r="D7875">
        <f t="shared" si="492"/>
        <v>43</v>
      </c>
      <c r="E7875">
        <v>67.498999999999995</v>
      </c>
      <c r="F7875">
        <f t="shared" ref="F7875:F7938" si="493">D7875-E7875</f>
        <v>-24.498999999999995</v>
      </c>
      <c r="G7875">
        <v>24.582999999999998</v>
      </c>
      <c r="H7875">
        <v>0.70499999999999996</v>
      </c>
      <c r="I7875">
        <v>2.887</v>
      </c>
      <c r="J7875">
        <v>5</v>
      </c>
      <c r="K7875">
        <v>12</v>
      </c>
      <c r="L7875">
        <v>6</v>
      </c>
      <c r="M7875">
        <v>1.349</v>
      </c>
    </row>
    <row r="7876" spans="1:13" ht="15" customHeight="1">
      <c r="A7876" t="s">
        <v>80</v>
      </c>
      <c r="B7876">
        <f t="shared" si="490"/>
        <v>33.706468000000001</v>
      </c>
      <c r="C7876">
        <f t="shared" si="491"/>
        <v>-117.86742</v>
      </c>
      <c r="D7876">
        <f t="shared" si="492"/>
        <v>43</v>
      </c>
      <c r="E7876">
        <v>68.498999999999995</v>
      </c>
      <c r="F7876">
        <f t="shared" si="493"/>
        <v>-25.498999999999995</v>
      </c>
      <c r="G7876">
        <v>28.1</v>
      </c>
      <c r="H7876">
        <v>0.80500000000000005</v>
      </c>
      <c r="I7876">
        <v>2.875</v>
      </c>
      <c r="J7876">
        <v>5</v>
      </c>
      <c r="K7876">
        <v>13</v>
      </c>
      <c r="L7876">
        <v>7</v>
      </c>
      <c r="M7876">
        <v>1.5840000000000001</v>
      </c>
    </row>
    <row r="7877" spans="1:13" ht="15" customHeight="1">
      <c r="A7877" t="s">
        <v>80</v>
      </c>
      <c r="B7877">
        <f t="shared" si="490"/>
        <v>33.706468000000001</v>
      </c>
      <c r="C7877">
        <f t="shared" si="491"/>
        <v>-117.86742</v>
      </c>
      <c r="D7877">
        <f t="shared" si="492"/>
        <v>43</v>
      </c>
      <c r="E7877">
        <v>69.498999999999995</v>
      </c>
      <c r="F7877">
        <f t="shared" si="493"/>
        <v>-26.498999999999995</v>
      </c>
      <c r="G7877">
        <v>29.067</v>
      </c>
      <c r="H7877">
        <v>0.95299999999999996</v>
      </c>
      <c r="I7877">
        <v>3.2930000000000001</v>
      </c>
      <c r="J7877">
        <v>5</v>
      </c>
      <c r="K7877">
        <v>14</v>
      </c>
      <c r="L7877">
        <v>7</v>
      </c>
      <c r="M7877">
        <v>1.643</v>
      </c>
    </row>
    <row r="7878" spans="1:13" ht="15" customHeight="1">
      <c r="A7878" t="s">
        <v>80</v>
      </c>
      <c r="B7878">
        <f t="shared" si="490"/>
        <v>33.706468000000001</v>
      </c>
      <c r="C7878">
        <f t="shared" si="491"/>
        <v>-117.86742</v>
      </c>
      <c r="D7878">
        <f t="shared" si="492"/>
        <v>43</v>
      </c>
      <c r="E7878">
        <v>70.498999999999995</v>
      </c>
      <c r="F7878">
        <f t="shared" si="493"/>
        <v>-27.498999999999995</v>
      </c>
      <c r="G7878">
        <v>30.1</v>
      </c>
      <c r="H7878">
        <v>0.68500000000000005</v>
      </c>
      <c r="I7878">
        <v>2.2869999999999999</v>
      </c>
      <c r="J7878">
        <v>6</v>
      </c>
      <c r="K7878">
        <v>11</v>
      </c>
      <c r="L7878">
        <v>6</v>
      </c>
      <c r="M7878">
        <v>1.706</v>
      </c>
    </row>
    <row r="7879" spans="1:13" ht="15" customHeight="1">
      <c r="A7879" t="s">
        <v>80</v>
      </c>
      <c r="B7879">
        <f t="shared" si="490"/>
        <v>33.706468000000001</v>
      </c>
      <c r="C7879">
        <f t="shared" si="491"/>
        <v>-117.86742</v>
      </c>
      <c r="D7879">
        <f t="shared" si="492"/>
        <v>43</v>
      </c>
      <c r="E7879">
        <v>71.498999999999995</v>
      </c>
      <c r="F7879">
        <f t="shared" si="493"/>
        <v>-28.498999999999995</v>
      </c>
      <c r="G7879">
        <v>46.067</v>
      </c>
      <c r="H7879">
        <v>1.177</v>
      </c>
      <c r="I7879">
        <v>2.56</v>
      </c>
      <c r="J7879">
        <v>6</v>
      </c>
      <c r="K7879">
        <v>18</v>
      </c>
      <c r="L7879">
        <v>9</v>
      </c>
      <c r="M7879">
        <v>2.7690000000000001</v>
      </c>
    </row>
    <row r="7880" spans="1:13" ht="15" customHeight="1">
      <c r="A7880" t="s">
        <v>80</v>
      </c>
      <c r="B7880">
        <f t="shared" si="490"/>
        <v>33.706468000000001</v>
      </c>
      <c r="C7880">
        <f t="shared" si="491"/>
        <v>-117.86742</v>
      </c>
      <c r="D7880">
        <f t="shared" si="492"/>
        <v>43</v>
      </c>
      <c r="E7880">
        <v>72.498999999999995</v>
      </c>
      <c r="F7880">
        <f t="shared" si="493"/>
        <v>-29.498999999999995</v>
      </c>
      <c r="G7880">
        <v>222</v>
      </c>
      <c r="H7880">
        <v>2.8340000000000001</v>
      </c>
      <c r="I7880">
        <v>1.2769999999999999</v>
      </c>
      <c r="J7880">
        <v>9</v>
      </c>
      <c r="K7880">
        <v>43</v>
      </c>
      <c r="L7880">
        <v>22</v>
      </c>
      <c r="M7880" s="1">
        <v>9000000000</v>
      </c>
    </row>
    <row r="7881" spans="1:13" ht="15" customHeight="1">
      <c r="A7881" t="s">
        <v>80</v>
      </c>
      <c r="B7881">
        <f t="shared" si="490"/>
        <v>33.706468000000001</v>
      </c>
      <c r="C7881">
        <f t="shared" si="491"/>
        <v>-117.86742</v>
      </c>
      <c r="D7881">
        <f t="shared" si="492"/>
        <v>43</v>
      </c>
      <c r="E7881">
        <v>73.498999999999995</v>
      </c>
      <c r="F7881">
        <f t="shared" si="493"/>
        <v>-30.498999999999995</v>
      </c>
      <c r="G7881">
        <v>59.767000000000003</v>
      </c>
      <c r="H7881">
        <v>1.873</v>
      </c>
      <c r="I7881">
        <v>3.141</v>
      </c>
      <c r="J7881">
        <v>6</v>
      </c>
      <c r="K7881">
        <v>23</v>
      </c>
      <c r="L7881">
        <v>12</v>
      </c>
      <c r="M7881">
        <v>3.673</v>
      </c>
    </row>
    <row r="7882" spans="1:13" ht="15" customHeight="1">
      <c r="A7882" t="s">
        <v>80</v>
      </c>
      <c r="B7882">
        <f t="shared" si="490"/>
        <v>33.706468000000001</v>
      </c>
      <c r="C7882">
        <f t="shared" si="491"/>
        <v>-117.86742</v>
      </c>
      <c r="D7882">
        <f t="shared" si="492"/>
        <v>43</v>
      </c>
      <c r="E7882">
        <v>74.498999999999995</v>
      </c>
      <c r="F7882">
        <f t="shared" si="493"/>
        <v>-31.498999999999995</v>
      </c>
      <c r="G7882">
        <v>25.617000000000001</v>
      </c>
      <c r="H7882">
        <v>0.73299999999999998</v>
      </c>
      <c r="I7882">
        <v>2.8650000000000002</v>
      </c>
      <c r="J7882">
        <v>5</v>
      </c>
      <c r="K7882">
        <v>12</v>
      </c>
      <c r="L7882">
        <v>6</v>
      </c>
      <c r="M7882">
        <v>1.399</v>
      </c>
    </row>
    <row r="7883" spans="1:13" ht="15" customHeight="1">
      <c r="A7883" t="s">
        <v>80</v>
      </c>
      <c r="B7883">
        <f t="shared" si="490"/>
        <v>33.706468000000001</v>
      </c>
      <c r="C7883">
        <f t="shared" si="491"/>
        <v>-117.86742</v>
      </c>
      <c r="D7883">
        <f t="shared" si="492"/>
        <v>43</v>
      </c>
      <c r="E7883">
        <v>75.498999999999995</v>
      </c>
      <c r="F7883">
        <f t="shared" si="493"/>
        <v>-32.498999999999995</v>
      </c>
      <c r="G7883">
        <v>49.517000000000003</v>
      </c>
      <c r="H7883">
        <v>1.927</v>
      </c>
      <c r="I7883">
        <v>3.8940000000000001</v>
      </c>
      <c r="J7883">
        <v>5</v>
      </c>
      <c r="K7883">
        <v>24</v>
      </c>
      <c r="L7883">
        <v>12</v>
      </c>
      <c r="M7883">
        <v>2.9870000000000001</v>
      </c>
    </row>
    <row r="7884" spans="1:13" ht="15" customHeight="1">
      <c r="A7884" t="s">
        <v>80</v>
      </c>
      <c r="B7884">
        <f t="shared" si="490"/>
        <v>33.706468000000001</v>
      </c>
      <c r="C7884">
        <f t="shared" si="491"/>
        <v>-117.86742</v>
      </c>
      <c r="D7884">
        <f t="shared" si="492"/>
        <v>43</v>
      </c>
      <c r="E7884">
        <v>76.498999999999995</v>
      </c>
      <c r="F7884">
        <f t="shared" si="493"/>
        <v>-33.498999999999995</v>
      </c>
      <c r="G7884">
        <v>29.632999999999999</v>
      </c>
      <c r="H7884">
        <v>1.0920000000000001</v>
      </c>
      <c r="I7884">
        <v>3.6840000000000002</v>
      </c>
      <c r="J7884">
        <v>5</v>
      </c>
      <c r="K7884">
        <v>14</v>
      </c>
      <c r="L7884">
        <v>7</v>
      </c>
      <c r="M7884">
        <v>1.66</v>
      </c>
    </row>
    <row r="7885" spans="1:13" ht="15" customHeight="1">
      <c r="A7885" t="s">
        <v>80</v>
      </c>
      <c r="B7885">
        <f t="shared" si="490"/>
        <v>33.706468000000001</v>
      </c>
      <c r="C7885">
        <f t="shared" si="491"/>
        <v>-117.86742</v>
      </c>
      <c r="D7885">
        <f t="shared" si="492"/>
        <v>43</v>
      </c>
      <c r="E7885">
        <v>77.498999999999995</v>
      </c>
      <c r="F7885">
        <f t="shared" si="493"/>
        <v>-34.498999999999995</v>
      </c>
      <c r="G7885">
        <v>28.016999999999999</v>
      </c>
      <c r="H7885">
        <v>0.998</v>
      </c>
      <c r="I7885">
        <v>3.5339999999999998</v>
      </c>
      <c r="J7885">
        <v>5</v>
      </c>
      <c r="K7885">
        <v>14</v>
      </c>
      <c r="L7885">
        <v>7</v>
      </c>
      <c r="M7885">
        <v>1.5629999999999999</v>
      </c>
    </row>
    <row r="7886" spans="1:13" ht="15" customHeight="1">
      <c r="A7886" t="s">
        <v>80</v>
      </c>
      <c r="B7886">
        <f t="shared" si="490"/>
        <v>33.706468000000001</v>
      </c>
      <c r="C7886">
        <f t="shared" si="491"/>
        <v>-117.86742</v>
      </c>
      <c r="D7886">
        <f t="shared" si="492"/>
        <v>43</v>
      </c>
      <c r="E7886">
        <v>78.498999999999995</v>
      </c>
      <c r="F7886">
        <f t="shared" si="493"/>
        <v>-35.498999999999995</v>
      </c>
      <c r="G7886">
        <v>31.067</v>
      </c>
      <c r="H7886">
        <v>0.95499999999999996</v>
      </c>
      <c r="I7886">
        <v>3.0369999999999999</v>
      </c>
      <c r="J7886">
        <v>5</v>
      </c>
      <c r="K7886">
        <v>15</v>
      </c>
      <c r="L7886">
        <v>8</v>
      </c>
      <c r="M7886">
        <v>1.772</v>
      </c>
    </row>
    <row r="7887" spans="1:13" ht="15" customHeight="1">
      <c r="A7887" t="s">
        <v>80</v>
      </c>
      <c r="B7887">
        <f t="shared" si="490"/>
        <v>33.706468000000001</v>
      </c>
      <c r="C7887">
        <f t="shared" si="491"/>
        <v>-117.86742</v>
      </c>
      <c r="D7887">
        <f t="shared" si="492"/>
        <v>43</v>
      </c>
      <c r="E7887">
        <v>79.498999999999995</v>
      </c>
      <c r="F7887">
        <f t="shared" si="493"/>
        <v>-36.498999999999995</v>
      </c>
      <c r="G7887">
        <v>42.482999999999997</v>
      </c>
      <c r="H7887">
        <v>1.635</v>
      </c>
      <c r="I7887">
        <v>3.819</v>
      </c>
      <c r="J7887">
        <v>5</v>
      </c>
      <c r="K7887">
        <v>21</v>
      </c>
      <c r="L7887">
        <v>11</v>
      </c>
      <c r="M7887">
        <v>2.5259999999999998</v>
      </c>
    </row>
    <row r="7888" spans="1:13" ht="15" customHeight="1">
      <c r="A7888" t="s">
        <v>80</v>
      </c>
      <c r="B7888">
        <f t="shared" si="490"/>
        <v>33.706468000000001</v>
      </c>
      <c r="C7888">
        <f t="shared" si="491"/>
        <v>-117.86742</v>
      </c>
      <c r="D7888">
        <f t="shared" si="492"/>
        <v>43</v>
      </c>
      <c r="E7888">
        <v>80.498999999999995</v>
      </c>
      <c r="F7888">
        <f t="shared" si="493"/>
        <v>-37.498999999999995</v>
      </c>
      <c r="G7888">
        <v>33.433</v>
      </c>
      <c r="H7888">
        <v>1.3320000000000001</v>
      </c>
      <c r="I7888">
        <v>3.94</v>
      </c>
      <c r="J7888">
        <v>4</v>
      </c>
      <c r="K7888">
        <v>22</v>
      </c>
      <c r="L7888">
        <v>11</v>
      </c>
      <c r="M7888">
        <v>1.921</v>
      </c>
    </row>
    <row r="7889" spans="1:13" ht="15" customHeight="1">
      <c r="A7889" t="s">
        <v>80</v>
      </c>
      <c r="B7889">
        <f t="shared" si="490"/>
        <v>33.706468000000001</v>
      </c>
      <c r="C7889">
        <f t="shared" si="491"/>
        <v>-117.86742</v>
      </c>
      <c r="D7889">
        <f t="shared" si="492"/>
        <v>43</v>
      </c>
      <c r="E7889">
        <v>81.498999999999995</v>
      </c>
      <c r="F7889">
        <f t="shared" si="493"/>
        <v>-38.498999999999995</v>
      </c>
      <c r="G7889">
        <v>70.117000000000004</v>
      </c>
      <c r="H7889">
        <v>2.73</v>
      </c>
      <c r="I7889">
        <v>3.875</v>
      </c>
      <c r="J7889">
        <v>5</v>
      </c>
      <c r="K7889">
        <v>34</v>
      </c>
      <c r="L7889">
        <v>17</v>
      </c>
      <c r="M7889">
        <v>4.3600000000000003</v>
      </c>
    </row>
    <row r="7890" spans="1:13" ht="15" customHeight="1">
      <c r="A7890" t="s">
        <v>80</v>
      </c>
      <c r="B7890">
        <f t="shared" si="490"/>
        <v>33.706468000000001</v>
      </c>
      <c r="C7890">
        <f t="shared" si="491"/>
        <v>-117.86742</v>
      </c>
      <c r="D7890">
        <f t="shared" si="492"/>
        <v>43</v>
      </c>
      <c r="E7890">
        <v>82.498999999999995</v>
      </c>
      <c r="F7890">
        <f t="shared" si="493"/>
        <v>-39.498999999999995</v>
      </c>
      <c r="G7890">
        <v>248.46700000000001</v>
      </c>
      <c r="H7890">
        <v>3.2280000000000002</v>
      </c>
      <c r="I7890">
        <v>1.3</v>
      </c>
      <c r="J7890">
        <v>9</v>
      </c>
      <c r="K7890">
        <v>48</v>
      </c>
      <c r="L7890">
        <v>24</v>
      </c>
      <c r="M7890" s="1">
        <v>9000000000</v>
      </c>
    </row>
    <row r="7891" spans="1:13" ht="15" customHeight="1">
      <c r="A7891" t="s">
        <v>80</v>
      </c>
      <c r="B7891">
        <f t="shared" si="490"/>
        <v>33.706468000000001</v>
      </c>
      <c r="C7891">
        <f t="shared" si="491"/>
        <v>-117.86742</v>
      </c>
      <c r="D7891">
        <f t="shared" si="492"/>
        <v>43</v>
      </c>
      <c r="E7891">
        <v>83.498999999999995</v>
      </c>
      <c r="F7891">
        <f t="shared" si="493"/>
        <v>-40.498999999999995</v>
      </c>
      <c r="G7891">
        <v>261.27100000000002</v>
      </c>
      <c r="H7891">
        <v>3.8839999999999999</v>
      </c>
      <c r="I7891">
        <v>1.4870000000000001</v>
      </c>
      <c r="J7891">
        <v>8</v>
      </c>
      <c r="K7891">
        <v>63</v>
      </c>
      <c r="L7891">
        <v>32</v>
      </c>
      <c r="M7891" s="1">
        <v>9000000000</v>
      </c>
    </row>
    <row r="7892" spans="1:13" ht="15" customHeight="1">
      <c r="A7892" t="s">
        <v>80</v>
      </c>
      <c r="B7892">
        <f t="shared" si="490"/>
        <v>33.706468000000001</v>
      </c>
      <c r="C7892">
        <f t="shared" si="491"/>
        <v>-117.86742</v>
      </c>
      <c r="D7892">
        <f t="shared" si="492"/>
        <v>43</v>
      </c>
      <c r="E7892">
        <v>84.498999999999995</v>
      </c>
      <c r="F7892">
        <f t="shared" si="493"/>
        <v>-41.498999999999995</v>
      </c>
      <c r="G7892">
        <v>51.267000000000003</v>
      </c>
      <c r="H7892">
        <v>1.8420000000000001</v>
      </c>
      <c r="I7892">
        <v>3.5859999999999999</v>
      </c>
      <c r="J7892">
        <v>5</v>
      </c>
      <c r="K7892">
        <v>25</v>
      </c>
      <c r="L7892">
        <v>13</v>
      </c>
      <c r="M7892">
        <v>3.0739999999999998</v>
      </c>
    </row>
    <row r="7893" spans="1:13" ht="15" customHeight="1">
      <c r="A7893" t="s">
        <v>80</v>
      </c>
      <c r="B7893">
        <f t="shared" si="490"/>
        <v>33.706468000000001</v>
      </c>
      <c r="C7893">
        <f t="shared" si="491"/>
        <v>-117.86742</v>
      </c>
      <c r="D7893">
        <f t="shared" si="492"/>
        <v>43</v>
      </c>
      <c r="E7893">
        <v>85.498999999999995</v>
      </c>
      <c r="F7893">
        <f t="shared" si="493"/>
        <v>-42.498999999999995</v>
      </c>
      <c r="G7893">
        <v>72.733000000000004</v>
      </c>
      <c r="H7893">
        <v>4.2430000000000003</v>
      </c>
      <c r="I7893">
        <v>5.8250000000000002</v>
      </c>
      <c r="J7893">
        <v>11</v>
      </c>
      <c r="K7893">
        <v>70</v>
      </c>
      <c r="L7893">
        <v>35</v>
      </c>
      <c r="M7893" s="1">
        <v>9000000000</v>
      </c>
    </row>
    <row r="7894" spans="1:13" ht="15" customHeight="1">
      <c r="A7894" t="s">
        <v>80</v>
      </c>
      <c r="B7894">
        <f t="shared" si="490"/>
        <v>33.706468000000001</v>
      </c>
      <c r="C7894">
        <f t="shared" si="491"/>
        <v>-117.86742</v>
      </c>
      <c r="D7894">
        <f t="shared" si="492"/>
        <v>43</v>
      </c>
      <c r="E7894">
        <v>86.498999999999995</v>
      </c>
      <c r="F7894">
        <f t="shared" si="493"/>
        <v>-43.498999999999995</v>
      </c>
      <c r="G7894">
        <v>120.06699999999999</v>
      </c>
      <c r="H7894">
        <v>5.4829999999999997</v>
      </c>
      <c r="I7894">
        <v>4.5709999999999997</v>
      </c>
      <c r="J7894">
        <v>11</v>
      </c>
      <c r="K7894">
        <v>115</v>
      </c>
      <c r="L7894">
        <v>58</v>
      </c>
      <c r="M7894" s="1">
        <v>9000000000</v>
      </c>
    </row>
    <row r="7895" spans="1:13" ht="15" customHeight="1">
      <c r="A7895" t="s">
        <v>80</v>
      </c>
      <c r="B7895">
        <f t="shared" si="490"/>
        <v>33.706468000000001</v>
      </c>
      <c r="C7895">
        <f t="shared" si="491"/>
        <v>-117.86742</v>
      </c>
      <c r="D7895">
        <f t="shared" si="492"/>
        <v>43</v>
      </c>
      <c r="E7895">
        <v>87.498999999999995</v>
      </c>
      <c r="F7895">
        <f t="shared" si="493"/>
        <v>-44.498999999999995</v>
      </c>
      <c r="G7895">
        <v>108.783</v>
      </c>
      <c r="H7895">
        <v>5.3579999999999997</v>
      </c>
      <c r="I7895">
        <v>4.9329999999999998</v>
      </c>
      <c r="J7895">
        <v>11</v>
      </c>
      <c r="K7895">
        <v>104</v>
      </c>
      <c r="L7895">
        <v>52</v>
      </c>
      <c r="M7895" s="1">
        <v>9000000000</v>
      </c>
    </row>
    <row r="7896" spans="1:13" ht="15" customHeight="1">
      <c r="A7896" t="s">
        <v>80</v>
      </c>
      <c r="B7896">
        <f t="shared" si="490"/>
        <v>33.706468000000001</v>
      </c>
      <c r="C7896">
        <f t="shared" si="491"/>
        <v>-117.86742</v>
      </c>
      <c r="D7896">
        <f t="shared" si="492"/>
        <v>43</v>
      </c>
      <c r="E7896">
        <v>88.498999999999995</v>
      </c>
      <c r="F7896">
        <f t="shared" si="493"/>
        <v>-45.498999999999995</v>
      </c>
      <c r="G7896">
        <v>68.316999999999993</v>
      </c>
      <c r="H7896">
        <v>2.4620000000000002</v>
      </c>
      <c r="I7896">
        <v>3.6110000000000002</v>
      </c>
      <c r="J7896">
        <v>5</v>
      </c>
      <c r="K7896">
        <v>33</v>
      </c>
      <c r="L7896">
        <v>17</v>
      </c>
      <c r="M7896">
        <v>4.1779999999999999</v>
      </c>
    </row>
    <row r="7897" spans="1:13" ht="15" customHeight="1">
      <c r="A7897" t="s">
        <v>80</v>
      </c>
      <c r="B7897">
        <f t="shared" si="490"/>
        <v>33.706468000000001</v>
      </c>
      <c r="C7897">
        <f t="shared" si="491"/>
        <v>-117.86742</v>
      </c>
      <c r="D7897">
        <f t="shared" si="492"/>
        <v>43</v>
      </c>
      <c r="E7897">
        <v>89.498999999999995</v>
      </c>
      <c r="F7897">
        <f t="shared" si="493"/>
        <v>-46.498999999999995</v>
      </c>
      <c r="G7897">
        <v>72</v>
      </c>
      <c r="H7897">
        <v>3.2149999999999999</v>
      </c>
      <c r="I7897">
        <v>4.4740000000000002</v>
      </c>
      <c r="J7897">
        <v>5</v>
      </c>
      <c r="K7897">
        <v>34</v>
      </c>
      <c r="L7897">
        <v>17</v>
      </c>
      <c r="M7897">
        <v>4.42</v>
      </c>
    </row>
    <row r="7898" spans="1:13" ht="15" customHeight="1">
      <c r="A7898" t="s">
        <v>80</v>
      </c>
      <c r="B7898">
        <f t="shared" si="490"/>
        <v>33.706468000000001</v>
      </c>
      <c r="C7898">
        <f t="shared" si="491"/>
        <v>-117.86742</v>
      </c>
      <c r="D7898">
        <f t="shared" si="492"/>
        <v>43</v>
      </c>
      <c r="E7898">
        <v>90.498999999999995</v>
      </c>
      <c r="F7898">
        <f t="shared" si="493"/>
        <v>-47.498999999999995</v>
      </c>
      <c r="G7898">
        <v>41.033000000000001</v>
      </c>
      <c r="H7898">
        <v>1.4630000000000001</v>
      </c>
      <c r="I7898">
        <v>3.5750000000000002</v>
      </c>
      <c r="J7898">
        <v>5</v>
      </c>
      <c r="K7898">
        <v>20</v>
      </c>
      <c r="L7898">
        <v>10</v>
      </c>
      <c r="M7898">
        <v>2.3540000000000001</v>
      </c>
    </row>
    <row r="7899" spans="1:13" ht="15" customHeight="1">
      <c r="A7899" t="s">
        <v>80</v>
      </c>
      <c r="B7899">
        <f t="shared" si="490"/>
        <v>33.706468000000001</v>
      </c>
      <c r="C7899">
        <f t="shared" si="491"/>
        <v>-117.86742</v>
      </c>
      <c r="D7899">
        <f t="shared" si="492"/>
        <v>43</v>
      </c>
      <c r="E7899">
        <v>91.498999999999995</v>
      </c>
      <c r="F7899">
        <f t="shared" si="493"/>
        <v>-48.498999999999995</v>
      </c>
      <c r="G7899">
        <v>36.917000000000002</v>
      </c>
      <c r="H7899">
        <v>1.365</v>
      </c>
      <c r="I7899">
        <v>3.7090000000000001</v>
      </c>
      <c r="J7899">
        <v>5</v>
      </c>
      <c r="K7899">
        <v>18</v>
      </c>
      <c r="L7899">
        <v>9</v>
      </c>
      <c r="M7899">
        <v>2.0739999999999998</v>
      </c>
    </row>
    <row r="7900" spans="1:13" ht="15" customHeight="1">
      <c r="A7900" t="s">
        <v>80</v>
      </c>
      <c r="B7900">
        <f t="shared" si="490"/>
        <v>33.706468000000001</v>
      </c>
      <c r="C7900">
        <f t="shared" si="491"/>
        <v>-117.86742</v>
      </c>
      <c r="D7900">
        <f t="shared" si="492"/>
        <v>43</v>
      </c>
      <c r="E7900">
        <v>92.498999999999995</v>
      </c>
      <c r="F7900">
        <f t="shared" si="493"/>
        <v>-49.498999999999995</v>
      </c>
      <c r="G7900">
        <v>64.650000000000006</v>
      </c>
      <c r="H7900">
        <v>2.6749999999999998</v>
      </c>
      <c r="I7900">
        <v>4.1440000000000001</v>
      </c>
      <c r="J7900">
        <v>5</v>
      </c>
      <c r="K7900">
        <v>31</v>
      </c>
      <c r="L7900">
        <v>16</v>
      </c>
      <c r="M7900">
        <v>3.92</v>
      </c>
    </row>
    <row r="7901" spans="1:13" ht="15" customHeight="1">
      <c r="A7901" t="s">
        <v>80</v>
      </c>
      <c r="B7901">
        <f t="shared" si="490"/>
        <v>33.706468000000001</v>
      </c>
      <c r="C7901">
        <f t="shared" si="491"/>
        <v>-117.86742</v>
      </c>
      <c r="D7901">
        <f t="shared" si="492"/>
        <v>43</v>
      </c>
      <c r="E7901">
        <v>93.498999999999995</v>
      </c>
      <c r="F7901">
        <f t="shared" si="493"/>
        <v>-50.498999999999995</v>
      </c>
      <c r="G7901">
        <v>122.557</v>
      </c>
      <c r="H7901">
        <v>5.8029999999999999</v>
      </c>
      <c r="I7901">
        <v>4.7389999999999999</v>
      </c>
      <c r="J7901">
        <v>11</v>
      </c>
      <c r="K7901">
        <v>117</v>
      </c>
      <c r="L7901">
        <v>59</v>
      </c>
      <c r="M7901" s="1">
        <v>9000000000</v>
      </c>
    </row>
    <row r="7902" spans="1:13" ht="15" customHeight="1">
      <c r="A7902" t="s">
        <v>80</v>
      </c>
      <c r="B7902">
        <f t="shared" si="490"/>
        <v>33.706468000000001</v>
      </c>
      <c r="C7902">
        <f t="shared" si="491"/>
        <v>-117.86742</v>
      </c>
      <c r="D7902">
        <f t="shared" si="492"/>
        <v>43</v>
      </c>
      <c r="E7902">
        <v>94.498999999999995</v>
      </c>
      <c r="F7902">
        <f t="shared" si="493"/>
        <v>-51.498999999999995</v>
      </c>
      <c r="G7902">
        <v>155.46700000000001</v>
      </c>
      <c r="H7902">
        <v>4.9180000000000001</v>
      </c>
      <c r="I7902">
        <v>3.1659999999999999</v>
      </c>
      <c r="J7902">
        <v>6</v>
      </c>
      <c r="K7902">
        <v>60</v>
      </c>
      <c r="L7902">
        <v>30</v>
      </c>
      <c r="M7902">
        <v>9.9629999999999992</v>
      </c>
    </row>
    <row r="7903" spans="1:13" ht="15" customHeight="1">
      <c r="A7903" t="s">
        <v>80</v>
      </c>
      <c r="B7903">
        <f t="shared" si="490"/>
        <v>33.706468000000001</v>
      </c>
      <c r="C7903">
        <f t="shared" si="491"/>
        <v>-117.86742</v>
      </c>
      <c r="D7903">
        <f t="shared" si="492"/>
        <v>43</v>
      </c>
      <c r="E7903">
        <v>95.498999999999995</v>
      </c>
      <c r="F7903">
        <f t="shared" si="493"/>
        <v>-52.498999999999995</v>
      </c>
      <c r="G7903">
        <v>140.417</v>
      </c>
      <c r="H7903">
        <v>3.5550000000000002</v>
      </c>
      <c r="I7903">
        <v>2.5339999999999998</v>
      </c>
      <c r="J7903">
        <v>7</v>
      </c>
      <c r="K7903">
        <v>45</v>
      </c>
      <c r="L7903">
        <v>23</v>
      </c>
      <c r="M7903" s="1">
        <v>9000000000</v>
      </c>
    </row>
    <row r="7904" spans="1:13" ht="15" customHeight="1">
      <c r="A7904" t="s">
        <v>80</v>
      </c>
      <c r="B7904">
        <f t="shared" si="490"/>
        <v>33.706468000000001</v>
      </c>
      <c r="C7904">
        <f t="shared" si="491"/>
        <v>-117.86742</v>
      </c>
      <c r="D7904">
        <f t="shared" si="492"/>
        <v>43</v>
      </c>
      <c r="E7904">
        <v>96.498999999999995</v>
      </c>
      <c r="F7904">
        <f t="shared" si="493"/>
        <v>-53.498999999999995</v>
      </c>
      <c r="G7904">
        <v>133.69999999999999</v>
      </c>
      <c r="H7904">
        <v>6.6180000000000003</v>
      </c>
      <c r="I7904">
        <v>4.9560000000000004</v>
      </c>
      <c r="J7904">
        <v>11</v>
      </c>
      <c r="K7904">
        <v>128</v>
      </c>
      <c r="L7904">
        <v>64</v>
      </c>
      <c r="M7904" s="1">
        <v>9000000000</v>
      </c>
    </row>
    <row r="7905" spans="1:13" ht="15" customHeight="1">
      <c r="A7905" t="s">
        <v>80</v>
      </c>
      <c r="B7905">
        <f t="shared" si="490"/>
        <v>33.706468000000001</v>
      </c>
      <c r="C7905">
        <f t="shared" si="491"/>
        <v>-117.86742</v>
      </c>
      <c r="D7905">
        <f t="shared" si="492"/>
        <v>43</v>
      </c>
      <c r="E7905">
        <v>97.498999999999995</v>
      </c>
      <c r="F7905">
        <f t="shared" si="493"/>
        <v>-54.498999999999995</v>
      </c>
      <c r="G7905">
        <v>172.483</v>
      </c>
      <c r="H7905">
        <v>5.0979999999999999</v>
      </c>
      <c r="I7905">
        <v>2.9580000000000002</v>
      </c>
      <c r="J7905">
        <v>7</v>
      </c>
      <c r="K7905">
        <v>55</v>
      </c>
      <c r="L7905">
        <v>28</v>
      </c>
      <c r="M7905" s="1">
        <v>9000000000</v>
      </c>
    </row>
    <row r="7906" spans="1:13" ht="15" customHeight="1">
      <c r="A7906" t="s">
        <v>80</v>
      </c>
      <c r="B7906">
        <f t="shared" si="490"/>
        <v>33.706468000000001</v>
      </c>
      <c r="C7906">
        <f t="shared" si="491"/>
        <v>-117.86742</v>
      </c>
      <c r="D7906">
        <f t="shared" si="492"/>
        <v>43</v>
      </c>
      <c r="E7906">
        <v>98.498999999999995</v>
      </c>
      <c r="F7906">
        <f t="shared" si="493"/>
        <v>-55.498999999999995</v>
      </c>
      <c r="G7906">
        <v>155.68299999999999</v>
      </c>
      <c r="H7906">
        <v>4.1280000000000001</v>
      </c>
      <c r="I7906">
        <v>2.6539999999999999</v>
      </c>
      <c r="J7906">
        <v>7</v>
      </c>
      <c r="K7906">
        <v>50</v>
      </c>
      <c r="L7906">
        <v>25</v>
      </c>
      <c r="M7906" s="1">
        <v>9000000000</v>
      </c>
    </row>
    <row r="7907" spans="1:13" ht="15" customHeight="1">
      <c r="A7907" t="s">
        <v>80</v>
      </c>
      <c r="B7907">
        <f t="shared" si="490"/>
        <v>33.706468000000001</v>
      </c>
      <c r="C7907">
        <f t="shared" si="491"/>
        <v>-117.86742</v>
      </c>
      <c r="D7907">
        <f t="shared" si="492"/>
        <v>43</v>
      </c>
      <c r="E7907">
        <v>99.498999999999995</v>
      </c>
      <c r="F7907">
        <f t="shared" si="493"/>
        <v>-56.498999999999995</v>
      </c>
      <c r="G7907">
        <v>203.333</v>
      </c>
      <c r="H7907">
        <v>4.0199999999999996</v>
      </c>
      <c r="I7907">
        <v>1.978</v>
      </c>
      <c r="J7907">
        <v>8</v>
      </c>
      <c r="K7907">
        <v>49</v>
      </c>
      <c r="L7907">
        <v>25</v>
      </c>
      <c r="M7907" s="1">
        <v>9000000000</v>
      </c>
    </row>
    <row r="7908" spans="1:13" ht="15" customHeight="1">
      <c r="A7908" t="s">
        <v>80</v>
      </c>
      <c r="B7908">
        <f t="shared" si="490"/>
        <v>33.706468000000001</v>
      </c>
      <c r="C7908">
        <f t="shared" si="491"/>
        <v>-117.86742</v>
      </c>
      <c r="D7908">
        <f t="shared" si="492"/>
        <v>43</v>
      </c>
      <c r="E7908">
        <v>100.499</v>
      </c>
      <c r="F7908">
        <f t="shared" si="493"/>
        <v>-57.498999999999995</v>
      </c>
      <c r="G7908">
        <v>190.45</v>
      </c>
      <c r="H7908">
        <v>4.2729999999999997</v>
      </c>
      <c r="I7908">
        <v>2.2450000000000001</v>
      </c>
      <c r="J7908">
        <v>7</v>
      </c>
      <c r="K7908">
        <v>61</v>
      </c>
      <c r="L7908">
        <v>31</v>
      </c>
      <c r="M7908" s="1">
        <v>9000000000</v>
      </c>
    </row>
    <row r="7909" spans="1:13" ht="15" customHeight="1">
      <c r="A7909" t="s">
        <v>80</v>
      </c>
      <c r="B7909">
        <f t="shared" si="490"/>
        <v>33.706468000000001</v>
      </c>
      <c r="C7909">
        <f t="shared" si="491"/>
        <v>-117.86742</v>
      </c>
      <c r="D7909">
        <f t="shared" si="492"/>
        <v>43</v>
      </c>
      <c r="E7909">
        <v>101.499</v>
      </c>
      <c r="F7909">
        <f t="shared" si="493"/>
        <v>-58.498999999999995</v>
      </c>
      <c r="G7909">
        <v>44.732999999999997</v>
      </c>
      <c r="H7909">
        <v>1.462</v>
      </c>
      <c r="I7909">
        <v>3.274</v>
      </c>
      <c r="J7909">
        <v>5</v>
      </c>
      <c r="K7909">
        <v>21</v>
      </c>
      <c r="L7909">
        <v>11</v>
      </c>
      <c r="M7909">
        <v>2.556</v>
      </c>
    </row>
    <row r="7910" spans="1:13" ht="15" customHeight="1">
      <c r="A7910" t="s">
        <v>80</v>
      </c>
      <c r="B7910">
        <f t="shared" si="490"/>
        <v>33.706468000000001</v>
      </c>
      <c r="C7910">
        <f t="shared" si="491"/>
        <v>-117.86742</v>
      </c>
      <c r="D7910">
        <f t="shared" si="492"/>
        <v>43</v>
      </c>
      <c r="E7910">
        <v>102.499</v>
      </c>
      <c r="F7910">
        <f t="shared" si="493"/>
        <v>-59.498999999999995</v>
      </c>
      <c r="G7910">
        <v>44.45</v>
      </c>
      <c r="H7910">
        <v>1.58</v>
      </c>
      <c r="I7910">
        <v>3.56</v>
      </c>
      <c r="J7910">
        <v>5</v>
      </c>
      <c r="K7910">
        <v>21</v>
      </c>
      <c r="L7910">
        <v>11</v>
      </c>
      <c r="M7910">
        <v>2.5339999999999998</v>
      </c>
    </row>
    <row r="7911" spans="1:13" ht="15" customHeight="1">
      <c r="A7911" t="s">
        <v>80</v>
      </c>
      <c r="B7911">
        <f t="shared" si="490"/>
        <v>33.706468000000001</v>
      </c>
      <c r="C7911">
        <f t="shared" si="491"/>
        <v>-117.86742</v>
      </c>
      <c r="D7911">
        <f t="shared" si="492"/>
        <v>43</v>
      </c>
      <c r="E7911">
        <v>103.499</v>
      </c>
      <c r="F7911">
        <f t="shared" si="493"/>
        <v>-60.498999999999995</v>
      </c>
      <c r="G7911">
        <v>35.866999999999997</v>
      </c>
      <c r="H7911">
        <v>0.92500000000000004</v>
      </c>
      <c r="I7911">
        <v>2.581</v>
      </c>
      <c r="J7911">
        <v>6</v>
      </c>
      <c r="K7911">
        <v>14</v>
      </c>
      <c r="L7911">
        <v>7</v>
      </c>
      <c r="M7911">
        <v>1.9590000000000001</v>
      </c>
    </row>
    <row r="7912" spans="1:13" ht="15" customHeight="1">
      <c r="A7912" t="s">
        <v>80</v>
      </c>
      <c r="B7912">
        <f t="shared" si="490"/>
        <v>33.706468000000001</v>
      </c>
      <c r="C7912">
        <f t="shared" si="491"/>
        <v>-117.86742</v>
      </c>
      <c r="D7912">
        <f t="shared" si="492"/>
        <v>43</v>
      </c>
      <c r="E7912">
        <v>104.499</v>
      </c>
      <c r="F7912">
        <f t="shared" si="493"/>
        <v>-61.498999999999995</v>
      </c>
      <c r="G7912">
        <v>45.256999999999998</v>
      </c>
      <c r="H7912">
        <v>2.0760000000000001</v>
      </c>
      <c r="I7912">
        <v>4.5860000000000003</v>
      </c>
      <c r="J7912">
        <v>4</v>
      </c>
      <c r="K7912">
        <v>29</v>
      </c>
      <c r="L7912">
        <v>15</v>
      </c>
      <c r="M7912">
        <v>2.5840000000000001</v>
      </c>
    </row>
    <row r="7913" spans="1:13" ht="15" customHeight="1">
      <c r="A7913" t="s">
        <v>80</v>
      </c>
      <c r="B7913">
        <f t="shared" si="490"/>
        <v>33.706468000000001</v>
      </c>
      <c r="C7913">
        <f t="shared" si="491"/>
        <v>-117.86742</v>
      </c>
      <c r="D7913">
        <f t="shared" si="492"/>
        <v>43</v>
      </c>
      <c r="E7913">
        <v>105.499</v>
      </c>
      <c r="F7913">
        <f t="shared" si="493"/>
        <v>-62.498999999999995</v>
      </c>
      <c r="G7913">
        <v>278.14999999999998</v>
      </c>
      <c r="H7913">
        <v>5.0670000000000002</v>
      </c>
      <c r="I7913">
        <v>1.8220000000000001</v>
      </c>
      <c r="J7913">
        <v>8</v>
      </c>
      <c r="K7913">
        <v>67</v>
      </c>
      <c r="L7913">
        <v>34</v>
      </c>
      <c r="M7913" s="1">
        <v>9000000000</v>
      </c>
    </row>
    <row r="7914" spans="1:13" ht="15" customHeight="1">
      <c r="A7914" t="s">
        <v>80</v>
      </c>
      <c r="B7914">
        <f t="shared" si="490"/>
        <v>33.706468000000001</v>
      </c>
      <c r="C7914">
        <f t="shared" si="491"/>
        <v>-117.86742</v>
      </c>
      <c r="D7914">
        <f t="shared" si="492"/>
        <v>43</v>
      </c>
      <c r="E7914">
        <v>106.499</v>
      </c>
      <c r="F7914">
        <f t="shared" si="493"/>
        <v>-63.498999999999995</v>
      </c>
      <c r="G7914">
        <v>377</v>
      </c>
      <c r="H7914">
        <v>3.3769999999999998</v>
      </c>
      <c r="I7914">
        <v>0.89600000000000002</v>
      </c>
      <c r="J7914">
        <v>9</v>
      </c>
      <c r="K7914">
        <v>72</v>
      </c>
      <c r="L7914">
        <v>36</v>
      </c>
      <c r="M7914" s="1">
        <v>9000000000</v>
      </c>
    </row>
    <row r="7915" spans="1:13" ht="15" customHeight="1">
      <c r="A7915" t="s">
        <v>80</v>
      </c>
      <c r="B7915">
        <f t="shared" si="490"/>
        <v>33.706468000000001</v>
      </c>
      <c r="C7915">
        <f t="shared" si="491"/>
        <v>-117.86742</v>
      </c>
      <c r="D7915">
        <f t="shared" si="492"/>
        <v>43</v>
      </c>
      <c r="E7915">
        <v>107.499</v>
      </c>
      <c r="F7915">
        <f t="shared" si="493"/>
        <v>-64.498999999999995</v>
      </c>
      <c r="G7915">
        <v>349.9</v>
      </c>
      <c r="H7915">
        <v>4.72</v>
      </c>
      <c r="I7915">
        <v>1.349</v>
      </c>
      <c r="J7915">
        <v>9</v>
      </c>
      <c r="K7915">
        <v>67</v>
      </c>
      <c r="L7915">
        <v>34</v>
      </c>
      <c r="M7915" s="1">
        <v>9000000000</v>
      </c>
    </row>
    <row r="7916" spans="1:13" ht="15" customHeight="1">
      <c r="A7916" t="s">
        <v>80</v>
      </c>
      <c r="B7916">
        <f t="shared" si="490"/>
        <v>33.706468000000001</v>
      </c>
      <c r="C7916">
        <f t="shared" si="491"/>
        <v>-117.86742</v>
      </c>
      <c r="D7916">
        <f t="shared" si="492"/>
        <v>43</v>
      </c>
      <c r="E7916">
        <v>108.499</v>
      </c>
      <c r="F7916">
        <f t="shared" si="493"/>
        <v>-65.498999999999995</v>
      </c>
      <c r="G7916">
        <v>340.4</v>
      </c>
      <c r="H7916">
        <v>0</v>
      </c>
      <c r="I7916">
        <v>0</v>
      </c>
      <c r="J7916">
        <v>10</v>
      </c>
      <c r="K7916" s="1">
        <v>9000000000</v>
      </c>
      <c r="L7916" s="1">
        <v>9000000000</v>
      </c>
      <c r="M7916" s="1">
        <v>9000000000</v>
      </c>
    </row>
    <row r="7917" spans="1:13">
      <c r="A7917" t="s">
        <v>81</v>
      </c>
      <c r="B7917" t="e">
        <f t="shared" si="490"/>
        <v>#N/A</v>
      </c>
      <c r="C7917" t="e">
        <f t="shared" si="491"/>
        <v>#N/A</v>
      </c>
      <c r="D7917" t="e">
        <f t="shared" si="492"/>
        <v>#N/A</v>
      </c>
      <c r="E7917">
        <v>0.5</v>
      </c>
      <c r="F7917" t="e">
        <f t="shared" si="493"/>
        <v>#N/A</v>
      </c>
      <c r="G7917">
        <v>1.5169999999999999</v>
      </c>
      <c r="H7917">
        <v>4.2999999999999997E-2</v>
      </c>
      <c r="I7917">
        <v>2.8570000000000002</v>
      </c>
      <c r="J7917">
        <v>3</v>
      </c>
      <c r="K7917">
        <v>1</v>
      </c>
      <c r="L7917">
        <v>2</v>
      </c>
      <c r="M7917">
        <v>9.9000000000000005E-2</v>
      </c>
    </row>
    <row r="7918" spans="1:13">
      <c r="A7918" t="s">
        <v>81</v>
      </c>
      <c r="B7918" t="e">
        <f t="shared" si="490"/>
        <v>#N/A</v>
      </c>
      <c r="C7918" t="e">
        <f t="shared" si="491"/>
        <v>#N/A</v>
      </c>
      <c r="D7918" t="e">
        <f t="shared" si="492"/>
        <v>#N/A</v>
      </c>
      <c r="E7918">
        <v>1.5</v>
      </c>
      <c r="F7918" t="e">
        <f t="shared" si="493"/>
        <v>#N/A</v>
      </c>
      <c r="G7918">
        <v>23.35</v>
      </c>
      <c r="H7918">
        <v>1.5880000000000001</v>
      </c>
      <c r="I7918">
        <v>6.7880000000000003</v>
      </c>
      <c r="J7918">
        <v>3</v>
      </c>
      <c r="K7918">
        <v>22</v>
      </c>
      <c r="L7918">
        <v>33</v>
      </c>
      <c r="M7918">
        <v>1.554</v>
      </c>
    </row>
    <row r="7919" spans="1:13">
      <c r="A7919" t="s">
        <v>81</v>
      </c>
      <c r="B7919" t="e">
        <f t="shared" si="490"/>
        <v>#N/A</v>
      </c>
      <c r="C7919" t="e">
        <f t="shared" si="491"/>
        <v>#N/A</v>
      </c>
      <c r="D7919" t="e">
        <f t="shared" si="492"/>
        <v>#N/A</v>
      </c>
      <c r="E7919">
        <v>2.5</v>
      </c>
      <c r="F7919" t="e">
        <f t="shared" si="493"/>
        <v>#N/A</v>
      </c>
      <c r="G7919">
        <v>8.25</v>
      </c>
      <c r="H7919">
        <v>0.55500000000000005</v>
      </c>
      <c r="I7919">
        <v>6.7140000000000004</v>
      </c>
      <c r="J7919">
        <v>3</v>
      </c>
      <c r="K7919">
        <v>8</v>
      </c>
      <c r="L7919">
        <v>12</v>
      </c>
      <c r="M7919">
        <v>0.54100000000000004</v>
      </c>
    </row>
    <row r="7920" spans="1:13">
      <c r="A7920" t="s">
        <v>81</v>
      </c>
      <c r="B7920" t="e">
        <f t="shared" si="490"/>
        <v>#N/A</v>
      </c>
      <c r="C7920" t="e">
        <f t="shared" si="491"/>
        <v>#N/A</v>
      </c>
      <c r="D7920" t="e">
        <f t="shared" si="492"/>
        <v>#N/A</v>
      </c>
      <c r="E7920">
        <v>3.5</v>
      </c>
      <c r="F7920" t="e">
        <f t="shared" si="493"/>
        <v>#N/A</v>
      </c>
      <c r="G7920">
        <v>10.45</v>
      </c>
      <c r="H7920">
        <v>0.87</v>
      </c>
      <c r="I7920">
        <v>7.99</v>
      </c>
      <c r="J7920">
        <v>3</v>
      </c>
      <c r="K7920">
        <v>10</v>
      </c>
      <c r="L7920">
        <v>15</v>
      </c>
      <c r="M7920">
        <v>0.68100000000000005</v>
      </c>
    </row>
    <row r="7921" spans="1:13">
      <c r="A7921" t="s">
        <v>81</v>
      </c>
      <c r="B7921" t="e">
        <f t="shared" si="490"/>
        <v>#N/A</v>
      </c>
      <c r="C7921" t="e">
        <f t="shared" si="491"/>
        <v>#N/A</v>
      </c>
      <c r="D7921" t="e">
        <f t="shared" si="492"/>
        <v>#N/A</v>
      </c>
      <c r="E7921">
        <v>4.5</v>
      </c>
      <c r="F7921" t="e">
        <f t="shared" si="493"/>
        <v>#N/A</v>
      </c>
      <c r="G7921">
        <v>7.7830000000000004</v>
      </c>
      <c r="H7921">
        <v>0.57299999999999995</v>
      </c>
      <c r="I7921">
        <v>7.3659999999999997</v>
      </c>
      <c r="J7921">
        <v>3</v>
      </c>
      <c r="K7921">
        <v>7</v>
      </c>
      <c r="L7921">
        <v>11</v>
      </c>
      <c r="M7921">
        <v>0.501</v>
      </c>
    </row>
    <row r="7922" spans="1:13">
      <c r="A7922" t="s">
        <v>81</v>
      </c>
      <c r="B7922" t="e">
        <f t="shared" si="490"/>
        <v>#N/A</v>
      </c>
      <c r="C7922" t="e">
        <f t="shared" si="491"/>
        <v>#N/A</v>
      </c>
      <c r="D7922" t="e">
        <f t="shared" si="492"/>
        <v>#N/A</v>
      </c>
      <c r="E7922">
        <v>5.5</v>
      </c>
      <c r="F7922" t="e">
        <f t="shared" si="493"/>
        <v>#N/A</v>
      </c>
      <c r="G7922">
        <v>14.782999999999999</v>
      </c>
      <c r="H7922">
        <v>0.93799999999999994</v>
      </c>
      <c r="I7922">
        <v>6.34</v>
      </c>
      <c r="J7922">
        <v>3</v>
      </c>
      <c r="K7922">
        <v>14</v>
      </c>
      <c r="L7922">
        <v>21</v>
      </c>
      <c r="M7922">
        <v>0.96399999999999997</v>
      </c>
    </row>
    <row r="7923" spans="1:13">
      <c r="A7923" t="s">
        <v>81</v>
      </c>
      <c r="B7923" t="e">
        <f t="shared" si="490"/>
        <v>#N/A</v>
      </c>
      <c r="C7923" t="e">
        <f t="shared" si="491"/>
        <v>#N/A</v>
      </c>
      <c r="D7923" t="e">
        <f t="shared" si="492"/>
        <v>#N/A</v>
      </c>
      <c r="E7923">
        <v>6.5</v>
      </c>
      <c r="F7923" t="e">
        <f t="shared" si="493"/>
        <v>#N/A</v>
      </c>
      <c r="G7923">
        <v>15.733000000000001</v>
      </c>
      <c r="H7923">
        <v>1.038</v>
      </c>
      <c r="I7923">
        <v>6.5860000000000003</v>
      </c>
      <c r="J7923">
        <v>3</v>
      </c>
      <c r="K7923">
        <v>15</v>
      </c>
      <c r="L7923">
        <v>23</v>
      </c>
      <c r="M7923">
        <v>1.0249999999999999</v>
      </c>
    </row>
    <row r="7924" spans="1:13">
      <c r="A7924" t="s">
        <v>81</v>
      </c>
      <c r="B7924" t="e">
        <f t="shared" si="490"/>
        <v>#N/A</v>
      </c>
      <c r="C7924" t="e">
        <f t="shared" si="491"/>
        <v>#N/A</v>
      </c>
      <c r="D7924" t="e">
        <f t="shared" si="492"/>
        <v>#N/A</v>
      </c>
      <c r="E7924">
        <v>7.5</v>
      </c>
      <c r="F7924" t="e">
        <f t="shared" si="493"/>
        <v>#N/A</v>
      </c>
      <c r="G7924">
        <v>19.966999999999999</v>
      </c>
      <c r="H7924">
        <v>1.3180000000000001</v>
      </c>
      <c r="I7924">
        <v>6.5970000000000004</v>
      </c>
      <c r="J7924">
        <v>3</v>
      </c>
      <c r="K7924">
        <v>19</v>
      </c>
      <c r="L7924">
        <v>29</v>
      </c>
      <c r="M7924">
        <v>1.302</v>
      </c>
    </row>
    <row r="7925" spans="1:13">
      <c r="A7925" t="s">
        <v>81</v>
      </c>
      <c r="B7925" t="e">
        <f t="shared" si="490"/>
        <v>#N/A</v>
      </c>
      <c r="C7925" t="e">
        <f t="shared" si="491"/>
        <v>#N/A</v>
      </c>
      <c r="D7925" t="e">
        <f t="shared" si="492"/>
        <v>#N/A</v>
      </c>
      <c r="E7925">
        <v>8.5</v>
      </c>
      <c r="F7925" t="e">
        <f t="shared" si="493"/>
        <v>#N/A</v>
      </c>
      <c r="G7925">
        <v>22.466999999999999</v>
      </c>
      <c r="H7925">
        <v>1.478</v>
      </c>
      <c r="I7925">
        <v>6.5609999999999999</v>
      </c>
      <c r="J7925">
        <v>3</v>
      </c>
      <c r="K7925">
        <v>22</v>
      </c>
      <c r="L7925">
        <v>33</v>
      </c>
      <c r="M7925">
        <v>1.4670000000000001</v>
      </c>
    </row>
    <row r="7926" spans="1:13">
      <c r="A7926" t="s">
        <v>81</v>
      </c>
      <c r="B7926" t="e">
        <f t="shared" si="490"/>
        <v>#N/A</v>
      </c>
      <c r="C7926" t="e">
        <f t="shared" si="491"/>
        <v>#N/A</v>
      </c>
      <c r="D7926" t="e">
        <f t="shared" si="492"/>
        <v>#N/A</v>
      </c>
      <c r="E7926">
        <v>9.5</v>
      </c>
      <c r="F7926" t="e">
        <f t="shared" si="493"/>
        <v>#N/A</v>
      </c>
      <c r="G7926">
        <v>18.483000000000001</v>
      </c>
      <c r="H7926">
        <v>1.2669999999999999</v>
      </c>
      <c r="I7926">
        <v>6.835</v>
      </c>
      <c r="J7926">
        <v>3</v>
      </c>
      <c r="K7926">
        <v>18</v>
      </c>
      <c r="L7926">
        <v>27</v>
      </c>
      <c r="M7926">
        <v>1.1970000000000001</v>
      </c>
    </row>
    <row r="7927" spans="1:13">
      <c r="A7927" t="s">
        <v>81</v>
      </c>
      <c r="B7927" t="e">
        <f t="shared" si="490"/>
        <v>#N/A</v>
      </c>
      <c r="C7927" t="e">
        <f t="shared" si="491"/>
        <v>#N/A</v>
      </c>
      <c r="D7927" t="e">
        <f t="shared" si="492"/>
        <v>#N/A</v>
      </c>
      <c r="E7927">
        <v>10.5</v>
      </c>
      <c r="F7927" t="e">
        <f t="shared" si="493"/>
        <v>#N/A</v>
      </c>
      <c r="G7927">
        <v>12.143000000000001</v>
      </c>
      <c r="H7927">
        <v>0.89100000000000001</v>
      </c>
      <c r="I7927">
        <v>7.3150000000000004</v>
      </c>
      <c r="J7927">
        <v>3</v>
      </c>
      <c r="K7927">
        <v>12</v>
      </c>
      <c r="L7927">
        <v>17</v>
      </c>
      <c r="M7927">
        <v>0.76900000000000002</v>
      </c>
    </row>
    <row r="7928" spans="1:13">
      <c r="A7928" t="s">
        <v>81</v>
      </c>
      <c r="B7928" t="e">
        <f t="shared" si="490"/>
        <v>#N/A</v>
      </c>
      <c r="C7928" t="e">
        <f t="shared" si="491"/>
        <v>#N/A</v>
      </c>
      <c r="D7928" t="e">
        <f t="shared" si="492"/>
        <v>#N/A</v>
      </c>
      <c r="E7928">
        <v>11.5</v>
      </c>
      <c r="F7928" t="e">
        <f t="shared" si="493"/>
        <v>#N/A</v>
      </c>
      <c r="G7928">
        <v>8.8829999999999991</v>
      </c>
      <c r="H7928">
        <v>0.64</v>
      </c>
      <c r="I7928">
        <v>7.1909999999999998</v>
      </c>
      <c r="J7928">
        <v>3</v>
      </c>
      <c r="K7928">
        <v>9</v>
      </c>
      <c r="L7928">
        <v>12</v>
      </c>
      <c r="M7928">
        <v>0.54600000000000004</v>
      </c>
    </row>
    <row r="7929" spans="1:13">
      <c r="A7929" t="s">
        <v>81</v>
      </c>
      <c r="B7929" t="e">
        <f t="shared" si="490"/>
        <v>#N/A</v>
      </c>
      <c r="C7929" t="e">
        <f t="shared" si="491"/>
        <v>#N/A</v>
      </c>
      <c r="D7929" t="e">
        <f t="shared" si="492"/>
        <v>#N/A</v>
      </c>
      <c r="E7929">
        <v>12.5</v>
      </c>
      <c r="F7929" t="e">
        <f t="shared" si="493"/>
        <v>#N/A</v>
      </c>
      <c r="G7929">
        <v>7.9329999999999998</v>
      </c>
      <c r="H7929">
        <v>0.47299999999999998</v>
      </c>
      <c r="I7929">
        <v>5.9039999999999999</v>
      </c>
      <c r="J7929">
        <v>3</v>
      </c>
      <c r="K7929">
        <v>8</v>
      </c>
      <c r="L7929">
        <v>10</v>
      </c>
      <c r="M7929">
        <v>0.48299999999999998</v>
      </c>
    </row>
    <row r="7930" spans="1:13">
      <c r="A7930" t="s">
        <v>81</v>
      </c>
      <c r="B7930" t="e">
        <f t="shared" si="490"/>
        <v>#N/A</v>
      </c>
      <c r="C7930" t="e">
        <f t="shared" si="491"/>
        <v>#N/A</v>
      </c>
      <c r="D7930" t="e">
        <f t="shared" si="492"/>
        <v>#N/A</v>
      </c>
      <c r="E7930">
        <v>13.5</v>
      </c>
      <c r="F7930" t="e">
        <f t="shared" si="493"/>
        <v>#N/A</v>
      </c>
      <c r="G7930">
        <v>7.55</v>
      </c>
      <c r="H7930">
        <v>0.33</v>
      </c>
      <c r="I7930">
        <v>4.3230000000000004</v>
      </c>
      <c r="J7930">
        <v>3</v>
      </c>
      <c r="K7930">
        <v>7</v>
      </c>
      <c r="L7930">
        <v>8</v>
      </c>
      <c r="M7930">
        <v>0.45400000000000001</v>
      </c>
    </row>
    <row r="7931" spans="1:13">
      <c r="A7931" t="s">
        <v>81</v>
      </c>
      <c r="B7931" t="e">
        <f t="shared" si="490"/>
        <v>#N/A</v>
      </c>
      <c r="C7931" t="e">
        <f t="shared" si="491"/>
        <v>#N/A</v>
      </c>
      <c r="D7931" t="e">
        <f t="shared" si="492"/>
        <v>#N/A</v>
      </c>
      <c r="E7931">
        <v>14.5</v>
      </c>
      <c r="F7931" t="e">
        <f t="shared" si="493"/>
        <v>#N/A</v>
      </c>
      <c r="G7931">
        <v>6.883</v>
      </c>
      <c r="H7931">
        <v>0.23799999999999999</v>
      </c>
      <c r="I7931">
        <v>3.4129999999999998</v>
      </c>
      <c r="J7931">
        <v>3</v>
      </c>
      <c r="K7931">
        <v>7</v>
      </c>
      <c r="L7931">
        <v>8</v>
      </c>
      <c r="M7931">
        <v>0.40600000000000003</v>
      </c>
    </row>
    <row r="7932" spans="1:13">
      <c r="A7932" t="s">
        <v>81</v>
      </c>
      <c r="B7932" t="e">
        <f t="shared" si="490"/>
        <v>#N/A</v>
      </c>
      <c r="C7932" t="e">
        <f t="shared" si="491"/>
        <v>#N/A</v>
      </c>
      <c r="D7932" t="e">
        <f t="shared" si="492"/>
        <v>#N/A</v>
      </c>
      <c r="E7932">
        <v>15.5</v>
      </c>
      <c r="F7932" t="e">
        <f t="shared" si="493"/>
        <v>#N/A</v>
      </c>
      <c r="G7932">
        <v>8.4169999999999998</v>
      </c>
      <c r="H7932">
        <v>0.32700000000000001</v>
      </c>
      <c r="I7932">
        <v>3.8279999999999998</v>
      </c>
      <c r="J7932">
        <v>3</v>
      </c>
      <c r="K7932">
        <v>8</v>
      </c>
      <c r="L7932">
        <v>8</v>
      </c>
      <c r="M7932">
        <v>0.50600000000000001</v>
      </c>
    </row>
    <row r="7933" spans="1:13">
      <c r="A7933" t="s">
        <v>81</v>
      </c>
      <c r="B7933" t="e">
        <f t="shared" si="490"/>
        <v>#N/A</v>
      </c>
      <c r="C7933" t="e">
        <f t="shared" si="491"/>
        <v>#N/A</v>
      </c>
      <c r="D7933" t="e">
        <f t="shared" si="492"/>
        <v>#N/A</v>
      </c>
      <c r="E7933">
        <v>16.5</v>
      </c>
      <c r="F7933" t="e">
        <f t="shared" si="493"/>
        <v>#N/A</v>
      </c>
      <c r="G7933">
        <v>23.933</v>
      </c>
      <c r="H7933">
        <v>1.2569999999999999</v>
      </c>
      <c r="I7933">
        <v>5.2510000000000003</v>
      </c>
      <c r="J7933">
        <v>3</v>
      </c>
      <c r="K7933">
        <v>23</v>
      </c>
      <c r="L7933">
        <v>23</v>
      </c>
      <c r="M7933">
        <v>1.528</v>
      </c>
    </row>
    <row r="7934" spans="1:13">
      <c r="A7934" t="s">
        <v>81</v>
      </c>
      <c r="B7934" t="e">
        <f t="shared" si="490"/>
        <v>#N/A</v>
      </c>
      <c r="C7934" t="e">
        <f t="shared" si="491"/>
        <v>#N/A</v>
      </c>
      <c r="D7934" t="e">
        <f t="shared" si="492"/>
        <v>#N/A</v>
      </c>
      <c r="E7934">
        <v>17.5</v>
      </c>
      <c r="F7934" t="e">
        <f t="shared" si="493"/>
        <v>#N/A</v>
      </c>
      <c r="G7934">
        <v>57.716999999999999</v>
      </c>
      <c r="H7934">
        <v>1.083</v>
      </c>
      <c r="I7934">
        <v>1.88</v>
      </c>
      <c r="J7934">
        <v>7</v>
      </c>
      <c r="K7934">
        <v>18</v>
      </c>
      <c r="L7934">
        <v>17</v>
      </c>
      <c r="M7934" s="1">
        <v>9000000000</v>
      </c>
    </row>
    <row r="7935" spans="1:13">
      <c r="A7935" t="s">
        <v>81</v>
      </c>
      <c r="B7935" t="e">
        <f t="shared" si="490"/>
        <v>#N/A</v>
      </c>
      <c r="C7935" t="e">
        <f t="shared" si="491"/>
        <v>#N/A</v>
      </c>
      <c r="D7935" t="e">
        <f t="shared" si="492"/>
        <v>#N/A</v>
      </c>
      <c r="E7935">
        <v>18.5</v>
      </c>
      <c r="F7935" t="e">
        <f t="shared" si="493"/>
        <v>#N/A</v>
      </c>
      <c r="G7935">
        <v>55.917000000000002</v>
      </c>
      <c r="H7935">
        <v>1.3520000000000001</v>
      </c>
      <c r="I7935">
        <v>2.4220000000000002</v>
      </c>
      <c r="J7935">
        <v>6</v>
      </c>
      <c r="K7935">
        <v>21</v>
      </c>
      <c r="L7935">
        <v>19</v>
      </c>
      <c r="M7935">
        <v>3.6459999999999999</v>
      </c>
    </row>
    <row r="7936" spans="1:13">
      <c r="A7936" t="s">
        <v>81</v>
      </c>
      <c r="B7936" t="e">
        <f t="shared" si="490"/>
        <v>#N/A</v>
      </c>
      <c r="C7936" t="e">
        <f t="shared" si="491"/>
        <v>#N/A</v>
      </c>
      <c r="D7936" t="e">
        <f t="shared" si="492"/>
        <v>#N/A</v>
      </c>
      <c r="E7936">
        <v>19.5</v>
      </c>
      <c r="F7936" t="e">
        <f t="shared" si="493"/>
        <v>#N/A</v>
      </c>
      <c r="G7936">
        <v>26.216999999999999</v>
      </c>
      <c r="H7936">
        <v>0.83699999999999997</v>
      </c>
      <c r="I7936">
        <v>3.2040000000000002</v>
      </c>
      <c r="J7936">
        <v>5</v>
      </c>
      <c r="K7936">
        <v>13</v>
      </c>
      <c r="L7936">
        <v>11</v>
      </c>
      <c r="M7936">
        <v>1.6619999999999999</v>
      </c>
    </row>
    <row r="7937" spans="1:13">
      <c r="A7937" t="s">
        <v>81</v>
      </c>
      <c r="B7937" t="e">
        <f t="shared" si="490"/>
        <v>#N/A</v>
      </c>
      <c r="C7937" t="e">
        <f t="shared" si="491"/>
        <v>#N/A</v>
      </c>
      <c r="D7937" t="e">
        <f t="shared" si="492"/>
        <v>#N/A</v>
      </c>
      <c r="E7937">
        <v>20.5</v>
      </c>
      <c r="F7937" t="e">
        <f t="shared" si="493"/>
        <v>#N/A</v>
      </c>
      <c r="G7937">
        <v>71</v>
      </c>
      <c r="H7937">
        <v>1.679</v>
      </c>
      <c r="I7937">
        <v>2.3679999999999999</v>
      </c>
      <c r="J7937">
        <v>6</v>
      </c>
      <c r="K7937">
        <v>27</v>
      </c>
      <c r="L7937">
        <v>23</v>
      </c>
      <c r="M7937">
        <v>4.6420000000000003</v>
      </c>
    </row>
    <row r="7938" spans="1:13">
      <c r="A7938" t="s">
        <v>81</v>
      </c>
      <c r="B7938" t="e">
        <f t="shared" ref="B7938:B8001" si="494">VLOOKUP(A7938,XYdata,3,FALSE)</f>
        <v>#N/A</v>
      </c>
      <c r="C7938" t="e">
        <f t="shared" ref="C7938:C8001" si="495">VLOOKUP(A7938,XYdata,2,FALSE)</f>
        <v>#N/A</v>
      </c>
      <c r="D7938" t="e">
        <f t="shared" ref="D7938:D8001" si="496">VLOOKUP(A7938,Elevation,2,FALSE)</f>
        <v>#N/A</v>
      </c>
      <c r="E7938">
        <v>21.5</v>
      </c>
      <c r="F7938" t="e">
        <f t="shared" si="493"/>
        <v>#N/A</v>
      </c>
      <c r="G7938">
        <v>85.882999999999996</v>
      </c>
      <c r="H7938">
        <v>1.51</v>
      </c>
      <c r="I7938">
        <v>1.7609999999999999</v>
      </c>
      <c r="J7938">
        <v>7</v>
      </c>
      <c r="K7938">
        <v>27</v>
      </c>
      <c r="L7938">
        <v>22</v>
      </c>
      <c r="M7938" s="1">
        <v>9000000000</v>
      </c>
    </row>
    <row r="7939" spans="1:13">
      <c r="A7939" t="s">
        <v>81</v>
      </c>
      <c r="B7939" t="e">
        <f t="shared" si="494"/>
        <v>#N/A</v>
      </c>
      <c r="C7939" t="e">
        <f t="shared" si="495"/>
        <v>#N/A</v>
      </c>
      <c r="D7939" t="e">
        <f t="shared" si="496"/>
        <v>#N/A</v>
      </c>
      <c r="E7939">
        <v>22.5</v>
      </c>
      <c r="F7939" t="e">
        <f t="shared" ref="F7939:F8002" si="497">D7939-E7939</f>
        <v>#N/A</v>
      </c>
      <c r="G7939">
        <v>193.61699999999999</v>
      </c>
      <c r="H7939">
        <v>2.0579999999999998</v>
      </c>
      <c r="I7939">
        <v>1.0629999999999999</v>
      </c>
      <c r="J7939">
        <v>9</v>
      </c>
      <c r="K7939">
        <v>37</v>
      </c>
      <c r="L7939">
        <v>29</v>
      </c>
      <c r="M7939" s="1">
        <v>9000000000</v>
      </c>
    </row>
    <row r="7940" spans="1:13">
      <c r="A7940" t="s">
        <v>81</v>
      </c>
      <c r="B7940" t="e">
        <f t="shared" si="494"/>
        <v>#N/A</v>
      </c>
      <c r="C7940" t="e">
        <f t="shared" si="495"/>
        <v>#N/A</v>
      </c>
      <c r="D7940" t="e">
        <f t="shared" si="496"/>
        <v>#N/A</v>
      </c>
      <c r="E7940">
        <v>23.5</v>
      </c>
      <c r="F7940" t="e">
        <f t="shared" si="497"/>
        <v>#N/A</v>
      </c>
      <c r="G7940">
        <v>160.05000000000001</v>
      </c>
      <c r="H7940">
        <v>2.113</v>
      </c>
      <c r="I7940">
        <v>1.321</v>
      </c>
      <c r="J7940">
        <v>8</v>
      </c>
      <c r="K7940">
        <v>38</v>
      </c>
      <c r="L7940">
        <v>29</v>
      </c>
      <c r="M7940" s="1">
        <v>9000000000</v>
      </c>
    </row>
    <row r="7941" spans="1:13">
      <c r="A7941" t="s">
        <v>81</v>
      </c>
      <c r="B7941" t="e">
        <f t="shared" si="494"/>
        <v>#N/A</v>
      </c>
      <c r="C7941" t="e">
        <f t="shared" si="495"/>
        <v>#N/A</v>
      </c>
      <c r="D7941" t="e">
        <f t="shared" si="496"/>
        <v>#N/A</v>
      </c>
      <c r="E7941">
        <v>24.5</v>
      </c>
      <c r="F7941" t="e">
        <f t="shared" si="497"/>
        <v>#N/A</v>
      </c>
      <c r="G7941">
        <v>130.88300000000001</v>
      </c>
      <c r="H7941">
        <v>1.8520000000000001</v>
      </c>
      <c r="I7941">
        <v>1.4159999999999999</v>
      </c>
      <c r="J7941">
        <v>8</v>
      </c>
      <c r="K7941">
        <v>31</v>
      </c>
      <c r="L7941">
        <v>23</v>
      </c>
      <c r="M7941" s="1">
        <v>9000000000</v>
      </c>
    </row>
    <row r="7942" spans="1:13">
      <c r="A7942" t="s">
        <v>81</v>
      </c>
      <c r="B7942" t="e">
        <f t="shared" si="494"/>
        <v>#N/A</v>
      </c>
      <c r="C7942" t="e">
        <f t="shared" si="495"/>
        <v>#N/A</v>
      </c>
      <c r="D7942" t="e">
        <f t="shared" si="496"/>
        <v>#N/A</v>
      </c>
      <c r="E7942">
        <v>25.5</v>
      </c>
      <c r="F7942" t="e">
        <f t="shared" si="497"/>
        <v>#N/A</v>
      </c>
      <c r="G7942">
        <v>21.733000000000001</v>
      </c>
      <c r="H7942">
        <v>0.96199999999999997</v>
      </c>
      <c r="I7942">
        <v>4.4489999999999998</v>
      </c>
      <c r="J7942">
        <v>3</v>
      </c>
      <c r="K7942">
        <v>21</v>
      </c>
      <c r="L7942">
        <v>15</v>
      </c>
      <c r="M7942">
        <v>1.337</v>
      </c>
    </row>
    <row r="7943" spans="1:13">
      <c r="A7943" t="s">
        <v>81</v>
      </c>
      <c r="B7943" t="e">
        <f t="shared" si="494"/>
        <v>#N/A</v>
      </c>
      <c r="C7943" t="e">
        <f t="shared" si="495"/>
        <v>#N/A</v>
      </c>
      <c r="D7943" t="e">
        <f t="shared" si="496"/>
        <v>#N/A</v>
      </c>
      <c r="E7943">
        <v>26.5</v>
      </c>
      <c r="F7943" t="e">
        <f t="shared" si="497"/>
        <v>#N/A</v>
      </c>
      <c r="G7943">
        <v>22.917000000000002</v>
      </c>
      <c r="H7943">
        <v>1.1100000000000001</v>
      </c>
      <c r="I7943">
        <v>4.8650000000000002</v>
      </c>
      <c r="J7943">
        <v>3</v>
      </c>
      <c r="K7943">
        <v>22</v>
      </c>
      <c r="L7943">
        <v>15</v>
      </c>
      <c r="M7943">
        <v>1.4119999999999999</v>
      </c>
    </row>
    <row r="7944" spans="1:13">
      <c r="A7944" t="s">
        <v>81</v>
      </c>
      <c r="B7944" t="e">
        <f t="shared" si="494"/>
        <v>#N/A</v>
      </c>
      <c r="C7944" t="e">
        <f t="shared" si="495"/>
        <v>#N/A</v>
      </c>
      <c r="D7944" t="e">
        <f t="shared" si="496"/>
        <v>#N/A</v>
      </c>
      <c r="E7944">
        <v>27.5</v>
      </c>
      <c r="F7944" t="e">
        <f t="shared" si="497"/>
        <v>#N/A</v>
      </c>
      <c r="G7944">
        <v>21.766999999999999</v>
      </c>
      <c r="H7944">
        <v>1.0349999999999999</v>
      </c>
      <c r="I7944">
        <v>4.7770000000000001</v>
      </c>
      <c r="J7944">
        <v>3</v>
      </c>
      <c r="K7944">
        <v>21</v>
      </c>
      <c r="L7944">
        <v>15</v>
      </c>
      <c r="M7944">
        <v>1.3320000000000001</v>
      </c>
    </row>
    <row r="7945" spans="1:13">
      <c r="A7945" t="s">
        <v>81</v>
      </c>
      <c r="B7945" t="e">
        <f t="shared" si="494"/>
        <v>#N/A</v>
      </c>
      <c r="C7945" t="e">
        <f t="shared" si="495"/>
        <v>#N/A</v>
      </c>
      <c r="D7945" t="e">
        <f t="shared" si="496"/>
        <v>#N/A</v>
      </c>
      <c r="E7945">
        <v>28.5</v>
      </c>
      <c r="F7945" t="e">
        <f t="shared" si="497"/>
        <v>#N/A</v>
      </c>
      <c r="G7945">
        <v>10.55</v>
      </c>
      <c r="H7945">
        <v>0.41499999999999998</v>
      </c>
      <c r="I7945">
        <v>3.9710000000000001</v>
      </c>
      <c r="J7945">
        <v>3</v>
      </c>
      <c r="K7945">
        <v>10</v>
      </c>
      <c r="L7945">
        <v>7</v>
      </c>
      <c r="M7945">
        <v>0.57999999999999996</v>
      </c>
    </row>
    <row r="7946" spans="1:13">
      <c r="A7946" t="s">
        <v>81</v>
      </c>
      <c r="B7946" t="e">
        <f t="shared" si="494"/>
        <v>#N/A</v>
      </c>
      <c r="C7946" t="e">
        <f t="shared" si="495"/>
        <v>#N/A</v>
      </c>
      <c r="D7946" t="e">
        <f t="shared" si="496"/>
        <v>#N/A</v>
      </c>
      <c r="E7946">
        <v>29.5</v>
      </c>
      <c r="F7946" t="e">
        <f t="shared" si="497"/>
        <v>#N/A</v>
      </c>
      <c r="G7946">
        <v>12.333</v>
      </c>
      <c r="H7946">
        <v>0.497</v>
      </c>
      <c r="I7946">
        <v>4.0599999999999996</v>
      </c>
      <c r="J7946">
        <v>3</v>
      </c>
      <c r="K7946">
        <v>12</v>
      </c>
      <c r="L7946">
        <v>8</v>
      </c>
      <c r="M7946">
        <v>0.69399999999999995</v>
      </c>
    </row>
    <row r="7947" spans="1:13">
      <c r="A7947" t="s">
        <v>81</v>
      </c>
      <c r="B7947" t="e">
        <f t="shared" si="494"/>
        <v>#N/A</v>
      </c>
      <c r="C7947" t="e">
        <f t="shared" si="495"/>
        <v>#N/A</v>
      </c>
      <c r="D7947" t="e">
        <f t="shared" si="496"/>
        <v>#N/A</v>
      </c>
      <c r="E7947">
        <v>30.5</v>
      </c>
      <c r="F7947" t="e">
        <f t="shared" si="497"/>
        <v>#N/A</v>
      </c>
      <c r="G7947">
        <v>11.867000000000001</v>
      </c>
      <c r="H7947">
        <v>0.497</v>
      </c>
      <c r="I7947">
        <v>4.2210000000000001</v>
      </c>
      <c r="J7947">
        <v>3</v>
      </c>
      <c r="K7947">
        <v>11</v>
      </c>
      <c r="L7947">
        <v>7</v>
      </c>
      <c r="M7947">
        <v>0.65900000000000003</v>
      </c>
    </row>
    <row r="7948" spans="1:13">
      <c r="A7948" t="s">
        <v>81</v>
      </c>
      <c r="B7948" t="e">
        <f t="shared" si="494"/>
        <v>#N/A</v>
      </c>
      <c r="C7948" t="e">
        <f t="shared" si="495"/>
        <v>#N/A</v>
      </c>
      <c r="D7948" t="e">
        <f t="shared" si="496"/>
        <v>#N/A</v>
      </c>
      <c r="E7948">
        <v>31.5</v>
      </c>
      <c r="F7948" t="e">
        <f t="shared" si="497"/>
        <v>#N/A</v>
      </c>
      <c r="G7948">
        <v>15.143000000000001</v>
      </c>
      <c r="H7948">
        <v>0.63700000000000001</v>
      </c>
      <c r="I7948">
        <v>4.2309999999999999</v>
      </c>
      <c r="J7948">
        <v>3</v>
      </c>
      <c r="K7948">
        <v>14</v>
      </c>
      <c r="L7948">
        <v>9</v>
      </c>
      <c r="M7948">
        <v>0.874</v>
      </c>
    </row>
    <row r="7949" spans="1:13">
      <c r="A7949" t="s">
        <v>81</v>
      </c>
      <c r="B7949" t="e">
        <f t="shared" si="494"/>
        <v>#N/A</v>
      </c>
      <c r="C7949" t="e">
        <f t="shared" si="495"/>
        <v>#N/A</v>
      </c>
      <c r="D7949" t="e">
        <f t="shared" si="496"/>
        <v>#N/A</v>
      </c>
      <c r="E7949">
        <v>32.5</v>
      </c>
      <c r="F7949" t="e">
        <f t="shared" si="497"/>
        <v>#N/A</v>
      </c>
      <c r="G7949">
        <v>9.6829999999999998</v>
      </c>
      <c r="H7949">
        <v>0.34799999999999998</v>
      </c>
      <c r="I7949">
        <v>3.6160000000000001</v>
      </c>
      <c r="J7949">
        <v>3</v>
      </c>
      <c r="K7949">
        <v>9</v>
      </c>
      <c r="L7949">
        <v>6</v>
      </c>
      <c r="M7949">
        <v>0.50900000000000001</v>
      </c>
    </row>
    <row r="7950" spans="1:13">
      <c r="A7950" t="s">
        <v>81</v>
      </c>
      <c r="B7950" t="e">
        <f t="shared" si="494"/>
        <v>#N/A</v>
      </c>
      <c r="C7950" t="e">
        <f t="shared" si="495"/>
        <v>#N/A</v>
      </c>
      <c r="D7950" t="e">
        <f t="shared" si="496"/>
        <v>#N/A</v>
      </c>
      <c r="E7950">
        <v>33.5</v>
      </c>
      <c r="F7950" t="e">
        <f t="shared" si="497"/>
        <v>#N/A</v>
      </c>
      <c r="G7950">
        <v>20.25</v>
      </c>
      <c r="H7950">
        <v>0.85299999999999998</v>
      </c>
      <c r="I7950">
        <v>4.2169999999999996</v>
      </c>
      <c r="J7950">
        <v>4</v>
      </c>
      <c r="K7950">
        <v>13</v>
      </c>
      <c r="L7950">
        <v>8</v>
      </c>
      <c r="M7950">
        <v>1.2110000000000001</v>
      </c>
    </row>
    <row r="7951" spans="1:13">
      <c r="A7951" t="s">
        <v>81</v>
      </c>
      <c r="B7951" t="e">
        <f t="shared" si="494"/>
        <v>#N/A</v>
      </c>
      <c r="C7951" t="e">
        <f t="shared" si="495"/>
        <v>#N/A</v>
      </c>
      <c r="D7951" t="e">
        <f t="shared" si="496"/>
        <v>#N/A</v>
      </c>
      <c r="E7951">
        <v>34.5</v>
      </c>
      <c r="F7951" t="e">
        <f t="shared" si="497"/>
        <v>#N/A</v>
      </c>
      <c r="G7951">
        <v>28.483000000000001</v>
      </c>
      <c r="H7951">
        <v>1.4950000000000001</v>
      </c>
      <c r="I7951">
        <v>5.2549999999999999</v>
      </c>
      <c r="J7951">
        <v>3</v>
      </c>
      <c r="K7951">
        <v>27</v>
      </c>
      <c r="L7951">
        <v>17</v>
      </c>
      <c r="M7951">
        <v>1.7549999999999999</v>
      </c>
    </row>
    <row r="7952" spans="1:13">
      <c r="A7952" t="s">
        <v>81</v>
      </c>
      <c r="B7952" t="e">
        <f t="shared" si="494"/>
        <v>#N/A</v>
      </c>
      <c r="C7952" t="e">
        <f t="shared" si="495"/>
        <v>#N/A</v>
      </c>
      <c r="D7952" t="e">
        <f t="shared" si="496"/>
        <v>#N/A</v>
      </c>
      <c r="E7952">
        <v>35.5</v>
      </c>
      <c r="F7952" t="e">
        <f t="shared" si="497"/>
        <v>#N/A</v>
      </c>
      <c r="G7952">
        <v>14.833</v>
      </c>
      <c r="H7952">
        <v>0.72499999999999998</v>
      </c>
      <c r="I7952">
        <v>4.91</v>
      </c>
      <c r="J7952">
        <v>3</v>
      </c>
      <c r="K7952">
        <v>14</v>
      </c>
      <c r="L7952">
        <v>9</v>
      </c>
      <c r="M7952">
        <v>0.83899999999999997</v>
      </c>
    </row>
    <row r="7953" spans="1:13">
      <c r="A7953" t="s">
        <v>81</v>
      </c>
      <c r="B7953" t="e">
        <f t="shared" si="494"/>
        <v>#N/A</v>
      </c>
      <c r="C7953" t="e">
        <f t="shared" si="495"/>
        <v>#N/A</v>
      </c>
      <c r="D7953" t="e">
        <f t="shared" si="496"/>
        <v>#N/A</v>
      </c>
      <c r="E7953">
        <v>36.5</v>
      </c>
      <c r="F7953" t="e">
        <f t="shared" si="497"/>
        <v>#N/A</v>
      </c>
      <c r="G7953">
        <v>42.167000000000002</v>
      </c>
      <c r="H7953">
        <v>1.5669999999999999</v>
      </c>
      <c r="I7953">
        <v>3.7229999999999999</v>
      </c>
      <c r="J7953">
        <v>5</v>
      </c>
      <c r="K7953">
        <v>20</v>
      </c>
      <c r="L7953">
        <v>12</v>
      </c>
      <c r="M7953">
        <v>2.6560000000000001</v>
      </c>
    </row>
    <row r="7954" spans="1:13">
      <c r="A7954" t="s">
        <v>81</v>
      </c>
      <c r="B7954" t="e">
        <f t="shared" si="494"/>
        <v>#N/A</v>
      </c>
      <c r="C7954" t="e">
        <f t="shared" si="495"/>
        <v>#N/A</v>
      </c>
      <c r="D7954" t="e">
        <f t="shared" si="496"/>
        <v>#N/A</v>
      </c>
      <c r="E7954">
        <v>37.5</v>
      </c>
      <c r="F7954" t="e">
        <f t="shared" si="497"/>
        <v>#N/A</v>
      </c>
      <c r="G7954">
        <v>91.3</v>
      </c>
      <c r="H7954">
        <v>2.7629999999999999</v>
      </c>
      <c r="I7954">
        <v>3.0289999999999999</v>
      </c>
      <c r="J7954">
        <v>6</v>
      </c>
      <c r="K7954">
        <v>35</v>
      </c>
      <c r="L7954">
        <v>21</v>
      </c>
      <c r="M7954">
        <v>5.9269999999999996</v>
      </c>
    </row>
    <row r="7955" spans="1:13">
      <c r="A7955" t="s">
        <v>81</v>
      </c>
      <c r="B7955" t="e">
        <f t="shared" si="494"/>
        <v>#N/A</v>
      </c>
      <c r="C7955" t="e">
        <f t="shared" si="495"/>
        <v>#N/A</v>
      </c>
      <c r="D7955" t="e">
        <f t="shared" si="496"/>
        <v>#N/A</v>
      </c>
      <c r="E7955">
        <v>38.5</v>
      </c>
      <c r="F7955" t="e">
        <f t="shared" si="497"/>
        <v>#N/A</v>
      </c>
      <c r="G7955">
        <v>27.35</v>
      </c>
      <c r="H7955">
        <v>1.585</v>
      </c>
      <c r="I7955">
        <v>5.8129999999999997</v>
      </c>
      <c r="J7955">
        <v>3</v>
      </c>
      <c r="K7955">
        <v>26</v>
      </c>
      <c r="L7955">
        <v>16</v>
      </c>
      <c r="M7955">
        <v>1.659</v>
      </c>
    </row>
    <row r="7956" spans="1:13">
      <c r="A7956" t="s">
        <v>81</v>
      </c>
      <c r="B7956" t="e">
        <f t="shared" si="494"/>
        <v>#N/A</v>
      </c>
      <c r="C7956" t="e">
        <f t="shared" si="495"/>
        <v>#N/A</v>
      </c>
      <c r="D7956" t="e">
        <f t="shared" si="496"/>
        <v>#N/A</v>
      </c>
      <c r="E7956">
        <v>39.5</v>
      </c>
      <c r="F7956" t="e">
        <f t="shared" si="497"/>
        <v>#N/A</v>
      </c>
      <c r="G7956">
        <v>28.783000000000001</v>
      </c>
      <c r="H7956">
        <v>1.0780000000000001</v>
      </c>
      <c r="I7956">
        <v>3.7549999999999999</v>
      </c>
      <c r="J7956">
        <v>5</v>
      </c>
      <c r="K7956">
        <v>14</v>
      </c>
      <c r="L7956">
        <v>8</v>
      </c>
      <c r="M7956">
        <v>1.752</v>
      </c>
    </row>
    <row r="7957" spans="1:13">
      <c r="A7957" t="s">
        <v>81</v>
      </c>
      <c r="B7957" t="e">
        <f t="shared" si="494"/>
        <v>#N/A</v>
      </c>
      <c r="C7957" t="e">
        <f t="shared" si="495"/>
        <v>#N/A</v>
      </c>
      <c r="D7957" t="e">
        <f t="shared" si="496"/>
        <v>#N/A</v>
      </c>
      <c r="E7957">
        <v>40.5</v>
      </c>
      <c r="F7957" t="e">
        <f t="shared" si="497"/>
        <v>#N/A</v>
      </c>
      <c r="G7957">
        <v>36.133000000000003</v>
      </c>
      <c r="H7957">
        <v>1.867</v>
      </c>
      <c r="I7957">
        <v>5.1680000000000001</v>
      </c>
      <c r="J7957">
        <v>3</v>
      </c>
      <c r="K7957">
        <v>35</v>
      </c>
      <c r="L7957">
        <v>20</v>
      </c>
      <c r="M7957">
        <v>2.2410000000000001</v>
      </c>
    </row>
    <row r="7958" spans="1:13">
      <c r="A7958" t="s">
        <v>81</v>
      </c>
      <c r="B7958" t="e">
        <f t="shared" si="494"/>
        <v>#N/A</v>
      </c>
      <c r="C7958" t="e">
        <f t="shared" si="495"/>
        <v>#N/A</v>
      </c>
      <c r="D7958" t="e">
        <f t="shared" si="496"/>
        <v>#N/A</v>
      </c>
      <c r="E7958">
        <v>41.499000000000002</v>
      </c>
      <c r="F7958" t="e">
        <f t="shared" si="497"/>
        <v>#N/A</v>
      </c>
      <c r="G7958">
        <v>51.771000000000001</v>
      </c>
      <c r="H7958">
        <v>2.65</v>
      </c>
      <c r="I7958">
        <v>5.1230000000000002</v>
      </c>
      <c r="J7958">
        <v>3</v>
      </c>
      <c r="K7958">
        <v>50</v>
      </c>
      <c r="L7958">
        <v>29</v>
      </c>
      <c r="M7958">
        <v>3.278</v>
      </c>
    </row>
    <row r="7959" spans="1:13">
      <c r="A7959" t="s">
        <v>81</v>
      </c>
      <c r="B7959" t="e">
        <f t="shared" si="494"/>
        <v>#N/A</v>
      </c>
      <c r="C7959" t="e">
        <f t="shared" si="495"/>
        <v>#N/A</v>
      </c>
      <c r="D7959" t="e">
        <f t="shared" si="496"/>
        <v>#N/A</v>
      </c>
      <c r="E7959">
        <v>42.499000000000002</v>
      </c>
      <c r="F7959" t="e">
        <f t="shared" si="497"/>
        <v>#N/A</v>
      </c>
      <c r="G7959">
        <v>51.767000000000003</v>
      </c>
      <c r="H7959">
        <v>2.3199999999999998</v>
      </c>
      <c r="I7959">
        <v>4.492</v>
      </c>
      <c r="J7959">
        <v>4</v>
      </c>
      <c r="K7959">
        <v>33</v>
      </c>
      <c r="L7959">
        <v>19</v>
      </c>
      <c r="M7959">
        <v>3.2679999999999998</v>
      </c>
    </row>
    <row r="7960" spans="1:13">
      <c r="A7960" t="s">
        <v>81</v>
      </c>
      <c r="B7960" t="e">
        <f t="shared" si="494"/>
        <v>#N/A</v>
      </c>
      <c r="C7960" t="e">
        <f t="shared" si="495"/>
        <v>#N/A</v>
      </c>
      <c r="D7960" t="e">
        <f t="shared" si="496"/>
        <v>#N/A</v>
      </c>
      <c r="E7960">
        <v>43.499000000000002</v>
      </c>
      <c r="F7960" t="e">
        <f t="shared" si="497"/>
        <v>#N/A</v>
      </c>
      <c r="G7960">
        <v>35.466999999999999</v>
      </c>
      <c r="H7960">
        <v>1.5149999999999999</v>
      </c>
      <c r="I7960">
        <v>4.29</v>
      </c>
      <c r="J7960">
        <v>4</v>
      </c>
      <c r="K7960">
        <v>23</v>
      </c>
      <c r="L7960">
        <v>13</v>
      </c>
      <c r="M7960">
        <v>2.1749999999999998</v>
      </c>
    </row>
    <row r="7961" spans="1:13">
      <c r="A7961" t="s">
        <v>81</v>
      </c>
      <c r="B7961" t="e">
        <f t="shared" si="494"/>
        <v>#N/A</v>
      </c>
      <c r="C7961" t="e">
        <f t="shared" si="495"/>
        <v>#N/A</v>
      </c>
      <c r="D7961" t="e">
        <f t="shared" si="496"/>
        <v>#N/A</v>
      </c>
      <c r="E7961">
        <v>44.499000000000002</v>
      </c>
      <c r="F7961" t="e">
        <f t="shared" si="497"/>
        <v>#N/A</v>
      </c>
      <c r="G7961">
        <v>244.483</v>
      </c>
      <c r="H7961">
        <v>12.333</v>
      </c>
      <c r="I7961">
        <v>5.048</v>
      </c>
      <c r="J7961">
        <v>11</v>
      </c>
      <c r="K7961">
        <v>234</v>
      </c>
      <c r="L7961">
        <v>130</v>
      </c>
      <c r="M7961" s="1">
        <v>9000000000</v>
      </c>
    </row>
    <row r="7962" spans="1:13">
      <c r="A7962" t="s">
        <v>81</v>
      </c>
      <c r="B7962" t="e">
        <f t="shared" si="494"/>
        <v>#N/A</v>
      </c>
      <c r="C7962" t="e">
        <f t="shared" si="495"/>
        <v>#N/A</v>
      </c>
      <c r="D7962" t="e">
        <f t="shared" si="496"/>
        <v>#N/A</v>
      </c>
      <c r="E7962">
        <v>45.499000000000002</v>
      </c>
      <c r="F7962" t="e">
        <f t="shared" si="497"/>
        <v>#N/A</v>
      </c>
      <c r="G7962">
        <v>43.366999999999997</v>
      </c>
      <c r="H7962">
        <v>2.5680000000000001</v>
      </c>
      <c r="I7962">
        <v>5.952</v>
      </c>
      <c r="J7962">
        <v>3</v>
      </c>
      <c r="K7962">
        <v>41</v>
      </c>
      <c r="L7962">
        <v>23</v>
      </c>
      <c r="M7962">
        <v>2.6890000000000001</v>
      </c>
    </row>
    <row r="7963" spans="1:13">
      <c r="A7963" t="s">
        <v>81</v>
      </c>
      <c r="B7963" t="e">
        <f t="shared" si="494"/>
        <v>#N/A</v>
      </c>
      <c r="C7963" t="e">
        <f t="shared" si="495"/>
        <v>#N/A</v>
      </c>
      <c r="D7963" t="e">
        <f t="shared" si="496"/>
        <v>#N/A</v>
      </c>
      <c r="E7963">
        <v>46.499000000000002</v>
      </c>
      <c r="F7963" t="e">
        <f t="shared" si="497"/>
        <v>#N/A</v>
      </c>
      <c r="G7963">
        <v>38.25</v>
      </c>
      <c r="H7963">
        <v>1.65</v>
      </c>
      <c r="I7963">
        <v>4.3360000000000003</v>
      </c>
      <c r="J7963">
        <v>4</v>
      </c>
      <c r="K7963">
        <v>24</v>
      </c>
      <c r="L7963">
        <v>13</v>
      </c>
      <c r="M7963">
        <v>2.3450000000000002</v>
      </c>
    </row>
    <row r="7964" spans="1:13">
      <c r="A7964" t="s">
        <v>81</v>
      </c>
      <c r="B7964" t="e">
        <f t="shared" si="494"/>
        <v>#N/A</v>
      </c>
      <c r="C7964" t="e">
        <f t="shared" si="495"/>
        <v>#N/A</v>
      </c>
      <c r="D7964" t="e">
        <f t="shared" si="496"/>
        <v>#N/A</v>
      </c>
      <c r="E7964">
        <v>47.499000000000002</v>
      </c>
      <c r="F7964" t="e">
        <f t="shared" si="497"/>
        <v>#N/A</v>
      </c>
      <c r="G7964">
        <v>45.25</v>
      </c>
      <c r="H7964">
        <v>2.593</v>
      </c>
      <c r="I7964">
        <v>5.7569999999999997</v>
      </c>
      <c r="J7964">
        <v>3</v>
      </c>
      <c r="K7964">
        <v>43</v>
      </c>
      <c r="L7964">
        <v>23</v>
      </c>
      <c r="M7964">
        <v>2.8069999999999999</v>
      </c>
    </row>
    <row r="7965" spans="1:13">
      <c r="A7965" t="s">
        <v>81</v>
      </c>
      <c r="B7965" t="e">
        <f t="shared" si="494"/>
        <v>#N/A</v>
      </c>
      <c r="C7965" t="e">
        <f t="shared" si="495"/>
        <v>#N/A</v>
      </c>
      <c r="D7965" t="e">
        <f t="shared" si="496"/>
        <v>#N/A</v>
      </c>
      <c r="E7965">
        <v>48.499000000000002</v>
      </c>
      <c r="F7965" t="e">
        <f t="shared" si="497"/>
        <v>#N/A</v>
      </c>
      <c r="G7965">
        <v>252.96700000000001</v>
      </c>
      <c r="H7965">
        <v>11.682</v>
      </c>
      <c r="I7965">
        <v>4.6219999999999999</v>
      </c>
      <c r="J7965">
        <v>11</v>
      </c>
      <c r="K7965">
        <v>242</v>
      </c>
      <c r="L7965">
        <v>129</v>
      </c>
      <c r="M7965" s="1">
        <v>9000000000</v>
      </c>
    </row>
    <row r="7966" spans="1:13">
      <c r="A7966" t="s">
        <v>81</v>
      </c>
      <c r="B7966" t="e">
        <f t="shared" si="494"/>
        <v>#N/A</v>
      </c>
      <c r="C7966" t="e">
        <f t="shared" si="495"/>
        <v>#N/A</v>
      </c>
      <c r="D7966" t="e">
        <f t="shared" si="496"/>
        <v>#N/A</v>
      </c>
      <c r="E7966">
        <v>49.499000000000002</v>
      </c>
      <c r="F7966" t="e">
        <f t="shared" si="497"/>
        <v>#N/A</v>
      </c>
      <c r="G7966">
        <v>423.3</v>
      </c>
      <c r="H7966">
        <v>0</v>
      </c>
      <c r="I7966">
        <v>0</v>
      </c>
      <c r="J7966">
        <v>10</v>
      </c>
      <c r="K7966" s="1">
        <v>9000000000</v>
      </c>
      <c r="L7966" s="1">
        <v>9000000000</v>
      </c>
      <c r="M7966" s="1">
        <v>9000000000</v>
      </c>
    </row>
    <row r="7967" spans="1:13">
      <c r="A7967" t="s">
        <v>82</v>
      </c>
      <c r="B7967" t="e">
        <f t="shared" si="494"/>
        <v>#N/A</v>
      </c>
      <c r="C7967" t="e">
        <f t="shared" si="495"/>
        <v>#N/A</v>
      </c>
      <c r="D7967" t="e">
        <f t="shared" si="496"/>
        <v>#N/A</v>
      </c>
      <c r="E7967">
        <v>0.5</v>
      </c>
      <c r="F7967" t="e">
        <f t="shared" si="497"/>
        <v>#N/A</v>
      </c>
      <c r="G7967">
        <v>4.5999999999999996</v>
      </c>
      <c r="H7967">
        <v>0.34200000000000003</v>
      </c>
      <c r="I7967">
        <v>7.3479999999999999</v>
      </c>
      <c r="J7967">
        <v>3</v>
      </c>
      <c r="K7967">
        <v>4</v>
      </c>
      <c r="L7967">
        <v>6</v>
      </c>
      <c r="M7967">
        <v>0.308</v>
      </c>
    </row>
    <row r="7968" spans="1:13">
      <c r="A7968" t="s">
        <v>82</v>
      </c>
      <c r="B7968" t="e">
        <f t="shared" si="494"/>
        <v>#N/A</v>
      </c>
      <c r="C7968" t="e">
        <f t="shared" si="495"/>
        <v>#N/A</v>
      </c>
      <c r="D7968" t="e">
        <f t="shared" si="496"/>
        <v>#N/A</v>
      </c>
      <c r="E7968">
        <v>1.5</v>
      </c>
      <c r="F7968" t="e">
        <f t="shared" si="497"/>
        <v>#N/A</v>
      </c>
      <c r="G7968">
        <v>21.917000000000002</v>
      </c>
      <c r="H7968">
        <v>1.1020000000000001</v>
      </c>
      <c r="I7968">
        <v>5.0190000000000001</v>
      </c>
      <c r="J7968">
        <v>3</v>
      </c>
      <c r="K7968">
        <v>21</v>
      </c>
      <c r="L7968">
        <v>32</v>
      </c>
      <c r="M7968">
        <v>1.4570000000000001</v>
      </c>
    </row>
    <row r="7969" spans="1:13">
      <c r="A7969" t="s">
        <v>82</v>
      </c>
      <c r="B7969" t="e">
        <f t="shared" si="494"/>
        <v>#N/A</v>
      </c>
      <c r="C7969" t="e">
        <f t="shared" si="495"/>
        <v>#N/A</v>
      </c>
      <c r="D7969" t="e">
        <f t="shared" si="496"/>
        <v>#N/A</v>
      </c>
      <c r="E7969">
        <v>2.5</v>
      </c>
      <c r="F7969" t="e">
        <f t="shared" si="497"/>
        <v>#N/A</v>
      </c>
      <c r="G7969">
        <v>6.9329999999999998</v>
      </c>
      <c r="H7969">
        <v>0.35499999999999998</v>
      </c>
      <c r="I7969">
        <v>5.12</v>
      </c>
      <c r="J7969">
        <v>3</v>
      </c>
      <c r="K7969">
        <v>7</v>
      </c>
      <c r="L7969">
        <v>11</v>
      </c>
      <c r="M7969">
        <v>0.45200000000000001</v>
      </c>
    </row>
    <row r="7970" spans="1:13">
      <c r="A7970" t="s">
        <v>82</v>
      </c>
      <c r="B7970" t="e">
        <f t="shared" si="494"/>
        <v>#N/A</v>
      </c>
      <c r="C7970" t="e">
        <f t="shared" si="495"/>
        <v>#N/A</v>
      </c>
      <c r="D7970" t="e">
        <f t="shared" si="496"/>
        <v>#N/A</v>
      </c>
      <c r="E7970">
        <v>3.5</v>
      </c>
      <c r="F7970" t="e">
        <f t="shared" si="497"/>
        <v>#N/A</v>
      </c>
      <c r="G7970">
        <v>7.383</v>
      </c>
      <c r="H7970">
        <v>0.34200000000000003</v>
      </c>
      <c r="I7970">
        <v>4.6379999999999999</v>
      </c>
      <c r="J7970">
        <v>3</v>
      </c>
      <c r="K7970">
        <v>7</v>
      </c>
      <c r="L7970">
        <v>11</v>
      </c>
      <c r="M7970">
        <v>0.47699999999999998</v>
      </c>
    </row>
    <row r="7971" spans="1:13">
      <c r="A7971" t="s">
        <v>82</v>
      </c>
      <c r="B7971" t="e">
        <f t="shared" si="494"/>
        <v>#N/A</v>
      </c>
      <c r="C7971" t="e">
        <f t="shared" si="495"/>
        <v>#N/A</v>
      </c>
      <c r="D7971" t="e">
        <f t="shared" si="496"/>
        <v>#N/A</v>
      </c>
      <c r="E7971">
        <v>4.5</v>
      </c>
      <c r="F7971" t="e">
        <f t="shared" si="497"/>
        <v>#N/A</v>
      </c>
      <c r="G7971">
        <v>10.55</v>
      </c>
      <c r="H7971">
        <v>0.46300000000000002</v>
      </c>
      <c r="I7971">
        <v>4.399</v>
      </c>
      <c r="J7971">
        <v>3</v>
      </c>
      <c r="K7971">
        <v>10</v>
      </c>
      <c r="L7971">
        <v>15</v>
      </c>
      <c r="M7971">
        <v>0.68400000000000005</v>
      </c>
    </row>
    <row r="7972" spans="1:13">
      <c r="A7972" t="s">
        <v>82</v>
      </c>
      <c r="B7972" t="e">
        <f t="shared" si="494"/>
        <v>#N/A</v>
      </c>
      <c r="C7972" t="e">
        <f t="shared" si="495"/>
        <v>#N/A</v>
      </c>
      <c r="D7972" t="e">
        <f t="shared" si="496"/>
        <v>#N/A</v>
      </c>
      <c r="E7972">
        <v>5.5</v>
      </c>
      <c r="F7972" t="e">
        <f t="shared" si="497"/>
        <v>#N/A</v>
      </c>
      <c r="G7972">
        <v>13.717000000000001</v>
      </c>
      <c r="H7972">
        <v>0.61799999999999999</v>
      </c>
      <c r="I7972">
        <v>4.508</v>
      </c>
      <c r="J7972">
        <v>3</v>
      </c>
      <c r="K7972">
        <v>13</v>
      </c>
      <c r="L7972">
        <v>20</v>
      </c>
      <c r="M7972">
        <v>0.89200000000000002</v>
      </c>
    </row>
    <row r="7973" spans="1:13">
      <c r="A7973" t="s">
        <v>82</v>
      </c>
      <c r="B7973" t="e">
        <f t="shared" si="494"/>
        <v>#N/A</v>
      </c>
      <c r="C7973" t="e">
        <f t="shared" si="495"/>
        <v>#N/A</v>
      </c>
      <c r="D7973" t="e">
        <f t="shared" si="496"/>
        <v>#N/A</v>
      </c>
      <c r="E7973">
        <v>6.5</v>
      </c>
      <c r="F7973" t="e">
        <f t="shared" si="497"/>
        <v>#N/A</v>
      </c>
      <c r="G7973">
        <v>16.817</v>
      </c>
      <c r="H7973">
        <v>0.73199999999999998</v>
      </c>
      <c r="I7973">
        <v>4.3550000000000004</v>
      </c>
      <c r="J7973">
        <v>3</v>
      </c>
      <c r="K7973">
        <v>16</v>
      </c>
      <c r="L7973">
        <v>24</v>
      </c>
      <c r="M7973">
        <v>1.093</v>
      </c>
    </row>
    <row r="7974" spans="1:13">
      <c r="A7974" t="s">
        <v>82</v>
      </c>
      <c r="B7974" t="e">
        <f t="shared" si="494"/>
        <v>#N/A</v>
      </c>
      <c r="C7974" t="e">
        <f t="shared" si="495"/>
        <v>#N/A</v>
      </c>
      <c r="D7974" t="e">
        <f t="shared" si="496"/>
        <v>#N/A</v>
      </c>
      <c r="E7974">
        <v>7.5</v>
      </c>
      <c r="F7974" t="e">
        <f t="shared" si="497"/>
        <v>#N/A</v>
      </c>
      <c r="G7974">
        <v>21.632999999999999</v>
      </c>
      <c r="H7974">
        <v>1.0269999999999999</v>
      </c>
      <c r="I7974">
        <v>4.7460000000000004</v>
      </c>
      <c r="J7974">
        <v>3</v>
      </c>
      <c r="K7974">
        <v>21</v>
      </c>
      <c r="L7974">
        <v>32</v>
      </c>
      <c r="M7974">
        <v>1.411</v>
      </c>
    </row>
    <row r="7975" spans="1:13">
      <c r="A7975" t="s">
        <v>82</v>
      </c>
      <c r="B7975" t="e">
        <f t="shared" si="494"/>
        <v>#N/A</v>
      </c>
      <c r="C7975" t="e">
        <f t="shared" si="495"/>
        <v>#N/A</v>
      </c>
      <c r="D7975" t="e">
        <f t="shared" si="496"/>
        <v>#N/A</v>
      </c>
      <c r="E7975">
        <v>8.5</v>
      </c>
      <c r="F7975" t="e">
        <f t="shared" si="497"/>
        <v>#N/A</v>
      </c>
      <c r="G7975">
        <v>22.367000000000001</v>
      </c>
      <c r="H7975">
        <v>1.198</v>
      </c>
      <c r="I7975">
        <v>5.3579999999999997</v>
      </c>
      <c r="J7975">
        <v>3</v>
      </c>
      <c r="K7975">
        <v>21</v>
      </c>
      <c r="L7975">
        <v>32</v>
      </c>
      <c r="M7975">
        <v>1.456</v>
      </c>
    </row>
    <row r="7976" spans="1:13">
      <c r="A7976" t="s">
        <v>82</v>
      </c>
      <c r="B7976" t="e">
        <f t="shared" si="494"/>
        <v>#N/A</v>
      </c>
      <c r="C7976" t="e">
        <f t="shared" si="495"/>
        <v>#N/A</v>
      </c>
      <c r="D7976" t="e">
        <f t="shared" si="496"/>
        <v>#N/A</v>
      </c>
      <c r="E7976">
        <v>9.5</v>
      </c>
      <c r="F7976" t="e">
        <f t="shared" si="497"/>
        <v>#N/A</v>
      </c>
      <c r="G7976">
        <v>14.016999999999999</v>
      </c>
      <c r="H7976">
        <v>0.80700000000000005</v>
      </c>
      <c r="I7976">
        <v>5.7549999999999999</v>
      </c>
      <c r="J7976">
        <v>3</v>
      </c>
      <c r="K7976">
        <v>13</v>
      </c>
      <c r="L7976">
        <v>20</v>
      </c>
      <c r="M7976">
        <v>0.89500000000000002</v>
      </c>
    </row>
    <row r="7977" spans="1:13">
      <c r="A7977" t="s">
        <v>82</v>
      </c>
      <c r="B7977" t="e">
        <f t="shared" si="494"/>
        <v>#N/A</v>
      </c>
      <c r="C7977" t="e">
        <f t="shared" si="495"/>
        <v>#N/A</v>
      </c>
      <c r="D7977" t="e">
        <f t="shared" si="496"/>
        <v>#N/A</v>
      </c>
      <c r="E7977">
        <v>10.5</v>
      </c>
      <c r="F7977" t="e">
        <f t="shared" si="497"/>
        <v>#N/A</v>
      </c>
      <c r="G7977">
        <v>11.557</v>
      </c>
      <c r="H7977">
        <v>0.68899999999999995</v>
      </c>
      <c r="I7977">
        <v>5.9649999999999999</v>
      </c>
      <c r="J7977">
        <v>3</v>
      </c>
      <c r="K7977">
        <v>11</v>
      </c>
      <c r="L7977">
        <v>15</v>
      </c>
      <c r="M7977">
        <v>0.72599999999999998</v>
      </c>
    </row>
    <row r="7978" spans="1:13">
      <c r="A7978" t="s">
        <v>82</v>
      </c>
      <c r="B7978" t="e">
        <f t="shared" si="494"/>
        <v>#N/A</v>
      </c>
      <c r="C7978" t="e">
        <f t="shared" si="495"/>
        <v>#N/A</v>
      </c>
      <c r="D7978" t="e">
        <f t="shared" si="496"/>
        <v>#N/A</v>
      </c>
      <c r="E7978">
        <v>11.5</v>
      </c>
      <c r="F7978" t="e">
        <f t="shared" si="497"/>
        <v>#N/A</v>
      </c>
      <c r="G7978">
        <v>8.4670000000000005</v>
      </c>
      <c r="H7978">
        <v>0.44700000000000001</v>
      </c>
      <c r="I7978">
        <v>5.2759999999999998</v>
      </c>
      <c r="J7978">
        <v>3</v>
      </c>
      <c r="K7978">
        <v>8</v>
      </c>
      <c r="L7978">
        <v>10</v>
      </c>
      <c r="M7978">
        <v>0.51700000000000002</v>
      </c>
    </row>
    <row r="7979" spans="1:13">
      <c r="A7979" t="s">
        <v>82</v>
      </c>
      <c r="B7979" t="e">
        <f t="shared" si="494"/>
        <v>#N/A</v>
      </c>
      <c r="C7979" t="e">
        <f t="shared" si="495"/>
        <v>#N/A</v>
      </c>
      <c r="D7979" t="e">
        <f t="shared" si="496"/>
        <v>#N/A</v>
      </c>
      <c r="E7979">
        <v>12.5</v>
      </c>
      <c r="F7979" t="e">
        <f t="shared" si="497"/>
        <v>#N/A</v>
      </c>
      <c r="G7979">
        <v>6.2169999999999996</v>
      </c>
      <c r="H7979">
        <v>0.27500000000000002</v>
      </c>
      <c r="I7979">
        <v>4.4240000000000004</v>
      </c>
      <c r="J7979">
        <v>3</v>
      </c>
      <c r="K7979">
        <v>6</v>
      </c>
      <c r="L7979">
        <v>7</v>
      </c>
      <c r="M7979">
        <v>0.36299999999999999</v>
      </c>
    </row>
    <row r="7980" spans="1:13">
      <c r="A7980" t="s">
        <v>82</v>
      </c>
      <c r="B7980" t="e">
        <f t="shared" si="494"/>
        <v>#N/A</v>
      </c>
      <c r="C7980" t="e">
        <f t="shared" si="495"/>
        <v>#N/A</v>
      </c>
      <c r="D7980" t="e">
        <f t="shared" si="496"/>
        <v>#N/A</v>
      </c>
      <c r="E7980">
        <v>13.5</v>
      </c>
      <c r="F7980" t="e">
        <f t="shared" si="497"/>
        <v>#N/A</v>
      </c>
      <c r="G7980">
        <v>7.2</v>
      </c>
      <c r="H7980">
        <v>0.27300000000000002</v>
      </c>
      <c r="I7980">
        <v>3.7879999999999998</v>
      </c>
      <c r="J7980">
        <v>3</v>
      </c>
      <c r="K7980">
        <v>7</v>
      </c>
      <c r="L7980">
        <v>8</v>
      </c>
      <c r="M7980">
        <v>0.42599999999999999</v>
      </c>
    </row>
    <row r="7981" spans="1:13">
      <c r="A7981" t="s">
        <v>82</v>
      </c>
      <c r="B7981" t="e">
        <f t="shared" si="494"/>
        <v>#N/A</v>
      </c>
      <c r="C7981" t="e">
        <f t="shared" si="495"/>
        <v>#N/A</v>
      </c>
      <c r="D7981" t="e">
        <f t="shared" si="496"/>
        <v>#N/A</v>
      </c>
      <c r="E7981">
        <v>14.5</v>
      </c>
      <c r="F7981" t="e">
        <f t="shared" si="497"/>
        <v>#N/A</v>
      </c>
      <c r="G7981">
        <v>8.2330000000000005</v>
      </c>
      <c r="H7981">
        <v>0.35799999999999998</v>
      </c>
      <c r="I7981">
        <v>4.3170000000000002</v>
      </c>
      <c r="J7981">
        <v>3</v>
      </c>
      <c r="K7981">
        <v>8</v>
      </c>
      <c r="L7981">
        <v>9</v>
      </c>
      <c r="M7981">
        <v>0.49399999999999999</v>
      </c>
    </row>
    <row r="7982" spans="1:13">
      <c r="A7982" t="s">
        <v>82</v>
      </c>
      <c r="B7982" t="e">
        <f t="shared" si="494"/>
        <v>#N/A</v>
      </c>
      <c r="C7982" t="e">
        <f t="shared" si="495"/>
        <v>#N/A</v>
      </c>
      <c r="D7982" t="e">
        <f t="shared" si="496"/>
        <v>#N/A</v>
      </c>
      <c r="E7982">
        <v>15.5</v>
      </c>
      <c r="F7982" t="e">
        <f t="shared" si="497"/>
        <v>#N/A</v>
      </c>
      <c r="G7982">
        <v>12.117000000000001</v>
      </c>
      <c r="H7982">
        <v>0.625</v>
      </c>
      <c r="I7982">
        <v>5.1580000000000004</v>
      </c>
      <c r="J7982">
        <v>3</v>
      </c>
      <c r="K7982">
        <v>12</v>
      </c>
      <c r="L7982">
        <v>12</v>
      </c>
      <c r="M7982">
        <v>0.74399999999999999</v>
      </c>
    </row>
    <row r="7983" spans="1:13">
      <c r="A7983" t="s">
        <v>82</v>
      </c>
      <c r="B7983" t="e">
        <f t="shared" si="494"/>
        <v>#N/A</v>
      </c>
      <c r="C7983" t="e">
        <f t="shared" si="495"/>
        <v>#N/A</v>
      </c>
      <c r="D7983" t="e">
        <f t="shared" si="496"/>
        <v>#N/A</v>
      </c>
      <c r="E7983">
        <v>16.5</v>
      </c>
      <c r="F7983" t="e">
        <f t="shared" si="497"/>
        <v>#N/A</v>
      </c>
      <c r="G7983">
        <v>23.4</v>
      </c>
      <c r="H7983">
        <v>1.1830000000000001</v>
      </c>
      <c r="I7983">
        <v>5.0819999999999999</v>
      </c>
      <c r="J7983">
        <v>3</v>
      </c>
      <c r="K7983">
        <v>22</v>
      </c>
      <c r="L7983">
        <v>22</v>
      </c>
      <c r="M7983">
        <v>1.4850000000000001</v>
      </c>
    </row>
    <row r="7984" spans="1:13">
      <c r="A7984" t="s">
        <v>82</v>
      </c>
      <c r="B7984" t="e">
        <f t="shared" si="494"/>
        <v>#N/A</v>
      </c>
      <c r="C7984" t="e">
        <f t="shared" si="495"/>
        <v>#N/A</v>
      </c>
      <c r="D7984" t="e">
        <f t="shared" si="496"/>
        <v>#N/A</v>
      </c>
      <c r="E7984">
        <v>17.5</v>
      </c>
      <c r="F7984" t="e">
        <f t="shared" si="497"/>
        <v>#N/A</v>
      </c>
      <c r="G7984">
        <v>38.85</v>
      </c>
      <c r="H7984">
        <v>1.012</v>
      </c>
      <c r="I7984">
        <v>2.613</v>
      </c>
      <c r="J7984">
        <v>6</v>
      </c>
      <c r="K7984">
        <v>15</v>
      </c>
      <c r="L7984">
        <v>14</v>
      </c>
      <c r="M7984">
        <v>2.5089999999999999</v>
      </c>
    </row>
    <row r="7985" spans="1:13">
      <c r="A7985" t="s">
        <v>82</v>
      </c>
      <c r="B7985" t="e">
        <f t="shared" si="494"/>
        <v>#N/A</v>
      </c>
      <c r="C7985" t="e">
        <f t="shared" si="495"/>
        <v>#N/A</v>
      </c>
      <c r="D7985" t="e">
        <f t="shared" si="496"/>
        <v>#N/A</v>
      </c>
      <c r="E7985">
        <v>18.5</v>
      </c>
      <c r="F7985" t="e">
        <f t="shared" si="497"/>
        <v>#N/A</v>
      </c>
      <c r="G7985">
        <v>37.450000000000003</v>
      </c>
      <c r="H7985">
        <v>0.74</v>
      </c>
      <c r="I7985">
        <v>1.9850000000000001</v>
      </c>
      <c r="J7985">
        <v>6</v>
      </c>
      <c r="K7985">
        <v>14</v>
      </c>
      <c r="L7985">
        <v>13</v>
      </c>
      <c r="M7985">
        <v>2.41</v>
      </c>
    </row>
    <row r="7986" spans="1:13">
      <c r="A7986" t="s">
        <v>82</v>
      </c>
      <c r="B7986" t="e">
        <f t="shared" si="494"/>
        <v>#N/A</v>
      </c>
      <c r="C7986" t="e">
        <f t="shared" si="495"/>
        <v>#N/A</v>
      </c>
      <c r="D7986" t="e">
        <f t="shared" si="496"/>
        <v>#N/A</v>
      </c>
      <c r="E7986">
        <v>19.5</v>
      </c>
      <c r="F7986" t="e">
        <f t="shared" si="497"/>
        <v>#N/A</v>
      </c>
      <c r="G7986">
        <v>58.1</v>
      </c>
      <c r="H7986">
        <v>0.76300000000000001</v>
      </c>
      <c r="I7986">
        <v>1.3169999999999999</v>
      </c>
      <c r="J7986">
        <v>7</v>
      </c>
      <c r="K7986">
        <v>19</v>
      </c>
      <c r="L7986">
        <v>17</v>
      </c>
      <c r="M7986" s="1">
        <v>9000000000</v>
      </c>
    </row>
    <row r="7987" spans="1:13">
      <c r="A7987" t="s">
        <v>82</v>
      </c>
      <c r="B7987" t="e">
        <f t="shared" si="494"/>
        <v>#N/A</v>
      </c>
      <c r="C7987" t="e">
        <f t="shared" si="495"/>
        <v>#N/A</v>
      </c>
      <c r="D7987" t="e">
        <f t="shared" si="496"/>
        <v>#N/A</v>
      </c>
      <c r="E7987">
        <v>20.5</v>
      </c>
      <c r="F7987" t="e">
        <f t="shared" si="497"/>
        <v>#N/A</v>
      </c>
      <c r="G7987">
        <v>101.24299999999999</v>
      </c>
      <c r="H7987">
        <v>0.91300000000000003</v>
      </c>
      <c r="I7987">
        <v>0.90300000000000002</v>
      </c>
      <c r="J7987">
        <v>8</v>
      </c>
      <c r="K7987">
        <v>24</v>
      </c>
      <c r="L7987">
        <v>20</v>
      </c>
      <c r="M7987" s="1">
        <v>9000000000</v>
      </c>
    </row>
    <row r="7988" spans="1:13">
      <c r="A7988" t="s">
        <v>82</v>
      </c>
      <c r="B7988" t="e">
        <f t="shared" si="494"/>
        <v>#N/A</v>
      </c>
      <c r="C7988" t="e">
        <f t="shared" si="495"/>
        <v>#N/A</v>
      </c>
      <c r="D7988" t="e">
        <f t="shared" si="496"/>
        <v>#N/A</v>
      </c>
      <c r="E7988">
        <v>21.5</v>
      </c>
      <c r="F7988" t="e">
        <f t="shared" si="497"/>
        <v>#N/A</v>
      </c>
      <c r="G7988">
        <v>160.71700000000001</v>
      </c>
      <c r="H7988">
        <v>1.0249999999999999</v>
      </c>
      <c r="I7988">
        <v>0.63800000000000001</v>
      </c>
      <c r="J7988">
        <v>9</v>
      </c>
      <c r="K7988">
        <v>31</v>
      </c>
      <c r="L7988">
        <v>25</v>
      </c>
      <c r="M7988" s="1">
        <v>9000000000</v>
      </c>
    </row>
    <row r="7989" spans="1:13">
      <c r="A7989" t="s">
        <v>82</v>
      </c>
      <c r="B7989" t="e">
        <f t="shared" si="494"/>
        <v>#N/A</v>
      </c>
      <c r="C7989" t="e">
        <f t="shared" si="495"/>
        <v>#N/A</v>
      </c>
      <c r="D7989" t="e">
        <f t="shared" si="496"/>
        <v>#N/A</v>
      </c>
      <c r="E7989">
        <v>22.5</v>
      </c>
      <c r="F7989" t="e">
        <f t="shared" si="497"/>
        <v>#N/A</v>
      </c>
      <c r="G7989">
        <v>195.483</v>
      </c>
      <c r="H7989">
        <v>1.3029999999999999</v>
      </c>
      <c r="I7989">
        <v>0.66700000000000004</v>
      </c>
      <c r="J7989">
        <v>9</v>
      </c>
      <c r="K7989">
        <v>37</v>
      </c>
      <c r="L7989">
        <v>29</v>
      </c>
      <c r="M7989" s="1">
        <v>9000000000</v>
      </c>
    </row>
    <row r="7990" spans="1:13">
      <c r="A7990" t="s">
        <v>82</v>
      </c>
      <c r="B7990" t="e">
        <f t="shared" si="494"/>
        <v>#N/A</v>
      </c>
      <c r="C7990" t="e">
        <f t="shared" si="495"/>
        <v>#N/A</v>
      </c>
      <c r="D7990" t="e">
        <f t="shared" si="496"/>
        <v>#N/A</v>
      </c>
      <c r="E7990">
        <v>23.5</v>
      </c>
      <c r="F7990" t="e">
        <f t="shared" si="497"/>
        <v>#N/A</v>
      </c>
      <c r="G7990">
        <v>178.78299999999999</v>
      </c>
      <c r="H7990">
        <v>1.655</v>
      </c>
      <c r="I7990">
        <v>0.92700000000000005</v>
      </c>
      <c r="J7990">
        <v>9</v>
      </c>
      <c r="K7990">
        <v>34</v>
      </c>
      <c r="L7990">
        <v>26</v>
      </c>
      <c r="M7990" s="1">
        <v>9000000000</v>
      </c>
    </row>
    <row r="7991" spans="1:13">
      <c r="A7991" t="s">
        <v>82</v>
      </c>
      <c r="B7991" t="e">
        <f t="shared" si="494"/>
        <v>#N/A</v>
      </c>
      <c r="C7991" t="e">
        <f t="shared" si="495"/>
        <v>#N/A</v>
      </c>
      <c r="D7991" t="e">
        <f t="shared" si="496"/>
        <v>#N/A</v>
      </c>
      <c r="E7991">
        <v>24.5</v>
      </c>
      <c r="F7991" t="e">
        <f t="shared" si="497"/>
        <v>#N/A</v>
      </c>
      <c r="G7991">
        <v>71.832999999999998</v>
      </c>
      <c r="H7991">
        <v>1.2769999999999999</v>
      </c>
      <c r="I7991">
        <v>1.782</v>
      </c>
      <c r="J7991">
        <v>7</v>
      </c>
      <c r="K7991">
        <v>23</v>
      </c>
      <c r="L7991">
        <v>17</v>
      </c>
      <c r="M7991" s="1">
        <v>9000000000</v>
      </c>
    </row>
    <row r="7992" spans="1:13">
      <c r="A7992" t="s">
        <v>82</v>
      </c>
      <c r="B7992" t="e">
        <f t="shared" si="494"/>
        <v>#N/A</v>
      </c>
      <c r="C7992" t="e">
        <f t="shared" si="495"/>
        <v>#N/A</v>
      </c>
      <c r="D7992" t="e">
        <f t="shared" si="496"/>
        <v>#N/A</v>
      </c>
      <c r="E7992">
        <v>25.5</v>
      </c>
      <c r="F7992" t="e">
        <f t="shared" si="497"/>
        <v>#N/A</v>
      </c>
      <c r="G7992">
        <v>18.850000000000001</v>
      </c>
      <c r="H7992">
        <v>0.83199999999999996</v>
      </c>
      <c r="I7992">
        <v>4.4509999999999996</v>
      </c>
      <c r="J7992">
        <v>3</v>
      </c>
      <c r="K7992">
        <v>18</v>
      </c>
      <c r="L7992">
        <v>13</v>
      </c>
      <c r="M7992">
        <v>1.141</v>
      </c>
    </row>
    <row r="7993" spans="1:13">
      <c r="A7993" t="s">
        <v>82</v>
      </c>
      <c r="B7993" t="e">
        <f t="shared" si="494"/>
        <v>#N/A</v>
      </c>
      <c r="C7993" t="e">
        <f t="shared" si="495"/>
        <v>#N/A</v>
      </c>
      <c r="D7993" t="e">
        <f t="shared" si="496"/>
        <v>#N/A</v>
      </c>
      <c r="E7993">
        <v>26.5</v>
      </c>
      <c r="F7993" t="e">
        <f t="shared" si="497"/>
        <v>#N/A</v>
      </c>
      <c r="G7993">
        <v>31.716999999999999</v>
      </c>
      <c r="H7993">
        <v>1.4</v>
      </c>
      <c r="I7993">
        <v>4.4400000000000004</v>
      </c>
      <c r="J7993">
        <v>4</v>
      </c>
      <c r="K7993">
        <v>20</v>
      </c>
      <c r="L7993">
        <v>14</v>
      </c>
      <c r="M7993">
        <v>1.9930000000000001</v>
      </c>
    </row>
    <row r="7994" spans="1:13">
      <c r="A7994" t="s">
        <v>82</v>
      </c>
      <c r="B7994" t="e">
        <f t="shared" si="494"/>
        <v>#N/A</v>
      </c>
      <c r="C7994" t="e">
        <f t="shared" si="495"/>
        <v>#N/A</v>
      </c>
      <c r="D7994" t="e">
        <f t="shared" si="496"/>
        <v>#N/A</v>
      </c>
      <c r="E7994">
        <v>27.5</v>
      </c>
      <c r="F7994" t="e">
        <f t="shared" si="497"/>
        <v>#N/A</v>
      </c>
      <c r="G7994">
        <v>12.667</v>
      </c>
      <c r="H7994">
        <v>0.63</v>
      </c>
      <c r="I7994">
        <v>5.0330000000000004</v>
      </c>
      <c r="J7994">
        <v>3</v>
      </c>
      <c r="K7994">
        <v>12</v>
      </c>
      <c r="L7994">
        <v>8</v>
      </c>
      <c r="M7994">
        <v>0.72099999999999997</v>
      </c>
    </row>
    <row r="7995" spans="1:13">
      <c r="A7995" t="s">
        <v>82</v>
      </c>
      <c r="B7995" t="e">
        <f t="shared" si="494"/>
        <v>#N/A</v>
      </c>
      <c r="C7995" t="e">
        <f t="shared" si="495"/>
        <v>#N/A</v>
      </c>
      <c r="D7995" t="e">
        <f t="shared" si="496"/>
        <v>#N/A</v>
      </c>
      <c r="E7995">
        <v>28.5</v>
      </c>
      <c r="F7995" t="e">
        <f t="shared" si="497"/>
        <v>#N/A</v>
      </c>
      <c r="G7995">
        <v>12.417</v>
      </c>
      <c r="H7995">
        <v>0.48299999999999998</v>
      </c>
      <c r="I7995">
        <v>3.9460000000000002</v>
      </c>
      <c r="J7995">
        <v>3</v>
      </c>
      <c r="K7995">
        <v>12</v>
      </c>
      <c r="L7995">
        <v>8</v>
      </c>
      <c r="M7995">
        <v>0.69899999999999995</v>
      </c>
    </row>
    <row r="7996" spans="1:13">
      <c r="A7996" t="s">
        <v>82</v>
      </c>
      <c r="B7996" t="e">
        <f t="shared" si="494"/>
        <v>#N/A</v>
      </c>
      <c r="C7996" t="e">
        <f t="shared" si="495"/>
        <v>#N/A</v>
      </c>
      <c r="D7996" t="e">
        <f t="shared" si="496"/>
        <v>#N/A</v>
      </c>
      <c r="E7996">
        <v>29.5</v>
      </c>
      <c r="F7996" t="e">
        <f t="shared" si="497"/>
        <v>#N/A</v>
      </c>
      <c r="G7996">
        <v>14.167</v>
      </c>
      <c r="H7996">
        <v>0.56499999999999995</v>
      </c>
      <c r="I7996">
        <v>4.0359999999999996</v>
      </c>
      <c r="J7996">
        <v>3</v>
      </c>
      <c r="K7996">
        <v>13</v>
      </c>
      <c r="L7996">
        <v>9</v>
      </c>
      <c r="M7996">
        <v>0.81200000000000006</v>
      </c>
    </row>
    <row r="7997" spans="1:13">
      <c r="A7997" t="s">
        <v>82</v>
      </c>
      <c r="B7997" t="e">
        <f t="shared" si="494"/>
        <v>#N/A</v>
      </c>
      <c r="C7997" t="e">
        <f t="shared" si="495"/>
        <v>#N/A</v>
      </c>
      <c r="D7997" t="e">
        <f t="shared" si="496"/>
        <v>#N/A</v>
      </c>
      <c r="E7997">
        <v>30.5</v>
      </c>
      <c r="F7997" t="e">
        <f t="shared" si="497"/>
        <v>#N/A</v>
      </c>
      <c r="G7997">
        <v>17.25</v>
      </c>
      <c r="H7997">
        <v>0.46200000000000002</v>
      </c>
      <c r="I7997">
        <v>2.7050000000000001</v>
      </c>
      <c r="J7997">
        <v>5</v>
      </c>
      <c r="K7997">
        <v>8</v>
      </c>
      <c r="L7997">
        <v>5</v>
      </c>
      <c r="M7997">
        <v>1.012</v>
      </c>
    </row>
    <row r="7998" spans="1:13">
      <c r="A7998" t="s">
        <v>82</v>
      </c>
      <c r="B7998" t="e">
        <f t="shared" si="494"/>
        <v>#N/A</v>
      </c>
      <c r="C7998" t="e">
        <f t="shared" si="495"/>
        <v>#N/A</v>
      </c>
      <c r="D7998" t="e">
        <f t="shared" si="496"/>
        <v>#N/A</v>
      </c>
      <c r="E7998">
        <v>31.5</v>
      </c>
      <c r="F7998" t="e">
        <f t="shared" si="497"/>
        <v>#N/A</v>
      </c>
      <c r="G7998">
        <v>16.257000000000001</v>
      </c>
      <c r="H7998">
        <v>0.72399999999999998</v>
      </c>
      <c r="I7998">
        <v>4.4950000000000001</v>
      </c>
      <c r="J7998">
        <v>3</v>
      </c>
      <c r="K7998">
        <v>15</v>
      </c>
      <c r="L7998">
        <v>10</v>
      </c>
      <c r="M7998">
        <v>0.94499999999999995</v>
      </c>
    </row>
    <row r="7999" spans="1:13">
      <c r="A7999" t="s">
        <v>82</v>
      </c>
      <c r="B7999" t="e">
        <f t="shared" si="494"/>
        <v>#N/A</v>
      </c>
      <c r="C7999" t="e">
        <f t="shared" si="495"/>
        <v>#N/A</v>
      </c>
      <c r="D7999" t="e">
        <f t="shared" si="496"/>
        <v>#N/A</v>
      </c>
      <c r="E7999">
        <v>32.5</v>
      </c>
      <c r="F7999" t="e">
        <f t="shared" si="497"/>
        <v>#N/A</v>
      </c>
      <c r="G7999">
        <v>15.1</v>
      </c>
      <c r="H7999">
        <v>0.65500000000000003</v>
      </c>
      <c r="I7999">
        <v>4.3810000000000002</v>
      </c>
      <c r="J7999">
        <v>3</v>
      </c>
      <c r="K7999">
        <v>14</v>
      </c>
      <c r="L7999">
        <v>9</v>
      </c>
      <c r="M7999">
        <v>0.86299999999999999</v>
      </c>
    </row>
    <row r="8000" spans="1:13">
      <c r="A8000" t="s">
        <v>82</v>
      </c>
      <c r="B8000" t="e">
        <f t="shared" si="494"/>
        <v>#N/A</v>
      </c>
      <c r="C8000" t="e">
        <f t="shared" si="495"/>
        <v>#N/A</v>
      </c>
      <c r="D8000" t="e">
        <f t="shared" si="496"/>
        <v>#N/A</v>
      </c>
      <c r="E8000">
        <v>33.5</v>
      </c>
      <c r="F8000" t="e">
        <f t="shared" si="497"/>
        <v>#N/A</v>
      </c>
      <c r="G8000">
        <v>32.616999999999997</v>
      </c>
      <c r="H8000">
        <v>1.5980000000000001</v>
      </c>
      <c r="I8000">
        <v>4.923</v>
      </c>
      <c r="J8000">
        <v>3</v>
      </c>
      <c r="K8000">
        <v>31</v>
      </c>
      <c r="L8000">
        <v>20</v>
      </c>
      <c r="M8000">
        <v>2.0259999999999998</v>
      </c>
    </row>
    <row r="8001" spans="1:13">
      <c r="A8001" t="s">
        <v>82</v>
      </c>
      <c r="B8001" t="e">
        <f t="shared" si="494"/>
        <v>#N/A</v>
      </c>
      <c r="C8001" t="e">
        <f t="shared" si="495"/>
        <v>#N/A</v>
      </c>
      <c r="D8001" t="e">
        <f t="shared" si="496"/>
        <v>#N/A</v>
      </c>
      <c r="E8001">
        <v>34.5</v>
      </c>
      <c r="F8001" t="e">
        <f t="shared" si="497"/>
        <v>#N/A</v>
      </c>
      <c r="G8001">
        <v>17.266999999999999</v>
      </c>
      <c r="H8001">
        <v>0.76500000000000001</v>
      </c>
      <c r="I8001">
        <v>4.4610000000000003</v>
      </c>
      <c r="J8001">
        <v>3</v>
      </c>
      <c r="K8001">
        <v>16</v>
      </c>
      <c r="L8001">
        <v>10</v>
      </c>
      <c r="M8001">
        <v>1.0009999999999999</v>
      </c>
    </row>
    <row r="8002" spans="1:13">
      <c r="A8002" t="s">
        <v>82</v>
      </c>
      <c r="B8002" t="e">
        <f t="shared" ref="B8002:B8065" si="498">VLOOKUP(A8002,XYdata,3,FALSE)</f>
        <v>#N/A</v>
      </c>
      <c r="C8002" t="e">
        <f t="shared" ref="C8002:C8065" si="499">VLOOKUP(A8002,XYdata,2,FALSE)</f>
        <v>#N/A</v>
      </c>
      <c r="D8002" t="e">
        <f t="shared" ref="D8002:D8065" si="500">VLOOKUP(A8002,Elevation,2,FALSE)</f>
        <v>#N/A</v>
      </c>
      <c r="E8002">
        <v>35.5</v>
      </c>
      <c r="F8002" t="e">
        <f t="shared" si="497"/>
        <v>#N/A</v>
      </c>
      <c r="G8002">
        <v>18.216999999999999</v>
      </c>
      <c r="H8002">
        <v>0.628</v>
      </c>
      <c r="I8002">
        <v>3.468</v>
      </c>
      <c r="J8002">
        <v>4</v>
      </c>
      <c r="K8002">
        <v>12</v>
      </c>
      <c r="L8002">
        <v>7</v>
      </c>
      <c r="M8002">
        <v>1.0620000000000001</v>
      </c>
    </row>
    <row r="8003" spans="1:13">
      <c r="A8003" t="s">
        <v>82</v>
      </c>
      <c r="B8003" t="e">
        <f t="shared" si="498"/>
        <v>#N/A</v>
      </c>
      <c r="C8003" t="e">
        <f t="shared" si="499"/>
        <v>#N/A</v>
      </c>
      <c r="D8003" t="e">
        <f t="shared" si="500"/>
        <v>#N/A</v>
      </c>
      <c r="E8003">
        <v>36.5</v>
      </c>
      <c r="F8003" t="e">
        <f t="shared" ref="F8003:F8066" si="501">D8003-E8003</f>
        <v>#N/A</v>
      </c>
      <c r="G8003">
        <v>48.267000000000003</v>
      </c>
      <c r="H8003">
        <v>1.5049999999999999</v>
      </c>
      <c r="I8003">
        <v>3.125</v>
      </c>
      <c r="J8003">
        <v>6</v>
      </c>
      <c r="K8003">
        <v>18</v>
      </c>
      <c r="L8003">
        <v>11</v>
      </c>
      <c r="M8003">
        <v>3.0609999999999999</v>
      </c>
    </row>
    <row r="8004" spans="1:13">
      <c r="A8004" t="s">
        <v>82</v>
      </c>
      <c r="B8004" t="e">
        <f t="shared" si="498"/>
        <v>#N/A</v>
      </c>
      <c r="C8004" t="e">
        <f t="shared" si="499"/>
        <v>#N/A</v>
      </c>
      <c r="D8004" t="e">
        <f t="shared" si="500"/>
        <v>#N/A</v>
      </c>
      <c r="E8004">
        <v>37.5</v>
      </c>
      <c r="F8004" t="e">
        <f t="shared" si="501"/>
        <v>#N/A</v>
      </c>
      <c r="G8004">
        <v>86.816999999999993</v>
      </c>
      <c r="H8004">
        <v>2.327</v>
      </c>
      <c r="I8004">
        <v>2.6840000000000002</v>
      </c>
      <c r="J8004">
        <v>6</v>
      </c>
      <c r="K8004">
        <v>33</v>
      </c>
      <c r="L8004">
        <v>20</v>
      </c>
      <c r="M8004">
        <v>5.6260000000000003</v>
      </c>
    </row>
    <row r="8005" spans="1:13">
      <c r="A8005" t="s">
        <v>82</v>
      </c>
      <c r="B8005" t="e">
        <f t="shared" si="498"/>
        <v>#N/A</v>
      </c>
      <c r="C8005" t="e">
        <f t="shared" si="499"/>
        <v>#N/A</v>
      </c>
      <c r="D8005" t="e">
        <f t="shared" si="500"/>
        <v>#N/A</v>
      </c>
      <c r="E8005">
        <v>38.5</v>
      </c>
      <c r="F8005" t="e">
        <f t="shared" si="501"/>
        <v>#N/A</v>
      </c>
      <c r="G8005">
        <v>34</v>
      </c>
      <c r="H8005">
        <v>1.1619999999999999</v>
      </c>
      <c r="I8005">
        <v>3.4319999999999999</v>
      </c>
      <c r="J8005">
        <v>5</v>
      </c>
      <c r="K8005">
        <v>16</v>
      </c>
      <c r="L8005">
        <v>10</v>
      </c>
      <c r="M8005">
        <v>2.0979999999999999</v>
      </c>
    </row>
    <row r="8006" spans="1:13">
      <c r="A8006" t="s">
        <v>82</v>
      </c>
      <c r="B8006" t="e">
        <f t="shared" si="498"/>
        <v>#N/A</v>
      </c>
      <c r="C8006" t="e">
        <f t="shared" si="499"/>
        <v>#N/A</v>
      </c>
      <c r="D8006" t="e">
        <f t="shared" si="500"/>
        <v>#N/A</v>
      </c>
      <c r="E8006">
        <v>39.5</v>
      </c>
      <c r="F8006" t="e">
        <f t="shared" si="501"/>
        <v>#N/A</v>
      </c>
      <c r="G8006">
        <v>33.817</v>
      </c>
      <c r="H8006">
        <v>1.5529999999999999</v>
      </c>
      <c r="I8006">
        <v>4.6120000000000001</v>
      </c>
      <c r="J8006">
        <v>4</v>
      </c>
      <c r="K8006">
        <v>22</v>
      </c>
      <c r="L8006">
        <v>13</v>
      </c>
      <c r="M8006">
        <v>2.0830000000000002</v>
      </c>
    </row>
    <row r="8007" spans="1:13">
      <c r="A8007" t="s">
        <v>82</v>
      </c>
      <c r="B8007" t="e">
        <f t="shared" si="498"/>
        <v>#N/A</v>
      </c>
      <c r="C8007" t="e">
        <f t="shared" si="499"/>
        <v>#N/A</v>
      </c>
      <c r="D8007" t="e">
        <f t="shared" si="500"/>
        <v>#N/A</v>
      </c>
      <c r="E8007">
        <v>40.5</v>
      </c>
      <c r="F8007" t="e">
        <f t="shared" si="501"/>
        <v>#N/A</v>
      </c>
      <c r="G8007">
        <v>36.299999999999997</v>
      </c>
      <c r="H8007">
        <v>1.837</v>
      </c>
      <c r="I8007">
        <v>5.0810000000000004</v>
      </c>
      <c r="J8007">
        <v>3</v>
      </c>
      <c r="K8007">
        <v>35</v>
      </c>
      <c r="L8007">
        <v>20</v>
      </c>
      <c r="M8007">
        <v>2.2429999999999999</v>
      </c>
    </row>
    <row r="8008" spans="1:13">
      <c r="A8008" t="s">
        <v>82</v>
      </c>
      <c r="B8008" t="e">
        <f t="shared" si="498"/>
        <v>#N/A</v>
      </c>
      <c r="C8008" t="e">
        <f t="shared" si="499"/>
        <v>#N/A</v>
      </c>
      <c r="D8008" t="e">
        <f t="shared" si="500"/>
        <v>#N/A</v>
      </c>
      <c r="E8008">
        <v>41.499000000000002</v>
      </c>
      <c r="F8008" t="e">
        <f t="shared" si="501"/>
        <v>#N/A</v>
      </c>
      <c r="G8008">
        <v>53.771000000000001</v>
      </c>
      <c r="H8008">
        <v>2.6190000000000002</v>
      </c>
      <c r="I8008">
        <v>4.8810000000000002</v>
      </c>
      <c r="J8008">
        <v>4</v>
      </c>
      <c r="K8008">
        <v>34</v>
      </c>
      <c r="L8008">
        <v>20</v>
      </c>
      <c r="M8008">
        <v>3.4049999999999998</v>
      </c>
    </row>
    <row r="8009" spans="1:13">
      <c r="A8009" t="s">
        <v>82</v>
      </c>
      <c r="B8009" t="e">
        <f t="shared" si="498"/>
        <v>#N/A</v>
      </c>
      <c r="C8009" t="e">
        <f t="shared" si="499"/>
        <v>#N/A</v>
      </c>
      <c r="D8009" t="e">
        <f t="shared" si="500"/>
        <v>#N/A</v>
      </c>
      <c r="E8009">
        <v>42.499000000000002</v>
      </c>
      <c r="F8009" t="e">
        <f t="shared" si="501"/>
        <v>#N/A</v>
      </c>
      <c r="G8009">
        <v>25.5</v>
      </c>
      <c r="H8009">
        <v>1.1220000000000001</v>
      </c>
      <c r="I8009">
        <v>4.4329999999999998</v>
      </c>
      <c r="J8009">
        <v>4</v>
      </c>
      <c r="K8009">
        <v>16</v>
      </c>
      <c r="L8009">
        <v>9</v>
      </c>
      <c r="M8009">
        <v>1.5109999999999999</v>
      </c>
    </row>
    <row r="8010" spans="1:13">
      <c r="A8010" t="s">
        <v>82</v>
      </c>
      <c r="B8010" t="e">
        <f t="shared" si="498"/>
        <v>#N/A</v>
      </c>
      <c r="C8010" t="e">
        <f t="shared" si="499"/>
        <v>#N/A</v>
      </c>
      <c r="D8010" t="e">
        <f t="shared" si="500"/>
        <v>#N/A</v>
      </c>
      <c r="E8010">
        <v>43.499000000000002</v>
      </c>
      <c r="F8010" t="e">
        <f t="shared" si="501"/>
        <v>#N/A</v>
      </c>
      <c r="G8010">
        <v>239.28299999999999</v>
      </c>
      <c r="H8010">
        <v>11.542</v>
      </c>
      <c r="I8010">
        <v>4.827</v>
      </c>
      <c r="J8010">
        <v>11</v>
      </c>
      <c r="K8010">
        <v>229</v>
      </c>
      <c r="L8010">
        <v>129</v>
      </c>
      <c r="M8010" s="1">
        <v>9000000000</v>
      </c>
    </row>
    <row r="8011" spans="1:13">
      <c r="A8011" t="s">
        <v>82</v>
      </c>
      <c r="B8011" t="e">
        <f t="shared" si="498"/>
        <v>#N/A</v>
      </c>
      <c r="C8011" t="e">
        <f t="shared" si="499"/>
        <v>#N/A</v>
      </c>
      <c r="D8011" t="e">
        <f t="shared" si="500"/>
        <v>#N/A</v>
      </c>
      <c r="E8011">
        <v>44.499000000000002</v>
      </c>
      <c r="F8011" t="e">
        <f t="shared" si="501"/>
        <v>#N/A</v>
      </c>
      <c r="G8011">
        <v>68.667000000000002</v>
      </c>
      <c r="H8011">
        <v>4.1820000000000004</v>
      </c>
      <c r="I8011">
        <v>6.1079999999999997</v>
      </c>
      <c r="J8011">
        <v>11</v>
      </c>
      <c r="K8011">
        <v>66</v>
      </c>
      <c r="L8011">
        <v>37</v>
      </c>
      <c r="M8011" s="1">
        <v>9000000000</v>
      </c>
    </row>
    <row r="8012" spans="1:13">
      <c r="A8012" t="s">
        <v>82</v>
      </c>
      <c r="B8012" t="e">
        <f t="shared" si="498"/>
        <v>#N/A</v>
      </c>
      <c r="C8012" t="e">
        <f t="shared" si="499"/>
        <v>#N/A</v>
      </c>
      <c r="D8012" t="e">
        <f t="shared" si="500"/>
        <v>#N/A</v>
      </c>
      <c r="E8012">
        <v>45.499000000000002</v>
      </c>
      <c r="F8012" t="e">
        <f t="shared" si="501"/>
        <v>#N/A</v>
      </c>
      <c r="G8012">
        <v>37.783000000000001</v>
      </c>
      <c r="H8012">
        <v>1.8129999999999999</v>
      </c>
      <c r="I8012">
        <v>4.8230000000000004</v>
      </c>
      <c r="J8012">
        <v>3</v>
      </c>
      <c r="K8012">
        <v>36</v>
      </c>
      <c r="L8012">
        <v>20</v>
      </c>
      <c r="M8012">
        <v>2.3180000000000001</v>
      </c>
    </row>
    <row r="8013" spans="1:13">
      <c r="A8013" t="s">
        <v>82</v>
      </c>
      <c r="B8013" t="e">
        <f t="shared" si="498"/>
        <v>#N/A</v>
      </c>
      <c r="C8013" t="e">
        <f t="shared" si="499"/>
        <v>#N/A</v>
      </c>
      <c r="D8013" t="e">
        <f t="shared" si="500"/>
        <v>#N/A</v>
      </c>
      <c r="E8013">
        <v>46.499000000000002</v>
      </c>
      <c r="F8013" t="e">
        <f t="shared" si="501"/>
        <v>#N/A</v>
      </c>
      <c r="G8013">
        <v>43.7</v>
      </c>
      <c r="H8013">
        <v>1.9430000000000001</v>
      </c>
      <c r="I8013">
        <v>4.4669999999999996</v>
      </c>
      <c r="J8013">
        <v>4</v>
      </c>
      <c r="K8013">
        <v>28</v>
      </c>
      <c r="L8013">
        <v>15</v>
      </c>
      <c r="M8013">
        <v>2.7069999999999999</v>
      </c>
    </row>
    <row r="8014" spans="1:13">
      <c r="A8014" t="s">
        <v>82</v>
      </c>
      <c r="B8014" t="e">
        <f t="shared" si="498"/>
        <v>#N/A</v>
      </c>
      <c r="C8014" t="e">
        <f t="shared" si="499"/>
        <v>#N/A</v>
      </c>
      <c r="D8014" t="e">
        <f t="shared" si="500"/>
        <v>#N/A</v>
      </c>
      <c r="E8014">
        <v>47.499000000000002</v>
      </c>
      <c r="F8014" t="e">
        <f t="shared" si="501"/>
        <v>#N/A</v>
      </c>
      <c r="G8014">
        <v>104.15</v>
      </c>
      <c r="H8014">
        <v>5.65</v>
      </c>
      <c r="I8014">
        <v>5.4340000000000002</v>
      </c>
      <c r="J8014">
        <v>11</v>
      </c>
      <c r="K8014">
        <v>100</v>
      </c>
      <c r="L8014">
        <v>54</v>
      </c>
      <c r="M8014" s="1">
        <v>9000000000</v>
      </c>
    </row>
    <row r="8015" spans="1:13">
      <c r="A8015" t="s">
        <v>82</v>
      </c>
      <c r="B8015" t="e">
        <f t="shared" si="498"/>
        <v>#N/A</v>
      </c>
      <c r="C8015" t="e">
        <f t="shared" si="499"/>
        <v>#N/A</v>
      </c>
      <c r="D8015" t="e">
        <f t="shared" si="500"/>
        <v>#N/A</v>
      </c>
      <c r="E8015">
        <v>48.499000000000002</v>
      </c>
      <c r="F8015" t="e">
        <f t="shared" si="501"/>
        <v>#N/A</v>
      </c>
      <c r="G8015">
        <v>145.6</v>
      </c>
      <c r="H8015">
        <v>6.14</v>
      </c>
      <c r="I8015">
        <v>4.2229999999999999</v>
      </c>
      <c r="J8015">
        <v>11</v>
      </c>
      <c r="K8015">
        <v>139</v>
      </c>
      <c r="L8015">
        <v>73</v>
      </c>
      <c r="M8015" s="1">
        <v>9000000000</v>
      </c>
    </row>
    <row r="8016" spans="1:13">
      <c r="A8016" t="s">
        <v>255</v>
      </c>
      <c r="B8016">
        <f t="shared" si="498"/>
        <v>33.718846999999997</v>
      </c>
      <c r="C8016">
        <f t="shared" si="499"/>
        <v>-117.847033</v>
      </c>
      <c r="D8016">
        <f t="shared" si="500"/>
        <v>72</v>
      </c>
      <c r="E8016">
        <v>0.5</v>
      </c>
      <c r="F8016">
        <f t="shared" si="501"/>
        <v>71.5</v>
      </c>
      <c r="G8016">
        <v>2.0169999999999999</v>
      </c>
      <c r="H8016">
        <v>0.08</v>
      </c>
      <c r="I8016">
        <v>3.9670000000000001</v>
      </c>
      <c r="J8016">
        <v>3</v>
      </c>
      <c r="K8016">
        <v>2</v>
      </c>
      <c r="L8016">
        <v>3</v>
      </c>
      <c r="M8016">
        <v>0.13200000000000001</v>
      </c>
    </row>
    <row r="8017" spans="1:13">
      <c r="A8017" t="s">
        <v>255</v>
      </c>
      <c r="B8017">
        <f t="shared" si="498"/>
        <v>33.718846999999997</v>
      </c>
      <c r="C8017">
        <f t="shared" si="499"/>
        <v>-117.847033</v>
      </c>
      <c r="D8017">
        <f t="shared" si="500"/>
        <v>72</v>
      </c>
      <c r="E8017">
        <v>1.5</v>
      </c>
      <c r="F8017">
        <f t="shared" si="501"/>
        <v>70.5</v>
      </c>
      <c r="G8017">
        <v>28.367000000000001</v>
      </c>
      <c r="H8017">
        <v>1.25</v>
      </c>
      <c r="I8017">
        <v>4.4009999999999998</v>
      </c>
      <c r="J8017">
        <v>4</v>
      </c>
      <c r="K8017">
        <v>18</v>
      </c>
      <c r="L8017">
        <v>27</v>
      </c>
      <c r="M8017">
        <v>1.887</v>
      </c>
    </row>
    <row r="8018" spans="1:13">
      <c r="A8018" t="s">
        <v>255</v>
      </c>
      <c r="B8018">
        <f t="shared" si="498"/>
        <v>33.718846999999997</v>
      </c>
      <c r="C8018">
        <f t="shared" si="499"/>
        <v>-117.847033</v>
      </c>
      <c r="D8018">
        <f t="shared" si="500"/>
        <v>72</v>
      </c>
      <c r="E8018">
        <v>2.5</v>
      </c>
      <c r="F8018">
        <f t="shared" si="501"/>
        <v>69.5</v>
      </c>
      <c r="G8018">
        <v>9.6</v>
      </c>
      <c r="H8018">
        <v>0.52700000000000002</v>
      </c>
      <c r="I8018">
        <v>5.524</v>
      </c>
      <c r="J8018">
        <v>3</v>
      </c>
      <c r="K8018">
        <v>9</v>
      </c>
      <c r="L8018">
        <v>14</v>
      </c>
      <c r="M8018">
        <v>0.625</v>
      </c>
    </row>
    <row r="8019" spans="1:13">
      <c r="A8019" t="s">
        <v>255</v>
      </c>
      <c r="B8019">
        <f t="shared" si="498"/>
        <v>33.718846999999997</v>
      </c>
      <c r="C8019">
        <f t="shared" si="499"/>
        <v>-117.847033</v>
      </c>
      <c r="D8019">
        <f t="shared" si="500"/>
        <v>72</v>
      </c>
      <c r="E8019">
        <v>3.5</v>
      </c>
      <c r="F8019">
        <f t="shared" si="501"/>
        <v>68.5</v>
      </c>
      <c r="G8019">
        <v>10.75</v>
      </c>
      <c r="H8019">
        <v>0.54800000000000004</v>
      </c>
      <c r="I8019">
        <v>5.109</v>
      </c>
      <c r="J8019">
        <v>3</v>
      </c>
      <c r="K8019">
        <v>10</v>
      </c>
      <c r="L8019">
        <v>15</v>
      </c>
      <c r="M8019">
        <v>0.70099999999999996</v>
      </c>
    </row>
    <row r="8020" spans="1:13">
      <c r="A8020" t="s">
        <v>255</v>
      </c>
      <c r="B8020">
        <f t="shared" si="498"/>
        <v>33.718846999999997</v>
      </c>
      <c r="C8020">
        <f t="shared" si="499"/>
        <v>-117.847033</v>
      </c>
      <c r="D8020">
        <f t="shared" si="500"/>
        <v>72</v>
      </c>
      <c r="E8020">
        <v>4.5</v>
      </c>
      <c r="F8020">
        <f t="shared" si="501"/>
        <v>67.5</v>
      </c>
      <c r="G8020">
        <v>12.032999999999999</v>
      </c>
      <c r="H8020">
        <v>0.56999999999999995</v>
      </c>
      <c r="I8020">
        <v>4.7430000000000003</v>
      </c>
      <c r="J8020">
        <v>3</v>
      </c>
      <c r="K8020">
        <v>12</v>
      </c>
      <c r="L8020">
        <v>18</v>
      </c>
      <c r="M8020">
        <v>0.78300000000000003</v>
      </c>
    </row>
    <row r="8021" spans="1:13">
      <c r="A8021" t="s">
        <v>255</v>
      </c>
      <c r="B8021">
        <f t="shared" si="498"/>
        <v>33.718846999999997</v>
      </c>
      <c r="C8021">
        <f t="shared" si="499"/>
        <v>-117.847033</v>
      </c>
      <c r="D8021">
        <f t="shared" si="500"/>
        <v>72</v>
      </c>
      <c r="E8021">
        <v>5.5</v>
      </c>
      <c r="F8021">
        <f t="shared" si="501"/>
        <v>66.5</v>
      </c>
      <c r="G8021">
        <v>18.082999999999998</v>
      </c>
      <c r="H8021">
        <v>0.83799999999999997</v>
      </c>
      <c r="I8021">
        <v>4.6230000000000002</v>
      </c>
      <c r="J8021">
        <v>3</v>
      </c>
      <c r="K8021">
        <v>17</v>
      </c>
      <c r="L8021">
        <v>26</v>
      </c>
      <c r="M8021">
        <v>1.1859999999999999</v>
      </c>
    </row>
    <row r="8022" spans="1:13">
      <c r="A8022" t="s">
        <v>255</v>
      </c>
      <c r="B8022">
        <f t="shared" si="498"/>
        <v>33.718846999999997</v>
      </c>
      <c r="C8022">
        <f t="shared" si="499"/>
        <v>-117.847033</v>
      </c>
      <c r="D8022">
        <f t="shared" si="500"/>
        <v>72</v>
      </c>
      <c r="E8022">
        <v>6.5</v>
      </c>
      <c r="F8022">
        <f t="shared" si="501"/>
        <v>65.5</v>
      </c>
      <c r="G8022">
        <v>19.649999999999999</v>
      </c>
      <c r="H8022">
        <v>1.0580000000000001</v>
      </c>
      <c r="I8022">
        <v>5.3769999999999998</v>
      </c>
      <c r="J8022">
        <v>3</v>
      </c>
      <c r="K8022">
        <v>19</v>
      </c>
      <c r="L8022">
        <v>29</v>
      </c>
      <c r="M8022">
        <v>1.2849999999999999</v>
      </c>
    </row>
    <row r="8023" spans="1:13">
      <c r="A8023" t="s">
        <v>255</v>
      </c>
      <c r="B8023">
        <f t="shared" si="498"/>
        <v>33.718846999999997</v>
      </c>
      <c r="C8023">
        <f t="shared" si="499"/>
        <v>-117.847033</v>
      </c>
      <c r="D8023">
        <f t="shared" si="500"/>
        <v>72</v>
      </c>
      <c r="E8023">
        <v>7.5</v>
      </c>
      <c r="F8023">
        <f t="shared" si="501"/>
        <v>64.5</v>
      </c>
      <c r="G8023">
        <v>23.367000000000001</v>
      </c>
      <c r="H8023">
        <v>1.2050000000000001</v>
      </c>
      <c r="I8023">
        <v>5.15</v>
      </c>
      <c r="J8023">
        <v>3</v>
      </c>
      <c r="K8023">
        <v>22</v>
      </c>
      <c r="L8023">
        <v>33</v>
      </c>
      <c r="M8023">
        <v>1.5289999999999999</v>
      </c>
    </row>
    <row r="8024" spans="1:13">
      <c r="A8024" t="s">
        <v>255</v>
      </c>
      <c r="B8024">
        <f t="shared" si="498"/>
        <v>33.718846999999997</v>
      </c>
      <c r="C8024">
        <f t="shared" si="499"/>
        <v>-117.847033</v>
      </c>
      <c r="D8024">
        <f t="shared" si="500"/>
        <v>72</v>
      </c>
      <c r="E8024">
        <v>8.5</v>
      </c>
      <c r="F8024">
        <f t="shared" si="501"/>
        <v>63.5</v>
      </c>
      <c r="G8024">
        <v>22.716999999999999</v>
      </c>
      <c r="H8024">
        <v>1.1970000000000001</v>
      </c>
      <c r="I8024">
        <v>5.2759999999999998</v>
      </c>
      <c r="J8024">
        <v>3</v>
      </c>
      <c r="K8024">
        <v>22</v>
      </c>
      <c r="L8024">
        <v>33</v>
      </c>
      <c r="M8024">
        <v>1.4770000000000001</v>
      </c>
    </row>
    <row r="8025" spans="1:13">
      <c r="A8025" t="s">
        <v>255</v>
      </c>
      <c r="B8025">
        <f t="shared" si="498"/>
        <v>33.718846999999997</v>
      </c>
      <c r="C8025">
        <f t="shared" si="499"/>
        <v>-117.847033</v>
      </c>
      <c r="D8025">
        <f t="shared" si="500"/>
        <v>72</v>
      </c>
      <c r="E8025">
        <v>9.5</v>
      </c>
      <c r="F8025">
        <f t="shared" si="501"/>
        <v>62.5</v>
      </c>
      <c r="G8025">
        <v>15.032999999999999</v>
      </c>
      <c r="H8025">
        <v>0.82</v>
      </c>
      <c r="I8025">
        <v>5.4850000000000003</v>
      </c>
      <c r="J8025">
        <v>3</v>
      </c>
      <c r="K8025">
        <v>14</v>
      </c>
      <c r="L8025">
        <v>21</v>
      </c>
      <c r="M8025">
        <v>0.95699999999999996</v>
      </c>
    </row>
    <row r="8026" spans="1:13">
      <c r="A8026" t="s">
        <v>255</v>
      </c>
      <c r="B8026">
        <f t="shared" si="498"/>
        <v>33.718846999999997</v>
      </c>
      <c r="C8026">
        <f t="shared" si="499"/>
        <v>-117.847033</v>
      </c>
      <c r="D8026">
        <f t="shared" si="500"/>
        <v>72</v>
      </c>
      <c r="E8026">
        <v>10.5</v>
      </c>
      <c r="F8026">
        <f t="shared" si="501"/>
        <v>61.5</v>
      </c>
      <c r="G8026">
        <v>10.914</v>
      </c>
      <c r="H8026">
        <v>0.61899999999999999</v>
      </c>
      <c r="I8026">
        <v>5.6749999999999998</v>
      </c>
      <c r="J8026">
        <v>3</v>
      </c>
      <c r="K8026">
        <v>10</v>
      </c>
      <c r="L8026">
        <v>14</v>
      </c>
      <c r="M8026">
        <v>0.68300000000000005</v>
      </c>
    </row>
    <row r="8027" spans="1:13">
      <c r="A8027" t="s">
        <v>255</v>
      </c>
      <c r="B8027">
        <f t="shared" si="498"/>
        <v>33.718846999999997</v>
      </c>
      <c r="C8027">
        <f t="shared" si="499"/>
        <v>-117.847033</v>
      </c>
      <c r="D8027">
        <f t="shared" si="500"/>
        <v>72</v>
      </c>
      <c r="E8027">
        <v>11.5</v>
      </c>
      <c r="F8027">
        <f t="shared" si="501"/>
        <v>60.5</v>
      </c>
      <c r="G8027">
        <v>8.35</v>
      </c>
      <c r="H8027">
        <v>0.50700000000000001</v>
      </c>
      <c r="I8027">
        <v>6.08</v>
      </c>
      <c r="J8027">
        <v>3</v>
      </c>
      <c r="K8027">
        <v>8</v>
      </c>
      <c r="L8027">
        <v>10</v>
      </c>
      <c r="M8027">
        <v>0.50800000000000001</v>
      </c>
    </row>
    <row r="8028" spans="1:13">
      <c r="A8028" t="s">
        <v>255</v>
      </c>
      <c r="B8028">
        <f t="shared" si="498"/>
        <v>33.718846999999997</v>
      </c>
      <c r="C8028">
        <f t="shared" si="499"/>
        <v>-117.847033</v>
      </c>
      <c r="D8028">
        <f t="shared" si="500"/>
        <v>72</v>
      </c>
      <c r="E8028">
        <v>12.5</v>
      </c>
      <c r="F8028">
        <f t="shared" si="501"/>
        <v>59.5</v>
      </c>
      <c r="G8028">
        <v>8.85</v>
      </c>
      <c r="H8028">
        <v>0.39500000000000002</v>
      </c>
      <c r="I8028">
        <v>4.4720000000000004</v>
      </c>
      <c r="J8028">
        <v>3</v>
      </c>
      <c r="K8028">
        <v>8</v>
      </c>
      <c r="L8028">
        <v>10</v>
      </c>
      <c r="M8028">
        <v>0.53700000000000003</v>
      </c>
    </row>
    <row r="8029" spans="1:13">
      <c r="A8029" t="s">
        <v>255</v>
      </c>
      <c r="B8029">
        <f t="shared" si="498"/>
        <v>33.718846999999997</v>
      </c>
      <c r="C8029">
        <f t="shared" si="499"/>
        <v>-117.847033</v>
      </c>
      <c r="D8029">
        <f t="shared" si="500"/>
        <v>72</v>
      </c>
      <c r="E8029">
        <v>13.5</v>
      </c>
      <c r="F8029">
        <f t="shared" si="501"/>
        <v>58.5</v>
      </c>
      <c r="G8029">
        <v>6.5170000000000003</v>
      </c>
      <c r="H8029">
        <v>0.21</v>
      </c>
      <c r="I8029">
        <v>3.2229999999999999</v>
      </c>
      <c r="J8029">
        <v>3</v>
      </c>
      <c r="K8029">
        <v>6</v>
      </c>
      <c r="L8029">
        <v>7</v>
      </c>
      <c r="M8029">
        <v>0.379</v>
      </c>
    </row>
    <row r="8030" spans="1:13">
      <c r="A8030" t="s">
        <v>255</v>
      </c>
      <c r="B8030">
        <f t="shared" si="498"/>
        <v>33.718846999999997</v>
      </c>
      <c r="C8030">
        <f t="shared" si="499"/>
        <v>-117.847033</v>
      </c>
      <c r="D8030">
        <f t="shared" si="500"/>
        <v>72</v>
      </c>
      <c r="E8030">
        <v>14.5</v>
      </c>
      <c r="F8030">
        <f t="shared" si="501"/>
        <v>57.5</v>
      </c>
      <c r="G8030">
        <v>7.4</v>
      </c>
      <c r="H8030">
        <v>0.23499999999999999</v>
      </c>
      <c r="I8030">
        <v>3.1829999999999998</v>
      </c>
      <c r="J8030">
        <v>3</v>
      </c>
      <c r="K8030">
        <v>7</v>
      </c>
      <c r="L8030">
        <v>8</v>
      </c>
      <c r="M8030">
        <v>0.433</v>
      </c>
    </row>
    <row r="8031" spans="1:13">
      <c r="A8031" t="s">
        <v>255</v>
      </c>
      <c r="B8031">
        <f t="shared" si="498"/>
        <v>33.718846999999997</v>
      </c>
      <c r="C8031">
        <f t="shared" si="499"/>
        <v>-117.847033</v>
      </c>
      <c r="D8031">
        <f t="shared" si="500"/>
        <v>72</v>
      </c>
      <c r="E8031">
        <v>15.5</v>
      </c>
      <c r="F8031">
        <f t="shared" si="501"/>
        <v>56.5</v>
      </c>
      <c r="G8031">
        <v>8.3829999999999991</v>
      </c>
      <c r="H8031">
        <v>0.26800000000000002</v>
      </c>
      <c r="I8031">
        <v>3.2010000000000001</v>
      </c>
      <c r="J8031">
        <v>3</v>
      </c>
      <c r="K8031">
        <v>8</v>
      </c>
      <c r="L8031">
        <v>8</v>
      </c>
      <c r="M8031">
        <v>0.495</v>
      </c>
    </row>
    <row r="8032" spans="1:13">
      <c r="A8032" t="s">
        <v>255</v>
      </c>
      <c r="B8032">
        <f t="shared" si="498"/>
        <v>33.718846999999997</v>
      </c>
      <c r="C8032">
        <f t="shared" si="499"/>
        <v>-117.847033</v>
      </c>
      <c r="D8032">
        <f t="shared" si="500"/>
        <v>72</v>
      </c>
      <c r="E8032">
        <v>16.5</v>
      </c>
      <c r="F8032">
        <f t="shared" si="501"/>
        <v>55.5</v>
      </c>
      <c r="G8032">
        <v>24.95</v>
      </c>
      <c r="H8032">
        <v>0.98199999999999998</v>
      </c>
      <c r="I8032">
        <v>3.94</v>
      </c>
      <c r="J8032">
        <v>4</v>
      </c>
      <c r="K8032">
        <v>16</v>
      </c>
      <c r="L8032">
        <v>16</v>
      </c>
      <c r="M8032">
        <v>1.5940000000000001</v>
      </c>
    </row>
    <row r="8033" spans="1:13">
      <c r="A8033" t="s">
        <v>255</v>
      </c>
      <c r="B8033">
        <f t="shared" si="498"/>
        <v>33.718846999999997</v>
      </c>
      <c r="C8033">
        <f t="shared" si="499"/>
        <v>-117.847033</v>
      </c>
      <c r="D8033">
        <f t="shared" si="500"/>
        <v>72</v>
      </c>
      <c r="E8033">
        <v>17.5</v>
      </c>
      <c r="F8033">
        <f t="shared" si="501"/>
        <v>54.5</v>
      </c>
      <c r="G8033">
        <v>31.533000000000001</v>
      </c>
      <c r="H8033">
        <v>1.137</v>
      </c>
      <c r="I8033">
        <v>3.6259999999999999</v>
      </c>
      <c r="J8033">
        <v>5</v>
      </c>
      <c r="K8033">
        <v>15</v>
      </c>
      <c r="L8033">
        <v>14</v>
      </c>
      <c r="M8033">
        <v>2.0179999999999998</v>
      </c>
    </row>
    <row r="8034" spans="1:13">
      <c r="A8034" t="s">
        <v>255</v>
      </c>
      <c r="B8034">
        <f t="shared" si="498"/>
        <v>33.718846999999997</v>
      </c>
      <c r="C8034">
        <f t="shared" si="499"/>
        <v>-117.847033</v>
      </c>
      <c r="D8034">
        <f t="shared" si="500"/>
        <v>72</v>
      </c>
      <c r="E8034">
        <v>18.5</v>
      </c>
      <c r="F8034">
        <f t="shared" si="501"/>
        <v>53.5</v>
      </c>
      <c r="G8034">
        <v>73.316999999999993</v>
      </c>
      <c r="H8034">
        <v>0.81</v>
      </c>
      <c r="I8034">
        <v>1.107</v>
      </c>
      <c r="J8034">
        <v>8</v>
      </c>
      <c r="K8034">
        <v>18</v>
      </c>
      <c r="L8034">
        <v>16</v>
      </c>
      <c r="M8034" s="1">
        <v>9000000000</v>
      </c>
    </row>
    <row r="8035" spans="1:13">
      <c r="A8035" t="s">
        <v>255</v>
      </c>
      <c r="B8035">
        <f t="shared" si="498"/>
        <v>33.718846999999997</v>
      </c>
      <c r="C8035">
        <f t="shared" si="499"/>
        <v>-117.847033</v>
      </c>
      <c r="D8035">
        <f t="shared" si="500"/>
        <v>72</v>
      </c>
      <c r="E8035">
        <v>19.5</v>
      </c>
      <c r="F8035">
        <f t="shared" si="501"/>
        <v>52.5</v>
      </c>
      <c r="G8035">
        <v>53.1</v>
      </c>
      <c r="H8035">
        <v>0.63500000000000001</v>
      </c>
      <c r="I8035">
        <v>1.198</v>
      </c>
      <c r="J8035">
        <v>7</v>
      </c>
      <c r="K8035">
        <v>17</v>
      </c>
      <c r="L8035">
        <v>15</v>
      </c>
      <c r="M8035" s="1">
        <v>9000000000</v>
      </c>
    </row>
    <row r="8036" spans="1:13">
      <c r="A8036" t="s">
        <v>255</v>
      </c>
      <c r="B8036">
        <f t="shared" si="498"/>
        <v>33.718846999999997</v>
      </c>
      <c r="C8036">
        <f t="shared" si="499"/>
        <v>-117.847033</v>
      </c>
      <c r="D8036">
        <f t="shared" si="500"/>
        <v>72</v>
      </c>
      <c r="E8036">
        <v>20.5</v>
      </c>
      <c r="F8036">
        <f t="shared" si="501"/>
        <v>51.5</v>
      </c>
      <c r="G8036">
        <v>36.128999999999998</v>
      </c>
      <c r="H8036">
        <v>0.81399999999999995</v>
      </c>
      <c r="I8036">
        <v>2.2610000000000001</v>
      </c>
      <c r="J8036">
        <v>6</v>
      </c>
      <c r="K8036">
        <v>14</v>
      </c>
      <c r="L8036">
        <v>12</v>
      </c>
      <c r="M8036">
        <v>2.3170000000000002</v>
      </c>
    </row>
    <row r="8037" spans="1:13">
      <c r="A8037" t="s">
        <v>255</v>
      </c>
      <c r="B8037">
        <f t="shared" si="498"/>
        <v>33.718846999999997</v>
      </c>
      <c r="C8037">
        <f t="shared" si="499"/>
        <v>-117.847033</v>
      </c>
      <c r="D8037">
        <f t="shared" si="500"/>
        <v>72</v>
      </c>
      <c r="E8037">
        <v>21.5</v>
      </c>
      <c r="F8037">
        <f t="shared" si="501"/>
        <v>50.5</v>
      </c>
      <c r="G8037">
        <v>118.233</v>
      </c>
      <c r="H8037">
        <v>0.79300000000000004</v>
      </c>
      <c r="I8037">
        <v>0.67200000000000004</v>
      </c>
      <c r="J8037">
        <v>9</v>
      </c>
      <c r="K8037">
        <v>23</v>
      </c>
      <c r="L8037">
        <v>19</v>
      </c>
      <c r="M8037" s="1">
        <v>9000000000</v>
      </c>
    </row>
    <row r="8038" spans="1:13">
      <c r="A8038" t="s">
        <v>255</v>
      </c>
      <c r="B8038">
        <f t="shared" si="498"/>
        <v>33.718846999999997</v>
      </c>
      <c r="C8038">
        <f t="shared" si="499"/>
        <v>-117.847033</v>
      </c>
      <c r="D8038">
        <f t="shared" si="500"/>
        <v>72</v>
      </c>
      <c r="E8038">
        <v>22.5</v>
      </c>
      <c r="F8038">
        <f t="shared" si="501"/>
        <v>49.5</v>
      </c>
      <c r="G8038">
        <v>64.582999999999998</v>
      </c>
      <c r="H8038">
        <v>1.143</v>
      </c>
      <c r="I8038">
        <v>1.774</v>
      </c>
      <c r="J8038">
        <v>7</v>
      </c>
      <c r="K8038">
        <v>21</v>
      </c>
      <c r="L8038">
        <v>16</v>
      </c>
      <c r="M8038" s="1">
        <v>9000000000</v>
      </c>
    </row>
    <row r="8039" spans="1:13">
      <c r="A8039" t="s">
        <v>255</v>
      </c>
      <c r="B8039">
        <f t="shared" si="498"/>
        <v>33.718846999999997</v>
      </c>
      <c r="C8039">
        <f t="shared" si="499"/>
        <v>-117.847033</v>
      </c>
      <c r="D8039">
        <f t="shared" si="500"/>
        <v>72</v>
      </c>
      <c r="E8039">
        <v>23.5</v>
      </c>
      <c r="F8039">
        <f t="shared" si="501"/>
        <v>48.5</v>
      </c>
      <c r="G8039">
        <v>121.7</v>
      </c>
      <c r="H8039">
        <v>1.6830000000000001</v>
      </c>
      <c r="I8039">
        <v>1.385</v>
      </c>
      <c r="J8039">
        <v>8</v>
      </c>
      <c r="K8039">
        <v>29</v>
      </c>
      <c r="L8039">
        <v>22</v>
      </c>
      <c r="M8039" s="1">
        <v>9000000000</v>
      </c>
    </row>
    <row r="8040" spans="1:13">
      <c r="A8040" t="s">
        <v>255</v>
      </c>
      <c r="B8040">
        <f t="shared" si="498"/>
        <v>33.718846999999997</v>
      </c>
      <c r="C8040">
        <f t="shared" si="499"/>
        <v>-117.847033</v>
      </c>
      <c r="D8040">
        <f t="shared" si="500"/>
        <v>72</v>
      </c>
      <c r="E8040">
        <v>24.5</v>
      </c>
      <c r="F8040">
        <f t="shared" si="501"/>
        <v>47.5</v>
      </c>
      <c r="G8040">
        <v>93.816999999999993</v>
      </c>
      <c r="H8040">
        <v>1.59</v>
      </c>
      <c r="I8040">
        <v>1.698</v>
      </c>
      <c r="J8040">
        <v>7</v>
      </c>
      <c r="K8040">
        <v>30</v>
      </c>
      <c r="L8040">
        <v>22</v>
      </c>
      <c r="M8040" s="1">
        <v>9000000000</v>
      </c>
    </row>
    <row r="8041" spans="1:13">
      <c r="A8041" t="s">
        <v>255</v>
      </c>
      <c r="B8041">
        <f t="shared" si="498"/>
        <v>33.718846999999997</v>
      </c>
      <c r="C8041">
        <f t="shared" si="499"/>
        <v>-117.847033</v>
      </c>
      <c r="D8041">
        <f t="shared" si="500"/>
        <v>72</v>
      </c>
      <c r="E8041">
        <v>25.5</v>
      </c>
      <c r="F8041">
        <f t="shared" si="501"/>
        <v>46.5</v>
      </c>
      <c r="G8041">
        <v>16.082999999999998</v>
      </c>
      <c r="H8041">
        <v>0.627</v>
      </c>
      <c r="I8041">
        <v>3.9369999999999998</v>
      </c>
      <c r="J8041">
        <v>4</v>
      </c>
      <c r="K8041">
        <v>10</v>
      </c>
      <c r="L8041">
        <v>7</v>
      </c>
      <c r="M8041">
        <v>0.95699999999999996</v>
      </c>
    </row>
    <row r="8042" spans="1:13">
      <c r="A8042" t="s">
        <v>255</v>
      </c>
      <c r="B8042">
        <f t="shared" si="498"/>
        <v>33.718846999999997</v>
      </c>
      <c r="C8042">
        <f t="shared" si="499"/>
        <v>-117.847033</v>
      </c>
      <c r="D8042">
        <f t="shared" si="500"/>
        <v>72</v>
      </c>
      <c r="E8042">
        <v>26.5</v>
      </c>
      <c r="F8042">
        <f t="shared" si="501"/>
        <v>45.5</v>
      </c>
      <c r="G8042">
        <v>24</v>
      </c>
      <c r="H8042">
        <v>1.0449999999999999</v>
      </c>
      <c r="I8042">
        <v>4.3819999999999997</v>
      </c>
      <c r="J8042">
        <v>4</v>
      </c>
      <c r="K8042">
        <v>15</v>
      </c>
      <c r="L8042">
        <v>11</v>
      </c>
      <c r="M8042">
        <v>1.4810000000000001</v>
      </c>
    </row>
    <row r="8043" spans="1:13">
      <c r="A8043" t="s">
        <v>255</v>
      </c>
      <c r="B8043">
        <f t="shared" si="498"/>
        <v>33.718846999999997</v>
      </c>
      <c r="C8043">
        <f t="shared" si="499"/>
        <v>-117.847033</v>
      </c>
      <c r="D8043">
        <f t="shared" si="500"/>
        <v>72</v>
      </c>
      <c r="E8043">
        <v>27.5</v>
      </c>
      <c r="F8043">
        <f t="shared" si="501"/>
        <v>44.5</v>
      </c>
      <c r="G8043">
        <v>16.266999999999999</v>
      </c>
      <c r="H8043">
        <v>0.875</v>
      </c>
      <c r="I8043">
        <v>5.4290000000000003</v>
      </c>
      <c r="J8043">
        <v>3</v>
      </c>
      <c r="K8043">
        <v>15</v>
      </c>
      <c r="L8043">
        <v>10</v>
      </c>
      <c r="M8043">
        <v>0.96199999999999997</v>
      </c>
    </row>
    <row r="8044" spans="1:13">
      <c r="A8044" t="s">
        <v>255</v>
      </c>
      <c r="B8044">
        <f t="shared" si="498"/>
        <v>33.718846999999997</v>
      </c>
      <c r="C8044">
        <f t="shared" si="499"/>
        <v>-117.847033</v>
      </c>
      <c r="D8044">
        <f t="shared" si="500"/>
        <v>72</v>
      </c>
      <c r="E8044">
        <v>28.5</v>
      </c>
      <c r="F8044">
        <f t="shared" si="501"/>
        <v>43.5</v>
      </c>
      <c r="G8044">
        <v>11.967000000000001</v>
      </c>
      <c r="H8044">
        <v>0.44500000000000001</v>
      </c>
      <c r="I8044">
        <v>3.766</v>
      </c>
      <c r="J8044">
        <v>3</v>
      </c>
      <c r="K8044">
        <v>11</v>
      </c>
      <c r="L8044">
        <v>7</v>
      </c>
      <c r="M8044">
        <v>0.67100000000000004</v>
      </c>
    </row>
    <row r="8045" spans="1:13">
      <c r="A8045" t="s">
        <v>255</v>
      </c>
      <c r="B8045">
        <f t="shared" si="498"/>
        <v>33.718846999999997</v>
      </c>
      <c r="C8045">
        <f t="shared" si="499"/>
        <v>-117.847033</v>
      </c>
      <c r="D8045">
        <f t="shared" si="500"/>
        <v>72</v>
      </c>
      <c r="E8045">
        <v>29.5</v>
      </c>
      <c r="F8045">
        <f t="shared" si="501"/>
        <v>42.5</v>
      </c>
      <c r="G8045">
        <v>13</v>
      </c>
      <c r="H8045">
        <v>0.45</v>
      </c>
      <c r="I8045">
        <v>3.4969999999999999</v>
      </c>
      <c r="J8045">
        <v>4</v>
      </c>
      <c r="K8045">
        <v>8</v>
      </c>
      <c r="L8045">
        <v>5</v>
      </c>
      <c r="M8045">
        <v>0.73699999999999999</v>
      </c>
    </row>
    <row r="8046" spans="1:13">
      <c r="A8046" t="s">
        <v>255</v>
      </c>
      <c r="B8046">
        <f t="shared" si="498"/>
        <v>33.718846999999997</v>
      </c>
      <c r="C8046">
        <f t="shared" si="499"/>
        <v>-117.847033</v>
      </c>
      <c r="D8046">
        <f t="shared" si="500"/>
        <v>72</v>
      </c>
      <c r="E8046">
        <v>30.5</v>
      </c>
      <c r="F8046">
        <f t="shared" si="501"/>
        <v>41.5</v>
      </c>
      <c r="G8046">
        <v>19.082999999999998</v>
      </c>
      <c r="H8046">
        <v>0.58199999999999996</v>
      </c>
      <c r="I8046">
        <v>3.0720000000000001</v>
      </c>
      <c r="J8046">
        <v>5</v>
      </c>
      <c r="K8046">
        <v>9</v>
      </c>
      <c r="L8046">
        <v>6</v>
      </c>
      <c r="M8046">
        <v>1.137</v>
      </c>
    </row>
    <row r="8047" spans="1:13">
      <c r="A8047" t="s">
        <v>255</v>
      </c>
      <c r="B8047">
        <f t="shared" si="498"/>
        <v>33.718846999999997</v>
      </c>
      <c r="C8047">
        <f t="shared" si="499"/>
        <v>-117.847033</v>
      </c>
      <c r="D8047">
        <f t="shared" si="500"/>
        <v>72</v>
      </c>
      <c r="E8047">
        <v>31.5</v>
      </c>
      <c r="F8047">
        <f t="shared" si="501"/>
        <v>40.5</v>
      </c>
      <c r="G8047">
        <v>13.129</v>
      </c>
      <c r="H8047">
        <v>0.45700000000000002</v>
      </c>
      <c r="I8047">
        <v>3.524</v>
      </c>
      <c r="J8047">
        <v>4</v>
      </c>
      <c r="K8047">
        <v>8</v>
      </c>
      <c r="L8047">
        <v>5</v>
      </c>
      <c r="M8047">
        <v>0.73599999999999999</v>
      </c>
    </row>
    <row r="8048" spans="1:13">
      <c r="A8048" t="s">
        <v>255</v>
      </c>
      <c r="B8048">
        <f t="shared" si="498"/>
        <v>33.718846999999997</v>
      </c>
      <c r="C8048">
        <f t="shared" si="499"/>
        <v>-117.847033</v>
      </c>
      <c r="D8048">
        <f t="shared" si="500"/>
        <v>72</v>
      </c>
      <c r="E8048">
        <v>32.5</v>
      </c>
      <c r="F8048">
        <f t="shared" si="501"/>
        <v>39.5</v>
      </c>
      <c r="G8048">
        <v>14.6</v>
      </c>
      <c r="H8048">
        <v>0.57499999999999996</v>
      </c>
      <c r="I8048">
        <v>3.9790000000000001</v>
      </c>
      <c r="J8048">
        <v>3</v>
      </c>
      <c r="K8048">
        <v>14</v>
      </c>
      <c r="L8048">
        <v>9</v>
      </c>
      <c r="M8048">
        <v>0.83</v>
      </c>
    </row>
    <row r="8049" spans="1:13">
      <c r="A8049" t="s">
        <v>255</v>
      </c>
      <c r="B8049">
        <f t="shared" si="498"/>
        <v>33.718846999999997</v>
      </c>
      <c r="C8049">
        <f t="shared" si="499"/>
        <v>-117.847033</v>
      </c>
      <c r="D8049">
        <f t="shared" si="500"/>
        <v>72</v>
      </c>
      <c r="E8049">
        <v>33.5</v>
      </c>
      <c r="F8049">
        <f t="shared" si="501"/>
        <v>38.5</v>
      </c>
      <c r="G8049">
        <v>26.533000000000001</v>
      </c>
      <c r="H8049">
        <v>1.1779999999999999</v>
      </c>
      <c r="I8049">
        <v>4.4630000000000001</v>
      </c>
      <c r="J8049">
        <v>4</v>
      </c>
      <c r="K8049">
        <v>17</v>
      </c>
      <c r="L8049">
        <v>11</v>
      </c>
      <c r="M8049">
        <v>1.623</v>
      </c>
    </row>
    <row r="8050" spans="1:13">
      <c r="A8050" t="s">
        <v>255</v>
      </c>
      <c r="B8050">
        <f t="shared" si="498"/>
        <v>33.718846999999997</v>
      </c>
      <c r="C8050">
        <f t="shared" si="499"/>
        <v>-117.847033</v>
      </c>
      <c r="D8050">
        <f t="shared" si="500"/>
        <v>72</v>
      </c>
      <c r="E8050">
        <v>34.5</v>
      </c>
      <c r="F8050">
        <f t="shared" si="501"/>
        <v>37.5</v>
      </c>
      <c r="G8050">
        <v>16.817</v>
      </c>
      <c r="H8050">
        <v>0.66700000000000004</v>
      </c>
      <c r="I8050">
        <v>3.988</v>
      </c>
      <c r="J8050">
        <v>4</v>
      </c>
      <c r="K8050">
        <v>11</v>
      </c>
      <c r="L8050">
        <v>7</v>
      </c>
      <c r="M8050">
        <v>0.97299999999999998</v>
      </c>
    </row>
    <row r="8051" spans="1:13">
      <c r="A8051" t="s">
        <v>255</v>
      </c>
      <c r="B8051">
        <f t="shared" si="498"/>
        <v>33.718846999999997</v>
      </c>
      <c r="C8051">
        <f t="shared" si="499"/>
        <v>-117.847033</v>
      </c>
      <c r="D8051">
        <f t="shared" si="500"/>
        <v>72</v>
      </c>
      <c r="E8051">
        <v>35.5</v>
      </c>
      <c r="F8051">
        <f t="shared" si="501"/>
        <v>36.5</v>
      </c>
      <c r="G8051">
        <v>18.766999999999999</v>
      </c>
      <c r="H8051">
        <v>0.79</v>
      </c>
      <c r="I8051">
        <v>4.2320000000000002</v>
      </c>
      <c r="J8051">
        <v>3</v>
      </c>
      <c r="K8051">
        <v>18</v>
      </c>
      <c r="L8051">
        <v>11</v>
      </c>
      <c r="M8051">
        <v>1.099</v>
      </c>
    </row>
    <row r="8052" spans="1:13">
      <c r="A8052" t="s">
        <v>255</v>
      </c>
      <c r="B8052">
        <f t="shared" si="498"/>
        <v>33.718846999999997</v>
      </c>
      <c r="C8052">
        <f t="shared" si="499"/>
        <v>-117.847033</v>
      </c>
      <c r="D8052">
        <f t="shared" si="500"/>
        <v>72</v>
      </c>
      <c r="E8052">
        <v>36.5</v>
      </c>
      <c r="F8052">
        <f t="shared" si="501"/>
        <v>35.5</v>
      </c>
      <c r="G8052">
        <v>53.167000000000002</v>
      </c>
      <c r="H8052">
        <v>1.0269999999999999</v>
      </c>
      <c r="I8052">
        <v>1.9339999999999999</v>
      </c>
      <c r="J8052">
        <v>7</v>
      </c>
      <c r="K8052">
        <v>17</v>
      </c>
      <c r="L8052">
        <v>10</v>
      </c>
      <c r="M8052" s="1">
        <v>9000000000</v>
      </c>
    </row>
    <row r="8053" spans="1:13">
      <c r="A8053" t="s">
        <v>255</v>
      </c>
      <c r="B8053">
        <f t="shared" si="498"/>
        <v>33.718846999999997</v>
      </c>
      <c r="C8053">
        <f t="shared" si="499"/>
        <v>-117.847033</v>
      </c>
      <c r="D8053">
        <f t="shared" si="500"/>
        <v>72</v>
      </c>
      <c r="E8053">
        <v>37.5</v>
      </c>
      <c r="F8053">
        <f t="shared" si="501"/>
        <v>34.5</v>
      </c>
      <c r="G8053">
        <v>73.599999999999994</v>
      </c>
      <c r="H8053">
        <v>2.4580000000000002</v>
      </c>
      <c r="I8053">
        <v>3.3450000000000002</v>
      </c>
      <c r="J8053">
        <v>6</v>
      </c>
      <c r="K8053">
        <v>28</v>
      </c>
      <c r="L8053">
        <v>17</v>
      </c>
      <c r="M8053">
        <v>4.7450000000000001</v>
      </c>
    </row>
    <row r="8054" spans="1:13">
      <c r="A8054" t="s">
        <v>255</v>
      </c>
      <c r="B8054">
        <f t="shared" si="498"/>
        <v>33.718846999999997</v>
      </c>
      <c r="C8054">
        <f t="shared" si="499"/>
        <v>-117.847033</v>
      </c>
      <c r="D8054">
        <f t="shared" si="500"/>
        <v>72</v>
      </c>
      <c r="E8054">
        <v>38.5</v>
      </c>
      <c r="F8054">
        <f t="shared" si="501"/>
        <v>33.5</v>
      </c>
      <c r="G8054">
        <v>45.1</v>
      </c>
      <c r="H8054">
        <v>1.3779999999999999</v>
      </c>
      <c r="I8054">
        <v>3.0649999999999999</v>
      </c>
      <c r="J8054">
        <v>6</v>
      </c>
      <c r="K8054">
        <v>17</v>
      </c>
      <c r="L8054">
        <v>10</v>
      </c>
      <c r="M8054">
        <v>2.84</v>
      </c>
    </row>
    <row r="8055" spans="1:13">
      <c r="A8055" t="s">
        <v>255</v>
      </c>
      <c r="B8055">
        <f t="shared" si="498"/>
        <v>33.718846999999997</v>
      </c>
      <c r="C8055">
        <f t="shared" si="499"/>
        <v>-117.847033</v>
      </c>
      <c r="D8055">
        <f t="shared" si="500"/>
        <v>72</v>
      </c>
      <c r="E8055">
        <v>39.5</v>
      </c>
      <c r="F8055">
        <f t="shared" si="501"/>
        <v>32.5</v>
      </c>
      <c r="G8055">
        <v>33.716999999999999</v>
      </c>
      <c r="H8055">
        <v>1.2869999999999999</v>
      </c>
      <c r="I8055">
        <v>3.827</v>
      </c>
      <c r="J8055">
        <v>5</v>
      </c>
      <c r="K8055">
        <v>16</v>
      </c>
      <c r="L8055">
        <v>9</v>
      </c>
      <c r="M8055">
        <v>2.0790000000000002</v>
      </c>
    </row>
    <row r="8056" spans="1:13">
      <c r="A8056" t="s">
        <v>255</v>
      </c>
      <c r="B8056">
        <f t="shared" si="498"/>
        <v>33.718846999999997</v>
      </c>
      <c r="C8056">
        <f t="shared" si="499"/>
        <v>-117.847033</v>
      </c>
      <c r="D8056">
        <f t="shared" si="500"/>
        <v>72</v>
      </c>
      <c r="E8056">
        <v>40.5</v>
      </c>
      <c r="F8056">
        <f t="shared" si="501"/>
        <v>31.5</v>
      </c>
      <c r="G8056">
        <v>34.767000000000003</v>
      </c>
      <c r="H8056">
        <v>1.4019999999999999</v>
      </c>
      <c r="I8056">
        <v>4.0430000000000001</v>
      </c>
      <c r="J8056">
        <v>4</v>
      </c>
      <c r="K8056">
        <v>22</v>
      </c>
      <c r="L8056">
        <v>13</v>
      </c>
      <c r="M8056">
        <v>2.145</v>
      </c>
    </row>
    <row r="8057" spans="1:13">
      <c r="A8057" t="s">
        <v>255</v>
      </c>
      <c r="B8057">
        <f t="shared" si="498"/>
        <v>33.718846999999997</v>
      </c>
      <c r="C8057">
        <f t="shared" si="499"/>
        <v>-117.847033</v>
      </c>
      <c r="D8057">
        <f t="shared" si="500"/>
        <v>72</v>
      </c>
      <c r="E8057">
        <v>41.499000000000002</v>
      </c>
      <c r="F8057">
        <f t="shared" si="501"/>
        <v>30.500999999999998</v>
      </c>
      <c r="G8057">
        <v>42.871000000000002</v>
      </c>
      <c r="H8057">
        <v>1.994</v>
      </c>
      <c r="I8057">
        <v>4.6669999999999998</v>
      </c>
      <c r="J8057">
        <v>4</v>
      </c>
      <c r="K8057">
        <v>27</v>
      </c>
      <c r="L8057">
        <v>16</v>
      </c>
      <c r="M8057">
        <v>2.6779999999999999</v>
      </c>
    </row>
    <row r="8058" spans="1:13">
      <c r="A8058" t="s">
        <v>255</v>
      </c>
      <c r="B8058">
        <f t="shared" si="498"/>
        <v>33.718846999999997</v>
      </c>
      <c r="C8058">
        <f t="shared" si="499"/>
        <v>-117.847033</v>
      </c>
      <c r="D8058">
        <f t="shared" si="500"/>
        <v>72</v>
      </c>
      <c r="E8058">
        <v>42.499000000000002</v>
      </c>
      <c r="F8058">
        <f t="shared" si="501"/>
        <v>29.500999999999998</v>
      </c>
      <c r="G8058">
        <v>77.483000000000004</v>
      </c>
      <c r="H8058">
        <v>2.278</v>
      </c>
      <c r="I8058">
        <v>2.9460000000000002</v>
      </c>
      <c r="J8058">
        <v>6</v>
      </c>
      <c r="K8058">
        <v>30</v>
      </c>
      <c r="L8058">
        <v>17</v>
      </c>
      <c r="M8058">
        <v>4.9809999999999999</v>
      </c>
    </row>
    <row r="8059" spans="1:13">
      <c r="A8059" t="s">
        <v>255</v>
      </c>
      <c r="B8059">
        <f t="shared" si="498"/>
        <v>33.718846999999997</v>
      </c>
      <c r="C8059">
        <f t="shared" si="499"/>
        <v>-117.847033</v>
      </c>
      <c r="D8059">
        <f t="shared" si="500"/>
        <v>72</v>
      </c>
      <c r="E8059">
        <v>43.499000000000002</v>
      </c>
      <c r="F8059">
        <f t="shared" si="501"/>
        <v>28.500999999999998</v>
      </c>
      <c r="G8059">
        <v>103.167</v>
      </c>
      <c r="H8059">
        <v>3.39</v>
      </c>
      <c r="I8059">
        <v>3.29</v>
      </c>
      <c r="J8059">
        <v>6</v>
      </c>
      <c r="K8059">
        <v>39</v>
      </c>
      <c r="L8059">
        <v>22</v>
      </c>
      <c r="M8059">
        <v>6.69</v>
      </c>
    </row>
    <row r="8060" spans="1:13">
      <c r="A8060" t="s">
        <v>255</v>
      </c>
      <c r="B8060">
        <f t="shared" si="498"/>
        <v>33.718846999999997</v>
      </c>
      <c r="C8060">
        <f t="shared" si="499"/>
        <v>-117.847033</v>
      </c>
      <c r="D8060">
        <f t="shared" si="500"/>
        <v>72</v>
      </c>
      <c r="E8060">
        <v>44.499000000000002</v>
      </c>
      <c r="F8060">
        <f t="shared" si="501"/>
        <v>27.500999999999998</v>
      </c>
      <c r="G8060">
        <v>323.18299999999999</v>
      </c>
      <c r="H8060">
        <v>10.303000000000001</v>
      </c>
      <c r="I8060">
        <v>3.19</v>
      </c>
      <c r="J8060">
        <v>12</v>
      </c>
      <c r="K8060">
        <v>155</v>
      </c>
      <c r="L8060">
        <v>86</v>
      </c>
      <c r="M8060" s="1">
        <v>9000000000</v>
      </c>
    </row>
    <row r="8061" spans="1:13">
      <c r="A8061" t="s">
        <v>255</v>
      </c>
      <c r="B8061">
        <f t="shared" si="498"/>
        <v>33.718846999999997</v>
      </c>
      <c r="C8061">
        <f t="shared" si="499"/>
        <v>-117.847033</v>
      </c>
      <c r="D8061">
        <f t="shared" si="500"/>
        <v>72</v>
      </c>
      <c r="E8061">
        <v>45.499000000000002</v>
      </c>
      <c r="F8061">
        <f t="shared" si="501"/>
        <v>26.500999999999998</v>
      </c>
      <c r="G8061">
        <v>77</v>
      </c>
      <c r="H8061">
        <v>4.2329999999999997</v>
      </c>
      <c r="I8061">
        <v>5.5119999999999996</v>
      </c>
      <c r="J8061">
        <v>11</v>
      </c>
      <c r="K8061">
        <v>74</v>
      </c>
      <c r="L8061">
        <v>41</v>
      </c>
      <c r="M8061" s="1">
        <v>9000000000</v>
      </c>
    </row>
    <row r="8062" spans="1:13">
      <c r="A8062" t="s">
        <v>255</v>
      </c>
      <c r="B8062">
        <f t="shared" si="498"/>
        <v>33.718846999999997</v>
      </c>
      <c r="C8062">
        <f t="shared" si="499"/>
        <v>-117.847033</v>
      </c>
      <c r="D8062">
        <f t="shared" si="500"/>
        <v>72</v>
      </c>
      <c r="E8062">
        <v>46.499000000000002</v>
      </c>
      <c r="F8062">
        <f t="shared" si="501"/>
        <v>25.500999999999998</v>
      </c>
      <c r="G8062">
        <v>33.067</v>
      </c>
      <c r="H8062">
        <v>1.6020000000000001</v>
      </c>
      <c r="I8062">
        <v>4.8710000000000004</v>
      </c>
      <c r="J8062">
        <v>3</v>
      </c>
      <c r="K8062">
        <v>31</v>
      </c>
      <c r="L8062">
        <v>17</v>
      </c>
      <c r="M8062">
        <v>2</v>
      </c>
    </row>
    <row r="8063" spans="1:13">
      <c r="A8063" t="s">
        <v>255</v>
      </c>
      <c r="B8063">
        <f t="shared" si="498"/>
        <v>33.718846999999997</v>
      </c>
      <c r="C8063">
        <f t="shared" si="499"/>
        <v>-117.847033</v>
      </c>
      <c r="D8063">
        <f t="shared" si="500"/>
        <v>72</v>
      </c>
      <c r="E8063">
        <v>47.499000000000002</v>
      </c>
      <c r="F8063">
        <f t="shared" si="501"/>
        <v>24.500999999999998</v>
      </c>
      <c r="G8063">
        <v>49.116999999999997</v>
      </c>
      <c r="H8063">
        <v>1.7549999999999999</v>
      </c>
      <c r="I8063">
        <v>3.5880000000000001</v>
      </c>
      <c r="J8063">
        <v>5</v>
      </c>
      <c r="K8063">
        <v>23</v>
      </c>
      <c r="L8063">
        <v>12</v>
      </c>
      <c r="M8063">
        <v>3.0649999999999999</v>
      </c>
    </row>
    <row r="8064" spans="1:13">
      <c r="A8064" t="s">
        <v>255</v>
      </c>
      <c r="B8064">
        <f t="shared" si="498"/>
        <v>33.718846999999997</v>
      </c>
      <c r="C8064">
        <f t="shared" si="499"/>
        <v>-117.847033</v>
      </c>
      <c r="D8064">
        <f t="shared" si="500"/>
        <v>72</v>
      </c>
      <c r="E8064">
        <v>48.499000000000002</v>
      </c>
      <c r="F8064">
        <f t="shared" si="501"/>
        <v>23.500999999999998</v>
      </c>
      <c r="G8064">
        <v>143.167</v>
      </c>
      <c r="H8064">
        <v>4.9930000000000003</v>
      </c>
      <c r="I8064">
        <v>3.4929999999999999</v>
      </c>
      <c r="J8064">
        <v>6</v>
      </c>
      <c r="K8064">
        <v>55</v>
      </c>
      <c r="L8064">
        <v>29</v>
      </c>
      <c r="M8064">
        <v>9.3309999999999995</v>
      </c>
    </row>
    <row r="8065" spans="1:13">
      <c r="A8065" t="s">
        <v>255</v>
      </c>
      <c r="B8065">
        <f t="shared" si="498"/>
        <v>33.718846999999997</v>
      </c>
      <c r="C8065">
        <f t="shared" si="499"/>
        <v>-117.847033</v>
      </c>
      <c r="D8065">
        <f t="shared" si="500"/>
        <v>72</v>
      </c>
      <c r="E8065">
        <v>49.499000000000002</v>
      </c>
      <c r="F8065">
        <f t="shared" si="501"/>
        <v>22.500999999999998</v>
      </c>
      <c r="G8065">
        <v>137.35</v>
      </c>
      <c r="H8065">
        <v>5.367</v>
      </c>
      <c r="I8065">
        <v>3.9129999999999998</v>
      </c>
      <c r="J8065">
        <v>12</v>
      </c>
      <c r="K8065">
        <v>66</v>
      </c>
      <c r="L8065">
        <v>35</v>
      </c>
      <c r="M8065" s="1">
        <v>9000000000</v>
      </c>
    </row>
    <row r="8066" spans="1:13">
      <c r="A8066" t="s">
        <v>255</v>
      </c>
      <c r="B8066">
        <f t="shared" ref="B8066:B8129" si="502">VLOOKUP(A8066,XYdata,3,FALSE)</f>
        <v>33.718846999999997</v>
      </c>
      <c r="C8066">
        <f t="shared" ref="C8066:C8129" si="503">VLOOKUP(A8066,XYdata,2,FALSE)</f>
        <v>-117.847033</v>
      </c>
      <c r="D8066">
        <f t="shared" ref="D8066:D8129" si="504">VLOOKUP(A8066,Elevation,2,FALSE)</f>
        <v>72</v>
      </c>
      <c r="E8066">
        <v>50.499000000000002</v>
      </c>
      <c r="F8066">
        <f t="shared" si="501"/>
        <v>21.500999999999998</v>
      </c>
      <c r="G8066">
        <v>86.617000000000004</v>
      </c>
      <c r="H8066">
        <v>4.3470000000000004</v>
      </c>
      <c r="I8066">
        <v>5.03</v>
      </c>
      <c r="J8066">
        <v>11</v>
      </c>
      <c r="K8066">
        <v>83</v>
      </c>
      <c r="L8066">
        <v>43</v>
      </c>
      <c r="M8066" s="1">
        <v>9000000000</v>
      </c>
    </row>
    <row r="8067" spans="1:13">
      <c r="A8067" t="s">
        <v>255</v>
      </c>
      <c r="B8067">
        <f t="shared" si="502"/>
        <v>33.718846999999997</v>
      </c>
      <c r="C8067">
        <f t="shared" si="503"/>
        <v>-117.847033</v>
      </c>
      <c r="D8067">
        <f t="shared" si="504"/>
        <v>72</v>
      </c>
      <c r="E8067">
        <v>51.499000000000002</v>
      </c>
      <c r="F8067">
        <f t="shared" ref="F8067:F8130" si="505">D8067-E8067</f>
        <v>20.500999999999998</v>
      </c>
      <c r="G8067">
        <v>81.733000000000004</v>
      </c>
      <c r="H8067">
        <v>3.3650000000000002</v>
      </c>
      <c r="I8067">
        <v>4.1260000000000003</v>
      </c>
      <c r="J8067">
        <v>5</v>
      </c>
      <c r="K8067">
        <v>39</v>
      </c>
      <c r="L8067">
        <v>20</v>
      </c>
      <c r="M8067">
        <v>5.2229999999999999</v>
      </c>
    </row>
    <row r="8068" spans="1:13">
      <c r="A8068" t="s">
        <v>255</v>
      </c>
      <c r="B8068">
        <f t="shared" si="502"/>
        <v>33.718846999999997</v>
      </c>
      <c r="C8068">
        <f t="shared" si="503"/>
        <v>-117.847033</v>
      </c>
      <c r="D8068">
        <f t="shared" si="504"/>
        <v>72</v>
      </c>
      <c r="E8068">
        <v>52.499000000000002</v>
      </c>
      <c r="F8068">
        <f t="shared" si="505"/>
        <v>19.500999999999998</v>
      </c>
      <c r="G8068">
        <v>133.74299999999999</v>
      </c>
      <c r="H8068">
        <v>5.4160000000000004</v>
      </c>
      <c r="I8068">
        <v>4.0549999999999997</v>
      </c>
      <c r="J8068">
        <v>11</v>
      </c>
      <c r="K8068">
        <v>128</v>
      </c>
      <c r="L8068">
        <v>65</v>
      </c>
      <c r="M8068" s="1">
        <v>9000000000</v>
      </c>
    </row>
    <row r="8069" spans="1:13">
      <c r="A8069" t="s">
        <v>255</v>
      </c>
      <c r="B8069">
        <f t="shared" si="502"/>
        <v>33.718846999999997</v>
      </c>
      <c r="C8069">
        <f t="shared" si="503"/>
        <v>-117.847033</v>
      </c>
      <c r="D8069">
        <f t="shared" si="504"/>
        <v>72</v>
      </c>
      <c r="E8069">
        <v>53.499000000000002</v>
      </c>
      <c r="F8069">
        <f t="shared" si="505"/>
        <v>18.500999999999998</v>
      </c>
      <c r="G8069">
        <v>208.93299999999999</v>
      </c>
      <c r="H8069">
        <v>7.4320000000000004</v>
      </c>
      <c r="I8069">
        <v>3.56</v>
      </c>
      <c r="J8069">
        <v>12</v>
      </c>
      <c r="K8069">
        <v>100</v>
      </c>
      <c r="L8069">
        <v>50</v>
      </c>
      <c r="M8069" s="1">
        <v>9000000000</v>
      </c>
    </row>
    <row r="8070" spans="1:13">
      <c r="A8070" t="s">
        <v>255</v>
      </c>
      <c r="B8070">
        <f t="shared" si="502"/>
        <v>33.718846999999997</v>
      </c>
      <c r="C8070">
        <f t="shared" si="503"/>
        <v>-117.847033</v>
      </c>
      <c r="D8070">
        <f t="shared" si="504"/>
        <v>72</v>
      </c>
      <c r="E8070">
        <v>54.499000000000002</v>
      </c>
      <c r="F8070">
        <f t="shared" si="505"/>
        <v>17.500999999999998</v>
      </c>
      <c r="G8070">
        <v>170.81700000000001</v>
      </c>
      <c r="H8070">
        <v>5.08</v>
      </c>
      <c r="I8070">
        <v>2.9769999999999999</v>
      </c>
      <c r="J8070">
        <v>7</v>
      </c>
      <c r="K8070">
        <v>54</v>
      </c>
      <c r="L8070">
        <v>27</v>
      </c>
      <c r="M8070" s="1">
        <v>9000000000</v>
      </c>
    </row>
    <row r="8071" spans="1:13">
      <c r="A8071" t="s">
        <v>255</v>
      </c>
      <c r="B8071">
        <f t="shared" si="502"/>
        <v>33.718846999999997</v>
      </c>
      <c r="C8071">
        <f t="shared" si="503"/>
        <v>-117.847033</v>
      </c>
      <c r="D8071">
        <f t="shared" si="504"/>
        <v>72</v>
      </c>
      <c r="E8071">
        <v>55.499000000000002</v>
      </c>
      <c r="F8071">
        <f t="shared" si="505"/>
        <v>16.500999999999998</v>
      </c>
      <c r="G8071">
        <v>143.06700000000001</v>
      </c>
      <c r="H8071">
        <v>4.7569999999999997</v>
      </c>
      <c r="I8071">
        <v>3.3290000000000002</v>
      </c>
      <c r="J8071">
        <v>6</v>
      </c>
      <c r="K8071">
        <v>55</v>
      </c>
      <c r="L8071">
        <v>28</v>
      </c>
      <c r="M8071">
        <v>9.2949999999999999</v>
      </c>
    </row>
    <row r="8072" spans="1:13">
      <c r="A8072" t="s">
        <v>255</v>
      </c>
      <c r="B8072">
        <f t="shared" si="502"/>
        <v>33.718846999999997</v>
      </c>
      <c r="C8072">
        <f t="shared" si="503"/>
        <v>-117.847033</v>
      </c>
      <c r="D8072">
        <f t="shared" si="504"/>
        <v>72</v>
      </c>
      <c r="E8072">
        <v>56.499000000000002</v>
      </c>
      <c r="F8072">
        <f t="shared" si="505"/>
        <v>15.500999999999998</v>
      </c>
      <c r="G8072">
        <v>312.21699999999998</v>
      </c>
      <c r="H8072">
        <v>5.4770000000000003</v>
      </c>
      <c r="I8072">
        <v>1.7549999999999999</v>
      </c>
      <c r="J8072">
        <v>8</v>
      </c>
      <c r="K8072">
        <v>75</v>
      </c>
      <c r="L8072">
        <v>38</v>
      </c>
      <c r="M8072" s="1">
        <v>9000000000</v>
      </c>
    </row>
    <row r="8073" spans="1:13">
      <c r="A8073" t="s">
        <v>255</v>
      </c>
      <c r="B8073">
        <f t="shared" si="502"/>
        <v>33.718846999999997</v>
      </c>
      <c r="C8073">
        <f t="shared" si="503"/>
        <v>-117.847033</v>
      </c>
      <c r="D8073">
        <f t="shared" si="504"/>
        <v>72</v>
      </c>
      <c r="E8073">
        <v>57.499000000000002</v>
      </c>
      <c r="F8073">
        <f t="shared" si="505"/>
        <v>14.500999999999998</v>
      </c>
      <c r="G8073">
        <v>248.583</v>
      </c>
      <c r="H8073">
        <v>5.32</v>
      </c>
      <c r="I8073">
        <v>2.141</v>
      </c>
      <c r="J8073">
        <v>7</v>
      </c>
      <c r="K8073">
        <v>79</v>
      </c>
      <c r="L8073">
        <v>40</v>
      </c>
      <c r="M8073" s="1">
        <v>9000000000</v>
      </c>
    </row>
    <row r="8074" spans="1:13">
      <c r="A8074" t="s">
        <v>255</v>
      </c>
      <c r="B8074">
        <f t="shared" si="502"/>
        <v>33.718846999999997</v>
      </c>
      <c r="C8074">
        <f t="shared" si="503"/>
        <v>-117.847033</v>
      </c>
      <c r="D8074">
        <f t="shared" si="504"/>
        <v>72</v>
      </c>
      <c r="E8074">
        <v>58.499000000000002</v>
      </c>
      <c r="F8074">
        <f t="shared" si="505"/>
        <v>13.500999999999998</v>
      </c>
      <c r="G8074">
        <v>38.917000000000002</v>
      </c>
      <c r="H8074">
        <v>1.962</v>
      </c>
      <c r="I8074">
        <v>5.0469999999999997</v>
      </c>
      <c r="J8074">
        <v>3</v>
      </c>
      <c r="K8074">
        <v>37</v>
      </c>
      <c r="L8074">
        <v>19</v>
      </c>
      <c r="M8074">
        <v>2.3479999999999999</v>
      </c>
    </row>
    <row r="8075" spans="1:13">
      <c r="A8075" t="s">
        <v>255</v>
      </c>
      <c r="B8075">
        <f t="shared" si="502"/>
        <v>33.718846999999997</v>
      </c>
      <c r="C8075">
        <f t="shared" si="503"/>
        <v>-117.847033</v>
      </c>
      <c r="D8075">
        <f t="shared" si="504"/>
        <v>72</v>
      </c>
      <c r="E8075">
        <v>59.499000000000002</v>
      </c>
      <c r="F8075">
        <f t="shared" si="505"/>
        <v>12.500999999999998</v>
      </c>
      <c r="G8075">
        <v>15.083</v>
      </c>
      <c r="H8075">
        <v>0.46</v>
      </c>
      <c r="I8075">
        <v>3.05</v>
      </c>
      <c r="J8075">
        <v>5</v>
      </c>
      <c r="K8075">
        <v>7</v>
      </c>
      <c r="L8075">
        <v>4</v>
      </c>
      <c r="M8075">
        <v>0.75900000000000001</v>
      </c>
    </row>
    <row r="8076" spans="1:13">
      <c r="A8076" t="s">
        <v>255</v>
      </c>
      <c r="B8076">
        <f t="shared" si="502"/>
        <v>33.718846999999997</v>
      </c>
      <c r="C8076">
        <f t="shared" si="503"/>
        <v>-117.847033</v>
      </c>
      <c r="D8076">
        <f t="shared" si="504"/>
        <v>72</v>
      </c>
      <c r="E8076">
        <v>60.499000000000002</v>
      </c>
      <c r="F8076">
        <f t="shared" si="505"/>
        <v>11.500999999999998</v>
      </c>
      <c r="G8076">
        <v>17.067</v>
      </c>
      <c r="H8076">
        <v>0.437</v>
      </c>
      <c r="I8076">
        <v>2.5510000000000002</v>
      </c>
      <c r="J8076">
        <v>5</v>
      </c>
      <c r="K8076">
        <v>8</v>
      </c>
      <c r="L8076">
        <v>4</v>
      </c>
      <c r="M8076">
        <v>0.89</v>
      </c>
    </row>
    <row r="8077" spans="1:13">
      <c r="A8077" t="s">
        <v>255</v>
      </c>
      <c r="B8077">
        <f t="shared" si="502"/>
        <v>33.718846999999997</v>
      </c>
      <c r="C8077">
        <f t="shared" si="503"/>
        <v>-117.847033</v>
      </c>
      <c r="D8077">
        <f t="shared" si="504"/>
        <v>72</v>
      </c>
      <c r="E8077">
        <v>61.499000000000002</v>
      </c>
      <c r="F8077">
        <f t="shared" si="505"/>
        <v>10.500999999999998</v>
      </c>
      <c r="G8077">
        <v>47.082999999999998</v>
      </c>
      <c r="H8077">
        <v>1.9019999999999999</v>
      </c>
      <c r="I8077">
        <v>4.0179999999999998</v>
      </c>
      <c r="J8077">
        <v>5</v>
      </c>
      <c r="K8077">
        <v>23</v>
      </c>
      <c r="L8077">
        <v>12</v>
      </c>
      <c r="M8077">
        <v>2.9009999999999998</v>
      </c>
    </row>
    <row r="8078" spans="1:13">
      <c r="A8078" t="s">
        <v>255</v>
      </c>
      <c r="B8078">
        <f t="shared" si="502"/>
        <v>33.718846999999997</v>
      </c>
      <c r="C8078">
        <f t="shared" si="503"/>
        <v>-117.847033</v>
      </c>
      <c r="D8078">
        <f t="shared" si="504"/>
        <v>72</v>
      </c>
      <c r="E8078">
        <v>62.499000000000002</v>
      </c>
      <c r="F8078">
        <f t="shared" si="505"/>
        <v>9.5009999999999977</v>
      </c>
      <c r="G8078">
        <v>35.871000000000002</v>
      </c>
      <c r="H8078">
        <v>1.641</v>
      </c>
      <c r="I8078">
        <v>4.6020000000000003</v>
      </c>
      <c r="J8078">
        <v>4</v>
      </c>
      <c r="K8078">
        <v>23</v>
      </c>
      <c r="L8078">
        <v>12</v>
      </c>
      <c r="M8078">
        <v>2.1190000000000002</v>
      </c>
    </row>
    <row r="8079" spans="1:13">
      <c r="A8079" t="s">
        <v>255</v>
      </c>
      <c r="B8079">
        <f t="shared" si="502"/>
        <v>33.718846999999997</v>
      </c>
      <c r="C8079">
        <f t="shared" si="503"/>
        <v>-117.847033</v>
      </c>
      <c r="D8079">
        <f t="shared" si="504"/>
        <v>72</v>
      </c>
      <c r="E8079">
        <v>63.499000000000002</v>
      </c>
      <c r="F8079">
        <f t="shared" si="505"/>
        <v>8.5009999999999977</v>
      </c>
      <c r="G8079">
        <v>18.766999999999999</v>
      </c>
      <c r="H8079">
        <v>0.73799999999999999</v>
      </c>
      <c r="I8079">
        <v>3.9769999999999999</v>
      </c>
      <c r="J8079">
        <v>4</v>
      </c>
      <c r="K8079">
        <v>12</v>
      </c>
      <c r="L8079">
        <v>6</v>
      </c>
      <c r="M8079">
        <v>0.97499999999999998</v>
      </c>
    </row>
    <row r="8080" spans="1:13">
      <c r="A8080" t="s">
        <v>255</v>
      </c>
      <c r="B8080">
        <f t="shared" si="502"/>
        <v>33.718846999999997</v>
      </c>
      <c r="C8080">
        <f t="shared" si="503"/>
        <v>-117.847033</v>
      </c>
      <c r="D8080">
        <f t="shared" si="504"/>
        <v>72</v>
      </c>
      <c r="E8080">
        <v>64.498999999999995</v>
      </c>
      <c r="F8080">
        <f t="shared" si="505"/>
        <v>7.5010000000000048</v>
      </c>
      <c r="G8080">
        <v>18.167000000000002</v>
      </c>
      <c r="H8080">
        <v>0.63200000000000001</v>
      </c>
      <c r="I8080">
        <v>3.516</v>
      </c>
      <c r="J8080">
        <v>4</v>
      </c>
      <c r="K8080">
        <v>11</v>
      </c>
      <c r="L8080">
        <v>6</v>
      </c>
      <c r="M8080">
        <v>0.93100000000000005</v>
      </c>
    </row>
    <row r="8081" spans="1:13">
      <c r="A8081" t="s">
        <v>255</v>
      </c>
      <c r="B8081">
        <f t="shared" si="502"/>
        <v>33.718846999999997</v>
      </c>
      <c r="C8081">
        <f t="shared" si="503"/>
        <v>-117.847033</v>
      </c>
      <c r="D8081">
        <f t="shared" si="504"/>
        <v>72</v>
      </c>
      <c r="E8081">
        <v>65.498999999999995</v>
      </c>
      <c r="F8081">
        <f t="shared" si="505"/>
        <v>6.5010000000000048</v>
      </c>
      <c r="G8081">
        <v>21.716999999999999</v>
      </c>
      <c r="H8081">
        <v>0.61699999999999999</v>
      </c>
      <c r="I8081">
        <v>2.8620000000000001</v>
      </c>
      <c r="J8081">
        <v>5</v>
      </c>
      <c r="K8081">
        <v>10</v>
      </c>
      <c r="L8081">
        <v>5</v>
      </c>
      <c r="M8081">
        <v>1.165</v>
      </c>
    </row>
    <row r="8082" spans="1:13">
      <c r="A8082" t="s">
        <v>255</v>
      </c>
      <c r="B8082">
        <f t="shared" si="502"/>
        <v>33.718846999999997</v>
      </c>
      <c r="C8082">
        <f t="shared" si="503"/>
        <v>-117.847033</v>
      </c>
      <c r="D8082">
        <f t="shared" si="504"/>
        <v>72</v>
      </c>
      <c r="E8082">
        <v>66.498999999999995</v>
      </c>
      <c r="F8082">
        <f t="shared" si="505"/>
        <v>5.5010000000000048</v>
      </c>
      <c r="G8082">
        <v>39.267000000000003</v>
      </c>
      <c r="H8082">
        <v>0.97499999999999998</v>
      </c>
      <c r="I8082">
        <v>2.4929999999999999</v>
      </c>
      <c r="J8082">
        <v>6</v>
      </c>
      <c r="K8082">
        <v>15</v>
      </c>
      <c r="L8082">
        <v>8</v>
      </c>
      <c r="M8082">
        <v>2.3319999999999999</v>
      </c>
    </row>
    <row r="8083" spans="1:13">
      <c r="A8083" t="s">
        <v>255</v>
      </c>
      <c r="B8083">
        <f t="shared" si="502"/>
        <v>33.718846999999997</v>
      </c>
      <c r="C8083">
        <f t="shared" si="503"/>
        <v>-117.847033</v>
      </c>
      <c r="D8083">
        <f t="shared" si="504"/>
        <v>72</v>
      </c>
      <c r="E8083">
        <v>67.498999999999995</v>
      </c>
      <c r="F8083">
        <f t="shared" si="505"/>
        <v>4.5010000000000048</v>
      </c>
      <c r="G8083">
        <v>73.8</v>
      </c>
      <c r="H8083">
        <v>2.677</v>
      </c>
      <c r="I8083">
        <v>3.6339999999999999</v>
      </c>
      <c r="J8083">
        <v>5</v>
      </c>
      <c r="K8083">
        <v>35</v>
      </c>
      <c r="L8083">
        <v>18</v>
      </c>
      <c r="M8083">
        <v>4.63</v>
      </c>
    </row>
    <row r="8084" spans="1:13">
      <c r="A8084" t="s">
        <v>255</v>
      </c>
      <c r="B8084">
        <f t="shared" si="502"/>
        <v>33.718846999999997</v>
      </c>
      <c r="C8084">
        <f t="shared" si="503"/>
        <v>-117.847033</v>
      </c>
      <c r="D8084">
        <f t="shared" si="504"/>
        <v>72</v>
      </c>
      <c r="E8084">
        <v>68.498999999999995</v>
      </c>
      <c r="F8084">
        <f t="shared" si="505"/>
        <v>3.5010000000000048</v>
      </c>
      <c r="G8084">
        <v>114.967</v>
      </c>
      <c r="H8084">
        <v>3.4449999999999998</v>
      </c>
      <c r="I8084">
        <v>3.0019999999999998</v>
      </c>
      <c r="J8084">
        <v>6</v>
      </c>
      <c r="K8084">
        <v>44</v>
      </c>
      <c r="L8084">
        <v>22</v>
      </c>
      <c r="M8084">
        <v>7.367</v>
      </c>
    </row>
    <row r="8085" spans="1:13">
      <c r="A8085" t="s">
        <v>255</v>
      </c>
      <c r="B8085">
        <f t="shared" si="502"/>
        <v>33.718846999999997</v>
      </c>
      <c r="C8085">
        <f t="shared" si="503"/>
        <v>-117.847033</v>
      </c>
      <c r="D8085">
        <f t="shared" si="504"/>
        <v>72</v>
      </c>
      <c r="E8085">
        <v>69.498999999999995</v>
      </c>
      <c r="F8085">
        <f t="shared" si="505"/>
        <v>2.5010000000000048</v>
      </c>
      <c r="G8085">
        <v>122.233</v>
      </c>
      <c r="H8085">
        <v>3.7080000000000002</v>
      </c>
      <c r="I8085">
        <v>3.0379999999999998</v>
      </c>
      <c r="J8085">
        <v>6</v>
      </c>
      <c r="K8085">
        <v>47</v>
      </c>
      <c r="L8085">
        <v>24</v>
      </c>
      <c r="M8085">
        <v>7.8490000000000002</v>
      </c>
    </row>
    <row r="8086" spans="1:13">
      <c r="A8086" t="s">
        <v>255</v>
      </c>
      <c r="B8086">
        <f t="shared" si="502"/>
        <v>33.718846999999997</v>
      </c>
      <c r="C8086">
        <f t="shared" si="503"/>
        <v>-117.847033</v>
      </c>
      <c r="D8086">
        <f t="shared" si="504"/>
        <v>72</v>
      </c>
      <c r="E8086">
        <v>70.498999999999995</v>
      </c>
      <c r="F8086">
        <f t="shared" si="505"/>
        <v>1.5010000000000048</v>
      </c>
      <c r="G8086">
        <v>66.183000000000007</v>
      </c>
      <c r="H8086">
        <v>2.1520000000000001</v>
      </c>
      <c r="I8086">
        <v>3.2589999999999999</v>
      </c>
      <c r="J8086">
        <v>6</v>
      </c>
      <c r="K8086">
        <v>25</v>
      </c>
      <c r="L8086">
        <v>13</v>
      </c>
      <c r="M8086">
        <v>4.109</v>
      </c>
    </row>
    <row r="8087" spans="1:13">
      <c r="A8087" t="s">
        <v>255</v>
      </c>
      <c r="B8087">
        <f t="shared" si="502"/>
        <v>33.718846999999997</v>
      </c>
      <c r="C8087">
        <f t="shared" si="503"/>
        <v>-117.847033</v>
      </c>
      <c r="D8087">
        <f t="shared" si="504"/>
        <v>72</v>
      </c>
      <c r="E8087">
        <v>71.498999999999995</v>
      </c>
      <c r="F8087">
        <f t="shared" si="505"/>
        <v>0.50100000000000477</v>
      </c>
      <c r="G8087">
        <v>113.217</v>
      </c>
      <c r="H8087">
        <v>2.198</v>
      </c>
      <c r="I8087">
        <v>1.9450000000000001</v>
      </c>
      <c r="J8087">
        <v>7</v>
      </c>
      <c r="K8087">
        <v>36</v>
      </c>
      <c r="L8087">
        <v>18</v>
      </c>
      <c r="M8087" s="1">
        <v>9000000000</v>
      </c>
    </row>
    <row r="8088" spans="1:13">
      <c r="A8088" t="s">
        <v>255</v>
      </c>
      <c r="B8088">
        <f t="shared" si="502"/>
        <v>33.718846999999997</v>
      </c>
      <c r="C8088">
        <f t="shared" si="503"/>
        <v>-117.847033</v>
      </c>
      <c r="D8088">
        <f t="shared" si="504"/>
        <v>72</v>
      </c>
      <c r="E8088">
        <v>72.498999999999995</v>
      </c>
      <c r="F8088">
        <f t="shared" si="505"/>
        <v>-0.49899999999999523</v>
      </c>
      <c r="G8088">
        <v>32.656999999999996</v>
      </c>
      <c r="H8088">
        <v>1.3029999999999999</v>
      </c>
      <c r="I8088">
        <v>4.0090000000000003</v>
      </c>
      <c r="J8088">
        <v>4</v>
      </c>
      <c r="K8088">
        <v>21</v>
      </c>
      <c r="L8088">
        <v>11</v>
      </c>
      <c r="M8088">
        <v>1.8660000000000001</v>
      </c>
    </row>
    <row r="8089" spans="1:13">
      <c r="A8089" t="s">
        <v>255</v>
      </c>
      <c r="B8089">
        <f t="shared" si="502"/>
        <v>33.718846999999997</v>
      </c>
      <c r="C8089">
        <f t="shared" si="503"/>
        <v>-117.847033</v>
      </c>
      <c r="D8089">
        <f t="shared" si="504"/>
        <v>72</v>
      </c>
      <c r="E8089">
        <v>73.498999999999995</v>
      </c>
      <c r="F8089">
        <f t="shared" si="505"/>
        <v>-1.4989999999999952</v>
      </c>
      <c r="G8089">
        <v>28.65</v>
      </c>
      <c r="H8089">
        <v>1.232</v>
      </c>
      <c r="I8089">
        <v>4.3239999999999998</v>
      </c>
      <c r="J8089">
        <v>4</v>
      </c>
      <c r="K8089">
        <v>18</v>
      </c>
      <c r="L8089">
        <v>9</v>
      </c>
      <c r="M8089">
        <v>1.5940000000000001</v>
      </c>
    </row>
    <row r="8090" spans="1:13">
      <c r="A8090" t="s">
        <v>255</v>
      </c>
      <c r="B8090">
        <f t="shared" si="502"/>
        <v>33.718846999999997</v>
      </c>
      <c r="C8090">
        <f t="shared" si="503"/>
        <v>-117.847033</v>
      </c>
      <c r="D8090">
        <f t="shared" si="504"/>
        <v>72</v>
      </c>
      <c r="E8090">
        <v>74.498999999999995</v>
      </c>
      <c r="F8090">
        <f t="shared" si="505"/>
        <v>-2.4989999999999952</v>
      </c>
      <c r="G8090">
        <v>30.516999999999999</v>
      </c>
      <c r="H8090">
        <v>1.0229999999999999</v>
      </c>
      <c r="I8090">
        <v>3.37</v>
      </c>
      <c r="J8090">
        <v>5</v>
      </c>
      <c r="K8090">
        <v>15</v>
      </c>
      <c r="L8090">
        <v>8</v>
      </c>
      <c r="M8090">
        <v>1.716</v>
      </c>
    </row>
    <row r="8091" spans="1:13">
      <c r="A8091" t="s">
        <v>255</v>
      </c>
      <c r="B8091">
        <f t="shared" si="502"/>
        <v>33.718846999999997</v>
      </c>
      <c r="C8091">
        <f t="shared" si="503"/>
        <v>-117.847033</v>
      </c>
      <c r="D8091">
        <f t="shared" si="504"/>
        <v>72</v>
      </c>
      <c r="E8091">
        <v>75.498999999999995</v>
      </c>
      <c r="F8091">
        <f t="shared" si="505"/>
        <v>-3.4989999999999952</v>
      </c>
      <c r="G8091">
        <v>24.3</v>
      </c>
      <c r="H8091">
        <v>0.627</v>
      </c>
      <c r="I8091">
        <v>2.5979999999999999</v>
      </c>
      <c r="J8091">
        <v>5</v>
      </c>
      <c r="K8091">
        <v>12</v>
      </c>
      <c r="L8091">
        <v>6</v>
      </c>
      <c r="M8091">
        <v>1.2949999999999999</v>
      </c>
    </row>
    <row r="8092" spans="1:13">
      <c r="A8092" t="s">
        <v>255</v>
      </c>
      <c r="B8092">
        <f t="shared" si="502"/>
        <v>33.718846999999997</v>
      </c>
      <c r="C8092">
        <f t="shared" si="503"/>
        <v>-117.847033</v>
      </c>
      <c r="D8092">
        <f t="shared" si="504"/>
        <v>72</v>
      </c>
      <c r="E8092">
        <v>76.498999999999995</v>
      </c>
      <c r="F8092">
        <f t="shared" si="505"/>
        <v>-4.4989999999999952</v>
      </c>
      <c r="G8092">
        <v>51.567</v>
      </c>
      <c r="H8092">
        <v>2.57</v>
      </c>
      <c r="I8092">
        <v>5</v>
      </c>
      <c r="J8092">
        <v>4</v>
      </c>
      <c r="K8092">
        <v>33</v>
      </c>
      <c r="L8092">
        <v>17</v>
      </c>
      <c r="M8092">
        <v>3.11</v>
      </c>
    </row>
    <row r="8093" spans="1:13">
      <c r="A8093" t="s">
        <v>255</v>
      </c>
      <c r="B8093">
        <f t="shared" si="502"/>
        <v>33.718846999999997</v>
      </c>
      <c r="C8093">
        <f t="shared" si="503"/>
        <v>-117.847033</v>
      </c>
      <c r="D8093">
        <f t="shared" si="504"/>
        <v>72</v>
      </c>
      <c r="E8093">
        <v>77.498999999999995</v>
      </c>
      <c r="F8093">
        <f t="shared" si="505"/>
        <v>-5.4989999999999952</v>
      </c>
      <c r="G8093">
        <v>166.38300000000001</v>
      </c>
      <c r="H8093">
        <v>3.5870000000000002</v>
      </c>
      <c r="I8093">
        <v>2.1579999999999999</v>
      </c>
      <c r="J8093">
        <v>7</v>
      </c>
      <c r="K8093">
        <v>53</v>
      </c>
      <c r="L8093">
        <v>27</v>
      </c>
      <c r="M8093" s="1">
        <v>9000000000</v>
      </c>
    </row>
    <row r="8094" spans="1:13">
      <c r="A8094" t="s">
        <v>255</v>
      </c>
      <c r="B8094">
        <f t="shared" si="502"/>
        <v>33.718846999999997</v>
      </c>
      <c r="C8094">
        <f t="shared" si="503"/>
        <v>-117.847033</v>
      </c>
      <c r="D8094">
        <f t="shared" si="504"/>
        <v>72</v>
      </c>
      <c r="E8094">
        <v>78.498999999999995</v>
      </c>
      <c r="F8094">
        <f t="shared" si="505"/>
        <v>-6.4989999999999952</v>
      </c>
      <c r="G8094">
        <v>283.767</v>
      </c>
      <c r="H8094">
        <v>4.3929999999999998</v>
      </c>
      <c r="I8094">
        <v>1.5489999999999999</v>
      </c>
      <c r="J8094">
        <v>8</v>
      </c>
      <c r="K8094">
        <v>68</v>
      </c>
      <c r="L8094">
        <v>34</v>
      </c>
      <c r="M8094" s="1">
        <v>9000000000</v>
      </c>
    </row>
    <row r="8095" spans="1:13">
      <c r="A8095" t="s">
        <v>255</v>
      </c>
      <c r="B8095">
        <f t="shared" si="502"/>
        <v>33.718846999999997</v>
      </c>
      <c r="C8095">
        <f t="shared" si="503"/>
        <v>-117.847033</v>
      </c>
      <c r="D8095">
        <f t="shared" si="504"/>
        <v>72</v>
      </c>
      <c r="E8095">
        <v>79.498999999999995</v>
      </c>
      <c r="F8095">
        <f t="shared" si="505"/>
        <v>-7.4989999999999952</v>
      </c>
      <c r="G8095">
        <v>198.083</v>
      </c>
      <c r="H8095">
        <v>2.887</v>
      </c>
      <c r="I8095">
        <v>1.4590000000000001</v>
      </c>
      <c r="J8095">
        <v>8</v>
      </c>
      <c r="K8095">
        <v>47</v>
      </c>
      <c r="L8095">
        <v>24</v>
      </c>
      <c r="M8095" s="1">
        <v>9000000000</v>
      </c>
    </row>
    <row r="8096" spans="1:13">
      <c r="A8096" t="s">
        <v>255</v>
      </c>
      <c r="B8096">
        <f t="shared" si="502"/>
        <v>33.718846999999997</v>
      </c>
      <c r="C8096">
        <f t="shared" si="503"/>
        <v>-117.847033</v>
      </c>
      <c r="D8096">
        <f t="shared" si="504"/>
        <v>72</v>
      </c>
      <c r="E8096">
        <v>80.498999999999995</v>
      </c>
      <c r="F8096">
        <f t="shared" si="505"/>
        <v>-8.4989999999999952</v>
      </c>
      <c r="G8096">
        <v>118.45</v>
      </c>
      <c r="H8096">
        <v>2.512</v>
      </c>
      <c r="I8096">
        <v>2.1240000000000001</v>
      </c>
      <c r="J8096">
        <v>7</v>
      </c>
      <c r="K8096">
        <v>38</v>
      </c>
      <c r="L8096">
        <v>19</v>
      </c>
      <c r="M8096" s="1">
        <v>9000000000</v>
      </c>
    </row>
    <row r="8097" spans="1:13">
      <c r="A8097" t="s">
        <v>255</v>
      </c>
      <c r="B8097">
        <f t="shared" si="502"/>
        <v>33.718846999999997</v>
      </c>
      <c r="C8097">
        <f t="shared" si="503"/>
        <v>-117.847033</v>
      </c>
      <c r="D8097">
        <f t="shared" si="504"/>
        <v>72</v>
      </c>
      <c r="E8097">
        <v>81.498999999999995</v>
      </c>
      <c r="F8097">
        <f t="shared" si="505"/>
        <v>-9.4989999999999952</v>
      </c>
      <c r="G8097">
        <v>93.816999999999993</v>
      </c>
      <c r="H8097">
        <v>3.5920000000000001</v>
      </c>
      <c r="I8097">
        <v>3.8370000000000002</v>
      </c>
      <c r="J8097">
        <v>5</v>
      </c>
      <c r="K8097">
        <v>45</v>
      </c>
      <c r="L8097">
        <v>23</v>
      </c>
      <c r="M8097">
        <v>5.9039999999999999</v>
      </c>
    </row>
    <row r="8098" spans="1:13">
      <c r="A8098" t="s">
        <v>255</v>
      </c>
      <c r="B8098">
        <f t="shared" si="502"/>
        <v>33.718846999999997</v>
      </c>
      <c r="C8098">
        <f t="shared" si="503"/>
        <v>-117.847033</v>
      </c>
      <c r="D8098">
        <f t="shared" si="504"/>
        <v>72</v>
      </c>
      <c r="E8098">
        <v>82.498999999999995</v>
      </c>
      <c r="F8098">
        <f t="shared" si="505"/>
        <v>-10.498999999999995</v>
      </c>
      <c r="G8098">
        <v>218.21700000000001</v>
      </c>
      <c r="H8098">
        <v>1.9730000000000001</v>
      </c>
      <c r="I8098">
        <v>0.90500000000000003</v>
      </c>
      <c r="J8098">
        <v>9</v>
      </c>
      <c r="K8098">
        <v>42</v>
      </c>
      <c r="L8098">
        <v>21</v>
      </c>
      <c r="M8098" s="1">
        <v>9000000000</v>
      </c>
    </row>
    <row r="8099" spans="1:13">
      <c r="A8099" t="s">
        <v>255</v>
      </c>
      <c r="B8099">
        <f t="shared" si="502"/>
        <v>33.718846999999997</v>
      </c>
      <c r="C8099">
        <f t="shared" si="503"/>
        <v>-117.847033</v>
      </c>
      <c r="D8099">
        <f t="shared" si="504"/>
        <v>72</v>
      </c>
      <c r="E8099">
        <v>83.498999999999995</v>
      </c>
      <c r="F8099">
        <f t="shared" si="505"/>
        <v>-11.498999999999995</v>
      </c>
      <c r="G8099">
        <v>155.08600000000001</v>
      </c>
      <c r="H8099">
        <v>2.6970000000000001</v>
      </c>
      <c r="I8099">
        <v>1.74</v>
      </c>
      <c r="J8099">
        <v>8</v>
      </c>
      <c r="K8099">
        <v>37</v>
      </c>
      <c r="L8099">
        <v>19</v>
      </c>
      <c r="M8099" s="1">
        <v>9000000000</v>
      </c>
    </row>
    <row r="8100" spans="1:13">
      <c r="A8100" t="s">
        <v>255</v>
      </c>
      <c r="B8100">
        <f t="shared" si="502"/>
        <v>33.718846999999997</v>
      </c>
      <c r="C8100">
        <f t="shared" si="503"/>
        <v>-117.847033</v>
      </c>
      <c r="D8100">
        <f t="shared" si="504"/>
        <v>72</v>
      </c>
      <c r="E8100">
        <v>84.498999999999995</v>
      </c>
      <c r="F8100">
        <f t="shared" si="505"/>
        <v>-12.498999999999995</v>
      </c>
      <c r="G8100">
        <v>42.533000000000001</v>
      </c>
      <c r="H8100">
        <v>1.9950000000000001</v>
      </c>
      <c r="I8100">
        <v>4.7050000000000001</v>
      </c>
      <c r="J8100">
        <v>4</v>
      </c>
      <c r="K8100">
        <v>27</v>
      </c>
      <c r="L8100">
        <v>14</v>
      </c>
      <c r="M8100">
        <v>2.4769999999999999</v>
      </c>
    </row>
    <row r="8101" spans="1:13">
      <c r="A8101" t="s">
        <v>255</v>
      </c>
      <c r="B8101">
        <f t="shared" si="502"/>
        <v>33.718846999999997</v>
      </c>
      <c r="C8101">
        <f t="shared" si="503"/>
        <v>-117.847033</v>
      </c>
      <c r="D8101">
        <f t="shared" si="504"/>
        <v>72</v>
      </c>
      <c r="E8101">
        <v>85.498999999999995</v>
      </c>
      <c r="F8101">
        <f t="shared" si="505"/>
        <v>-13.498999999999995</v>
      </c>
      <c r="G8101">
        <v>27.6</v>
      </c>
      <c r="H8101">
        <v>0.94199999999999995</v>
      </c>
      <c r="I8101">
        <v>3.4220000000000002</v>
      </c>
      <c r="J8101">
        <v>5</v>
      </c>
      <c r="K8101">
        <v>13</v>
      </c>
      <c r="L8101">
        <v>7</v>
      </c>
      <c r="M8101">
        <v>1.48</v>
      </c>
    </row>
    <row r="8102" spans="1:13">
      <c r="A8102" t="s">
        <v>255</v>
      </c>
      <c r="B8102">
        <f t="shared" si="502"/>
        <v>33.718846999999997</v>
      </c>
      <c r="C8102">
        <f t="shared" si="503"/>
        <v>-117.847033</v>
      </c>
      <c r="D8102">
        <f t="shared" si="504"/>
        <v>72</v>
      </c>
      <c r="E8102">
        <v>86.498999999999995</v>
      </c>
      <c r="F8102">
        <f t="shared" si="505"/>
        <v>-14.498999999999995</v>
      </c>
      <c r="G8102">
        <v>26.783000000000001</v>
      </c>
      <c r="H8102">
        <v>0.78300000000000003</v>
      </c>
      <c r="I8102">
        <v>2.875</v>
      </c>
      <c r="J8102">
        <v>5</v>
      </c>
      <c r="K8102">
        <v>13</v>
      </c>
      <c r="L8102">
        <v>7</v>
      </c>
      <c r="M8102">
        <v>1.458</v>
      </c>
    </row>
    <row r="8103" spans="1:13">
      <c r="A8103" t="s">
        <v>255</v>
      </c>
      <c r="B8103">
        <f t="shared" si="502"/>
        <v>33.718846999999997</v>
      </c>
      <c r="C8103">
        <f t="shared" si="503"/>
        <v>-117.847033</v>
      </c>
      <c r="D8103">
        <f t="shared" si="504"/>
        <v>72</v>
      </c>
      <c r="E8103">
        <v>87.498999999999995</v>
      </c>
      <c r="F8103">
        <f t="shared" si="505"/>
        <v>-15.498999999999995</v>
      </c>
      <c r="G8103">
        <v>29.35</v>
      </c>
      <c r="H8103">
        <v>0.88200000000000001</v>
      </c>
      <c r="I8103">
        <v>2.8170000000000002</v>
      </c>
      <c r="J8103">
        <v>6</v>
      </c>
      <c r="K8103">
        <v>12</v>
      </c>
      <c r="L8103">
        <v>6</v>
      </c>
      <c r="M8103">
        <v>1.724</v>
      </c>
    </row>
    <row r="8104" spans="1:13">
      <c r="A8104" t="s">
        <v>255</v>
      </c>
      <c r="B8104">
        <f t="shared" si="502"/>
        <v>33.718846999999997</v>
      </c>
      <c r="C8104">
        <f t="shared" si="503"/>
        <v>-117.847033</v>
      </c>
      <c r="D8104">
        <f t="shared" si="504"/>
        <v>72</v>
      </c>
      <c r="E8104">
        <v>88.498999999999995</v>
      </c>
      <c r="F8104">
        <f t="shared" si="505"/>
        <v>-16.498999999999995</v>
      </c>
      <c r="G8104">
        <v>101.117</v>
      </c>
      <c r="H8104">
        <v>2.6080000000000001</v>
      </c>
      <c r="I8104">
        <v>2.5569999999999999</v>
      </c>
      <c r="J8104">
        <v>7</v>
      </c>
      <c r="K8104">
        <v>33</v>
      </c>
      <c r="L8104">
        <v>17</v>
      </c>
      <c r="M8104" s="1">
        <v>9000000000</v>
      </c>
    </row>
    <row r="8105" spans="1:13">
      <c r="A8105" t="s">
        <v>255</v>
      </c>
      <c r="B8105">
        <f t="shared" si="502"/>
        <v>33.718846999999997</v>
      </c>
      <c r="C8105">
        <f t="shared" si="503"/>
        <v>-117.847033</v>
      </c>
      <c r="D8105">
        <f t="shared" si="504"/>
        <v>72</v>
      </c>
      <c r="E8105">
        <v>89.498999999999995</v>
      </c>
      <c r="F8105">
        <f t="shared" si="505"/>
        <v>-17.498999999999995</v>
      </c>
      <c r="G8105">
        <v>171.35</v>
      </c>
      <c r="H8105">
        <v>3.7280000000000002</v>
      </c>
      <c r="I8105">
        <v>2.1779999999999999</v>
      </c>
      <c r="J8105">
        <v>7</v>
      </c>
      <c r="K8105">
        <v>55</v>
      </c>
      <c r="L8105">
        <v>28</v>
      </c>
      <c r="M8105" s="1">
        <v>9000000000</v>
      </c>
    </row>
    <row r="8106" spans="1:13">
      <c r="A8106" t="s">
        <v>255</v>
      </c>
      <c r="B8106">
        <f t="shared" si="502"/>
        <v>33.718846999999997</v>
      </c>
      <c r="C8106">
        <f t="shared" si="503"/>
        <v>-117.847033</v>
      </c>
      <c r="D8106">
        <f t="shared" si="504"/>
        <v>72</v>
      </c>
      <c r="E8106">
        <v>90.498999999999995</v>
      </c>
      <c r="F8106">
        <f t="shared" si="505"/>
        <v>-18.498999999999995</v>
      </c>
      <c r="G8106">
        <v>53.35</v>
      </c>
      <c r="H8106">
        <v>1.792</v>
      </c>
      <c r="I8106">
        <v>3.2949999999999999</v>
      </c>
      <c r="J8106">
        <v>5</v>
      </c>
      <c r="K8106">
        <v>26</v>
      </c>
      <c r="L8106">
        <v>13</v>
      </c>
      <c r="M8106">
        <v>3.2509999999999999</v>
      </c>
    </row>
    <row r="8107" spans="1:13">
      <c r="A8107" t="s">
        <v>255</v>
      </c>
      <c r="B8107">
        <f t="shared" si="502"/>
        <v>33.718846999999997</v>
      </c>
      <c r="C8107">
        <f t="shared" si="503"/>
        <v>-117.847033</v>
      </c>
      <c r="D8107">
        <f t="shared" si="504"/>
        <v>72</v>
      </c>
      <c r="E8107">
        <v>91.498999999999995</v>
      </c>
      <c r="F8107">
        <f t="shared" si="505"/>
        <v>-19.498999999999995</v>
      </c>
      <c r="G8107">
        <v>50.317</v>
      </c>
      <c r="H8107">
        <v>2.36</v>
      </c>
      <c r="I8107">
        <v>4.6109999999999998</v>
      </c>
      <c r="J8107">
        <v>4</v>
      </c>
      <c r="K8107">
        <v>33</v>
      </c>
      <c r="L8107">
        <v>17</v>
      </c>
      <c r="M8107">
        <v>3.0329999999999999</v>
      </c>
    </row>
    <row r="8108" spans="1:13">
      <c r="A8108" t="s">
        <v>255</v>
      </c>
      <c r="B8108">
        <f t="shared" si="502"/>
        <v>33.718846999999997</v>
      </c>
      <c r="C8108">
        <f t="shared" si="503"/>
        <v>-117.847033</v>
      </c>
      <c r="D8108">
        <f t="shared" si="504"/>
        <v>72</v>
      </c>
      <c r="E8108">
        <v>92.498999999999995</v>
      </c>
      <c r="F8108">
        <f t="shared" si="505"/>
        <v>-20.498999999999995</v>
      </c>
      <c r="G8108">
        <v>46.683</v>
      </c>
      <c r="H8108">
        <v>2.5049999999999999</v>
      </c>
      <c r="I8108">
        <v>5.3659999999999997</v>
      </c>
      <c r="J8108">
        <v>3</v>
      </c>
      <c r="K8108">
        <v>45</v>
      </c>
      <c r="L8108">
        <v>23</v>
      </c>
      <c r="M8108">
        <v>2.7290000000000001</v>
      </c>
    </row>
    <row r="8109" spans="1:13">
      <c r="A8109" t="s">
        <v>255</v>
      </c>
      <c r="B8109">
        <f t="shared" si="502"/>
        <v>33.718846999999997</v>
      </c>
      <c r="C8109">
        <f t="shared" si="503"/>
        <v>-117.847033</v>
      </c>
      <c r="D8109">
        <f t="shared" si="504"/>
        <v>72</v>
      </c>
      <c r="E8109">
        <v>93.498999999999995</v>
      </c>
      <c r="F8109">
        <f t="shared" si="505"/>
        <v>-21.498999999999995</v>
      </c>
      <c r="G8109">
        <v>28.170999999999999</v>
      </c>
      <c r="H8109">
        <v>0.97099999999999997</v>
      </c>
      <c r="I8109">
        <v>3.2610000000000001</v>
      </c>
      <c r="J8109">
        <v>5</v>
      </c>
      <c r="K8109">
        <v>14</v>
      </c>
      <c r="L8109">
        <v>7</v>
      </c>
      <c r="M8109">
        <v>1.5980000000000001</v>
      </c>
    </row>
    <row r="8110" spans="1:13">
      <c r="A8110" t="s">
        <v>255</v>
      </c>
      <c r="B8110">
        <f t="shared" si="502"/>
        <v>33.718846999999997</v>
      </c>
      <c r="C8110">
        <f t="shared" si="503"/>
        <v>-117.847033</v>
      </c>
      <c r="D8110">
        <f t="shared" si="504"/>
        <v>72</v>
      </c>
      <c r="E8110">
        <v>94.498999999999995</v>
      </c>
      <c r="F8110">
        <f t="shared" si="505"/>
        <v>-22.498999999999995</v>
      </c>
      <c r="G8110">
        <v>25.533000000000001</v>
      </c>
      <c r="H8110">
        <v>0.65200000000000002</v>
      </c>
      <c r="I8110">
        <v>2.3740000000000001</v>
      </c>
      <c r="J8110">
        <v>6</v>
      </c>
      <c r="K8110">
        <v>11</v>
      </c>
      <c r="L8110">
        <v>6</v>
      </c>
      <c r="M8110">
        <v>1.4390000000000001</v>
      </c>
    </row>
    <row r="8111" spans="1:13">
      <c r="A8111" t="s">
        <v>255</v>
      </c>
      <c r="B8111">
        <f t="shared" si="502"/>
        <v>33.718846999999997</v>
      </c>
      <c r="C8111">
        <f t="shared" si="503"/>
        <v>-117.847033</v>
      </c>
      <c r="D8111">
        <f t="shared" si="504"/>
        <v>72</v>
      </c>
      <c r="E8111">
        <v>95.498999999999995</v>
      </c>
      <c r="F8111">
        <f t="shared" si="505"/>
        <v>-23.498999999999995</v>
      </c>
      <c r="G8111">
        <v>25.3</v>
      </c>
      <c r="H8111">
        <v>0.71</v>
      </c>
      <c r="I8111">
        <v>2.6349999999999998</v>
      </c>
      <c r="J8111">
        <v>6</v>
      </c>
      <c r="K8111">
        <v>10</v>
      </c>
      <c r="L8111">
        <v>5</v>
      </c>
      <c r="M8111">
        <v>1.401</v>
      </c>
    </row>
    <row r="8112" spans="1:13">
      <c r="A8112" t="s">
        <v>255</v>
      </c>
      <c r="B8112">
        <f t="shared" si="502"/>
        <v>33.718846999999997</v>
      </c>
      <c r="C8112">
        <f t="shared" si="503"/>
        <v>-117.847033</v>
      </c>
      <c r="D8112">
        <f t="shared" si="504"/>
        <v>72</v>
      </c>
      <c r="E8112">
        <v>96.498999999999995</v>
      </c>
      <c r="F8112">
        <f t="shared" si="505"/>
        <v>-24.498999999999995</v>
      </c>
      <c r="G8112">
        <v>25.233000000000001</v>
      </c>
      <c r="H8112">
        <v>0.755</v>
      </c>
      <c r="I8112">
        <v>2.798</v>
      </c>
      <c r="J8112">
        <v>5</v>
      </c>
      <c r="K8112">
        <v>13</v>
      </c>
      <c r="L8112">
        <v>7</v>
      </c>
      <c r="M8112">
        <v>1.399</v>
      </c>
    </row>
    <row r="8113" spans="1:13">
      <c r="A8113" t="s">
        <v>255</v>
      </c>
      <c r="B8113">
        <f t="shared" si="502"/>
        <v>33.718846999999997</v>
      </c>
      <c r="C8113">
        <f t="shared" si="503"/>
        <v>-117.847033</v>
      </c>
      <c r="D8113">
        <f t="shared" si="504"/>
        <v>72</v>
      </c>
      <c r="E8113">
        <v>97.498999999999995</v>
      </c>
      <c r="F8113">
        <f t="shared" si="505"/>
        <v>-25.498999999999995</v>
      </c>
      <c r="G8113">
        <v>27.6</v>
      </c>
      <c r="H8113">
        <v>0.73199999999999998</v>
      </c>
      <c r="I8113">
        <v>2.496</v>
      </c>
      <c r="J8113">
        <v>6</v>
      </c>
      <c r="K8113">
        <v>11</v>
      </c>
      <c r="L8113">
        <v>6</v>
      </c>
      <c r="M8113">
        <v>1.5509999999999999</v>
      </c>
    </row>
    <row r="8114" spans="1:13">
      <c r="A8114" t="s">
        <v>255</v>
      </c>
      <c r="B8114">
        <f t="shared" si="502"/>
        <v>33.718846999999997</v>
      </c>
      <c r="C8114">
        <f t="shared" si="503"/>
        <v>-117.847033</v>
      </c>
      <c r="D8114">
        <f t="shared" si="504"/>
        <v>72</v>
      </c>
      <c r="E8114">
        <v>98.498999999999995</v>
      </c>
      <c r="F8114">
        <f t="shared" si="505"/>
        <v>-26.498999999999995</v>
      </c>
      <c r="G8114">
        <v>27.6</v>
      </c>
      <c r="H8114">
        <v>0.73799999999999999</v>
      </c>
      <c r="I8114">
        <v>2.5030000000000001</v>
      </c>
      <c r="J8114">
        <v>6</v>
      </c>
      <c r="K8114">
        <v>11</v>
      </c>
      <c r="L8114">
        <v>6</v>
      </c>
      <c r="M8114">
        <v>1.5589999999999999</v>
      </c>
    </row>
    <row r="8115" spans="1:13">
      <c r="A8115" t="s">
        <v>255</v>
      </c>
      <c r="B8115">
        <f t="shared" si="502"/>
        <v>33.718846999999997</v>
      </c>
      <c r="C8115">
        <f t="shared" si="503"/>
        <v>-117.847033</v>
      </c>
      <c r="D8115">
        <f t="shared" si="504"/>
        <v>72</v>
      </c>
      <c r="E8115">
        <v>99.498999999999995</v>
      </c>
      <c r="F8115">
        <f t="shared" si="505"/>
        <v>-27.498999999999995</v>
      </c>
      <c r="G8115">
        <v>28.766999999999999</v>
      </c>
      <c r="H8115">
        <v>0.94699999999999995</v>
      </c>
      <c r="I8115">
        <v>3.1349999999999998</v>
      </c>
      <c r="J8115">
        <v>5</v>
      </c>
      <c r="K8115">
        <v>14</v>
      </c>
      <c r="L8115">
        <v>7</v>
      </c>
      <c r="M8115">
        <v>1.601</v>
      </c>
    </row>
    <row r="8116" spans="1:13">
      <c r="A8116" t="s">
        <v>255</v>
      </c>
      <c r="B8116">
        <f t="shared" si="502"/>
        <v>33.718846999999997</v>
      </c>
      <c r="C8116">
        <f t="shared" si="503"/>
        <v>-117.847033</v>
      </c>
      <c r="D8116">
        <f t="shared" si="504"/>
        <v>72</v>
      </c>
      <c r="E8116">
        <v>100.499</v>
      </c>
      <c r="F8116">
        <f t="shared" si="505"/>
        <v>-28.498999999999995</v>
      </c>
      <c r="G8116">
        <v>33.366999999999997</v>
      </c>
      <c r="H8116">
        <v>1.1819999999999999</v>
      </c>
      <c r="I8116">
        <v>3.4020000000000001</v>
      </c>
      <c r="J8116">
        <v>5</v>
      </c>
      <c r="K8116">
        <v>17</v>
      </c>
      <c r="L8116">
        <v>9</v>
      </c>
      <c r="M8116">
        <v>1.899</v>
      </c>
    </row>
    <row r="8117" spans="1:13">
      <c r="A8117" t="s">
        <v>255</v>
      </c>
      <c r="B8117">
        <f t="shared" si="502"/>
        <v>33.718846999999997</v>
      </c>
      <c r="C8117">
        <f t="shared" si="503"/>
        <v>-117.847033</v>
      </c>
      <c r="D8117">
        <f t="shared" si="504"/>
        <v>72</v>
      </c>
      <c r="E8117">
        <v>101.499</v>
      </c>
      <c r="F8117">
        <f t="shared" si="505"/>
        <v>-29.498999999999995</v>
      </c>
      <c r="G8117">
        <v>28.917000000000002</v>
      </c>
      <c r="H8117">
        <v>0.75800000000000001</v>
      </c>
      <c r="I8117">
        <v>2.4769999999999999</v>
      </c>
      <c r="J8117">
        <v>6</v>
      </c>
      <c r="K8117">
        <v>12</v>
      </c>
      <c r="L8117">
        <v>6</v>
      </c>
      <c r="M8117">
        <v>1.621</v>
      </c>
    </row>
    <row r="8118" spans="1:13">
      <c r="A8118" t="s">
        <v>255</v>
      </c>
      <c r="B8118">
        <f t="shared" si="502"/>
        <v>33.718846999999997</v>
      </c>
      <c r="C8118">
        <f t="shared" si="503"/>
        <v>-117.847033</v>
      </c>
      <c r="D8118">
        <f t="shared" si="504"/>
        <v>72</v>
      </c>
      <c r="E8118">
        <v>102.499</v>
      </c>
      <c r="F8118">
        <f t="shared" si="505"/>
        <v>-30.498999999999995</v>
      </c>
      <c r="G8118">
        <v>49.866999999999997</v>
      </c>
      <c r="H8118">
        <v>2.3199999999999998</v>
      </c>
      <c r="I8118">
        <v>4.5620000000000003</v>
      </c>
      <c r="J8118">
        <v>4</v>
      </c>
      <c r="K8118">
        <v>32</v>
      </c>
      <c r="L8118">
        <v>16</v>
      </c>
      <c r="M8118">
        <v>2.9649999999999999</v>
      </c>
    </row>
    <row r="8119" spans="1:13">
      <c r="A8119" t="s">
        <v>255</v>
      </c>
      <c r="B8119">
        <f t="shared" si="502"/>
        <v>33.718846999999997</v>
      </c>
      <c r="C8119">
        <f t="shared" si="503"/>
        <v>-117.847033</v>
      </c>
      <c r="D8119">
        <f t="shared" si="504"/>
        <v>72</v>
      </c>
      <c r="E8119">
        <v>103.499</v>
      </c>
      <c r="F8119">
        <f t="shared" si="505"/>
        <v>-31.498999999999995</v>
      </c>
      <c r="G8119">
        <v>46.883000000000003</v>
      </c>
      <c r="H8119">
        <v>2.1480000000000001</v>
      </c>
      <c r="I8119">
        <v>4.59</v>
      </c>
      <c r="J8119">
        <v>4</v>
      </c>
      <c r="K8119">
        <v>30</v>
      </c>
      <c r="L8119">
        <v>15</v>
      </c>
      <c r="M8119">
        <v>2.6909999999999998</v>
      </c>
    </row>
    <row r="8120" spans="1:13">
      <c r="A8120" t="s">
        <v>255</v>
      </c>
      <c r="B8120">
        <f t="shared" si="502"/>
        <v>33.718846999999997</v>
      </c>
      <c r="C8120">
        <f t="shared" si="503"/>
        <v>-117.847033</v>
      </c>
      <c r="D8120">
        <f t="shared" si="504"/>
        <v>72</v>
      </c>
      <c r="E8120">
        <v>104.499</v>
      </c>
      <c r="F8120">
        <f t="shared" si="505"/>
        <v>-32.498999999999995</v>
      </c>
      <c r="G8120">
        <v>31.114000000000001</v>
      </c>
      <c r="H8120">
        <v>1.141</v>
      </c>
      <c r="I8120">
        <v>3.665</v>
      </c>
      <c r="J8120">
        <v>5</v>
      </c>
      <c r="K8120">
        <v>15</v>
      </c>
      <c r="L8120">
        <v>8</v>
      </c>
      <c r="M8120">
        <v>1.643</v>
      </c>
    </row>
    <row r="8121" spans="1:13">
      <c r="A8121" t="s">
        <v>255</v>
      </c>
      <c r="B8121">
        <f t="shared" si="502"/>
        <v>33.718846999999997</v>
      </c>
      <c r="C8121">
        <f t="shared" si="503"/>
        <v>-117.847033</v>
      </c>
      <c r="D8121">
        <f t="shared" si="504"/>
        <v>72</v>
      </c>
      <c r="E8121">
        <v>105.499</v>
      </c>
      <c r="F8121">
        <f t="shared" si="505"/>
        <v>-33.498999999999995</v>
      </c>
      <c r="G8121">
        <v>33.883000000000003</v>
      </c>
      <c r="H8121">
        <v>1.133</v>
      </c>
      <c r="I8121">
        <v>3.298</v>
      </c>
      <c r="J8121">
        <v>5</v>
      </c>
      <c r="K8121">
        <v>16</v>
      </c>
      <c r="L8121">
        <v>8</v>
      </c>
      <c r="M8121">
        <v>1.8540000000000001</v>
      </c>
    </row>
    <row r="8122" spans="1:13">
      <c r="A8122" t="s">
        <v>255</v>
      </c>
      <c r="B8122">
        <f t="shared" si="502"/>
        <v>33.718846999999997</v>
      </c>
      <c r="C8122">
        <f t="shared" si="503"/>
        <v>-117.847033</v>
      </c>
      <c r="D8122">
        <f t="shared" si="504"/>
        <v>72</v>
      </c>
      <c r="E8122">
        <v>106.499</v>
      </c>
      <c r="F8122">
        <f t="shared" si="505"/>
        <v>-34.498999999999995</v>
      </c>
      <c r="G8122">
        <v>32.85</v>
      </c>
      <c r="H8122">
        <v>1.0720000000000001</v>
      </c>
      <c r="I8122">
        <v>3.1880000000000002</v>
      </c>
      <c r="J8122">
        <v>5</v>
      </c>
      <c r="K8122">
        <v>16</v>
      </c>
      <c r="L8122">
        <v>8</v>
      </c>
      <c r="M8122">
        <v>1.8</v>
      </c>
    </row>
    <row r="8123" spans="1:13">
      <c r="A8123" t="s">
        <v>255</v>
      </c>
      <c r="B8123">
        <f t="shared" si="502"/>
        <v>33.718846999999997</v>
      </c>
      <c r="C8123">
        <f t="shared" si="503"/>
        <v>-117.847033</v>
      </c>
      <c r="D8123">
        <f t="shared" si="504"/>
        <v>72</v>
      </c>
      <c r="E8123">
        <v>107.499</v>
      </c>
      <c r="F8123">
        <f t="shared" si="505"/>
        <v>-35.498999999999995</v>
      </c>
      <c r="G8123">
        <v>31.832999999999998</v>
      </c>
      <c r="H8123">
        <v>0.96299999999999997</v>
      </c>
      <c r="I8123">
        <v>2.9489999999999998</v>
      </c>
      <c r="J8123">
        <v>5</v>
      </c>
      <c r="K8123">
        <v>16</v>
      </c>
      <c r="L8123">
        <v>8</v>
      </c>
      <c r="M8123">
        <v>1.732</v>
      </c>
    </row>
    <row r="8124" spans="1:13">
      <c r="A8124" t="s">
        <v>255</v>
      </c>
      <c r="B8124">
        <f t="shared" si="502"/>
        <v>33.718846999999997</v>
      </c>
      <c r="C8124">
        <f t="shared" si="503"/>
        <v>-117.847033</v>
      </c>
      <c r="D8124">
        <f t="shared" si="504"/>
        <v>72</v>
      </c>
      <c r="E8124">
        <v>108.499</v>
      </c>
      <c r="F8124">
        <f t="shared" si="505"/>
        <v>-36.498999999999995</v>
      </c>
      <c r="G8124">
        <v>27.132999999999999</v>
      </c>
      <c r="H8124">
        <v>0.68799999999999994</v>
      </c>
      <c r="I8124">
        <v>2.363</v>
      </c>
      <c r="J8124">
        <v>6</v>
      </c>
      <c r="K8124">
        <v>11</v>
      </c>
      <c r="L8124">
        <v>6</v>
      </c>
      <c r="M8124">
        <v>1.492</v>
      </c>
    </row>
    <row r="8125" spans="1:13">
      <c r="A8125" t="s">
        <v>255</v>
      </c>
      <c r="B8125">
        <f t="shared" si="502"/>
        <v>33.718846999999997</v>
      </c>
      <c r="C8125">
        <f t="shared" si="503"/>
        <v>-117.847033</v>
      </c>
      <c r="D8125">
        <f t="shared" si="504"/>
        <v>72</v>
      </c>
      <c r="E8125">
        <v>109.499</v>
      </c>
      <c r="F8125">
        <f t="shared" si="505"/>
        <v>-37.498999999999995</v>
      </c>
      <c r="G8125">
        <v>30.1</v>
      </c>
      <c r="H8125">
        <v>0.99199999999999999</v>
      </c>
      <c r="I8125">
        <v>3.1040000000000001</v>
      </c>
      <c r="J8125">
        <v>5</v>
      </c>
      <c r="K8125">
        <v>15</v>
      </c>
      <c r="L8125">
        <v>8</v>
      </c>
      <c r="M8125">
        <v>1.6759999999999999</v>
      </c>
    </row>
    <row r="8126" spans="1:13">
      <c r="A8126" t="s">
        <v>255</v>
      </c>
      <c r="B8126">
        <f t="shared" si="502"/>
        <v>33.718846999999997</v>
      </c>
      <c r="C8126">
        <f t="shared" si="503"/>
        <v>-117.847033</v>
      </c>
      <c r="D8126">
        <f t="shared" si="504"/>
        <v>72</v>
      </c>
      <c r="E8126">
        <v>110.499</v>
      </c>
      <c r="F8126">
        <f t="shared" si="505"/>
        <v>-38.498999999999995</v>
      </c>
      <c r="G8126">
        <v>29.766999999999999</v>
      </c>
      <c r="H8126">
        <v>0.72499999999999998</v>
      </c>
      <c r="I8126">
        <v>2.226</v>
      </c>
      <c r="J8126">
        <v>6</v>
      </c>
      <c r="K8126">
        <v>12</v>
      </c>
      <c r="L8126">
        <v>6</v>
      </c>
      <c r="M8126">
        <v>1.7130000000000001</v>
      </c>
    </row>
    <row r="8127" spans="1:13">
      <c r="A8127" t="s">
        <v>255</v>
      </c>
      <c r="B8127">
        <f t="shared" si="502"/>
        <v>33.718846999999997</v>
      </c>
      <c r="C8127">
        <f t="shared" si="503"/>
        <v>-117.847033</v>
      </c>
      <c r="D8127">
        <f t="shared" si="504"/>
        <v>72</v>
      </c>
      <c r="E8127">
        <v>111.499</v>
      </c>
      <c r="F8127">
        <f t="shared" si="505"/>
        <v>-39.498999999999995</v>
      </c>
      <c r="G8127">
        <v>32.283000000000001</v>
      </c>
      <c r="H8127">
        <v>0.82799999999999996</v>
      </c>
      <c r="I8127">
        <v>2.3730000000000002</v>
      </c>
      <c r="J8127">
        <v>6</v>
      </c>
      <c r="K8127">
        <v>13</v>
      </c>
      <c r="L8127">
        <v>7</v>
      </c>
      <c r="M8127">
        <v>1.8640000000000001</v>
      </c>
    </row>
    <row r="8128" spans="1:13">
      <c r="A8128" t="s">
        <v>255</v>
      </c>
      <c r="B8128">
        <f t="shared" si="502"/>
        <v>33.718846999999997</v>
      </c>
      <c r="C8128">
        <f t="shared" si="503"/>
        <v>-117.847033</v>
      </c>
      <c r="D8128">
        <f t="shared" si="504"/>
        <v>72</v>
      </c>
      <c r="E8128">
        <v>112.499</v>
      </c>
      <c r="F8128">
        <f t="shared" si="505"/>
        <v>-40.498999999999995</v>
      </c>
      <c r="G8128">
        <v>38.15</v>
      </c>
      <c r="H8128">
        <v>1.2949999999999999</v>
      </c>
      <c r="I8128">
        <v>3.2559999999999998</v>
      </c>
      <c r="J8128">
        <v>5</v>
      </c>
      <c r="K8128">
        <v>19</v>
      </c>
      <c r="L8128">
        <v>10</v>
      </c>
      <c r="M8128">
        <v>2.1850000000000001</v>
      </c>
    </row>
    <row r="8129" spans="1:13">
      <c r="A8129" t="s">
        <v>255</v>
      </c>
      <c r="B8129">
        <f t="shared" si="502"/>
        <v>33.718846999999997</v>
      </c>
      <c r="C8129">
        <f t="shared" si="503"/>
        <v>-117.847033</v>
      </c>
      <c r="D8129">
        <f t="shared" si="504"/>
        <v>72</v>
      </c>
      <c r="E8129">
        <v>113.499</v>
      </c>
      <c r="F8129">
        <f t="shared" si="505"/>
        <v>-41.498999999999995</v>
      </c>
      <c r="G8129">
        <v>29.033000000000001</v>
      </c>
      <c r="H8129">
        <v>0.93500000000000005</v>
      </c>
      <c r="I8129">
        <v>3.01</v>
      </c>
      <c r="J8129">
        <v>5</v>
      </c>
      <c r="K8129">
        <v>15</v>
      </c>
      <c r="L8129">
        <v>8</v>
      </c>
      <c r="M8129">
        <v>1.601</v>
      </c>
    </row>
    <row r="8130" spans="1:13">
      <c r="A8130" t="s">
        <v>255</v>
      </c>
      <c r="B8130">
        <f t="shared" ref="B8130:B8135" si="506">VLOOKUP(A8130,XYdata,3,FALSE)</f>
        <v>33.718846999999997</v>
      </c>
      <c r="C8130">
        <f t="shared" ref="C8130:C8135" si="507">VLOOKUP(A8130,XYdata,2,FALSE)</f>
        <v>-117.847033</v>
      </c>
      <c r="D8130">
        <f t="shared" ref="D8130:D8135" si="508">VLOOKUP(A8130,Elevation,2,FALSE)</f>
        <v>72</v>
      </c>
      <c r="E8130">
        <v>114.499</v>
      </c>
      <c r="F8130">
        <f t="shared" si="505"/>
        <v>-42.498999999999995</v>
      </c>
      <c r="G8130">
        <v>26.242999999999999</v>
      </c>
      <c r="H8130">
        <v>0.71699999999999997</v>
      </c>
      <c r="I8130">
        <v>2.5259999999999998</v>
      </c>
      <c r="J8130">
        <v>6</v>
      </c>
      <c r="K8130">
        <v>11</v>
      </c>
      <c r="L8130">
        <v>6</v>
      </c>
      <c r="M8130">
        <v>1.4179999999999999</v>
      </c>
    </row>
    <row r="8131" spans="1:13">
      <c r="A8131" t="s">
        <v>255</v>
      </c>
      <c r="B8131">
        <f t="shared" si="506"/>
        <v>33.718846999999997</v>
      </c>
      <c r="C8131">
        <f t="shared" si="507"/>
        <v>-117.847033</v>
      </c>
      <c r="D8131">
        <f t="shared" si="508"/>
        <v>72</v>
      </c>
      <c r="E8131">
        <v>115.499</v>
      </c>
      <c r="F8131">
        <f t="shared" ref="F8131:F8135" si="509">D8131-E8131</f>
        <v>-43.498999999999995</v>
      </c>
      <c r="G8131">
        <v>28.582999999999998</v>
      </c>
      <c r="H8131">
        <v>0.83</v>
      </c>
      <c r="I8131">
        <v>2.68</v>
      </c>
      <c r="J8131">
        <v>6</v>
      </c>
      <c r="K8131">
        <v>12</v>
      </c>
      <c r="L8131">
        <v>6</v>
      </c>
      <c r="M8131">
        <v>1.5860000000000001</v>
      </c>
    </row>
    <row r="8132" spans="1:13">
      <c r="A8132" t="s">
        <v>255</v>
      </c>
      <c r="B8132">
        <f t="shared" si="506"/>
        <v>33.718846999999997</v>
      </c>
      <c r="C8132">
        <f t="shared" si="507"/>
        <v>-117.847033</v>
      </c>
      <c r="D8132">
        <f t="shared" si="508"/>
        <v>72</v>
      </c>
      <c r="E8132">
        <v>116.499</v>
      </c>
      <c r="F8132">
        <f t="shared" si="509"/>
        <v>-44.498999999999995</v>
      </c>
      <c r="G8132">
        <v>59.35</v>
      </c>
      <c r="H8132">
        <v>2.2730000000000001</v>
      </c>
      <c r="I8132">
        <v>3.7829999999999999</v>
      </c>
      <c r="J8132">
        <v>5</v>
      </c>
      <c r="K8132">
        <v>29</v>
      </c>
      <c r="L8132">
        <v>15</v>
      </c>
      <c r="M8132">
        <v>3.524</v>
      </c>
    </row>
    <row r="8133" spans="1:13">
      <c r="A8133" t="s">
        <v>255</v>
      </c>
      <c r="B8133">
        <f t="shared" si="506"/>
        <v>33.718846999999997</v>
      </c>
      <c r="C8133">
        <f t="shared" si="507"/>
        <v>-117.847033</v>
      </c>
      <c r="D8133">
        <f t="shared" si="508"/>
        <v>72</v>
      </c>
      <c r="E8133">
        <v>117.498</v>
      </c>
      <c r="F8133">
        <f t="shared" si="509"/>
        <v>-45.498000000000005</v>
      </c>
      <c r="G8133">
        <v>191.96700000000001</v>
      </c>
      <c r="H8133">
        <v>2.113</v>
      </c>
      <c r="I8133">
        <v>1.1020000000000001</v>
      </c>
      <c r="J8133">
        <v>9</v>
      </c>
      <c r="K8133">
        <v>37</v>
      </c>
      <c r="L8133">
        <v>19</v>
      </c>
      <c r="M8133" s="1">
        <v>9000000000</v>
      </c>
    </row>
    <row r="8134" spans="1:13">
      <c r="A8134" t="s">
        <v>255</v>
      </c>
      <c r="B8134">
        <f t="shared" si="506"/>
        <v>33.718846999999997</v>
      </c>
      <c r="C8134">
        <f t="shared" si="507"/>
        <v>-117.847033</v>
      </c>
      <c r="D8134">
        <f t="shared" si="508"/>
        <v>72</v>
      </c>
      <c r="E8134">
        <v>118.498</v>
      </c>
      <c r="F8134">
        <f t="shared" si="509"/>
        <v>-46.498000000000005</v>
      </c>
      <c r="G8134">
        <v>425.28300000000002</v>
      </c>
      <c r="H8134">
        <v>3.01</v>
      </c>
      <c r="I8134">
        <v>0.70699999999999996</v>
      </c>
      <c r="J8134">
        <v>10</v>
      </c>
      <c r="K8134">
        <v>68</v>
      </c>
      <c r="L8134">
        <v>34</v>
      </c>
      <c r="M8134" s="1">
        <v>9000000000</v>
      </c>
    </row>
    <row r="8135" spans="1:13">
      <c r="A8135" t="s">
        <v>255</v>
      </c>
      <c r="B8135">
        <f t="shared" si="506"/>
        <v>33.718846999999997</v>
      </c>
      <c r="C8135">
        <f t="shared" si="507"/>
        <v>-117.847033</v>
      </c>
      <c r="D8135">
        <f t="shared" si="508"/>
        <v>72</v>
      </c>
      <c r="E8135">
        <v>119.498</v>
      </c>
      <c r="F8135">
        <f t="shared" si="509"/>
        <v>-47.498000000000005</v>
      </c>
      <c r="G8135">
        <v>415.2</v>
      </c>
      <c r="H8135">
        <v>4.79</v>
      </c>
      <c r="I8135">
        <v>1.153</v>
      </c>
      <c r="J8135">
        <v>9</v>
      </c>
      <c r="K8135">
        <v>80</v>
      </c>
      <c r="L8135">
        <v>40</v>
      </c>
      <c r="M8135" s="1">
        <v>9000000000</v>
      </c>
    </row>
  </sheetData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D3:F16"/>
  <sheetViews>
    <sheetView workbookViewId="0">
      <selection activeCell="H13" sqref="H13"/>
    </sheetView>
  </sheetViews>
  <sheetFormatPr baseColWidth="10" defaultColWidth="8.83203125" defaultRowHeight="14" x14ac:dyDescent="0"/>
  <cols>
    <col min="6" max="6" width="22.1640625" bestFit="1" customWidth="1"/>
  </cols>
  <sheetData>
    <row r="3" spans="4:6">
      <c r="D3" t="s">
        <v>253</v>
      </c>
    </row>
    <row r="4" spans="4:6">
      <c r="D4" s="3" t="s">
        <v>83</v>
      </c>
      <c r="E4" s="3"/>
      <c r="F4" s="3" t="s">
        <v>248</v>
      </c>
    </row>
    <row r="5" spans="4:6">
      <c r="D5" s="10">
        <v>1</v>
      </c>
      <c r="E5" s="10"/>
      <c r="F5" s="10" t="s">
        <v>84</v>
      </c>
    </row>
    <row r="6" spans="4:6">
      <c r="D6" s="10">
        <v>2</v>
      </c>
      <c r="E6" s="10"/>
      <c r="F6" s="10" t="s">
        <v>85</v>
      </c>
    </row>
    <row r="7" spans="4:6">
      <c r="D7" s="10">
        <v>3</v>
      </c>
      <c r="E7" s="10"/>
      <c r="F7" s="10" t="s">
        <v>86</v>
      </c>
    </row>
    <row r="8" spans="4:6">
      <c r="D8" s="10">
        <v>4</v>
      </c>
      <c r="E8" s="10"/>
      <c r="F8" s="10" t="s">
        <v>87</v>
      </c>
    </row>
    <row r="9" spans="4:6">
      <c r="D9" s="10">
        <v>5</v>
      </c>
      <c r="E9" s="10"/>
      <c r="F9" s="10" t="s">
        <v>89</v>
      </c>
    </row>
    <row r="10" spans="4:6">
      <c r="D10">
        <v>6</v>
      </c>
      <c r="F10" t="s">
        <v>88</v>
      </c>
    </row>
    <row r="11" spans="4:6">
      <c r="D11">
        <v>7</v>
      </c>
      <c r="F11" t="s">
        <v>90</v>
      </c>
    </row>
    <row r="12" spans="4:6">
      <c r="D12">
        <v>8</v>
      </c>
      <c r="F12" t="s">
        <v>91</v>
      </c>
    </row>
    <row r="13" spans="4:6">
      <c r="D13">
        <v>9</v>
      </c>
      <c r="F13" t="s">
        <v>92</v>
      </c>
    </row>
    <row r="14" spans="4:6">
      <c r="D14">
        <v>10</v>
      </c>
      <c r="F14" t="s">
        <v>93</v>
      </c>
    </row>
    <row r="15" spans="4:6">
      <c r="D15">
        <v>11</v>
      </c>
      <c r="F15" t="s">
        <v>94</v>
      </c>
    </row>
    <row r="16" spans="4:6">
      <c r="D16">
        <v>12</v>
      </c>
      <c r="F16" t="s">
        <v>95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204"/>
  <sheetViews>
    <sheetView workbookViewId="0">
      <pane ySplit="1" topLeftCell="A115" activePane="bottomLeft" state="frozen"/>
      <selection pane="bottomLeft" activeCell="C127" sqref="C127"/>
    </sheetView>
  </sheetViews>
  <sheetFormatPr baseColWidth="10" defaultColWidth="8.83203125" defaultRowHeight="14" x14ac:dyDescent="0"/>
  <cols>
    <col min="1" max="1" width="13.1640625" customWidth="1"/>
    <col min="2" max="2" width="12.6640625" bestFit="1" customWidth="1"/>
  </cols>
  <sheetData>
    <row r="1" spans="1:5">
      <c r="A1" t="s">
        <v>100</v>
      </c>
      <c r="B1" t="s">
        <v>101</v>
      </c>
      <c r="C1" t="s">
        <v>103</v>
      </c>
      <c r="D1" t="s">
        <v>104</v>
      </c>
      <c r="E1" t="s">
        <v>102</v>
      </c>
    </row>
    <row r="2" spans="1:5">
      <c r="A2">
        <v>1</v>
      </c>
      <c r="B2" t="s">
        <v>105</v>
      </c>
      <c r="C2">
        <v>-117.858234</v>
      </c>
      <c r="D2">
        <v>33.711914</v>
      </c>
      <c r="E2">
        <v>1</v>
      </c>
    </row>
    <row r="3" spans="1:5">
      <c r="A3">
        <v>2</v>
      </c>
      <c r="B3" t="s">
        <v>106</v>
      </c>
      <c r="C3">
        <v>-117.85731800000001</v>
      </c>
      <c r="D3">
        <v>33.712164000000001</v>
      </c>
      <c r="E3">
        <v>2</v>
      </c>
    </row>
    <row r="4" spans="1:5">
      <c r="A4">
        <v>3</v>
      </c>
      <c r="B4" t="s">
        <v>107</v>
      </c>
      <c r="C4">
        <v>-117.85727300000001</v>
      </c>
      <c r="D4">
        <v>33.713692999999999</v>
      </c>
      <c r="E4">
        <v>3</v>
      </c>
    </row>
    <row r="5" spans="1:5">
      <c r="A5">
        <v>4</v>
      </c>
      <c r="B5" t="s">
        <v>108</v>
      </c>
      <c r="C5">
        <v>-117.856769</v>
      </c>
      <c r="D5">
        <v>33.717145000000002</v>
      </c>
      <c r="E5">
        <v>4</v>
      </c>
    </row>
    <row r="6" spans="1:5">
      <c r="A6">
        <v>5</v>
      </c>
      <c r="B6" t="s">
        <v>109</v>
      </c>
      <c r="C6">
        <v>-117.85664800000001</v>
      </c>
      <c r="D6">
        <v>33.718594000000003</v>
      </c>
      <c r="E6">
        <v>5</v>
      </c>
    </row>
    <row r="7" spans="1:5">
      <c r="A7">
        <v>6</v>
      </c>
      <c r="B7" t="s">
        <v>110</v>
      </c>
      <c r="C7">
        <v>-117.85571400000001</v>
      </c>
      <c r="D7">
        <v>33.715896000000001</v>
      </c>
      <c r="E7">
        <v>6</v>
      </c>
    </row>
    <row r="8" spans="1:5">
      <c r="A8">
        <v>7</v>
      </c>
      <c r="B8" t="s">
        <v>111</v>
      </c>
      <c r="C8">
        <v>-117.85351199999999</v>
      </c>
      <c r="D8">
        <v>33.714354</v>
      </c>
      <c r="E8">
        <v>7</v>
      </c>
    </row>
    <row r="9" spans="1:5">
      <c r="A9">
        <v>8</v>
      </c>
      <c r="B9" t="s">
        <v>112</v>
      </c>
      <c r="C9">
        <v>-117.85424399999999</v>
      </c>
      <c r="D9">
        <v>33.714129</v>
      </c>
      <c r="E9">
        <v>8</v>
      </c>
    </row>
    <row r="10" spans="1:5">
      <c r="A10">
        <v>9</v>
      </c>
      <c r="B10" t="s">
        <v>113</v>
      </c>
      <c r="C10">
        <v>-117.85186299999999</v>
      </c>
      <c r="D10">
        <v>33.713974</v>
      </c>
      <c r="E10">
        <v>9</v>
      </c>
    </row>
    <row r="11" spans="1:5">
      <c r="A11">
        <v>10</v>
      </c>
      <c r="B11" t="s">
        <v>114</v>
      </c>
      <c r="C11">
        <v>-117.853936</v>
      </c>
      <c r="D11">
        <v>33.712510000000002</v>
      </c>
      <c r="E11">
        <v>10</v>
      </c>
    </row>
    <row r="12" spans="1:5">
      <c r="A12">
        <v>11</v>
      </c>
      <c r="B12" t="s">
        <v>115</v>
      </c>
      <c r="C12">
        <v>-117.85248</v>
      </c>
      <c r="D12">
        <v>33.712836000000003</v>
      </c>
      <c r="E12">
        <v>11</v>
      </c>
    </row>
    <row r="13" spans="1:5">
      <c r="A13">
        <v>12</v>
      </c>
      <c r="B13" t="s">
        <v>116</v>
      </c>
      <c r="C13">
        <v>-117.851398</v>
      </c>
      <c r="D13">
        <v>33.712916999999997</v>
      </c>
      <c r="E13">
        <v>12</v>
      </c>
    </row>
    <row r="14" spans="1:5">
      <c r="A14">
        <v>13</v>
      </c>
      <c r="B14" t="s">
        <v>117</v>
      </c>
      <c r="C14">
        <v>-117.842613</v>
      </c>
      <c r="D14">
        <v>33.720806000000003</v>
      </c>
      <c r="E14">
        <v>13</v>
      </c>
    </row>
    <row r="15" spans="1:5">
      <c r="A15">
        <v>14</v>
      </c>
      <c r="B15" t="s">
        <v>118</v>
      </c>
      <c r="C15">
        <v>-117.83945799999999</v>
      </c>
      <c r="D15">
        <v>33.721524000000002</v>
      </c>
      <c r="E15">
        <v>14</v>
      </c>
    </row>
    <row r="16" spans="1:5">
      <c r="A16">
        <v>15</v>
      </c>
      <c r="B16" t="s">
        <v>119</v>
      </c>
      <c r="C16">
        <v>-117.841227</v>
      </c>
      <c r="D16">
        <v>33.719529999999999</v>
      </c>
      <c r="E16">
        <v>15</v>
      </c>
    </row>
    <row r="17" spans="1:5">
      <c r="A17">
        <v>16</v>
      </c>
      <c r="B17" t="s">
        <v>120</v>
      </c>
      <c r="C17">
        <v>-117.842575</v>
      </c>
      <c r="D17">
        <v>33.718699999999998</v>
      </c>
      <c r="E17">
        <v>16</v>
      </c>
    </row>
    <row r="18" spans="1:5">
      <c r="A18">
        <v>17</v>
      </c>
      <c r="B18" t="s">
        <v>121</v>
      </c>
      <c r="C18">
        <v>-117.84362</v>
      </c>
      <c r="D18">
        <v>33.717393999999999</v>
      </c>
      <c r="E18">
        <v>17</v>
      </c>
    </row>
    <row r="19" spans="1:5">
      <c r="A19">
        <v>18</v>
      </c>
      <c r="B19" t="s">
        <v>122</v>
      </c>
      <c r="C19">
        <v>-117.84590900000001</v>
      </c>
      <c r="D19">
        <v>33.717672999999998</v>
      </c>
      <c r="E19">
        <v>18</v>
      </c>
    </row>
    <row r="20" spans="1:5">
      <c r="A20">
        <v>19</v>
      </c>
      <c r="B20" t="s">
        <v>123</v>
      </c>
      <c r="C20">
        <v>-117.84596999999999</v>
      </c>
      <c r="D20">
        <v>33.718964999999997</v>
      </c>
      <c r="E20">
        <v>19</v>
      </c>
    </row>
    <row r="21" spans="1:5">
      <c r="A21">
        <v>20</v>
      </c>
      <c r="B21" t="s">
        <v>124</v>
      </c>
      <c r="C21">
        <v>-117.850577</v>
      </c>
      <c r="D21">
        <v>33.716954999999999</v>
      </c>
      <c r="E21">
        <v>20</v>
      </c>
    </row>
    <row r="22" spans="1:5">
      <c r="A22">
        <v>21</v>
      </c>
      <c r="B22" t="s">
        <v>125</v>
      </c>
      <c r="C22">
        <v>-117.850776</v>
      </c>
      <c r="D22">
        <v>33.717857000000002</v>
      </c>
      <c r="E22">
        <v>21</v>
      </c>
    </row>
    <row r="23" spans="1:5">
      <c r="A23">
        <v>22</v>
      </c>
      <c r="B23" t="s">
        <v>126</v>
      </c>
      <c r="C23">
        <v>-117.85078900000001</v>
      </c>
      <c r="D23">
        <v>33.714531000000001</v>
      </c>
      <c r="E23">
        <v>22</v>
      </c>
    </row>
    <row r="24" spans="1:5">
      <c r="A24">
        <v>23</v>
      </c>
      <c r="B24" t="s">
        <v>127</v>
      </c>
      <c r="C24">
        <v>-117.84392099999999</v>
      </c>
      <c r="D24">
        <v>33.713726000000001</v>
      </c>
      <c r="E24">
        <v>23</v>
      </c>
    </row>
    <row r="25" spans="1:5">
      <c r="A25">
        <v>24</v>
      </c>
      <c r="B25" t="s">
        <v>128</v>
      </c>
      <c r="C25">
        <v>-117.842888</v>
      </c>
      <c r="D25">
        <v>33.713647000000002</v>
      </c>
      <c r="E25">
        <v>24</v>
      </c>
    </row>
    <row r="26" spans="1:5">
      <c r="A26">
        <v>25</v>
      </c>
      <c r="B26" t="s">
        <v>129</v>
      </c>
      <c r="C26">
        <v>-117.847238</v>
      </c>
      <c r="D26">
        <v>33.70814</v>
      </c>
      <c r="E26">
        <v>25</v>
      </c>
    </row>
    <row r="27" spans="1:5">
      <c r="A27">
        <v>26</v>
      </c>
      <c r="B27" t="s">
        <v>130</v>
      </c>
      <c r="C27">
        <v>-117.846014</v>
      </c>
      <c r="D27">
        <v>33.707287000000001</v>
      </c>
      <c r="E27">
        <v>26</v>
      </c>
    </row>
    <row r="28" spans="1:5">
      <c r="A28">
        <v>28</v>
      </c>
      <c r="B28" t="s">
        <v>131</v>
      </c>
      <c r="C28">
        <v>-117.848412</v>
      </c>
      <c r="D28">
        <v>33.709508999999997</v>
      </c>
      <c r="E28">
        <v>28</v>
      </c>
    </row>
    <row r="29" spans="1:5">
      <c r="A29">
        <v>29</v>
      </c>
      <c r="B29" t="s">
        <v>132</v>
      </c>
      <c r="C29">
        <v>-117.846706</v>
      </c>
      <c r="D29">
        <v>33.707878000000001</v>
      </c>
      <c r="E29">
        <v>29</v>
      </c>
    </row>
    <row r="30" spans="1:5">
      <c r="A30">
        <v>30</v>
      </c>
      <c r="B30" t="s">
        <v>133</v>
      </c>
      <c r="C30">
        <v>-117.84646499999999</v>
      </c>
      <c r="D30">
        <v>33.707813000000002</v>
      </c>
      <c r="E30">
        <v>30</v>
      </c>
    </row>
    <row r="31" spans="1:5">
      <c r="A31">
        <v>31</v>
      </c>
      <c r="B31" t="s">
        <v>134</v>
      </c>
      <c r="C31">
        <v>-117.845373</v>
      </c>
      <c r="D31">
        <v>33.706853000000002</v>
      </c>
      <c r="E31">
        <v>31</v>
      </c>
    </row>
    <row r="32" spans="1:5">
      <c r="A32">
        <v>32</v>
      </c>
      <c r="B32" t="s">
        <v>135</v>
      </c>
      <c r="C32">
        <v>-117.85006199999999</v>
      </c>
      <c r="D32">
        <v>33.701053999999999</v>
      </c>
      <c r="E32">
        <v>32</v>
      </c>
    </row>
    <row r="33" spans="1:5">
      <c r="A33">
        <v>33</v>
      </c>
      <c r="B33" t="s">
        <v>136</v>
      </c>
      <c r="C33">
        <v>-117.84948199999999</v>
      </c>
      <c r="D33">
        <v>33.699556000000001</v>
      </c>
      <c r="E33">
        <v>33</v>
      </c>
    </row>
    <row r="34" spans="1:5">
      <c r="A34">
        <v>34</v>
      </c>
      <c r="B34" t="s">
        <v>137</v>
      </c>
      <c r="C34">
        <v>-117.857283</v>
      </c>
      <c r="D34">
        <v>33.699117000000001</v>
      </c>
      <c r="E34">
        <v>34</v>
      </c>
    </row>
    <row r="35" spans="1:5">
      <c r="A35">
        <v>35</v>
      </c>
      <c r="B35" t="s">
        <v>138</v>
      </c>
      <c r="C35">
        <v>-117.85836999999999</v>
      </c>
      <c r="D35">
        <v>33.698087000000001</v>
      </c>
      <c r="E35">
        <v>35</v>
      </c>
    </row>
    <row r="36" spans="1:5">
      <c r="A36">
        <v>36</v>
      </c>
      <c r="B36" t="s">
        <v>139</v>
      </c>
      <c r="C36">
        <v>-117.859036</v>
      </c>
      <c r="D36">
        <v>33.697293999999999</v>
      </c>
      <c r="E36">
        <v>36</v>
      </c>
    </row>
    <row r="37" spans="1:5">
      <c r="A37">
        <v>37</v>
      </c>
      <c r="B37" t="s">
        <v>140</v>
      </c>
      <c r="C37">
        <v>-117.859869</v>
      </c>
      <c r="D37">
        <v>33.699514999999998</v>
      </c>
      <c r="E37">
        <v>37</v>
      </c>
    </row>
    <row r="38" spans="1:5">
      <c r="A38">
        <v>38</v>
      </c>
      <c r="B38" t="s">
        <v>141</v>
      </c>
      <c r="C38">
        <v>-117.854871</v>
      </c>
      <c r="D38">
        <v>33.696131000000001</v>
      </c>
      <c r="E38">
        <v>38</v>
      </c>
    </row>
    <row r="39" spans="1:5">
      <c r="A39">
        <v>39</v>
      </c>
      <c r="B39" t="s">
        <v>142</v>
      </c>
      <c r="C39">
        <v>-117.855921</v>
      </c>
      <c r="D39">
        <v>33.695132000000001</v>
      </c>
      <c r="E39">
        <v>39</v>
      </c>
    </row>
    <row r="40" spans="1:5">
      <c r="A40">
        <v>40</v>
      </c>
      <c r="B40" t="s">
        <v>143</v>
      </c>
      <c r="C40">
        <v>-117.857449</v>
      </c>
      <c r="D40">
        <v>33.696097999999999</v>
      </c>
      <c r="E40">
        <v>40</v>
      </c>
    </row>
    <row r="41" spans="1:5">
      <c r="A41">
        <v>41</v>
      </c>
      <c r="B41" t="s">
        <v>144</v>
      </c>
      <c r="C41">
        <v>-117.862218</v>
      </c>
      <c r="D41">
        <v>33.701023999999997</v>
      </c>
      <c r="E41">
        <v>41</v>
      </c>
    </row>
    <row r="42" spans="1:5">
      <c r="A42">
        <v>42</v>
      </c>
      <c r="B42" t="s">
        <v>145</v>
      </c>
      <c r="C42">
        <v>-117.860854</v>
      </c>
      <c r="D42">
        <v>33.702981000000001</v>
      </c>
      <c r="E42">
        <v>42</v>
      </c>
    </row>
    <row r="43" spans="1:5">
      <c r="A43">
        <v>43</v>
      </c>
      <c r="B43" t="s">
        <v>146</v>
      </c>
      <c r="C43">
        <v>-117.860708</v>
      </c>
      <c r="D43">
        <v>33.705046000000003</v>
      </c>
      <c r="E43">
        <v>43</v>
      </c>
    </row>
    <row r="44" spans="1:5">
      <c r="A44">
        <v>44</v>
      </c>
      <c r="B44" t="s">
        <v>147</v>
      </c>
      <c r="C44">
        <v>-117.867115</v>
      </c>
      <c r="D44">
        <v>33.703156999999997</v>
      </c>
      <c r="E44">
        <v>44</v>
      </c>
    </row>
    <row r="45" spans="1:5">
      <c r="A45">
        <v>45</v>
      </c>
      <c r="B45" t="s">
        <v>148</v>
      </c>
      <c r="C45">
        <v>-117.867484</v>
      </c>
      <c r="D45">
        <v>33.703873000000002</v>
      </c>
      <c r="E45">
        <v>45</v>
      </c>
    </row>
    <row r="46" spans="1:5">
      <c r="A46">
        <v>46</v>
      </c>
      <c r="B46" t="s">
        <v>149</v>
      </c>
      <c r="C46">
        <v>-117.873581</v>
      </c>
      <c r="D46">
        <v>33.709806</v>
      </c>
      <c r="E46">
        <v>46</v>
      </c>
    </row>
    <row r="47" spans="1:5">
      <c r="A47">
        <v>47</v>
      </c>
      <c r="B47" t="s">
        <v>150</v>
      </c>
      <c r="C47">
        <v>-117.874736</v>
      </c>
      <c r="D47">
        <v>33.710529999999999</v>
      </c>
      <c r="E47">
        <v>47</v>
      </c>
    </row>
    <row r="48" spans="1:5">
      <c r="A48">
        <v>48</v>
      </c>
      <c r="B48" t="s">
        <v>151</v>
      </c>
      <c r="C48">
        <v>-117.871391</v>
      </c>
      <c r="D48">
        <v>33.712913</v>
      </c>
      <c r="E48">
        <v>48</v>
      </c>
    </row>
    <row r="49" spans="1:5">
      <c r="A49">
        <v>49</v>
      </c>
      <c r="B49" t="s">
        <v>152</v>
      </c>
      <c r="C49">
        <v>-117.871324</v>
      </c>
      <c r="D49">
        <v>33.711281999999997</v>
      </c>
      <c r="E49">
        <v>49</v>
      </c>
    </row>
    <row r="50" spans="1:5">
      <c r="A50">
        <v>50</v>
      </c>
      <c r="B50" t="s">
        <v>153</v>
      </c>
      <c r="C50">
        <v>-117.842761</v>
      </c>
      <c r="D50">
        <v>33.714759999999998</v>
      </c>
      <c r="E50">
        <v>50</v>
      </c>
    </row>
    <row r="51" spans="1:5">
      <c r="A51">
        <v>51</v>
      </c>
      <c r="B51" t="s">
        <v>154</v>
      </c>
      <c r="C51">
        <v>-117.84302099999999</v>
      </c>
      <c r="D51">
        <v>33.714911000000001</v>
      </c>
      <c r="E51">
        <v>51</v>
      </c>
    </row>
    <row r="52" spans="1:5">
      <c r="A52">
        <v>52</v>
      </c>
      <c r="B52" t="s">
        <v>155</v>
      </c>
      <c r="C52">
        <v>-117.842499</v>
      </c>
      <c r="D52">
        <v>33.714548000000001</v>
      </c>
      <c r="E52">
        <v>52</v>
      </c>
    </row>
    <row r="53" spans="1:5">
      <c r="A53">
        <v>53</v>
      </c>
      <c r="B53" t="s">
        <v>192</v>
      </c>
      <c r="C53">
        <v>-117.85481299999999</v>
      </c>
      <c r="D53">
        <v>33.719499999999996</v>
      </c>
      <c r="E53">
        <v>91</v>
      </c>
    </row>
    <row r="54" spans="1:5">
      <c r="A54">
        <v>54</v>
      </c>
      <c r="B54" t="s">
        <v>156</v>
      </c>
      <c r="C54">
        <v>-117.85442</v>
      </c>
      <c r="D54">
        <v>33.718044999999996</v>
      </c>
      <c r="E54">
        <v>92</v>
      </c>
    </row>
    <row r="55" spans="1:5">
      <c r="A55">
        <v>55</v>
      </c>
      <c r="B55" t="s">
        <v>27</v>
      </c>
      <c r="C55">
        <v>-117.853889</v>
      </c>
      <c r="D55">
        <v>33.718347999999999</v>
      </c>
      <c r="E55">
        <v>93</v>
      </c>
    </row>
    <row r="56" spans="1:5">
      <c r="A56">
        <v>56</v>
      </c>
      <c r="B56" t="s">
        <v>28</v>
      </c>
      <c r="C56">
        <v>-117.85274699999999</v>
      </c>
      <c r="D56">
        <v>33.718353</v>
      </c>
      <c r="E56">
        <v>94</v>
      </c>
    </row>
    <row r="57" spans="1:5">
      <c r="A57">
        <v>57</v>
      </c>
      <c r="B57" t="s">
        <v>30</v>
      </c>
      <c r="C57">
        <v>-117.852715</v>
      </c>
      <c r="D57">
        <v>33.719078000000003</v>
      </c>
      <c r="E57">
        <v>95</v>
      </c>
    </row>
    <row r="58" spans="1:5">
      <c r="A58">
        <v>58</v>
      </c>
      <c r="B58" t="s">
        <v>157</v>
      </c>
      <c r="C58">
        <v>-117.851669</v>
      </c>
      <c r="D58">
        <v>33.719329999999999</v>
      </c>
      <c r="E58">
        <v>96</v>
      </c>
    </row>
    <row r="59" spans="1:5">
      <c r="A59">
        <v>59</v>
      </c>
      <c r="B59" t="s">
        <v>32</v>
      </c>
      <c r="C59">
        <v>-117.851675</v>
      </c>
      <c r="D59">
        <v>33.718404999999997</v>
      </c>
      <c r="E59">
        <v>97</v>
      </c>
    </row>
    <row r="60" spans="1:5">
      <c r="A60">
        <v>60</v>
      </c>
      <c r="B60" t="s">
        <v>158</v>
      </c>
      <c r="C60">
        <v>-117.852189</v>
      </c>
      <c r="D60">
        <v>33.717778000000003</v>
      </c>
      <c r="E60">
        <v>98</v>
      </c>
    </row>
    <row r="61" spans="1:5">
      <c r="A61">
        <v>61</v>
      </c>
      <c r="B61" t="s">
        <v>159</v>
      </c>
      <c r="C61">
        <v>-117.852154</v>
      </c>
      <c r="D61">
        <v>33.717120000000001</v>
      </c>
      <c r="E61">
        <v>99</v>
      </c>
    </row>
    <row r="62" spans="1:5">
      <c r="A62">
        <v>62</v>
      </c>
      <c r="B62" t="s">
        <v>160</v>
      </c>
      <c r="C62">
        <v>-117.85212</v>
      </c>
      <c r="D62">
        <v>33.716548000000003</v>
      </c>
      <c r="E62">
        <v>100</v>
      </c>
    </row>
    <row r="63" spans="1:5">
      <c r="A63">
        <v>63</v>
      </c>
      <c r="B63" t="s">
        <v>161</v>
      </c>
      <c r="C63">
        <v>-117.855577</v>
      </c>
      <c r="D63">
        <v>33.717610000000001</v>
      </c>
      <c r="E63">
        <v>90</v>
      </c>
    </row>
    <row r="64" spans="1:5">
      <c r="A64">
        <v>64</v>
      </c>
      <c r="B64" t="s">
        <v>23</v>
      </c>
      <c r="C64">
        <v>-117.85727799999999</v>
      </c>
      <c r="D64">
        <v>33.714486999999998</v>
      </c>
      <c r="E64">
        <v>80</v>
      </c>
    </row>
    <row r="65" spans="1:5">
      <c r="A65">
        <v>65</v>
      </c>
      <c r="B65" t="s">
        <v>162</v>
      </c>
      <c r="C65">
        <v>-117.85667100000001</v>
      </c>
      <c r="D65">
        <v>33.716211999999999</v>
      </c>
      <c r="E65">
        <v>81</v>
      </c>
    </row>
    <row r="66" spans="1:5">
      <c r="A66">
        <v>66</v>
      </c>
      <c r="B66" t="s">
        <v>24</v>
      </c>
      <c r="C66">
        <v>-117.85481299999999</v>
      </c>
      <c r="D66">
        <v>33.715797000000002</v>
      </c>
      <c r="E66">
        <v>82</v>
      </c>
    </row>
    <row r="67" spans="1:5">
      <c r="A67">
        <v>67</v>
      </c>
      <c r="B67" t="s">
        <v>163</v>
      </c>
      <c r="C67">
        <v>-117.856639</v>
      </c>
      <c r="D67">
        <v>33.717587000000002</v>
      </c>
      <c r="E67">
        <v>83</v>
      </c>
    </row>
    <row r="68" spans="1:5">
      <c r="A68">
        <v>68</v>
      </c>
      <c r="B68" t="s">
        <v>25</v>
      </c>
      <c r="C68">
        <v>-117.85615</v>
      </c>
      <c r="D68">
        <v>33.716495999999999</v>
      </c>
      <c r="E68">
        <v>84</v>
      </c>
    </row>
    <row r="69" spans="1:5">
      <c r="A69">
        <v>69</v>
      </c>
      <c r="B69" t="s">
        <v>26</v>
      </c>
      <c r="C69">
        <v>-117.855251</v>
      </c>
      <c r="D69">
        <v>33.716650000000001</v>
      </c>
      <c r="E69">
        <v>85</v>
      </c>
    </row>
    <row r="70" spans="1:5">
      <c r="A70">
        <v>70</v>
      </c>
      <c r="B70" t="s">
        <v>164</v>
      </c>
      <c r="C70">
        <v>-117.856325</v>
      </c>
      <c r="D70">
        <v>33.717275999999998</v>
      </c>
      <c r="E70">
        <v>86</v>
      </c>
    </row>
    <row r="71" spans="1:5">
      <c r="A71">
        <v>71</v>
      </c>
      <c r="B71" t="s">
        <v>165</v>
      </c>
      <c r="C71">
        <v>-117.855572</v>
      </c>
      <c r="D71">
        <v>33.717343</v>
      </c>
      <c r="E71">
        <v>87</v>
      </c>
    </row>
    <row r="72" spans="1:5">
      <c r="A72">
        <v>72</v>
      </c>
      <c r="B72" t="s">
        <v>166</v>
      </c>
      <c r="C72">
        <v>-117.855082</v>
      </c>
      <c r="D72">
        <v>33.717377999999997</v>
      </c>
      <c r="E72">
        <v>88</v>
      </c>
    </row>
    <row r="73" spans="1:5">
      <c r="A73">
        <v>73</v>
      </c>
      <c r="B73" t="s">
        <v>167</v>
      </c>
      <c r="C73">
        <v>-117.856003</v>
      </c>
      <c r="D73">
        <v>33.717804999999998</v>
      </c>
      <c r="E73">
        <v>89</v>
      </c>
    </row>
    <row r="74" spans="1:5">
      <c r="A74">
        <v>74</v>
      </c>
      <c r="B74" t="s">
        <v>33</v>
      </c>
      <c r="C74">
        <v>-117.85176199999999</v>
      </c>
      <c r="D74">
        <v>33.715702999999998</v>
      </c>
      <c r="E74">
        <v>101</v>
      </c>
    </row>
    <row r="75" spans="1:5">
      <c r="A75">
        <v>75</v>
      </c>
      <c r="B75" t="s">
        <v>34</v>
      </c>
      <c r="C75">
        <v>-117.85047400000001</v>
      </c>
      <c r="D75">
        <v>33.718296000000002</v>
      </c>
      <c r="E75">
        <v>102</v>
      </c>
    </row>
    <row r="76" spans="1:5">
      <c r="A76">
        <v>76</v>
      </c>
      <c r="B76" t="s">
        <v>35</v>
      </c>
      <c r="C76">
        <v>-117.85065</v>
      </c>
      <c r="D76">
        <v>33.717300999999999</v>
      </c>
      <c r="E76">
        <v>103</v>
      </c>
    </row>
    <row r="77" spans="1:5">
      <c r="A77">
        <v>77</v>
      </c>
      <c r="B77" t="s">
        <v>168</v>
      </c>
      <c r="C77">
        <v>-117.85049600000001</v>
      </c>
      <c r="D77">
        <v>33.716425000000001</v>
      </c>
      <c r="E77">
        <v>104</v>
      </c>
    </row>
    <row r="78" spans="1:5">
      <c r="A78">
        <v>78</v>
      </c>
      <c r="B78" t="s">
        <v>169</v>
      </c>
      <c r="C78">
        <v>-117.84969599999999</v>
      </c>
      <c r="D78">
        <v>33.717627999999998</v>
      </c>
      <c r="E78">
        <v>105</v>
      </c>
    </row>
    <row r="79" spans="1:5">
      <c r="A79">
        <v>79</v>
      </c>
      <c r="B79" t="s">
        <v>170</v>
      </c>
      <c r="C79">
        <v>-117.85633799999999</v>
      </c>
      <c r="D79">
        <v>33.711798000000002</v>
      </c>
      <c r="E79">
        <v>192</v>
      </c>
    </row>
    <row r="80" spans="1:5">
      <c r="A80">
        <v>80</v>
      </c>
      <c r="B80" t="s">
        <v>171</v>
      </c>
      <c r="C80">
        <v>-117.858751</v>
      </c>
      <c r="D80">
        <v>33.713838000000003</v>
      </c>
      <c r="E80">
        <v>193</v>
      </c>
    </row>
    <row r="81" spans="1:5">
      <c r="A81">
        <v>81</v>
      </c>
      <c r="B81" t="s">
        <v>172</v>
      </c>
      <c r="C81">
        <v>-117.85883200000001</v>
      </c>
      <c r="D81">
        <v>33.716127</v>
      </c>
      <c r="E81">
        <v>194</v>
      </c>
    </row>
    <row r="82" spans="1:5">
      <c r="A82">
        <v>82</v>
      </c>
      <c r="B82" t="s">
        <v>173</v>
      </c>
      <c r="C82">
        <v>-117.85583699999999</v>
      </c>
      <c r="D82">
        <v>33.712510999999999</v>
      </c>
      <c r="E82">
        <v>195</v>
      </c>
    </row>
    <row r="83" spans="1:5">
      <c r="A83">
        <v>83</v>
      </c>
      <c r="B83" t="s">
        <v>21</v>
      </c>
      <c r="C83">
        <v>-117.859495</v>
      </c>
      <c r="D83">
        <v>33.710220999999997</v>
      </c>
      <c r="E83">
        <v>74</v>
      </c>
    </row>
    <row r="84" spans="1:5">
      <c r="A84">
        <v>84</v>
      </c>
      <c r="B84" t="s">
        <v>22</v>
      </c>
      <c r="C84">
        <v>-117.859452</v>
      </c>
      <c r="D84">
        <v>33.711596</v>
      </c>
      <c r="E84">
        <v>75</v>
      </c>
    </row>
    <row r="85" spans="1:5">
      <c r="A85">
        <v>85</v>
      </c>
      <c r="B85" t="s">
        <v>174</v>
      </c>
      <c r="C85">
        <v>-117.856686</v>
      </c>
      <c r="D85">
        <v>33.711488000000003</v>
      </c>
      <c r="E85">
        <v>76</v>
      </c>
    </row>
    <row r="86" spans="1:5">
      <c r="A86">
        <v>86</v>
      </c>
      <c r="B86" t="s">
        <v>175</v>
      </c>
      <c r="C86">
        <v>-117.85583200000001</v>
      </c>
      <c r="D86">
        <v>33.711584999999999</v>
      </c>
      <c r="E86">
        <v>77</v>
      </c>
    </row>
    <row r="87" spans="1:5">
      <c r="A87">
        <v>87</v>
      </c>
      <c r="B87" t="s">
        <v>176</v>
      </c>
      <c r="C87">
        <v>-117.854912</v>
      </c>
      <c r="D87">
        <v>33.711902000000002</v>
      </c>
      <c r="E87">
        <v>78</v>
      </c>
    </row>
    <row r="88" spans="1:5">
      <c r="A88">
        <v>88</v>
      </c>
      <c r="B88" t="s">
        <v>177</v>
      </c>
      <c r="C88">
        <v>-117.85730700000001</v>
      </c>
      <c r="D88">
        <v>33.712969000000001</v>
      </c>
      <c r="E88">
        <v>79</v>
      </c>
    </row>
    <row r="89" spans="1:5">
      <c r="A89">
        <v>89</v>
      </c>
      <c r="B89" t="s">
        <v>36</v>
      </c>
      <c r="C89">
        <v>-117.84703</v>
      </c>
      <c r="D89">
        <v>33.718167999999999</v>
      </c>
      <c r="E89">
        <v>106</v>
      </c>
    </row>
    <row r="90" spans="1:5">
      <c r="A90">
        <v>90</v>
      </c>
      <c r="B90" t="s">
        <v>37</v>
      </c>
      <c r="C90">
        <v>-117.84705</v>
      </c>
      <c r="D90">
        <v>33.716335999999998</v>
      </c>
      <c r="E90">
        <v>107</v>
      </c>
    </row>
    <row r="91" spans="1:5">
      <c r="A91">
        <v>91</v>
      </c>
      <c r="B91" t="s">
        <v>38</v>
      </c>
      <c r="C91">
        <v>-117.847031</v>
      </c>
      <c r="D91">
        <v>33.717367000000003</v>
      </c>
      <c r="E91">
        <v>108</v>
      </c>
    </row>
    <row r="92" spans="1:5">
      <c r="A92">
        <v>92</v>
      </c>
      <c r="B92" t="s">
        <v>39</v>
      </c>
      <c r="C92">
        <v>-117.84579100000001</v>
      </c>
      <c r="D92">
        <v>33.718240999999999</v>
      </c>
      <c r="E92">
        <v>109</v>
      </c>
    </row>
    <row r="93" spans="1:5">
      <c r="A93">
        <v>93</v>
      </c>
      <c r="B93" t="s">
        <v>178</v>
      </c>
      <c r="C93">
        <v>-117.849598</v>
      </c>
      <c r="D93">
        <v>33.714748</v>
      </c>
      <c r="E93">
        <v>115</v>
      </c>
    </row>
    <row r="94" spans="1:5">
      <c r="A94">
        <v>94</v>
      </c>
      <c r="B94" t="s">
        <v>179</v>
      </c>
      <c r="C94">
        <v>-117.84775399999999</v>
      </c>
      <c r="D94">
        <v>33.713855000000002</v>
      </c>
      <c r="E94">
        <v>116</v>
      </c>
    </row>
    <row r="95" spans="1:5">
      <c r="A95">
        <v>95</v>
      </c>
      <c r="B95" t="s">
        <v>180</v>
      </c>
      <c r="C95">
        <v>-117.849957</v>
      </c>
      <c r="D95">
        <v>33.712558000000001</v>
      </c>
      <c r="E95">
        <v>117</v>
      </c>
    </row>
    <row r="96" spans="1:5">
      <c r="A96">
        <v>96</v>
      </c>
      <c r="B96" t="s">
        <v>181</v>
      </c>
      <c r="C96">
        <v>-117.85069900000001</v>
      </c>
      <c r="D96">
        <v>33.710639999999998</v>
      </c>
      <c r="E96">
        <v>118</v>
      </c>
    </row>
    <row r="97" spans="1:5">
      <c r="A97">
        <v>97</v>
      </c>
      <c r="B97" t="s">
        <v>182</v>
      </c>
      <c r="C97">
        <v>-117.851624</v>
      </c>
      <c r="D97">
        <v>33.709425000000003</v>
      </c>
      <c r="E97">
        <v>119</v>
      </c>
    </row>
    <row r="98" spans="1:5">
      <c r="A98">
        <v>98</v>
      </c>
      <c r="B98" t="s">
        <v>183</v>
      </c>
      <c r="C98">
        <v>-117.851844</v>
      </c>
      <c r="D98">
        <v>33.712085000000002</v>
      </c>
      <c r="E98">
        <v>120</v>
      </c>
    </row>
    <row r="99" spans="1:5">
      <c r="A99">
        <v>99</v>
      </c>
      <c r="B99" t="s">
        <v>184</v>
      </c>
      <c r="C99">
        <v>-117.853261</v>
      </c>
      <c r="D99">
        <v>33.711531999999998</v>
      </c>
      <c r="E99">
        <v>121</v>
      </c>
    </row>
    <row r="100" spans="1:5">
      <c r="A100">
        <v>100</v>
      </c>
      <c r="B100" t="s">
        <v>185</v>
      </c>
      <c r="C100">
        <v>-117.85404</v>
      </c>
      <c r="D100">
        <v>33.709805000000003</v>
      </c>
      <c r="E100">
        <v>122</v>
      </c>
    </row>
    <row r="101" spans="1:5">
      <c r="A101">
        <v>101</v>
      </c>
      <c r="B101" t="s">
        <v>44</v>
      </c>
      <c r="C101">
        <v>-117.85288199999999</v>
      </c>
      <c r="D101">
        <v>33.709552000000002</v>
      </c>
      <c r="E101">
        <v>123</v>
      </c>
    </row>
    <row r="102" spans="1:5">
      <c r="A102">
        <v>102</v>
      </c>
      <c r="B102" t="s">
        <v>186</v>
      </c>
      <c r="C102">
        <v>-117.853334</v>
      </c>
      <c r="D102">
        <v>33.708029000000003</v>
      </c>
      <c r="E102">
        <v>124</v>
      </c>
    </row>
    <row r="103" spans="1:5">
      <c r="A103">
        <v>103</v>
      </c>
      <c r="B103" t="s">
        <v>187</v>
      </c>
      <c r="C103">
        <v>-117.851563</v>
      </c>
      <c r="D103">
        <v>33.707994999999997</v>
      </c>
      <c r="E103">
        <v>125</v>
      </c>
    </row>
    <row r="104" spans="1:5">
      <c r="A104">
        <v>104</v>
      </c>
      <c r="B104" t="s">
        <v>188</v>
      </c>
      <c r="C104">
        <v>-117.859475</v>
      </c>
      <c r="D104">
        <v>33.708561000000003</v>
      </c>
      <c r="E104">
        <v>188</v>
      </c>
    </row>
    <row r="105" spans="1:5">
      <c r="A105">
        <v>105</v>
      </c>
      <c r="B105" t="s">
        <v>189</v>
      </c>
      <c r="C105">
        <v>-117.857499</v>
      </c>
      <c r="D105">
        <v>33.708480999999999</v>
      </c>
      <c r="E105">
        <v>189</v>
      </c>
    </row>
    <row r="106" spans="1:5">
      <c r="A106">
        <v>106</v>
      </c>
      <c r="B106" t="s">
        <v>190</v>
      </c>
      <c r="C106">
        <v>-117.856082</v>
      </c>
      <c r="D106">
        <v>33.708471000000003</v>
      </c>
      <c r="E106">
        <v>190</v>
      </c>
    </row>
    <row r="107" spans="1:5">
      <c r="A107">
        <v>107</v>
      </c>
      <c r="B107" t="s">
        <v>191</v>
      </c>
      <c r="C107">
        <v>-117.85612</v>
      </c>
      <c r="D107">
        <v>33.709892000000004</v>
      </c>
      <c r="E107">
        <v>191</v>
      </c>
    </row>
    <row r="108" spans="1:5">
      <c r="A108">
        <v>108</v>
      </c>
      <c r="B108" t="s">
        <v>193</v>
      </c>
      <c r="C108">
        <v>-117.852825</v>
      </c>
      <c r="D108">
        <v>33.715125999999998</v>
      </c>
      <c r="E108">
        <v>196</v>
      </c>
    </row>
    <row r="109" spans="1:5">
      <c r="A109">
        <v>109</v>
      </c>
      <c r="B109" t="s">
        <v>194</v>
      </c>
      <c r="C109">
        <v>-117.863966</v>
      </c>
      <c r="D109">
        <v>33.705047999999998</v>
      </c>
      <c r="E109">
        <v>61</v>
      </c>
    </row>
    <row r="110" spans="1:5">
      <c r="A110">
        <v>110</v>
      </c>
      <c r="B110" t="s">
        <v>15</v>
      </c>
      <c r="C110">
        <v>-117.86213499999999</v>
      </c>
      <c r="D110">
        <v>33.705415000000002</v>
      </c>
      <c r="E110">
        <v>62</v>
      </c>
    </row>
    <row r="111" spans="1:5">
      <c r="A111">
        <v>111</v>
      </c>
      <c r="B111" t="s">
        <v>195</v>
      </c>
      <c r="C111">
        <v>-117.861485</v>
      </c>
      <c r="D111">
        <v>33.706073000000004</v>
      </c>
      <c r="E111">
        <v>63</v>
      </c>
    </row>
    <row r="112" spans="1:5">
      <c r="A112">
        <v>112</v>
      </c>
      <c r="B112" t="s">
        <v>16</v>
      </c>
      <c r="C112">
        <v>-117.861451</v>
      </c>
      <c r="D112">
        <v>33.704889999999999</v>
      </c>
      <c r="E112">
        <v>64</v>
      </c>
    </row>
    <row r="113" spans="1:5">
      <c r="A113">
        <v>113</v>
      </c>
      <c r="B113" t="s">
        <v>17</v>
      </c>
      <c r="C113">
        <v>-117.860034</v>
      </c>
      <c r="D113">
        <v>33.704813000000001</v>
      </c>
      <c r="E113">
        <v>65</v>
      </c>
    </row>
    <row r="114" spans="1:5">
      <c r="A114">
        <v>114</v>
      </c>
      <c r="B114" t="s">
        <v>18</v>
      </c>
      <c r="C114">
        <v>-117.862573</v>
      </c>
      <c r="D114">
        <v>33.703176999999997</v>
      </c>
      <c r="E114">
        <v>66</v>
      </c>
    </row>
    <row r="115" spans="1:5">
      <c r="A115">
        <v>115</v>
      </c>
      <c r="B115" t="s">
        <v>19</v>
      </c>
      <c r="C115">
        <v>-117.859843</v>
      </c>
      <c r="D115">
        <v>33.706218</v>
      </c>
      <c r="E115">
        <v>67</v>
      </c>
    </row>
    <row r="116" spans="1:5">
      <c r="A116">
        <v>116</v>
      </c>
      <c r="B116" t="s">
        <v>196</v>
      </c>
      <c r="C116">
        <v>-117.863174</v>
      </c>
      <c r="D116">
        <v>33.701098000000002</v>
      </c>
      <c r="E116">
        <v>68</v>
      </c>
    </row>
    <row r="117" spans="1:5">
      <c r="A117">
        <v>117</v>
      </c>
      <c r="B117" t="s">
        <v>197</v>
      </c>
      <c r="C117">
        <v>-117.859393</v>
      </c>
      <c r="D117">
        <v>33.702835999999998</v>
      </c>
      <c r="E117">
        <v>69</v>
      </c>
    </row>
    <row r="118" spans="1:5">
      <c r="A118">
        <v>118</v>
      </c>
      <c r="B118" t="s">
        <v>198</v>
      </c>
      <c r="C118">
        <v>-117.861521</v>
      </c>
      <c r="D118">
        <v>33.701253000000001</v>
      </c>
      <c r="E118">
        <v>70</v>
      </c>
    </row>
    <row r="119" spans="1:5">
      <c r="A119">
        <v>119</v>
      </c>
      <c r="B119" t="s">
        <v>199</v>
      </c>
      <c r="C119">
        <v>-117.860788</v>
      </c>
      <c r="D119">
        <v>33.701129000000002</v>
      </c>
      <c r="E119">
        <v>71</v>
      </c>
    </row>
    <row r="120" spans="1:5">
      <c r="A120">
        <v>120</v>
      </c>
      <c r="B120" t="s">
        <v>200</v>
      </c>
      <c r="C120">
        <v>-117.859988</v>
      </c>
      <c r="D120">
        <v>33.701072000000003</v>
      </c>
      <c r="E120">
        <v>72</v>
      </c>
    </row>
    <row r="121" spans="1:5">
      <c r="A121">
        <v>121</v>
      </c>
      <c r="B121" t="s">
        <v>14</v>
      </c>
      <c r="C121">
        <v>-117.866608</v>
      </c>
      <c r="D121">
        <v>33.706511999999996</v>
      </c>
      <c r="E121">
        <v>60</v>
      </c>
    </row>
    <row r="122" spans="1:5">
      <c r="A122">
        <v>122</v>
      </c>
      <c r="B122" t="s">
        <v>201</v>
      </c>
      <c r="C122">
        <v>-117.864467</v>
      </c>
      <c r="D122">
        <v>33.703085000000002</v>
      </c>
      <c r="E122">
        <v>186</v>
      </c>
    </row>
    <row r="123" spans="1:5">
      <c r="A123">
        <v>123</v>
      </c>
      <c r="B123" t="s">
        <v>202</v>
      </c>
      <c r="C123">
        <v>-117.86541200000001</v>
      </c>
      <c r="D123">
        <v>33.701098000000002</v>
      </c>
      <c r="E123">
        <v>187</v>
      </c>
    </row>
    <row r="124" spans="1:5">
      <c r="A124">
        <v>124</v>
      </c>
      <c r="B124" t="s">
        <v>49</v>
      </c>
      <c r="C124">
        <v>-117.84863799999999</v>
      </c>
      <c r="D124">
        <v>33.704600999999997</v>
      </c>
      <c r="E124">
        <v>131</v>
      </c>
    </row>
    <row r="125" spans="1:5">
      <c r="A125">
        <v>125</v>
      </c>
      <c r="B125" t="s">
        <v>50</v>
      </c>
      <c r="C125">
        <v>-117.84956</v>
      </c>
      <c r="D125">
        <v>33.705243000000003</v>
      </c>
      <c r="E125">
        <v>132</v>
      </c>
    </row>
    <row r="126" spans="1:5">
      <c r="A126">
        <v>126</v>
      </c>
      <c r="B126" t="s">
        <v>51</v>
      </c>
      <c r="C126">
        <v>-117.84785100000001</v>
      </c>
      <c r="D126">
        <v>33.704048</v>
      </c>
      <c r="E126">
        <v>133</v>
      </c>
    </row>
    <row r="127" spans="1:5">
      <c r="A127">
        <v>127</v>
      </c>
      <c r="B127" t="s">
        <v>203</v>
      </c>
      <c r="C127">
        <v>-117.84699000000001</v>
      </c>
      <c r="D127">
        <v>33.703310000000002</v>
      </c>
      <c r="E127">
        <v>134</v>
      </c>
    </row>
    <row r="128" spans="1:5">
      <c r="A128">
        <v>128</v>
      </c>
      <c r="B128" t="s">
        <v>204</v>
      </c>
      <c r="C128">
        <v>-117.844482</v>
      </c>
      <c r="D128">
        <v>33.704154000000003</v>
      </c>
      <c r="E128">
        <v>135</v>
      </c>
    </row>
    <row r="129" spans="1:5">
      <c r="A129">
        <v>129</v>
      </c>
      <c r="B129" t="s">
        <v>53</v>
      </c>
      <c r="C129">
        <v>-117.845176</v>
      </c>
      <c r="D129">
        <v>33.703409999999998</v>
      </c>
      <c r="E129">
        <v>136</v>
      </c>
    </row>
    <row r="130" spans="1:5">
      <c r="A130">
        <v>130</v>
      </c>
      <c r="B130" t="s">
        <v>54</v>
      </c>
      <c r="C130">
        <v>-117.847463</v>
      </c>
      <c r="D130">
        <v>33.701095000000002</v>
      </c>
      <c r="E130">
        <v>137</v>
      </c>
    </row>
    <row r="131" spans="1:5">
      <c r="A131">
        <v>131</v>
      </c>
      <c r="B131" t="s">
        <v>55</v>
      </c>
      <c r="C131">
        <v>-117.846166</v>
      </c>
      <c r="D131">
        <v>33.702441</v>
      </c>
      <c r="E131">
        <v>138</v>
      </c>
    </row>
    <row r="132" spans="1:5">
      <c r="A132">
        <v>132</v>
      </c>
      <c r="B132" t="s">
        <v>205</v>
      </c>
      <c r="C132">
        <v>-117.850683</v>
      </c>
      <c r="D132">
        <v>33.706049999999998</v>
      </c>
      <c r="E132">
        <v>168</v>
      </c>
    </row>
    <row r="133" spans="1:5">
      <c r="A133">
        <v>133</v>
      </c>
      <c r="B133" t="s">
        <v>206</v>
      </c>
      <c r="C133">
        <v>-117.85390599999999</v>
      </c>
      <c r="D133">
        <v>33.705587999999999</v>
      </c>
      <c r="E133">
        <v>171</v>
      </c>
    </row>
    <row r="134" spans="1:5">
      <c r="A134">
        <v>134</v>
      </c>
      <c r="B134" t="s">
        <v>58</v>
      </c>
      <c r="C134">
        <v>-117.849701</v>
      </c>
      <c r="D134">
        <v>33.700488999999997</v>
      </c>
      <c r="E134">
        <v>141</v>
      </c>
    </row>
    <row r="135" spans="1:5">
      <c r="A135">
        <v>135</v>
      </c>
      <c r="B135" t="s">
        <v>59</v>
      </c>
      <c r="C135">
        <v>-117.851108</v>
      </c>
      <c r="D135">
        <v>33.697482000000001</v>
      </c>
      <c r="E135">
        <v>142</v>
      </c>
    </row>
    <row r="136" spans="1:5">
      <c r="A136">
        <v>136</v>
      </c>
      <c r="B136" t="s">
        <v>60</v>
      </c>
      <c r="C136">
        <v>-117.849158</v>
      </c>
      <c r="D136">
        <v>33.700105000000001</v>
      </c>
      <c r="E136">
        <v>143</v>
      </c>
    </row>
    <row r="137" spans="1:5">
      <c r="A137">
        <v>137</v>
      </c>
      <c r="B137" t="s">
        <v>56</v>
      </c>
      <c r="C137">
        <v>-117.848384</v>
      </c>
      <c r="D137">
        <v>33.699644999999997</v>
      </c>
      <c r="E137">
        <v>139</v>
      </c>
    </row>
    <row r="138" spans="1:5">
      <c r="A138">
        <v>138</v>
      </c>
      <c r="B138" t="s">
        <v>57</v>
      </c>
      <c r="C138">
        <v>-117.849908</v>
      </c>
      <c r="D138">
        <v>33.698672999999999</v>
      </c>
      <c r="E138">
        <v>140</v>
      </c>
    </row>
    <row r="139" spans="1:5">
      <c r="A139">
        <v>139</v>
      </c>
      <c r="B139" t="s">
        <v>207</v>
      </c>
      <c r="C139">
        <v>-117.848451</v>
      </c>
      <c r="D139">
        <v>33.697660999999997</v>
      </c>
      <c r="E139">
        <v>169</v>
      </c>
    </row>
    <row r="140" spans="1:5">
      <c r="A140">
        <v>140</v>
      </c>
      <c r="B140" t="s">
        <v>208</v>
      </c>
      <c r="C140">
        <v>-117.850031</v>
      </c>
      <c r="D140">
        <v>33.696075999999998</v>
      </c>
      <c r="E140">
        <v>170</v>
      </c>
    </row>
    <row r="141" spans="1:5">
      <c r="A141">
        <v>141</v>
      </c>
      <c r="B141" t="s">
        <v>209</v>
      </c>
      <c r="C141">
        <v>-117.847399</v>
      </c>
      <c r="D141">
        <v>33.698839</v>
      </c>
      <c r="E141">
        <v>200</v>
      </c>
    </row>
    <row r="142" spans="1:5">
      <c r="A142">
        <v>142</v>
      </c>
      <c r="B142" t="s">
        <v>61</v>
      </c>
      <c r="C142">
        <v>-117.859948</v>
      </c>
      <c r="D142">
        <v>33.698276999999997</v>
      </c>
      <c r="E142">
        <v>144</v>
      </c>
    </row>
    <row r="143" spans="1:5">
      <c r="A143">
        <v>143</v>
      </c>
      <c r="B143" t="s">
        <v>62</v>
      </c>
      <c r="C143">
        <v>-117.858819</v>
      </c>
      <c r="D143">
        <v>33.698998000000003</v>
      </c>
      <c r="E143">
        <v>145</v>
      </c>
    </row>
    <row r="144" spans="1:5">
      <c r="A144">
        <v>144</v>
      </c>
      <c r="B144" t="s">
        <v>63</v>
      </c>
      <c r="C144">
        <v>-117.85802200000001</v>
      </c>
      <c r="D144">
        <v>33.699714</v>
      </c>
      <c r="E144">
        <v>146</v>
      </c>
    </row>
    <row r="145" spans="1:5">
      <c r="A145">
        <v>145</v>
      </c>
      <c r="B145" t="s">
        <v>64</v>
      </c>
      <c r="C145">
        <v>-117.861468</v>
      </c>
      <c r="D145">
        <v>33.695891000000003</v>
      </c>
      <c r="E145">
        <v>147</v>
      </c>
    </row>
    <row r="146" spans="1:5">
      <c r="A146">
        <v>146</v>
      </c>
      <c r="B146" t="s">
        <v>65</v>
      </c>
      <c r="C146">
        <v>-117.859835</v>
      </c>
      <c r="D146">
        <v>33.695872999999999</v>
      </c>
      <c r="E146">
        <v>148</v>
      </c>
    </row>
    <row r="147" spans="1:5">
      <c r="A147">
        <v>147</v>
      </c>
      <c r="B147" t="s">
        <v>66</v>
      </c>
      <c r="C147">
        <v>-117.858698</v>
      </c>
      <c r="D147">
        <v>33.697358000000001</v>
      </c>
      <c r="E147">
        <v>149</v>
      </c>
    </row>
    <row r="148" spans="1:5">
      <c r="A148">
        <v>148</v>
      </c>
      <c r="B148" t="s">
        <v>67</v>
      </c>
      <c r="C148">
        <v>-117.856517</v>
      </c>
      <c r="D148">
        <v>33.699857000000002</v>
      </c>
      <c r="E148">
        <v>150</v>
      </c>
    </row>
    <row r="149" spans="1:5">
      <c r="A149">
        <v>149</v>
      </c>
      <c r="B149" t="s">
        <v>68</v>
      </c>
      <c r="C149">
        <v>-117.854817</v>
      </c>
      <c r="D149">
        <v>33.699297000000001</v>
      </c>
      <c r="E149">
        <v>151</v>
      </c>
    </row>
    <row r="150" spans="1:5">
      <c r="A150">
        <v>150</v>
      </c>
      <c r="B150" t="s">
        <v>69</v>
      </c>
      <c r="C150">
        <v>-117.85691799999999</v>
      </c>
      <c r="D150">
        <v>33.697446999999997</v>
      </c>
      <c r="E150">
        <v>152</v>
      </c>
    </row>
    <row r="151" spans="1:5">
      <c r="A151">
        <v>151</v>
      </c>
      <c r="B151" t="s">
        <v>70</v>
      </c>
      <c r="C151">
        <v>-117.857658</v>
      </c>
      <c r="D151">
        <v>33.696694000000001</v>
      </c>
      <c r="E151">
        <v>153</v>
      </c>
    </row>
    <row r="152" spans="1:5">
      <c r="A152">
        <v>152</v>
      </c>
      <c r="B152" t="s">
        <v>210</v>
      </c>
      <c r="C152">
        <v>-117.85483000000001</v>
      </c>
      <c r="D152">
        <v>33.694400999999999</v>
      </c>
      <c r="E152">
        <v>154</v>
      </c>
    </row>
    <row r="153" spans="1:5">
      <c r="A153">
        <v>153</v>
      </c>
      <c r="B153" t="s">
        <v>71</v>
      </c>
      <c r="C153">
        <v>-117.85549399999999</v>
      </c>
      <c r="D153">
        <v>33.696989000000002</v>
      </c>
      <c r="E153">
        <v>155</v>
      </c>
    </row>
    <row r="154" spans="1:5">
      <c r="A154">
        <v>154</v>
      </c>
      <c r="B154" t="s">
        <v>211</v>
      </c>
      <c r="C154">
        <v>-117.861392</v>
      </c>
      <c r="D154">
        <v>33.700453000000003</v>
      </c>
      <c r="E154">
        <v>73</v>
      </c>
    </row>
    <row r="155" spans="1:5">
      <c r="A155">
        <v>155</v>
      </c>
      <c r="B155" t="s">
        <v>78</v>
      </c>
      <c r="C155">
        <v>-117.853117</v>
      </c>
      <c r="D155">
        <v>33.695017999999997</v>
      </c>
      <c r="E155">
        <v>176</v>
      </c>
    </row>
    <row r="156" spans="1:5">
      <c r="A156">
        <v>156</v>
      </c>
      <c r="B156" t="s">
        <v>72</v>
      </c>
      <c r="C156">
        <v>-117.85335499999999</v>
      </c>
      <c r="D156">
        <v>33.692416000000001</v>
      </c>
      <c r="E156">
        <v>156</v>
      </c>
    </row>
    <row r="157" spans="1:5">
      <c r="A157">
        <v>157</v>
      </c>
      <c r="B157" t="s">
        <v>212</v>
      </c>
      <c r="C157">
        <v>-117.855469</v>
      </c>
      <c r="D157">
        <v>33.693134000000001</v>
      </c>
      <c r="E157">
        <v>157</v>
      </c>
    </row>
    <row r="158" spans="1:5">
      <c r="A158">
        <v>158</v>
      </c>
      <c r="B158" t="s">
        <v>213</v>
      </c>
      <c r="C158">
        <v>-117.858114</v>
      </c>
      <c r="D158">
        <v>33.692326999999999</v>
      </c>
      <c r="E158">
        <v>158</v>
      </c>
    </row>
    <row r="159" spans="1:5">
      <c r="A159">
        <v>159</v>
      </c>
      <c r="B159" t="s">
        <v>214</v>
      </c>
      <c r="C159">
        <v>-117.85692400000001</v>
      </c>
      <c r="D159">
        <v>33.694040999999999</v>
      </c>
      <c r="E159">
        <v>159</v>
      </c>
    </row>
    <row r="160" spans="1:5">
      <c r="A160">
        <v>160</v>
      </c>
      <c r="B160" t="s">
        <v>73</v>
      </c>
      <c r="C160">
        <v>-117.85844899999999</v>
      </c>
      <c r="D160">
        <v>33.695031999999998</v>
      </c>
      <c r="E160">
        <v>160</v>
      </c>
    </row>
    <row r="161" spans="1:5">
      <c r="A161">
        <v>161</v>
      </c>
      <c r="B161" t="s">
        <v>74</v>
      </c>
      <c r="C161">
        <v>-117.85823600000001</v>
      </c>
      <c r="D161">
        <v>33.695875000000001</v>
      </c>
      <c r="E161">
        <v>161</v>
      </c>
    </row>
    <row r="162" spans="1:5">
      <c r="A162">
        <v>162</v>
      </c>
      <c r="B162" t="s">
        <v>215</v>
      </c>
      <c r="C162">
        <v>-117.862398</v>
      </c>
      <c r="D162">
        <v>33.694322999999997</v>
      </c>
      <c r="E162">
        <v>173</v>
      </c>
    </row>
    <row r="163" spans="1:5">
      <c r="A163">
        <v>163</v>
      </c>
      <c r="B163" t="s">
        <v>216</v>
      </c>
      <c r="C163">
        <v>-117.85594500000001</v>
      </c>
      <c r="D163">
        <v>33.691122999999997</v>
      </c>
      <c r="E163">
        <v>174</v>
      </c>
    </row>
    <row r="164" spans="1:5">
      <c r="A164">
        <v>164</v>
      </c>
      <c r="B164" t="s">
        <v>217</v>
      </c>
      <c r="C164">
        <v>-117.86020000000001</v>
      </c>
      <c r="D164">
        <v>33.693415999999999</v>
      </c>
      <c r="E164">
        <v>201</v>
      </c>
    </row>
    <row r="165" spans="1:5">
      <c r="A165">
        <v>165</v>
      </c>
      <c r="B165" t="s">
        <v>218</v>
      </c>
      <c r="C165">
        <v>-117.865461</v>
      </c>
      <c r="D165">
        <v>33.692055000000003</v>
      </c>
      <c r="E165">
        <v>180</v>
      </c>
    </row>
    <row r="166" spans="1:5">
      <c r="A166">
        <v>166</v>
      </c>
      <c r="B166" t="s">
        <v>219</v>
      </c>
      <c r="C166">
        <v>-117.862942</v>
      </c>
      <c r="D166">
        <v>33.690882999999999</v>
      </c>
      <c r="E166">
        <v>181</v>
      </c>
    </row>
    <row r="167" spans="1:5">
      <c r="A167">
        <v>167</v>
      </c>
      <c r="B167" t="s">
        <v>220</v>
      </c>
      <c r="C167">
        <v>-117.860463</v>
      </c>
      <c r="D167">
        <v>33.689554999999999</v>
      </c>
      <c r="E167">
        <v>182</v>
      </c>
    </row>
    <row r="168" spans="1:5">
      <c r="A168">
        <v>168</v>
      </c>
      <c r="B168" t="s">
        <v>221</v>
      </c>
      <c r="C168">
        <v>-117.864609</v>
      </c>
      <c r="D168">
        <v>33.694595</v>
      </c>
      <c r="E168">
        <v>172</v>
      </c>
    </row>
    <row r="169" spans="1:5">
      <c r="A169">
        <v>169</v>
      </c>
      <c r="B169" t="s">
        <v>13</v>
      </c>
      <c r="C169">
        <v>-117.86792</v>
      </c>
      <c r="D169">
        <v>33.707509000000002</v>
      </c>
      <c r="E169">
        <v>59</v>
      </c>
    </row>
    <row r="170" spans="1:5">
      <c r="A170">
        <v>170</v>
      </c>
      <c r="B170" t="s">
        <v>12</v>
      </c>
      <c r="C170">
        <v>-117.867957</v>
      </c>
      <c r="D170">
        <v>33.707022000000002</v>
      </c>
      <c r="E170">
        <v>58</v>
      </c>
    </row>
    <row r="171" spans="1:5">
      <c r="A171">
        <v>171</v>
      </c>
      <c r="B171" t="s">
        <v>42</v>
      </c>
      <c r="C171">
        <v>-117.841475</v>
      </c>
      <c r="D171">
        <v>33.722360999999999</v>
      </c>
      <c r="E171">
        <v>112</v>
      </c>
    </row>
    <row r="172" spans="1:5">
      <c r="A172">
        <v>172</v>
      </c>
      <c r="B172" t="s">
        <v>43</v>
      </c>
      <c r="C172">
        <v>-117.839581</v>
      </c>
      <c r="D172">
        <v>33.723101</v>
      </c>
      <c r="E172">
        <v>113</v>
      </c>
    </row>
    <row r="173" spans="1:5">
      <c r="A173">
        <v>173</v>
      </c>
      <c r="B173" t="s">
        <v>222</v>
      </c>
      <c r="C173">
        <v>-117.840343</v>
      </c>
      <c r="D173">
        <v>33.720574999999997</v>
      </c>
      <c r="E173">
        <v>114</v>
      </c>
    </row>
    <row r="174" spans="1:5">
      <c r="A174">
        <v>174</v>
      </c>
      <c r="B174" t="s">
        <v>75</v>
      </c>
      <c r="C174">
        <v>-117.84142900000001</v>
      </c>
      <c r="D174">
        <v>33.720722000000002</v>
      </c>
      <c r="E174">
        <v>164</v>
      </c>
    </row>
    <row r="175" spans="1:5">
      <c r="A175">
        <v>175</v>
      </c>
      <c r="B175" t="s">
        <v>76</v>
      </c>
      <c r="C175">
        <v>-117.845797</v>
      </c>
      <c r="D175">
        <v>33.720314999999999</v>
      </c>
      <c r="E175">
        <v>165</v>
      </c>
    </row>
    <row r="176" spans="1:5">
      <c r="A176">
        <v>176</v>
      </c>
      <c r="B176" t="s">
        <v>40</v>
      </c>
      <c r="C176">
        <v>-117.843943</v>
      </c>
      <c r="D176">
        <v>33.718850000000003</v>
      </c>
      <c r="E176">
        <v>110</v>
      </c>
    </row>
    <row r="177" spans="1:5">
      <c r="A177">
        <v>177</v>
      </c>
      <c r="B177" t="s">
        <v>46</v>
      </c>
      <c r="C177">
        <v>-117.844086</v>
      </c>
      <c r="D177">
        <v>33.717903</v>
      </c>
      <c r="E177">
        <v>127</v>
      </c>
    </row>
    <row r="178" spans="1:5">
      <c r="A178">
        <v>178</v>
      </c>
      <c r="B178" t="s">
        <v>223</v>
      </c>
      <c r="C178">
        <v>-117.84107</v>
      </c>
      <c r="D178">
        <v>33.718218999999998</v>
      </c>
      <c r="E178">
        <v>162</v>
      </c>
    </row>
    <row r="179" spans="1:5">
      <c r="A179">
        <v>179</v>
      </c>
      <c r="B179" t="s">
        <v>41</v>
      </c>
      <c r="C179">
        <v>-117.844373</v>
      </c>
      <c r="D179">
        <v>33.716616999999999</v>
      </c>
      <c r="E179">
        <v>111</v>
      </c>
    </row>
    <row r="180" spans="1:5">
      <c r="A180">
        <v>180</v>
      </c>
      <c r="B180" t="s">
        <v>224</v>
      </c>
      <c r="C180">
        <v>-117.84364600000001</v>
      </c>
      <c r="D180">
        <v>33.715147999999999</v>
      </c>
      <c r="E180">
        <v>128</v>
      </c>
    </row>
    <row r="181" spans="1:5">
      <c r="A181">
        <v>181</v>
      </c>
      <c r="B181" t="s">
        <v>225</v>
      </c>
      <c r="C181">
        <v>-117.843234</v>
      </c>
      <c r="D181">
        <v>33.716271999999996</v>
      </c>
      <c r="E181">
        <v>163</v>
      </c>
    </row>
    <row r="182" spans="1:5">
      <c r="A182">
        <v>182</v>
      </c>
      <c r="B182" t="s">
        <v>79</v>
      </c>
      <c r="C182">
        <v>-117.84585199999999</v>
      </c>
      <c r="D182">
        <v>33.716439000000001</v>
      </c>
      <c r="E182">
        <v>199</v>
      </c>
    </row>
    <row r="183" spans="1:5">
      <c r="A183">
        <v>183</v>
      </c>
      <c r="B183" t="s">
        <v>45</v>
      </c>
      <c r="C183">
        <v>-117.844087</v>
      </c>
      <c r="D183">
        <v>33.712358000000002</v>
      </c>
      <c r="E183">
        <v>126</v>
      </c>
    </row>
    <row r="184" spans="1:5">
      <c r="A184">
        <v>184</v>
      </c>
      <c r="B184" t="s">
        <v>47</v>
      </c>
      <c r="C184">
        <v>-117.843433</v>
      </c>
      <c r="D184">
        <v>33.713436000000002</v>
      </c>
      <c r="E184">
        <v>129</v>
      </c>
    </row>
    <row r="185" spans="1:5">
      <c r="A185">
        <v>185</v>
      </c>
      <c r="B185" t="s">
        <v>48</v>
      </c>
      <c r="C185">
        <v>-117.84311</v>
      </c>
      <c r="D185">
        <v>33.712007999999997</v>
      </c>
      <c r="E185">
        <v>130</v>
      </c>
    </row>
    <row r="186" spans="1:5">
      <c r="A186">
        <v>186</v>
      </c>
      <c r="B186" t="s">
        <v>77</v>
      </c>
      <c r="C186">
        <v>-117.845444</v>
      </c>
      <c r="D186">
        <v>33.710514000000003</v>
      </c>
      <c r="E186">
        <v>166</v>
      </c>
    </row>
    <row r="187" spans="1:5">
      <c r="A187">
        <v>187</v>
      </c>
      <c r="B187" t="s">
        <v>226</v>
      </c>
      <c r="C187">
        <v>-117.848224</v>
      </c>
      <c r="D187">
        <v>33.708193000000001</v>
      </c>
      <c r="E187">
        <v>167</v>
      </c>
    </row>
    <row r="188" spans="1:5">
      <c r="A188">
        <v>188</v>
      </c>
      <c r="B188" t="s">
        <v>227</v>
      </c>
      <c r="C188">
        <v>-117.851184</v>
      </c>
      <c r="D188">
        <v>33.693544000000003</v>
      </c>
      <c r="E188">
        <v>177</v>
      </c>
    </row>
    <row r="189" spans="1:5">
      <c r="A189">
        <v>189</v>
      </c>
      <c r="B189" t="s">
        <v>228</v>
      </c>
      <c r="C189">
        <v>-117.84982599999999</v>
      </c>
      <c r="D189">
        <v>33.689849000000002</v>
      </c>
      <c r="E189">
        <v>178</v>
      </c>
    </row>
    <row r="190" spans="1:5">
      <c r="A190">
        <v>190</v>
      </c>
      <c r="B190" t="s">
        <v>229</v>
      </c>
      <c r="C190">
        <v>-117.84815399999999</v>
      </c>
      <c r="D190">
        <v>33.691445000000002</v>
      </c>
      <c r="E190">
        <v>179</v>
      </c>
    </row>
    <row r="191" spans="1:5">
      <c r="A191">
        <v>191</v>
      </c>
      <c r="B191" t="s">
        <v>230</v>
      </c>
      <c r="C191">
        <v>-117.852885</v>
      </c>
      <c r="D191">
        <v>33.689819999999997</v>
      </c>
      <c r="E191">
        <v>175</v>
      </c>
    </row>
    <row r="192" spans="1:5">
      <c r="A192">
        <v>192</v>
      </c>
      <c r="B192" t="s">
        <v>231</v>
      </c>
      <c r="C192">
        <v>-117.853747</v>
      </c>
      <c r="D192">
        <v>33.687030999999998</v>
      </c>
      <c r="E192">
        <v>184</v>
      </c>
    </row>
    <row r="193" spans="1:5">
      <c r="A193">
        <v>193</v>
      </c>
      <c r="B193" t="s">
        <v>232</v>
      </c>
      <c r="C193">
        <v>-117.849828</v>
      </c>
      <c r="D193">
        <v>33.686222999999998</v>
      </c>
      <c r="E193">
        <v>185</v>
      </c>
    </row>
    <row r="194" spans="1:5">
      <c r="A194">
        <v>194</v>
      </c>
      <c r="B194" t="s">
        <v>233</v>
      </c>
      <c r="C194">
        <v>-117.85695699999999</v>
      </c>
      <c r="D194">
        <v>33.687773</v>
      </c>
      <c r="E194">
        <v>183</v>
      </c>
    </row>
    <row r="195" spans="1:5">
      <c r="A195">
        <v>195</v>
      </c>
      <c r="B195" t="s">
        <v>0</v>
      </c>
      <c r="C195">
        <v>-117.87410800000001</v>
      </c>
      <c r="D195">
        <v>33.710053000000002</v>
      </c>
      <c r="E195">
        <v>53</v>
      </c>
    </row>
    <row r="196" spans="1:5">
      <c r="A196">
        <v>196</v>
      </c>
      <c r="B196" t="s">
        <v>234</v>
      </c>
      <c r="C196">
        <v>-117.872553</v>
      </c>
      <c r="D196">
        <v>33.709940000000003</v>
      </c>
      <c r="E196">
        <v>54</v>
      </c>
    </row>
    <row r="197" spans="1:5">
      <c r="A197">
        <v>197</v>
      </c>
      <c r="B197" t="s">
        <v>235</v>
      </c>
      <c r="C197">
        <v>-117.871848</v>
      </c>
      <c r="D197">
        <v>33.710760000000001</v>
      </c>
      <c r="E197">
        <v>55</v>
      </c>
    </row>
    <row r="198" spans="1:5">
      <c r="A198">
        <v>198</v>
      </c>
      <c r="B198" t="s">
        <v>10</v>
      </c>
      <c r="C198">
        <v>-117.87132699999999</v>
      </c>
      <c r="D198">
        <v>33.711578000000003</v>
      </c>
      <c r="E198">
        <v>56</v>
      </c>
    </row>
    <row r="199" spans="1:5">
      <c r="A199">
        <v>199</v>
      </c>
      <c r="B199" t="s">
        <v>11</v>
      </c>
      <c r="C199">
        <v>-117.87132800000001</v>
      </c>
      <c r="D199">
        <v>33.712265000000002</v>
      </c>
      <c r="E199">
        <v>57</v>
      </c>
    </row>
    <row r="200" spans="1:5">
      <c r="A200">
        <v>200</v>
      </c>
      <c r="B200" t="s">
        <v>236</v>
      </c>
      <c r="C200">
        <v>-117.87394999999999</v>
      </c>
      <c r="D200">
        <v>33.708947999999999</v>
      </c>
      <c r="E200">
        <v>197</v>
      </c>
    </row>
    <row r="201" spans="1:5">
      <c r="A201">
        <v>201</v>
      </c>
      <c r="B201" t="s">
        <v>237</v>
      </c>
      <c r="C201">
        <v>-117.874973</v>
      </c>
      <c r="D201">
        <v>33.709316999999999</v>
      </c>
      <c r="E201">
        <v>198</v>
      </c>
    </row>
    <row r="202" spans="1:5">
      <c r="A202">
        <v>202</v>
      </c>
      <c r="B202" t="s">
        <v>255</v>
      </c>
      <c r="C202">
        <v>-117.847033</v>
      </c>
      <c r="D202">
        <v>33.718846999999997</v>
      </c>
      <c r="E202">
        <v>203</v>
      </c>
    </row>
    <row r="203" spans="1:5">
      <c r="A203">
        <v>203</v>
      </c>
      <c r="B203" t="s">
        <v>80</v>
      </c>
      <c r="C203">
        <v>-117.86742</v>
      </c>
      <c r="D203">
        <v>33.706468000000001</v>
      </c>
      <c r="E203">
        <v>202</v>
      </c>
    </row>
    <row r="204" spans="1:5">
      <c r="A204">
        <v>204</v>
      </c>
      <c r="B204" t="s">
        <v>238</v>
      </c>
      <c r="C204">
        <v>-117.867467</v>
      </c>
      <c r="D204">
        <v>33.703752999999999</v>
      </c>
      <c r="E204">
        <v>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204"/>
  <sheetViews>
    <sheetView topLeftCell="A97" workbookViewId="0">
      <selection activeCell="B119" sqref="B119"/>
    </sheetView>
  </sheetViews>
  <sheetFormatPr baseColWidth="10" defaultColWidth="8.83203125" defaultRowHeight="14" x14ac:dyDescent="0"/>
  <cols>
    <col min="1" max="1" width="12.6640625" bestFit="1" customWidth="1"/>
    <col min="2" max="2" width="14.33203125" bestFit="1" customWidth="1"/>
  </cols>
  <sheetData>
    <row r="1" spans="1:2">
      <c r="A1" s="4" t="s">
        <v>99</v>
      </c>
      <c r="B1" s="5" t="s">
        <v>250</v>
      </c>
    </row>
    <row r="2" spans="1:2">
      <c r="A2" s="6" t="s">
        <v>255</v>
      </c>
      <c r="B2" s="7">
        <v>72</v>
      </c>
    </row>
    <row r="3" spans="1:2">
      <c r="A3" t="s">
        <v>80</v>
      </c>
      <c r="B3" s="5">
        <v>43</v>
      </c>
    </row>
    <row r="4" spans="1:2">
      <c r="A4" t="s">
        <v>217</v>
      </c>
      <c r="B4" s="5">
        <v>36</v>
      </c>
    </row>
    <row r="5" spans="1:2">
      <c r="A5" t="s">
        <v>209</v>
      </c>
      <c r="B5" s="5">
        <v>41</v>
      </c>
    </row>
    <row r="6" spans="1:2">
      <c r="A6" t="s">
        <v>79</v>
      </c>
      <c r="B6" s="5">
        <v>70</v>
      </c>
    </row>
    <row r="7" spans="1:2">
      <c r="A7" t="s">
        <v>237</v>
      </c>
      <c r="B7" s="5">
        <v>41</v>
      </c>
    </row>
    <row r="8" spans="1:2">
      <c r="A8" s="4" t="s">
        <v>236</v>
      </c>
      <c r="B8" s="5">
        <v>41</v>
      </c>
    </row>
    <row r="9" spans="1:2">
      <c r="A9" t="s">
        <v>193</v>
      </c>
      <c r="B9" s="5">
        <v>63</v>
      </c>
    </row>
    <row r="10" spans="1:2">
      <c r="A10" t="s">
        <v>173</v>
      </c>
      <c r="B10" s="5">
        <v>58</v>
      </c>
    </row>
    <row r="11" spans="1:2">
      <c r="A11" t="s">
        <v>172</v>
      </c>
      <c r="B11" s="5">
        <v>60</v>
      </c>
    </row>
    <row r="12" spans="1:2">
      <c r="A12" s="4" t="s">
        <v>171</v>
      </c>
      <c r="B12" s="5">
        <v>56</v>
      </c>
    </row>
    <row r="13" spans="1:2">
      <c r="A13" t="s">
        <v>170</v>
      </c>
      <c r="B13" s="5">
        <v>58</v>
      </c>
    </row>
    <row r="14" spans="1:2">
      <c r="A14" t="s">
        <v>191</v>
      </c>
      <c r="B14" s="5">
        <v>55</v>
      </c>
    </row>
    <row r="15" spans="1:2">
      <c r="A15" t="s">
        <v>190</v>
      </c>
      <c r="B15" s="5">
        <v>52</v>
      </c>
    </row>
    <row r="16" spans="1:2">
      <c r="A16" s="4" t="s">
        <v>189</v>
      </c>
      <c r="B16" s="5">
        <v>51</v>
      </c>
    </row>
    <row r="17" spans="1:3">
      <c r="A17" t="s">
        <v>188</v>
      </c>
      <c r="B17" s="5">
        <v>50</v>
      </c>
      <c r="C17" s="4"/>
    </row>
    <row r="18" spans="1:3">
      <c r="A18" t="s">
        <v>202</v>
      </c>
      <c r="B18" s="5">
        <v>40</v>
      </c>
      <c r="C18" s="4"/>
    </row>
    <row r="19" spans="1:3">
      <c r="A19" t="s">
        <v>201</v>
      </c>
      <c r="B19" s="8">
        <v>42</v>
      </c>
    </row>
    <row r="20" spans="1:3">
      <c r="A20" s="4" t="s">
        <v>232</v>
      </c>
      <c r="B20" s="5">
        <v>34</v>
      </c>
    </row>
    <row r="21" spans="1:3">
      <c r="A21" t="s">
        <v>231</v>
      </c>
      <c r="B21" s="5">
        <v>33</v>
      </c>
    </row>
    <row r="22" spans="1:3">
      <c r="A22" t="s">
        <v>233</v>
      </c>
      <c r="B22" s="5">
        <v>34</v>
      </c>
    </row>
    <row r="23" spans="1:3">
      <c r="A23" t="s">
        <v>220</v>
      </c>
      <c r="B23" s="5">
        <v>35</v>
      </c>
    </row>
    <row r="24" spans="1:3">
      <c r="A24" t="s">
        <v>219</v>
      </c>
      <c r="B24" s="5">
        <v>36</v>
      </c>
    </row>
    <row r="25" spans="1:3">
      <c r="A25" t="s">
        <v>218</v>
      </c>
      <c r="B25" s="5">
        <v>37</v>
      </c>
    </row>
    <row r="26" spans="1:3">
      <c r="A26" t="s">
        <v>229</v>
      </c>
      <c r="B26" s="5">
        <v>35</v>
      </c>
    </row>
    <row r="27" spans="1:3">
      <c r="A27" t="s">
        <v>228</v>
      </c>
      <c r="B27" s="5">
        <v>35</v>
      </c>
    </row>
    <row r="28" spans="1:3">
      <c r="A28" t="s">
        <v>227</v>
      </c>
      <c r="B28" s="5">
        <v>37</v>
      </c>
    </row>
    <row r="29" spans="1:3">
      <c r="A29" t="s">
        <v>78</v>
      </c>
      <c r="B29" s="5">
        <v>37</v>
      </c>
    </row>
    <row r="30" spans="1:3">
      <c r="A30" t="s">
        <v>230</v>
      </c>
      <c r="B30" s="5">
        <v>37</v>
      </c>
    </row>
    <row r="31" spans="1:3">
      <c r="A31" t="s">
        <v>216</v>
      </c>
      <c r="B31" s="5">
        <v>37</v>
      </c>
    </row>
    <row r="32" spans="1:3">
      <c r="A32" t="s">
        <v>215</v>
      </c>
      <c r="B32" s="5">
        <v>37</v>
      </c>
    </row>
    <row r="33" spans="1:2">
      <c r="A33" t="s">
        <v>221</v>
      </c>
      <c r="B33" s="5">
        <v>38</v>
      </c>
    </row>
    <row r="34" spans="1:2">
      <c r="A34" t="s">
        <v>206</v>
      </c>
      <c r="B34" s="5">
        <v>48</v>
      </c>
    </row>
    <row r="35" spans="1:2">
      <c r="A35" t="s">
        <v>208</v>
      </c>
      <c r="B35" s="5">
        <v>38</v>
      </c>
    </row>
    <row r="36" spans="1:2">
      <c r="A36" t="s">
        <v>207</v>
      </c>
      <c r="B36" s="5">
        <v>40</v>
      </c>
    </row>
    <row r="37" spans="1:2">
      <c r="A37" t="s">
        <v>205</v>
      </c>
      <c r="B37" s="5">
        <v>50</v>
      </c>
    </row>
    <row r="38" spans="1:2">
      <c r="A38" t="s">
        <v>226</v>
      </c>
      <c r="B38" s="5">
        <v>54</v>
      </c>
    </row>
    <row r="39" spans="1:2">
      <c r="A39" t="s">
        <v>77</v>
      </c>
      <c r="B39" s="5">
        <v>59</v>
      </c>
    </row>
    <row r="40" spans="1:2">
      <c r="A40" t="s">
        <v>76</v>
      </c>
      <c r="B40" s="5">
        <v>76</v>
      </c>
    </row>
    <row r="41" spans="1:2">
      <c r="A41" t="s">
        <v>75</v>
      </c>
      <c r="B41" s="5">
        <v>80</v>
      </c>
    </row>
    <row r="42" spans="1:2">
      <c r="A42" t="s">
        <v>225</v>
      </c>
      <c r="B42" s="5">
        <v>70</v>
      </c>
    </row>
    <row r="43" spans="1:2">
      <c r="A43" t="s">
        <v>223</v>
      </c>
      <c r="B43" s="5">
        <v>74</v>
      </c>
    </row>
    <row r="44" spans="1:2">
      <c r="A44" t="s">
        <v>74</v>
      </c>
      <c r="B44" s="5">
        <v>38</v>
      </c>
    </row>
    <row r="45" spans="1:2">
      <c r="A45" t="s">
        <v>73</v>
      </c>
      <c r="B45" s="5">
        <v>37</v>
      </c>
    </row>
    <row r="46" spans="1:2">
      <c r="A46" t="s">
        <v>214</v>
      </c>
      <c r="B46" s="5">
        <v>37</v>
      </c>
    </row>
    <row r="47" spans="1:2">
      <c r="A47" t="s">
        <v>213</v>
      </c>
      <c r="B47" s="5">
        <v>36</v>
      </c>
    </row>
    <row r="48" spans="1:2">
      <c r="A48" t="s">
        <v>212</v>
      </c>
      <c r="B48" s="5">
        <v>37</v>
      </c>
    </row>
    <row r="49" spans="1:2">
      <c r="A49" t="s">
        <v>72</v>
      </c>
      <c r="B49" s="5">
        <v>37</v>
      </c>
    </row>
    <row r="50" spans="1:2">
      <c r="A50" t="s">
        <v>71</v>
      </c>
      <c r="B50" s="5">
        <v>39</v>
      </c>
    </row>
    <row r="51" spans="1:2">
      <c r="A51" t="s">
        <v>210</v>
      </c>
      <c r="B51" s="5">
        <v>37</v>
      </c>
    </row>
    <row r="52" spans="1:2">
      <c r="A52" t="s">
        <v>70</v>
      </c>
      <c r="B52" s="5">
        <v>38</v>
      </c>
    </row>
    <row r="53" spans="1:2">
      <c r="A53" t="s">
        <v>69</v>
      </c>
      <c r="B53" s="5">
        <v>39</v>
      </c>
    </row>
    <row r="54" spans="1:2">
      <c r="A54" t="s">
        <v>68</v>
      </c>
      <c r="B54" s="5">
        <v>41</v>
      </c>
    </row>
    <row r="55" spans="1:2">
      <c r="A55" t="s">
        <v>67</v>
      </c>
      <c r="B55" s="5">
        <v>41</v>
      </c>
    </row>
    <row r="56" spans="1:2">
      <c r="A56" t="s">
        <v>66</v>
      </c>
      <c r="B56" s="5">
        <v>38</v>
      </c>
    </row>
    <row r="57" spans="1:2">
      <c r="A57" t="s">
        <v>65</v>
      </c>
      <c r="B57" s="5">
        <v>37</v>
      </c>
    </row>
    <row r="58" spans="1:2">
      <c r="A58" t="s">
        <v>64</v>
      </c>
      <c r="B58" s="5">
        <v>37</v>
      </c>
    </row>
    <row r="59" spans="1:2">
      <c r="A59" t="s">
        <v>63</v>
      </c>
      <c r="B59" s="5">
        <v>41</v>
      </c>
    </row>
    <row r="60" spans="1:2">
      <c r="A60" t="s">
        <v>62</v>
      </c>
      <c r="B60" s="5">
        <v>40</v>
      </c>
    </row>
    <row r="61" spans="1:2">
      <c r="A61" t="s">
        <v>61</v>
      </c>
      <c r="B61" s="5">
        <v>39</v>
      </c>
    </row>
    <row r="62" spans="1:2">
      <c r="A62" t="s">
        <v>60</v>
      </c>
      <c r="B62" s="5">
        <v>42</v>
      </c>
    </row>
    <row r="63" spans="1:2">
      <c r="A63" t="s">
        <v>59</v>
      </c>
      <c r="B63" s="5">
        <v>40</v>
      </c>
    </row>
    <row r="64" spans="1:2">
      <c r="A64" t="s">
        <v>58</v>
      </c>
      <c r="B64" s="5">
        <v>42</v>
      </c>
    </row>
    <row r="65" spans="1:2">
      <c r="A65" t="s">
        <v>57</v>
      </c>
      <c r="B65" s="8">
        <v>41</v>
      </c>
    </row>
    <row r="66" spans="1:2">
      <c r="A66" t="s">
        <v>56</v>
      </c>
      <c r="B66" s="8">
        <v>42</v>
      </c>
    </row>
    <row r="67" spans="1:2">
      <c r="A67" t="s">
        <v>55</v>
      </c>
      <c r="B67" s="8">
        <v>46</v>
      </c>
    </row>
    <row r="68" spans="1:2">
      <c r="A68" t="s">
        <v>54</v>
      </c>
      <c r="B68" s="8">
        <v>43</v>
      </c>
    </row>
    <row r="69" spans="1:2">
      <c r="A69" t="s">
        <v>53</v>
      </c>
      <c r="B69" s="5">
        <v>48</v>
      </c>
    </row>
    <row r="70" spans="1:2">
      <c r="A70" t="s">
        <v>204</v>
      </c>
      <c r="B70" s="5">
        <v>49</v>
      </c>
    </row>
    <row r="71" spans="1:2">
      <c r="A71" t="s">
        <v>203</v>
      </c>
      <c r="B71" s="5">
        <v>48</v>
      </c>
    </row>
    <row r="72" spans="1:2">
      <c r="A72" t="s">
        <v>51</v>
      </c>
      <c r="B72" s="5">
        <v>48</v>
      </c>
    </row>
    <row r="73" spans="1:2">
      <c r="A73" t="s">
        <v>50</v>
      </c>
      <c r="B73" s="5">
        <v>49</v>
      </c>
    </row>
    <row r="74" spans="1:2">
      <c r="A74" t="s">
        <v>49</v>
      </c>
      <c r="B74" s="5">
        <v>49</v>
      </c>
    </row>
    <row r="75" spans="1:2">
      <c r="A75" t="s">
        <v>48</v>
      </c>
      <c r="B75" s="5">
        <v>62</v>
      </c>
    </row>
    <row r="76" spans="1:2">
      <c r="A76" t="s">
        <v>47</v>
      </c>
      <c r="B76" s="5">
        <v>65</v>
      </c>
    </row>
    <row r="77" spans="1:2">
      <c r="A77" t="s">
        <v>224</v>
      </c>
      <c r="B77" s="5">
        <v>75</v>
      </c>
    </row>
    <row r="78" spans="1:2">
      <c r="A78" t="s">
        <v>46</v>
      </c>
      <c r="B78" s="5">
        <v>72</v>
      </c>
    </row>
    <row r="79" spans="1:2">
      <c r="A79" t="s">
        <v>45</v>
      </c>
      <c r="B79" s="5">
        <v>62</v>
      </c>
    </row>
    <row r="80" spans="1:2">
      <c r="A80" t="s">
        <v>187</v>
      </c>
      <c r="B80" s="5">
        <v>53</v>
      </c>
    </row>
    <row r="81" spans="1:2">
      <c r="A81" t="s">
        <v>186</v>
      </c>
      <c r="B81" s="5">
        <v>52</v>
      </c>
    </row>
    <row r="82" spans="1:2">
      <c r="A82" t="s">
        <v>44</v>
      </c>
      <c r="B82" s="5">
        <v>58</v>
      </c>
    </row>
    <row r="83" spans="1:2">
      <c r="A83" t="s">
        <v>185</v>
      </c>
      <c r="B83" s="5">
        <v>59</v>
      </c>
    </row>
    <row r="84" spans="1:2">
      <c r="A84" t="s">
        <v>184</v>
      </c>
      <c r="B84" s="5">
        <v>64</v>
      </c>
    </row>
    <row r="85" spans="1:2">
      <c r="A85" t="s">
        <v>183</v>
      </c>
      <c r="B85" s="5">
        <v>62</v>
      </c>
    </row>
    <row r="86" spans="1:2">
      <c r="A86" t="s">
        <v>182</v>
      </c>
      <c r="B86" s="5">
        <v>56</v>
      </c>
    </row>
    <row r="87" spans="1:2">
      <c r="A87" t="s">
        <v>181</v>
      </c>
      <c r="B87" s="5">
        <v>57</v>
      </c>
    </row>
    <row r="88" spans="1:2">
      <c r="A88" t="s">
        <v>180</v>
      </c>
      <c r="B88" s="5">
        <v>60</v>
      </c>
    </row>
    <row r="89" spans="1:2">
      <c r="A89" t="s">
        <v>179</v>
      </c>
      <c r="B89" s="5">
        <v>63</v>
      </c>
    </row>
    <row r="90" spans="1:2">
      <c r="A90" t="s">
        <v>178</v>
      </c>
      <c r="B90" s="5">
        <v>64</v>
      </c>
    </row>
    <row r="91" spans="1:2">
      <c r="A91" t="s">
        <v>222</v>
      </c>
      <c r="B91" s="5">
        <v>80</v>
      </c>
    </row>
    <row r="92" spans="1:2">
      <c r="A92" t="s">
        <v>43</v>
      </c>
      <c r="B92" s="5">
        <v>85</v>
      </c>
    </row>
    <row r="93" spans="1:2">
      <c r="A93" t="s">
        <v>42</v>
      </c>
      <c r="B93" s="5">
        <v>83</v>
      </c>
    </row>
    <row r="94" spans="1:2">
      <c r="A94" t="s">
        <v>41</v>
      </c>
      <c r="B94" s="5">
        <v>70</v>
      </c>
    </row>
    <row r="95" spans="1:2">
      <c r="A95" t="s">
        <v>40</v>
      </c>
      <c r="B95" s="5">
        <v>74</v>
      </c>
    </row>
    <row r="96" spans="1:2">
      <c r="A96" t="s">
        <v>39</v>
      </c>
      <c r="B96" s="5">
        <v>72</v>
      </c>
    </row>
    <row r="97" spans="1:2">
      <c r="A97" t="s">
        <v>38</v>
      </c>
      <c r="B97" s="5">
        <v>70</v>
      </c>
    </row>
    <row r="98" spans="1:2">
      <c r="A98" t="s">
        <v>37</v>
      </c>
      <c r="B98" s="5">
        <v>70</v>
      </c>
    </row>
    <row r="99" spans="1:2">
      <c r="A99" t="s">
        <v>36</v>
      </c>
      <c r="B99" s="5">
        <v>71</v>
      </c>
    </row>
    <row r="100" spans="1:2">
      <c r="A100" t="s">
        <v>169</v>
      </c>
      <c r="B100" s="5">
        <v>69</v>
      </c>
    </row>
    <row r="101" spans="1:2">
      <c r="A101" t="s">
        <v>168</v>
      </c>
      <c r="B101" s="5">
        <v>66</v>
      </c>
    </row>
    <row r="102" spans="1:2">
      <c r="A102" t="s">
        <v>35</v>
      </c>
      <c r="B102" s="5">
        <v>67</v>
      </c>
    </row>
    <row r="103" spans="1:2">
      <c r="A103" t="s">
        <v>34</v>
      </c>
      <c r="B103" s="5">
        <v>69</v>
      </c>
    </row>
    <row r="104" spans="1:2">
      <c r="A104" t="s">
        <v>33</v>
      </c>
      <c r="B104" s="5">
        <v>64</v>
      </c>
    </row>
    <row r="105" spans="1:2">
      <c r="A105" t="s">
        <v>160</v>
      </c>
      <c r="B105" s="5">
        <v>65</v>
      </c>
    </row>
    <row r="106" spans="1:2">
      <c r="A106" t="s">
        <v>159</v>
      </c>
      <c r="B106" s="5">
        <v>66</v>
      </c>
    </row>
    <row r="107" spans="1:2">
      <c r="A107" t="s">
        <v>158</v>
      </c>
      <c r="B107" s="5">
        <v>67</v>
      </c>
    </row>
    <row r="108" spans="1:2">
      <c r="A108" t="s">
        <v>32</v>
      </c>
      <c r="B108" s="5">
        <v>68</v>
      </c>
    </row>
    <row r="109" spans="1:2">
      <c r="A109" t="s">
        <v>157</v>
      </c>
      <c r="B109" s="5">
        <v>70</v>
      </c>
    </row>
    <row r="110" spans="1:2">
      <c r="A110" t="s">
        <v>30</v>
      </c>
      <c r="B110" s="5">
        <v>69</v>
      </c>
    </row>
    <row r="111" spans="1:2">
      <c r="A111" t="s">
        <v>28</v>
      </c>
      <c r="B111" s="5">
        <v>67</v>
      </c>
    </row>
    <row r="112" spans="1:2">
      <c r="A112" t="s">
        <v>27</v>
      </c>
      <c r="B112" s="5">
        <v>66</v>
      </c>
    </row>
    <row r="113" spans="1:2">
      <c r="A113" t="s">
        <v>156</v>
      </c>
      <c r="B113" s="5">
        <v>65</v>
      </c>
    </row>
    <row r="114" spans="1:2">
      <c r="A114" t="s">
        <v>192</v>
      </c>
      <c r="B114" s="5">
        <v>68</v>
      </c>
    </row>
    <row r="115" spans="1:2">
      <c r="A115" t="s">
        <v>161</v>
      </c>
      <c r="B115" s="5">
        <v>64</v>
      </c>
    </row>
    <row r="116" spans="1:2">
      <c r="A116" t="s">
        <v>167</v>
      </c>
      <c r="B116" s="5">
        <v>64</v>
      </c>
    </row>
    <row r="117" spans="1:2">
      <c r="A117" t="s">
        <v>166</v>
      </c>
      <c r="B117" s="5">
        <v>64</v>
      </c>
    </row>
    <row r="118" spans="1:2">
      <c r="A118" t="s">
        <v>165</v>
      </c>
      <c r="B118" s="5">
        <v>64</v>
      </c>
    </row>
    <row r="119" spans="1:2">
      <c r="A119" t="s">
        <v>164</v>
      </c>
      <c r="B119" s="5">
        <v>63</v>
      </c>
    </row>
    <row r="120" spans="1:2">
      <c r="A120" t="s">
        <v>26</v>
      </c>
      <c r="B120" s="5">
        <v>63</v>
      </c>
    </row>
    <row r="121" spans="1:2">
      <c r="A121" t="s">
        <v>25</v>
      </c>
      <c r="B121" s="5">
        <v>62</v>
      </c>
    </row>
    <row r="122" spans="1:2">
      <c r="A122" t="s">
        <v>163</v>
      </c>
      <c r="B122" s="5">
        <v>63</v>
      </c>
    </row>
    <row r="123" spans="1:2">
      <c r="A123" t="s">
        <v>24</v>
      </c>
      <c r="B123" s="5">
        <v>62</v>
      </c>
    </row>
    <row r="124" spans="1:2">
      <c r="A124" t="s">
        <v>162</v>
      </c>
      <c r="B124" s="5">
        <v>61</v>
      </c>
    </row>
    <row r="125" spans="1:2">
      <c r="A125" t="s">
        <v>23</v>
      </c>
      <c r="B125" s="5">
        <v>59</v>
      </c>
    </row>
    <row r="126" spans="1:2">
      <c r="A126" t="s">
        <v>177</v>
      </c>
      <c r="B126" s="5">
        <v>57</v>
      </c>
    </row>
    <row r="127" spans="1:2">
      <c r="A127" t="s">
        <v>176</v>
      </c>
      <c r="B127" s="5">
        <v>57</v>
      </c>
    </row>
    <row r="128" spans="1:2">
      <c r="A128" t="s">
        <v>175</v>
      </c>
      <c r="B128" s="5">
        <v>57</v>
      </c>
    </row>
    <row r="129" spans="1:2">
      <c r="A129" t="s">
        <v>174</v>
      </c>
      <c r="B129" s="5">
        <v>56</v>
      </c>
    </row>
    <row r="130" spans="1:2">
      <c r="A130" t="s">
        <v>22</v>
      </c>
      <c r="B130" s="5">
        <v>53</v>
      </c>
    </row>
    <row r="131" spans="1:2">
      <c r="A131" t="s">
        <v>21</v>
      </c>
      <c r="B131" s="5">
        <v>52</v>
      </c>
    </row>
    <row r="132" spans="1:2">
      <c r="A132" t="s">
        <v>211</v>
      </c>
      <c r="B132" s="5">
        <v>41</v>
      </c>
    </row>
    <row r="133" spans="1:2">
      <c r="A133" t="s">
        <v>200</v>
      </c>
      <c r="B133" s="5">
        <v>42</v>
      </c>
    </row>
    <row r="134" spans="1:2">
      <c r="A134" t="s">
        <v>199</v>
      </c>
      <c r="B134" s="5">
        <v>42</v>
      </c>
    </row>
    <row r="135" spans="1:2">
      <c r="A135" t="s">
        <v>198</v>
      </c>
      <c r="B135" s="5">
        <v>41</v>
      </c>
    </row>
    <row r="136" spans="1:2">
      <c r="A136" t="s">
        <v>197</v>
      </c>
      <c r="B136" s="5">
        <v>43</v>
      </c>
    </row>
    <row r="137" spans="1:2">
      <c r="A137" t="s">
        <v>196</v>
      </c>
      <c r="B137" s="5">
        <v>41</v>
      </c>
    </row>
    <row r="138" spans="1:2">
      <c r="A138" t="s">
        <v>19</v>
      </c>
      <c r="B138" s="5">
        <v>46</v>
      </c>
    </row>
    <row r="139" spans="1:2">
      <c r="A139" t="s">
        <v>18</v>
      </c>
      <c r="B139" s="5">
        <v>46</v>
      </c>
    </row>
    <row r="140" spans="1:2">
      <c r="A140" t="s">
        <v>17</v>
      </c>
      <c r="B140" s="5">
        <v>45</v>
      </c>
    </row>
    <row r="141" spans="1:2">
      <c r="A141" t="s">
        <v>16</v>
      </c>
      <c r="B141" s="5">
        <v>45</v>
      </c>
    </row>
    <row r="142" spans="1:2">
      <c r="A142" t="s">
        <v>195</v>
      </c>
      <c r="B142" s="5">
        <v>46</v>
      </c>
    </row>
    <row r="143" spans="1:2">
      <c r="A143" t="s">
        <v>15</v>
      </c>
      <c r="B143" s="5">
        <v>45</v>
      </c>
    </row>
    <row r="144" spans="1:2">
      <c r="A144" t="s">
        <v>194</v>
      </c>
      <c r="B144" s="5">
        <v>44</v>
      </c>
    </row>
    <row r="145" spans="1:2">
      <c r="A145" t="s">
        <v>14</v>
      </c>
      <c r="B145" s="5">
        <v>44</v>
      </c>
    </row>
    <row r="146" spans="1:2">
      <c r="A146" t="s">
        <v>13</v>
      </c>
      <c r="B146" s="5">
        <v>44</v>
      </c>
    </row>
    <row r="147" spans="1:2">
      <c r="A147" t="s">
        <v>12</v>
      </c>
      <c r="B147" s="5">
        <v>43</v>
      </c>
    </row>
    <row r="148" spans="1:2">
      <c r="A148" t="s">
        <v>11</v>
      </c>
      <c r="B148" s="5">
        <v>46</v>
      </c>
    </row>
    <row r="149" spans="1:2">
      <c r="A149" t="s">
        <v>10</v>
      </c>
      <c r="B149" s="5">
        <v>45</v>
      </c>
    </row>
    <row r="150" spans="1:2">
      <c r="A150" t="s">
        <v>235</v>
      </c>
      <c r="B150" s="5">
        <v>44</v>
      </c>
    </row>
    <row r="151" spans="1:2">
      <c r="A151" t="s">
        <v>234</v>
      </c>
      <c r="B151" s="5">
        <v>42</v>
      </c>
    </row>
    <row r="152" spans="1:2">
      <c r="A152" t="s">
        <v>0</v>
      </c>
      <c r="B152" s="5">
        <v>41</v>
      </c>
    </row>
    <row r="153" spans="1:2">
      <c r="A153" t="s">
        <v>155</v>
      </c>
      <c r="B153" s="5">
        <v>70</v>
      </c>
    </row>
    <row r="154" spans="1:2">
      <c r="A154" t="s">
        <v>154</v>
      </c>
      <c r="B154" s="5">
        <v>71</v>
      </c>
    </row>
    <row r="155" spans="1:2">
      <c r="A155" t="s">
        <v>153</v>
      </c>
      <c r="B155" s="5">
        <v>70</v>
      </c>
    </row>
    <row r="156" spans="1:2">
      <c r="A156" t="s">
        <v>152</v>
      </c>
      <c r="B156" s="5">
        <v>45</v>
      </c>
    </row>
    <row r="157" spans="1:2">
      <c r="A157" t="s">
        <v>151</v>
      </c>
      <c r="B157" s="5">
        <v>46</v>
      </c>
    </row>
    <row r="158" spans="1:2">
      <c r="A158" t="s">
        <v>150</v>
      </c>
      <c r="B158" s="5">
        <v>41</v>
      </c>
    </row>
    <row r="159" spans="1:2">
      <c r="A159" t="s">
        <v>149</v>
      </c>
      <c r="B159" s="5">
        <v>42</v>
      </c>
    </row>
    <row r="160" spans="1:2">
      <c r="A160" t="s">
        <v>148</v>
      </c>
      <c r="B160" s="5">
        <v>41</v>
      </c>
    </row>
    <row r="161" spans="1:2">
      <c r="A161" t="s">
        <v>147</v>
      </c>
      <c r="B161" s="5">
        <v>41</v>
      </c>
    </row>
    <row r="162" spans="1:2">
      <c r="A162" t="s">
        <v>146</v>
      </c>
      <c r="B162" s="5">
        <v>45</v>
      </c>
    </row>
    <row r="163" spans="1:2">
      <c r="A163" t="s">
        <v>145</v>
      </c>
      <c r="B163" s="5">
        <v>43</v>
      </c>
    </row>
    <row r="164" spans="1:2">
      <c r="A164" t="s">
        <v>144</v>
      </c>
      <c r="B164" s="5">
        <v>41</v>
      </c>
    </row>
    <row r="165" spans="1:2">
      <c r="A165" t="s">
        <v>143</v>
      </c>
      <c r="B165" s="5">
        <v>37</v>
      </c>
    </row>
    <row r="166" spans="1:2">
      <c r="A166" t="s">
        <v>142</v>
      </c>
      <c r="B166" s="5">
        <v>37</v>
      </c>
    </row>
    <row r="167" spans="1:2">
      <c r="A167" t="s">
        <v>141</v>
      </c>
      <c r="B167" s="5">
        <v>38</v>
      </c>
    </row>
    <row r="168" spans="1:2">
      <c r="A168" t="s">
        <v>140</v>
      </c>
      <c r="B168" s="5">
        <v>40</v>
      </c>
    </row>
    <row r="169" spans="1:2">
      <c r="A169" t="s">
        <v>139</v>
      </c>
      <c r="B169" s="5">
        <v>38</v>
      </c>
    </row>
    <row r="170" spans="1:2">
      <c r="A170" t="s">
        <v>138</v>
      </c>
      <c r="B170" s="5">
        <v>39</v>
      </c>
    </row>
    <row r="171" spans="1:2">
      <c r="A171" t="s">
        <v>137</v>
      </c>
      <c r="B171" s="5">
        <v>40</v>
      </c>
    </row>
    <row r="172" spans="1:2">
      <c r="A172" t="s">
        <v>136</v>
      </c>
      <c r="B172" s="5">
        <v>42</v>
      </c>
    </row>
    <row r="173" spans="1:2">
      <c r="A173" t="s">
        <v>135</v>
      </c>
      <c r="B173" s="5">
        <v>43</v>
      </c>
    </row>
    <row r="174" spans="1:2">
      <c r="A174" t="s">
        <v>134</v>
      </c>
      <c r="B174" s="5">
        <v>54</v>
      </c>
    </row>
    <row r="175" spans="1:2">
      <c r="A175" t="s">
        <v>133</v>
      </c>
      <c r="B175" s="5">
        <v>55</v>
      </c>
    </row>
    <row r="176" spans="1:2">
      <c r="A176" t="s">
        <v>132</v>
      </c>
      <c r="B176" s="5">
        <v>55</v>
      </c>
    </row>
    <row r="177" spans="1:2">
      <c r="A177" t="s">
        <v>131</v>
      </c>
      <c r="B177" s="5">
        <v>56</v>
      </c>
    </row>
    <row r="178" spans="1:2">
      <c r="A178" t="s">
        <v>238</v>
      </c>
      <c r="B178" s="5">
        <v>41</v>
      </c>
    </row>
    <row r="179" spans="1:2">
      <c r="A179" t="s">
        <v>130</v>
      </c>
      <c r="B179" s="5">
        <v>54</v>
      </c>
    </row>
    <row r="180" spans="1:2">
      <c r="A180" t="s">
        <v>129</v>
      </c>
      <c r="B180" s="5">
        <v>55</v>
      </c>
    </row>
    <row r="181" spans="1:2">
      <c r="A181" t="s">
        <v>128</v>
      </c>
      <c r="B181" s="5">
        <v>65</v>
      </c>
    </row>
    <row r="182" spans="1:2">
      <c r="A182" t="s">
        <v>127</v>
      </c>
      <c r="B182" s="5">
        <v>66</v>
      </c>
    </row>
    <row r="183" spans="1:2">
      <c r="A183" t="s">
        <v>126</v>
      </c>
      <c r="B183" s="5">
        <v>63</v>
      </c>
    </row>
    <row r="184" spans="1:2">
      <c r="A184" t="s">
        <v>125</v>
      </c>
      <c r="B184" s="5">
        <v>68</v>
      </c>
    </row>
    <row r="185" spans="1:2">
      <c r="A185" t="s">
        <v>124</v>
      </c>
      <c r="B185" s="5">
        <v>67</v>
      </c>
    </row>
    <row r="186" spans="1:2">
      <c r="A186" t="s">
        <v>123</v>
      </c>
      <c r="B186" s="5">
        <v>73</v>
      </c>
    </row>
    <row r="187" spans="1:2">
      <c r="A187" t="s">
        <v>122</v>
      </c>
      <c r="B187" s="5">
        <v>71</v>
      </c>
    </row>
    <row r="188" spans="1:2">
      <c r="A188" t="s">
        <v>121</v>
      </c>
      <c r="B188" s="5">
        <v>71</v>
      </c>
    </row>
    <row r="189" spans="1:2">
      <c r="A189" t="s">
        <v>120</v>
      </c>
      <c r="B189" s="5">
        <v>75</v>
      </c>
    </row>
    <row r="190" spans="1:2">
      <c r="A190" t="s">
        <v>119</v>
      </c>
      <c r="B190" s="5">
        <v>77</v>
      </c>
    </row>
    <row r="191" spans="1:2">
      <c r="A191" t="s">
        <v>118</v>
      </c>
      <c r="B191" s="5">
        <v>82</v>
      </c>
    </row>
    <row r="192" spans="1:2">
      <c r="A192" t="s">
        <v>117</v>
      </c>
      <c r="B192" s="5">
        <v>79</v>
      </c>
    </row>
    <row r="193" spans="1:2">
      <c r="A193" t="s">
        <v>116</v>
      </c>
      <c r="B193" s="5">
        <v>60</v>
      </c>
    </row>
    <row r="194" spans="1:2">
      <c r="A194" t="s">
        <v>115</v>
      </c>
      <c r="B194" s="5">
        <v>59</v>
      </c>
    </row>
    <row r="195" spans="1:2">
      <c r="A195" t="s">
        <v>114</v>
      </c>
      <c r="B195" s="5">
        <v>58</v>
      </c>
    </row>
    <row r="196" spans="1:2">
      <c r="A196" t="s">
        <v>113</v>
      </c>
      <c r="B196" s="5">
        <v>61</v>
      </c>
    </row>
    <row r="197" spans="1:2">
      <c r="A197" t="s">
        <v>112</v>
      </c>
      <c r="B197" s="5">
        <v>60</v>
      </c>
    </row>
    <row r="198" spans="1:2">
      <c r="A198" t="s">
        <v>111</v>
      </c>
      <c r="B198" s="5">
        <v>61</v>
      </c>
    </row>
    <row r="199" spans="1:2">
      <c r="A199" t="s">
        <v>110</v>
      </c>
      <c r="B199" s="5">
        <v>61</v>
      </c>
    </row>
    <row r="200" spans="1:2">
      <c r="A200" t="s">
        <v>109</v>
      </c>
      <c r="B200" s="5">
        <v>65</v>
      </c>
    </row>
    <row r="201" spans="1:2">
      <c r="A201" t="s">
        <v>108</v>
      </c>
      <c r="B201" s="5">
        <v>62</v>
      </c>
    </row>
    <row r="202" spans="1:2">
      <c r="A202" t="s">
        <v>107</v>
      </c>
      <c r="B202" s="5">
        <v>57</v>
      </c>
    </row>
    <row r="203" spans="1:2">
      <c r="A203" t="s">
        <v>106</v>
      </c>
      <c r="B203" s="5">
        <v>57</v>
      </c>
    </row>
    <row r="204" spans="1:2">
      <c r="A204" t="s">
        <v>105</v>
      </c>
      <c r="B204" s="5">
        <v>55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19"/>
  <sheetViews>
    <sheetView workbookViewId="0">
      <selection activeCell="A8" sqref="A8"/>
    </sheetView>
  </sheetViews>
  <sheetFormatPr baseColWidth="10" defaultColWidth="8.83203125" defaultRowHeight="14" x14ac:dyDescent="0"/>
  <sheetData>
    <row r="1" spans="1:3">
      <c r="A1" t="s">
        <v>240</v>
      </c>
    </row>
    <row r="2" spans="1:3">
      <c r="A2" s="9" t="s">
        <v>1</v>
      </c>
      <c r="B2" s="9" t="s">
        <v>97</v>
      </c>
      <c r="C2" s="9" t="s">
        <v>98</v>
      </c>
    </row>
    <row r="4" spans="1:3">
      <c r="A4" s="9" t="s">
        <v>6</v>
      </c>
      <c r="B4" t="s">
        <v>249</v>
      </c>
    </row>
    <row r="7" spans="1:3">
      <c r="A7" t="s">
        <v>254</v>
      </c>
    </row>
    <row r="8" spans="1:3">
      <c r="A8" t="s">
        <v>256</v>
      </c>
    </row>
    <row r="11" spans="1:3">
      <c r="A11" t="s">
        <v>241</v>
      </c>
    </row>
    <row r="12" spans="1:3">
      <c r="A12" t="s">
        <v>242</v>
      </c>
    </row>
    <row r="13" spans="1:3">
      <c r="A13" t="s">
        <v>243</v>
      </c>
    </row>
    <row r="14" spans="1:3">
      <c r="A14" t="s">
        <v>244</v>
      </c>
    </row>
    <row r="15" spans="1:3">
      <c r="B15" t="s">
        <v>245</v>
      </c>
    </row>
    <row r="16" spans="1:3">
      <c r="B16" t="s">
        <v>246</v>
      </c>
    </row>
    <row r="17" spans="1:2">
      <c r="B17" t="s">
        <v>247</v>
      </c>
    </row>
    <row r="18" spans="1:2">
      <c r="A18" t="s">
        <v>252</v>
      </c>
    </row>
    <row r="19" spans="1:2">
      <c r="B19" t="s">
        <v>251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Thickness</vt:lpstr>
      <vt:lpstr>Data</vt:lpstr>
      <vt:lpstr>SBT Classification</vt:lpstr>
      <vt:lpstr>SAM_CPT_XY</vt:lpstr>
      <vt:lpstr>SAM_CPT_surf_Elevation</vt:lpstr>
      <vt:lpstr>Source and Notes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Daniel Tartakovsky</cp:lastModifiedBy>
  <dcterms:created xsi:type="dcterms:W3CDTF">2012-08-09T21:25:40Z</dcterms:created>
  <dcterms:modified xsi:type="dcterms:W3CDTF">2012-08-16T21:17:16Z</dcterms:modified>
  <cp:category/>
</cp:coreProperties>
</file>